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pivotTables/pivotTable1.xml" ContentType="application/vnd.openxmlformats-officedocument.spreadsheetml.pivotTable+xml"/>
  <Override PartName="/xl/drawings/drawing2.xml" ContentType="application/vnd.openxmlformats-officedocument.drawing+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5.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6.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hidePivotFieldList="1" defaultThemeVersion="166925"/>
  <mc:AlternateContent xmlns:mc="http://schemas.openxmlformats.org/markup-compatibility/2006">
    <mc:Choice Requires="x15">
      <x15ac:absPath xmlns:x15ac="http://schemas.microsoft.com/office/spreadsheetml/2010/11/ac" url="https://o365coloradoedu-my.sharepoint.com/personal/adli3279_colorado_edu/Documents/Collections - Receiving/"/>
    </mc:Choice>
  </mc:AlternateContent>
  <xr:revisionPtr revIDLastSave="12" documentId="8_{938301D2-B2F6-4274-9125-98A354D47019}" xr6:coauthVersionLast="47" xr6:coauthVersionMax="47" xr10:uidLastSave="{B10B8CAA-835B-41CA-B2A1-DC4BE1B8AE00}"/>
  <bookViews>
    <workbookView xWindow="-120" yWindow="-120" windowWidth="29040" windowHeight="15840" xr2:uid="{3F73EF3F-DCF4-4B94-9F4F-509400B7C5B3}"/>
  </bookViews>
  <sheets>
    <sheet name="Donation" sheetId="1" r:id="rId1"/>
    <sheet name="A-Slips" sheetId="16" state="hidden" r:id="rId2"/>
    <sheet name="M-Slips" sheetId="19" r:id="rId3"/>
    <sheet name="SA-Slips" sheetId="21" r:id="rId4"/>
    <sheet name="s-Assign" sheetId="22" r:id="rId5"/>
    <sheet name="s-Series" sheetId="23" r:id="rId6"/>
    <sheet name="s-Pub" sheetId="24" r:id="rId7"/>
    <sheet name="s-Date" sheetId="25" r:id="rId8"/>
    <sheet name="s-Subjects" sheetId="26" r:id="rId9"/>
    <sheet name="About Donation" sheetId="7" r:id="rId10"/>
    <sheet name="License" sheetId="18" r:id="rId11"/>
  </sheets>
  <definedNames>
    <definedName name="_xlnm._FilterDatabase" localSheetId="5" hidden="1">'s-Series'!$A$1:$A$201</definedName>
    <definedName name="_xlnm._FilterDatabase" localSheetId="8" hidden="1">'s-Subjects'!#REF!</definedName>
    <definedName name="Format">#REF!</definedName>
    <definedName name="Orders">Donation!$A$7:$AI$200</definedName>
  </definedNames>
  <calcPr calcId="191029"/>
  <pivotCaches>
    <pivotCache cacheId="6" r:id="rId12"/>
    <pivotCache cacheId="7" r:id="rId13"/>
    <pivotCache cacheId="8" r:id="rId14"/>
    <pivotCache cacheId="9" r:id="rId15"/>
    <pivotCache cacheId="10" r:id="rId16"/>
    <pivotCache cacheId="11" r:id="rId17"/>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2" i="1" l="1"/>
  <c r="R1" i="23" l="1"/>
  <c r="B1" i="23"/>
  <c r="B204" i="23"/>
  <c r="B203" i="23"/>
  <c r="B202" i="23"/>
  <c r="B201" i="23"/>
  <c r="B200" i="23"/>
  <c r="B199" i="23"/>
  <c r="B198" i="23"/>
  <c r="B197" i="23"/>
  <c r="B196" i="23"/>
  <c r="B195" i="23"/>
  <c r="B194" i="23"/>
  <c r="B193" i="23"/>
  <c r="B192" i="23"/>
  <c r="M2" i="25" l="1" a="1"/>
  <c r="Q2" i="23" a="1"/>
  <c r="R186" i="23" l="1"/>
  <c r="R178" i="23"/>
  <c r="R170" i="23"/>
  <c r="R162" i="23"/>
  <c r="R154" i="23"/>
  <c r="R146" i="23"/>
  <c r="R138" i="23"/>
  <c r="R130" i="23"/>
  <c r="R122" i="23"/>
  <c r="R114" i="23"/>
  <c r="R106" i="23"/>
  <c r="R98" i="23"/>
  <c r="R90" i="23"/>
  <c r="R82" i="23"/>
  <c r="R74" i="23"/>
  <c r="R66" i="23"/>
  <c r="R58" i="23"/>
  <c r="R50" i="23"/>
  <c r="R42" i="23"/>
  <c r="R34" i="23"/>
  <c r="R26" i="23"/>
  <c r="R18" i="23"/>
  <c r="R10" i="23"/>
  <c r="R149" i="23"/>
  <c r="R141" i="23"/>
  <c r="R101" i="23"/>
  <c r="R61" i="23"/>
  <c r="R37" i="23"/>
  <c r="R131" i="23"/>
  <c r="R59" i="23"/>
  <c r="R185" i="23"/>
  <c r="R177" i="23"/>
  <c r="R169" i="23"/>
  <c r="R161" i="23"/>
  <c r="R153" i="23"/>
  <c r="R145" i="23"/>
  <c r="R137" i="23"/>
  <c r="R129" i="23"/>
  <c r="R121" i="23"/>
  <c r="R113" i="23"/>
  <c r="R105" i="23"/>
  <c r="R97" i="23"/>
  <c r="R89" i="23"/>
  <c r="R81" i="23"/>
  <c r="R73" i="23"/>
  <c r="R65" i="23"/>
  <c r="R57" i="23"/>
  <c r="R49" i="23"/>
  <c r="R41" i="23"/>
  <c r="R33" i="23"/>
  <c r="R25" i="23"/>
  <c r="R17" i="23"/>
  <c r="R9" i="23"/>
  <c r="R157" i="23"/>
  <c r="R133" i="23"/>
  <c r="R93" i="23"/>
  <c r="R45" i="23"/>
  <c r="R4" i="23"/>
  <c r="R123" i="23"/>
  <c r="R83" i="23"/>
  <c r="R35" i="23"/>
  <c r="R184" i="23"/>
  <c r="R176" i="23"/>
  <c r="R168" i="23"/>
  <c r="R160" i="23"/>
  <c r="R152" i="23"/>
  <c r="R144" i="23"/>
  <c r="R136" i="23"/>
  <c r="R128" i="23"/>
  <c r="R120" i="23"/>
  <c r="R112" i="23"/>
  <c r="R104" i="23"/>
  <c r="R96" i="23"/>
  <c r="R88" i="23"/>
  <c r="R80" i="23"/>
  <c r="R72" i="23"/>
  <c r="R64" i="23"/>
  <c r="R56" i="23"/>
  <c r="R48" i="23"/>
  <c r="R40" i="23"/>
  <c r="R32" i="23"/>
  <c r="R24" i="23"/>
  <c r="R16" i="23"/>
  <c r="R8" i="23"/>
  <c r="R173" i="23"/>
  <c r="R117" i="23"/>
  <c r="R77" i="23"/>
  <c r="R29" i="23"/>
  <c r="R115" i="23"/>
  <c r="R75" i="23"/>
  <c r="R27" i="23"/>
  <c r="R183" i="23"/>
  <c r="R175" i="23"/>
  <c r="R167" i="23"/>
  <c r="R159" i="23"/>
  <c r="R151" i="23"/>
  <c r="R143" i="23"/>
  <c r="R135" i="23"/>
  <c r="R127" i="23"/>
  <c r="R119" i="23"/>
  <c r="R111" i="23"/>
  <c r="R103" i="23"/>
  <c r="R95" i="23"/>
  <c r="R87" i="23"/>
  <c r="R79" i="23"/>
  <c r="R71" i="23"/>
  <c r="R63" i="23"/>
  <c r="R55" i="23"/>
  <c r="R47" i="23"/>
  <c r="R39" i="23"/>
  <c r="R31" i="23"/>
  <c r="R23" i="23"/>
  <c r="R15" i="23"/>
  <c r="R7" i="23"/>
  <c r="R165" i="23"/>
  <c r="R125" i="23"/>
  <c r="R85" i="23"/>
  <c r="R53" i="23"/>
  <c r="R13" i="23"/>
  <c r="R139" i="23"/>
  <c r="R91" i="23"/>
  <c r="R51" i="23"/>
  <c r="R11" i="23"/>
  <c r="R182" i="23"/>
  <c r="R174" i="23"/>
  <c r="R166" i="23"/>
  <c r="R158" i="23"/>
  <c r="R150" i="23"/>
  <c r="R142" i="23"/>
  <c r="R134" i="23"/>
  <c r="R126" i="23"/>
  <c r="R118" i="23"/>
  <c r="R110" i="23"/>
  <c r="R102" i="23"/>
  <c r="R94" i="23"/>
  <c r="R86" i="23"/>
  <c r="R78" i="23"/>
  <c r="R70" i="23"/>
  <c r="R62" i="23"/>
  <c r="R54" i="23"/>
  <c r="R46" i="23"/>
  <c r="R38" i="23"/>
  <c r="R30" i="23"/>
  <c r="R22" i="23"/>
  <c r="R14" i="23"/>
  <c r="R6" i="23"/>
  <c r="R181" i="23"/>
  <c r="R109" i="23"/>
  <c r="R69" i="23"/>
  <c r="R21" i="23"/>
  <c r="R147" i="23"/>
  <c r="R99" i="23"/>
  <c r="R43" i="23"/>
  <c r="R180" i="23"/>
  <c r="R172" i="23"/>
  <c r="R164" i="23"/>
  <c r="R156" i="23"/>
  <c r="R148" i="23"/>
  <c r="R140" i="23"/>
  <c r="R132" i="23"/>
  <c r="R124" i="23"/>
  <c r="R116" i="23"/>
  <c r="R108" i="23"/>
  <c r="R100" i="23"/>
  <c r="R92" i="23"/>
  <c r="R84" i="23"/>
  <c r="R76" i="23"/>
  <c r="R68" i="23"/>
  <c r="R60" i="23"/>
  <c r="R52" i="23"/>
  <c r="R44" i="23"/>
  <c r="R36" i="23"/>
  <c r="R28" i="23"/>
  <c r="R20" i="23"/>
  <c r="R12" i="23"/>
  <c r="R3" i="23"/>
  <c r="R179" i="23"/>
  <c r="R171" i="23"/>
  <c r="R163" i="23"/>
  <c r="R155" i="23"/>
  <c r="R107" i="23"/>
  <c r="R67" i="23"/>
  <c r="R19" i="23"/>
  <c r="R5" i="23"/>
  <c r="N37" i="25"/>
  <c r="N44" i="25"/>
  <c r="N36" i="25"/>
  <c r="N28" i="25"/>
  <c r="N20" i="25"/>
  <c r="N12" i="25"/>
  <c r="N4" i="25"/>
  <c r="N43" i="25"/>
  <c r="N35" i="25"/>
  <c r="N27" i="25"/>
  <c r="N19" i="25"/>
  <c r="N11" i="25"/>
  <c r="N3" i="25"/>
  <c r="N50" i="25"/>
  <c r="N42" i="25"/>
  <c r="N26" i="25"/>
  <c r="N18" i="25"/>
  <c r="N10" i="25"/>
  <c r="N34" i="25"/>
  <c r="N47" i="25"/>
  <c r="N39" i="25"/>
  <c r="N31" i="25"/>
  <c r="N23" i="25"/>
  <c r="N15" i="25"/>
  <c r="N7" i="25"/>
  <c r="N46" i="25"/>
  <c r="N30" i="25"/>
  <c r="N22" i="25"/>
  <c r="N14" i="25"/>
  <c r="N29" i="25"/>
  <c r="N13" i="25"/>
  <c r="N41" i="25"/>
  <c r="N38" i="25"/>
  <c r="N6" i="25"/>
  <c r="N45" i="25"/>
  <c r="N21" i="25"/>
  <c r="N5" i="25"/>
  <c r="N33" i="25"/>
  <c r="N32" i="25"/>
  <c r="N24" i="25"/>
  <c r="N8" i="25"/>
  <c r="N25" i="25"/>
  <c r="N17" i="25"/>
  <c r="N16" i="25"/>
  <c r="N9" i="25"/>
  <c r="N40" i="25"/>
  <c r="N49" i="25"/>
  <c r="N48" i="25"/>
  <c r="Q2" i="23"/>
  <c r="R2" i="23" s="1"/>
  <c r="M2" i="25"/>
  <c r="N2" i="25" s="1"/>
  <c r="A2" i="23" a="1"/>
  <c r="AP2" i="1" a="1"/>
  <c r="AP2" i="1" s="1"/>
  <c r="AN2" i="1" a="1"/>
  <c r="AN2" i="1" s="1"/>
  <c r="AL2" i="1" a="1"/>
  <c r="AL2" i="1" s="1"/>
  <c r="B191" i="23" l="1"/>
  <c r="B183" i="23"/>
  <c r="B175" i="23"/>
  <c r="B167" i="23"/>
  <c r="B159" i="23"/>
  <c r="B151" i="23"/>
  <c r="B143" i="23"/>
  <c r="B135" i="23"/>
  <c r="B127" i="23"/>
  <c r="B119" i="23"/>
  <c r="B111" i="23"/>
  <c r="B103" i="23"/>
  <c r="B95" i="23"/>
  <c r="B87" i="23"/>
  <c r="B79" i="23"/>
  <c r="B71" i="23"/>
  <c r="B63" i="23"/>
  <c r="B55" i="23"/>
  <c r="B47" i="23"/>
  <c r="B39" i="23"/>
  <c r="B31" i="23"/>
  <c r="B23" i="23"/>
  <c r="B15" i="23"/>
  <c r="B7" i="23"/>
  <c r="B162" i="23"/>
  <c r="B138" i="23"/>
  <c r="B114" i="23"/>
  <c r="B58" i="23"/>
  <c r="B34" i="23"/>
  <c r="B120" i="23"/>
  <c r="B64" i="23"/>
  <c r="B32" i="23"/>
  <c r="B190" i="23"/>
  <c r="B182" i="23"/>
  <c r="B174" i="23"/>
  <c r="B166" i="23"/>
  <c r="B158" i="23"/>
  <c r="B150" i="23"/>
  <c r="B142" i="23"/>
  <c r="B134" i="23"/>
  <c r="B126" i="23"/>
  <c r="B118" i="23"/>
  <c r="B110" i="23"/>
  <c r="B102" i="23"/>
  <c r="B94" i="23"/>
  <c r="B86" i="23"/>
  <c r="B78" i="23"/>
  <c r="B70" i="23"/>
  <c r="B62" i="23"/>
  <c r="B54" i="23"/>
  <c r="B46" i="23"/>
  <c r="B38" i="23"/>
  <c r="B30" i="23"/>
  <c r="B22" i="23"/>
  <c r="B14" i="23"/>
  <c r="B6" i="23"/>
  <c r="B170" i="23"/>
  <c r="B146" i="23"/>
  <c r="B98" i="23"/>
  <c r="B42" i="23"/>
  <c r="B10" i="23"/>
  <c r="B80" i="23"/>
  <c r="B8" i="23"/>
  <c r="B189" i="23"/>
  <c r="B181" i="23"/>
  <c r="B173" i="23"/>
  <c r="B165" i="23"/>
  <c r="B157" i="23"/>
  <c r="B149" i="23"/>
  <c r="B141" i="23"/>
  <c r="B133" i="23"/>
  <c r="B125" i="23"/>
  <c r="B117" i="23"/>
  <c r="B109" i="23"/>
  <c r="B101" i="23"/>
  <c r="B93" i="23"/>
  <c r="B85" i="23"/>
  <c r="B77" i="23"/>
  <c r="B69" i="23"/>
  <c r="B61" i="23"/>
  <c r="B53" i="23"/>
  <c r="B45" i="23"/>
  <c r="B37" i="23"/>
  <c r="B29" i="23"/>
  <c r="B21" i="23"/>
  <c r="B13" i="23"/>
  <c r="B4" i="23"/>
  <c r="B186" i="23"/>
  <c r="B154" i="23"/>
  <c r="B122" i="23"/>
  <c r="B82" i="23"/>
  <c r="B50" i="23"/>
  <c r="B104" i="23"/>
  <c r="B56" i="23"/>
  <c r="B188" i="23"/>
  <c r="B180" i="23"/>
  <c r="B172" i="23"/>
  <c r="B164" i="23"/>
  <c r="B156" i="23"/>
  <c r="B148" i="23"/>
  <c r="B140" i="23"/>
  <c r="B132" i="23"/>
  <c r="B124" i="23"/>
  <c r="B116" i="23"/>
  <c r="B108" i="23"/>
  <c r="B100" i="23"/>
  <c r="B92" i="23"/>
  <c r="B84" i="23"/>
  <c r="B76" i="23"/>
  <c r="B68" i="23"/>
  <c r="B60" i="23"/>
  <c r="B52" i="23"/>
  <c r="B44" i="23"/>
  <c r="B36" i="23"/>
  <c r="B28" i="23"/>
  <c r="B20" i="23"/>
  <c r="B12" i="23"/>
  <c r="B3" i="23"/>
  <c r="B178" i="23"/>
  <c r="B130" i="23"/>
  <c r="B106" i="23"/>
  <c r="B66" i="23"/>
  <c r="B26" i="23"/>
  <c r="B112" i="23"/>
  <c r="B72" i="23"/>
  <c r="B24" i="23"/>
  <c r="B187" i="23"/>
  <c r="B179" i="23"/>
  <c r="B171" i="23"/>
  <c r="B163" i="23"/>
  <c r="B155" i="23"/>
  <c r="B147" i="23"/>
  <c r="B139" i="23"/>
  <c r="B131" i="23"/>
  <c r="B123" i="23"/>
  <c r="B115" i="23"/>
  <c r="B107" i="23"/>
  <c r="B99" i="23"/>
  <c r="B91" i="23"/>
  <c r="B83" i="23"/>
  <c r="B75" i="23"/>
  <c r="B67" i="23"/>
  <c r="B59" i="23"/>
  <c r="B51" i="23"/>
  <c r="B43" i="23"/>
  <c r="B35" i="23"/>
  <c r="B27" i="23"/>
  <c r="B19" i="23"/>
  <c r="B11" i="23"/>
  <c r="B90" i="23"/>
  <c r="B74" i="23"/>
  <c r="B18" i="23"/>
  <c r="B88" i="23"/>
  <c r="B40" i="23"/>
  <c r="B16" i="23"/>
  <c r="B185" i="23"/>
  <c r="B177" i="23"/>
  <c r="B169" i="23"/>
  <c r="B161" i="23"/>
  <c r="B153" i="23"/>
  <c r="B145" i="23"/>
  <c r="B137" i="23"/>
  <c r="B129" i="23"/>
  <c r="B121" i="23"/>
  <c r="B113" i="23"/>
  <c r="B105" i="23"/>
  <c r="B97" i="23"/>
  <c r="B89" i="23"/>
  <c r="B81" i="23"/>
  <c r="B73" i="23"/>
  <c r="B65" i="23"/>
  <c r="B57" i="23"/>
  <c r="B49" i="23"/>
  <c r="B41" i="23"/>
  <c r="B33" i="23"/>
  <c r="B25" i="23"/>
  <c r="B17" i="23"/>
  <c r="B9" i="23"/>
  <c r="B184" i="23"/>
  <c r="B176" i="23"/>
  <c r="B168" i="23"/>
  <c r="B160" i="23"/>
  <c r="B152" i="23"/>
  <c r="B144" i="23"/>
  <c r="B136" i="23"/>
  <c r="B128" i="23"/>
  <c r="B96" i="23"/>
  <c r="B48" i="23"/>
  <c r="B5" i="23"/>
  <c r="A2" i="23"/>
  <c r="B2" i="23" s="1"/>
  <c r="O3" i="25" l="1"/>
  <c r="O7" i="25"/>
  <c r="O8" i="25" l="1"/>
  <c r="O9" i="25" s="1"/>
  <c r="AA2" i="25" s="1"/>
  <c r="O4" i="25"/>
  <c r="O5" i="25" s="1"/>
  <c r="X2"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Adam H. Lisbon</author>
  </authors>
  <commentList>
    <comment ref="O3" authorId="0" shapeId="0" xr:uid="{122D70E7-BB02-417A-84E5-CA1FDA899CB4}">
      <text>
        <r>
          <rPr>
            <b/>
            <sz val="9"/>
            <color indexed="81"/>
            <rFont val="Tahoma"/>
            <family val="2"/>
          </rPr>
          <t>Adam H. Lisbon:</t>
        </r>
        <r>
          <rPr>
            <sz val="9"/>
            <color indexed="81"/>
            <rFont val="Tahoma"/>
            <family val="2"/>
          </rPr>
          <t xml:space="preserve">
If a cell is red, there is a duplicate.
If a cell is yellow, it has multiple ISBNs.</t>
        </r>
      </text>
    </comment>
    <comment ref="H6" authorId="0" shapeId="0" xr:uid="{98C0DD90-7D65-407D-8D72-3D32DCB127F2}">
      <text>
        <r>
          <rPr>
            <b/>
            <sz val="9"/>
            <color indexed="81"/>
            <rFont val="Tahoma"/>
            <family val="2"/>
          </rPr>
          <t>Adam H. Lisbon:</t>
        </r>
        <r>
          <rPr>
            <sz val="9"/>
            <color indexed="81"/>
            <rFont val="Tahoma"/>
            <family val="2"/>
          </rPr>
          <t xml:space="preserve">
A red cell indicates that multiple ISBNs have been added to the link. It will not work correctly.</t>
        </r>
      </text>
    </comment>
    <comment ref="J6" authorId="0" shapeId="0" xr:uid="{0F42344E-6AEF-4997-8991-5FFC23D863C4}">
      <text>
        <r>
          <rPr>
            <b/>
            <sz val="9"/>
            <color indexed="81"/>
            <rFont val="Tahoma"/>
            <family val="2"/>
          </rPr>
          <t>Adam H. Lisbon:</t>
        </r>
        <r>
          <rPr>
            <sz val="9"/>
            <color indexed="81"/>
            <rFont val="Tahoma"/>
            <family val="2"/>
          </rPr>
          <t xml:space="preserve">
To futher clarify if item has issue and volume number use "i" and "v" to clarify:
v20 i6
i6
20
No v by default means volume.
If set/serial has no volume and only an issue number, the "i" prefex is not needed
</t>
        </r>
      </text>
    </comment>
    <comment ref="O6" authorId="0" shapeId="0" xr:uid="{37A5ADF3-B2D3-4A0B-9A34-C673C8B56FD3}">
      <text>
        <r>
          <rPr>
            <b/>
            <sz val="9"/>
            <color indexed="81"/>
            <rFont val="Tahoma"/>
            <family val="2"/>
          </rPr>
          <t>Adam H. Lisbon:</t>
        </r>
        <r>
          <rPr>
            <sz val="9"/>
            <color indexed="81"/>
            <rFont val="Tahoma"/>
            <family val="2"/>
          </rPr>
          <t xml:space="preserve">
Book sets often have will have multiple ISBN's.
When pulling bib data from FirstSearch the ISBNs are *usually* in order of the volume numbers.
</t>
        </r>
      </text>
    </comment>
    <comment ref="T6" authorId="0" shapeId="0" xr:uid="{26FD99D3-D4ED-4A74-87DF-EDCF6A75F6AA}">
      <text>
        <r>
          <rPr>
            <b/>
            <sz val="9"/>
            <color indexed="81"/>
            <rFont val="Tahoma"/>
            <family val="2"/>
          </rPr>
          <t>Adam H. Lisbon:</t>
        </r>
        <r>
          <rPr>
            <sz val="9"/>
            <color indexed="81"/>
            <rFont val="Tahoma"/>
            <family val="2"/>
          </rPr>
          <t xml:space="preserve">
Title duplicates are common when pulling data about books in sets. The title will usually be for the set and not the individual volume in the set.
There is nothing wrong with having duplicate titles. If you would like to distinguish individual tiltes in a set, you may:
1. add the title of the volume after the set title.
2. replace the set title with the title of the individual volume.
3. add a volume number after the set title.</t>
        </r>
      </text>
    </comment>
    <comment ref="Y6" authorId="0" shapeId="0" xr:uid="{9E1D1FA4-36C3-4C36-9E98-DA1C8021D970}">
      <text>
        <r>
          <rPr>
            <b/>
            <sz val="9"/>
            <color indexed="81"/>
            <rFont val="Tahoma"/>
            <family val="2"/>
          </rPr>
          <t xml:space="preserve">Adam H. Lisbon:
</t>
        </r>
        <r>
          <rPr>
            <sz val="9"/>
            <color indexed="81"/>
            <rFont val="Tahoma"/>
            <family val="2"/>
          </rPr>
          <t xml:space="preserve">Non-Roman series titles can only be obtained in FirstSearch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1"/>
        </ext>
      </extLst>
    </bk>
    <bk>
      <extLst>
        <ext uri="{3e2802c4-a4d2-4d8b-9148-e3be6c30e623}">
          <xlrd:rvb i="3"/>
        </ext>
      </extLst>
    </bk>
    <bk>
      <extLst>
        <ext uri="{3e2802c4-a4d2-4d8b-9148-e3be6c30e623}">
          <xlrd:rvb i="5"/>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<sst xmlns="http://schemas.openxmlformats.org/spreadsheetml/2006/main" count="15627" uniqueCount="1373">
  <si>
    <t>Value Analysis</t>
  </si>
  <si>
    <t>Volume Data</t>
  </si>
  <si>
    <t>Other Data</t>
  </si>
  <si>
    <t>Duplicate Check</t>
  </si>
  <si>
    <t>Identifiers</t>
  </si>
  <si>
    <t>Bibliographic Data</t>
  </si>
  <si>
    <t>Price Data</t>
  </si>
  <si>
    <t>2</t>
  </si>
  <si>
    <t>3</t>
  </si>
  <si>
    <t>4</t>
  </si>
  <si>
    <t>5</t>
  </si>
  <si>
    <t>6</t>
  </si>
  <si>
    <t>11</t>
  </si>
  <si>
    <t>17</t>
  </si>
  <si>
    <t>18</t>
  </si>
  <si>
    <t>19</t>
  </si>
  <si>
    <t>20</t>
  </si>
  <si>
    <t>21</t>
  </si>
  <si>
    <t>22</t>
  </si>
  <si>
    <t>23</t>
  </si>
  <si>
    <t>24</t>
  </si>
  <si>
    <t>25</t>
  </si>
  <si>
    <t>26</t>
  </si>
  <si>
    <t>27</t>
  </si>
  <si>
    <t>28</t>
  </si>
  <si>
    <t>29</t>
  </si>
  <si>
    <t>Key</t>
  </si>
  <si>
    <t>Note</t>
  </si>
  <si>
    <t>URL for Price Check</t>
  </si>
  <si>
    <t>Collection</t>
  </si>
  <si>
    <t>Dupe
Title
Check</t>
  </si>
  <si>
    <t>ISBN13#/
ISSN#</t>
  </si>
  <si>
    <t>ISBN10#/
ISSN#</t>
  </si>
  <si>
    <t>OCLC#</t>
  </si>
  <si>
    <t>Title (R/E)</t>
  </si>
  <si>
    <t>Title (N)</t>
  </si>
  <si>
    <t>Creator (R/E)</t>
  </si>
  <si>
    <t>Creator (N)</t>
  </si>
  <si>
    <t>Series (R/E)</t>
  </si>
  <si>
    <t>Series (N)</t>
  </si>
  <si>
    <t>Publisher (R/E)</t>
  </si>
  <si>
    <t>Publisher (N)</t>
  </si>
  <si>
    <t>n/a</t>
  </si>
  <si>
    <t>asnst</t>
  </si>
  <si>
    <t>Dongbuga Yeoksa Jaedan</t>
  </si>
  <si>
    <t>동북아역사재단</t>
  </si>
  <si>
    <t>-</t>
  </si>
  <si>
    <t>dupe</t>
  </si>
  <si>
    <t>Tongbuga Yŏksa Chaedan</t>
  </si>
  <si>
    <t>2018-2019</t>
  </si>
  <si>
    <t>7</t>
  </si>
  <si>
    <t>pascal</t>
  </si>
  <si>
    <t>14</t>
  </si>
  <si>
    <t>reject</t>
  </si>
  <si>
    <t>Sŏul Taehakkyo Kyujanggak Han'gukhak Yŏn'guwŏn</t>
  </si>
  <si>
    <t>Northeast Asian History Foundation</t>
  </si>
  <si>
    <t>History of Japan's intrusions into Korea</t>
  </si>
  <si>
    <t>2020-2021</t>
  </si>
  <si>
    <t>Gimhae National Museum</t>
  </si>
  <si>
    <t>🍂📖</t>
  </si>
  <si>
    <t>Received Korean Books</t>
  </si>
  <si>
    <t>Key# on Spreadsheet:</t>
  </si>
  <si>
    <t>Location:</t>
  </si>
  <si>
    <t>Lisbon Approved</t>
  </si>
  <si>
    <t>OCLC or CiNii/NCID#</t>
  </si>
  <si>
    <t>Vol:
Note:</t>
  </si>
  <si>
    <t>of:</t>
  </si>
  <si>
    <t>Vol. #</t>
  </si>
  <si>
    <t>of</t>
  </si>
  <si>
    <t>Notes:</t>
  </si>
  <si>
    <t>OCLC#:</t>
  </si>
  <si>
    <t>Grand Total</t>
  </si>
  <si>
    <t>norst</t>
  </si>
  <si>
    <t>b</t>
  </si>
  <si>
    <t>macro</t>
  </si>
  <si>
    <t>artst</t>
  </si>
  <si>
    <t>First Name</t>
  </si>
  <si>
    <t>Last Name</t>
  </si>
  <si>
    <t>eMail</t>
  </si>
  <si>
    <t>Phone</t>
  </si>
  <si>
    <t>Address</t>
  </si>
  <si>
    <t>Status</t>
  </si>
  <si>
    <t>Donor:</t>
  </si>
  <si>
    <t>Contact:</t>
  </si>
  <si>
    <t>Started Processing:</t>
  </si>
  <si>
    <t>Processing Finished:</t>
  </si>
  <si>
    <t>By Subject Specialist (Adam):</t>
  </si>
  <si>
    <t>All items Added to Collection:</t>
  </si>
  <si>
    <t>Relationship of Donor and Contact:</t>
  </si>
  <si>
    <t>Connection to CU?</t>
  </si>
  <si>
    <t>Other Information:</t>
  </si>
  <si>
    <t>This work is licensed under a Creative Commons Attribution-NonCommercial 4.0 International License.</t>
  </si>
  <si>
    <t>Read more about this license</t>
  </si>
  <si>
    <t>Created by</t>
  </si>
  <si>
    <t>Adam H. Lisbon</t>
  </si>
  <si>
    <t>Associate Professor</t>
  </si>
  <si>
    <t>University of Colorado Boulder</t>
  </si>
  <si>
    <t>University Libraries</t>
  </si>
  <si>
    <t>Japanese &amp; Korean Studies Librarian</t>
  </si>
  <si>
    <t>adam.lisbon@colorado.edu</t>
  </si>
  <si>
    <t>Work Profile</t>
  </si>
  <si>
    <t>CU Experts</t>
  </si>
  <si>
    <t>LinkedIn</t>
  </si>
  <si>
    <t>LinkedIn Profile</t>
  </si>
  <si>
    <t>GitHub</t>
  </si>
  <si>
    <t>https://github.com/ahlisbon/CJKmaterialProcessing</t>
  </si>
  <si>
    <t>Munhak Tongne</t>
  </si>
  <si>
    <t>Parrhesia</t>
  </si>
  <si>
    <t>Munhak kwa Chisŏngsa</t>
  </si>
  <si>
    <t>Imaju</t>
  </si>
  <si>
    <t xml:space="preserve">2019- </t>
  </si>
  <si>
    <t>K'ŏmyunik'eisyŏn Puksŭ</t>
  </si>
  <si>
    <t>Kkum'gyo Ch'ulp'ansa</t>
  </si>
  <si>
    <t>Pusan Taehakkyo Ch'ulp'an Munhwawŏn</t>
  </si>
  <si>
    <t>Sae Mulkyŏl</t>
  </si>
  <si>
    <t>Midasŭ Puksŭ</t>
  </si>
  <si>
    <t>Stone carving  --  East Asia  --  History</t>
  </si>
  <si>
    <t xml:space="preserve">2020- </t>
  </si>
  <si>
    <t>9</t>
  </si>
  <si>
    <t>10</t>
  </si>
  <si>
    <t>Hyŏnsil Munhwa Yŏn'gu</t>
  </si>
  <si>
    <t>Yoo Youngkuk Art Foundation</t>
  </si>
  <si>
    <t>Chŏnnam Taehakkyo Ch'ulp'an Munhwawŏn</t>
  </si>
  <si>
    <t>Nurwa</t>
  </si>
  <si>
    <t>Ŭnhaeng Namu</t>
  </si>
  <si>
    <t>P'aekt'ori Nain</t>
  </si>
  <si>
    <t>Ch'orokpi Ch'aek Kongbang</t>
  </si>
  <si>
    <t>Seoul metropolitan government</t>
  </si>
  <si>
    <t>Mari Puksŭ</t>
  </si>
  <si>
    <t>Kungnip Chungang Tosogwŏn</t>
  </si>
  <si>
    <t>Seoul Selection</t>
  </si>
  <si>
    <t xml:space="preserve">2012- </t>
  </si>
  <si>
    <t>Kugoe Sojae Munhwajae Chaedan</t>
  </si>
  <si>
    <t>2015-2017</t>
  </si>
  <si>
    <t>Langauge</t>
  </si>
  <si>
    <t>Translated Title (Unofficial)</t>
  </si>
  <si>
    <t>12</t>
  </si>
  <si>
    <t>13</t>
  </si>
  <si>
    <t>15</t>
  </si>
  <si>
    <t>16</t>
  </si>
  <si>
    <t>30</t>
  </si>
  <si>
    <t>31</t>
  </si>
  <si>
    <t>32</t>
  </si>
  <si>
    <t>Pub Date (RE)</t>
  </si>
  <si>
    <t>Pub Date (N)</t>
  </si>
  <si>
    <t>Edition (RE)</t>
  </si>
  <si>
    <t>Edition (N)</t>
  </si>
  <si>
    <t>34</t>
  </si>
  <si>
    <t>Korean</t>
  </si>
  <si>
    <t>Total
Vols</t>
  </si>
  <si>
    <t>c</t>
  </si>
  <si>
    <t>d</t>
  </si>
  <si>
    <t>f</t>
  </si>
  <si>
    <t>National Memorial Of The Korean Provisional Government</t>
  </si>
  <si>
    <t>Kungnip Taehan Min'guk Imsi Chŏngbu Kinyŏmgwan</t>
  </si>
  <si>
    <t>Chosŏn sidae kaein ilgi kugyŏk ch'ongsŏ</t>
  </si>
  <si>
    <t>조선 시대 개인 일기 국역 총서</t>
  </si>
  <si>
    <t>Kungnip Munhwajae Yŏn'guso</t>
  </si>
  <si>
    <t>Chosŏn Sidae Kaein Ilgi Kugyŏ̆k ch'ongsŏk Ch'ongsŏ</t>
  </si>
  <si>
    <t>free</t>
  </si>
  <si>
    <t xml:space="preserve">macro </t>
  </si>
  <si>
    <t>Chinese Yuan to USD</t>
  </si>
  <si>
    <t>Japanese Yen to USD</t>
  </si>
  <si>
    <t>Korean Won to USD</t>
  </si>
  <si>
    <t>Local Value Estimate</t>
  </si>
  <si>
    <t>USD Estimate</t>
  </si>
  <si>
    <t>Currency</t>
  </si>
  <si>
    <t>Hanʼguk Yŏngsang Charyowŏn</t>
  </si>
  <si>
    <t>2019</t>
  </si>
  <si>
    <t>2022</t>
  </si>
  <si>
    <t>Han'guk Yŏngsang Charyowŏn</t>
  </si>
  <si>
    <t>2020</t>
  </si>
  <si>
    <t>see slip</t>
  </si>
  <si>
    <t>issue #</t>
  </si>
  <si>
    <t>2018</t>
  </si>
  <si>
    <t>Kyujanggak charyo ch'ongsŏ</t>
  </si>
  <si>
    <t>奎章閣 資料 叢書. 系譜 篇</t>
  </si>
  <si>
    <t>Kyujanggak charyo chʿongsŏ</t>
  </si>
  <si>
    <t>Collection:</t>
  </si>
  <si>
    <t>Key #:</t>
  </si>
  <si>
    <t>Donation Name</t>
  </si>
  <si>
    <t>OCLC #:</t>
  </si>
  <si>
    <t>Title:</t>
  </si>
  <si>
    <t>Sŏul Taehakkyo Kyujang'gak Han'gukhak Yŏn'guwŏn</t>
  </si>
  <si>
    <t>Source - ST (RE)</t>
  </si>
  <si>
    <t>Series Title (RE)</t>
  </si>
  <si>
    <t>Source - ST (N)</t>
  </si>
  <si>
    <t>Series Title (N)</t>
  </si>
  <si>
    <t>Counts</t>
  </si>
  <si>
    <t>Publishers (RE)</t>
  </si>
  <si>
    <t>Publishers (N)</t>
  </si>
  <si>
    <t>Pub Dates</t>
  </si>
  <si>
    <t>Source - Dates</t>
  </si>
  <si>
    <t>Dates Reformatted</t>
  </si>
  <si>
    <t>Dates MinMax</t>
  </si>
  <si>
    <t xml:space="preserve">min ▼ </t>
  </si>
  <si>
    <t>min year:</t>
  </si>
  <si>
    <t>max year:</t>
  </si>
  <si>
    <t>max ▼</t>
  </si>
  <si>
    <t>2010-2019</t>
  </si>
  <si>
    <t>2020-2029</t>
  </si>
  <si>
    <t>Subjects</t>
  </si>
  <si>
    <t>Sub-Subjects</t>
  </si>
  <si>
    <t>Civilization</t>
  </si>
  <si>
    <t>Subject Facets</t>
  </si>
  <si>
    <t>Bibliography</t>
  </si>
  <si>
    <t>1939-1945</t>
  </si>
  <si>
    <t>Biography</t>
  </si>
  <si>
    <t>618-907</t>
  </si>
  <si>
    <t>Nihon</t>
  </si>
  <si>
    <t>Catalogues</t>
  </si>
  <si>
    <t>Denki</t>
  </si>
  <si>
    <t>Manners and customs</t>
  </si>
  <si>
    <t>Catalogs</t>
  </si>
  <si>
    <t>Motion pictures</t>
  </si>
  <si>
    <t>Guerre mondiale, 1939-1945</t>
  </si>
  <si>
    <t>Shakai</t>
  </si>
  <si>
    <t>Asia</t>
  </si>
  <si>
    <t>Bunpō</t>
  </si>
  <si>
    <t>Tang Dynasty (China)</t>
  </si>
  <si>
    <t>Exhibition catalogs</t>
  </si>
  <si>
    <t>Tang dynasty, 618-907</t>
  </si>
  <si>
    <t>Gairaigo</t>
  </si>
  <si>
    <t>Women</t>
  </si>
  <si>
    <t>Drama</t>
  </si>
  <si>
    <t>World War, 1939-1945</t>
  </si>
  <si>
    <t>Edo period, 1600-1868</t>
  </si>
  <si>
    <t>Education</t>
  </si>
  <si>
    <t>Dictionaries</t>
  </si>
  <si>
    <t>Jinmeijiten</t>
  </si>
  <si>
    <t>Intellectual life</t>
  </si>
  <si>
    <t>Politics and government</t>
  </si>
  <si>
    <t>historia</t>
  </si>
  <si>
    <t>Personnel</t>
  </si>
  <si>
    <t>Imprints</t>
  </si>
  <si>
    <t>Art and the war</t>
  </si>
  <si>
    <t>Juvenile fiction</t>
  </si>
  <si>
    <t>Production and direction</t>
  </si>
  <si>
    <t>Dictionaries. Japanese</t>
  </si>
  <si>
    <t>Ci yu</t>
  </si>
  <si>
    <t>Meiji period</t>
  </si>
  <si>
    <t>Mœurs et coutumes</t>
  </si>
  <si>
    <t>Edo jidai</t>
  </si>
  <si>
    <t>Edo period</t>
  </si>
  <si>
    <t>Court and courtiers</t>
  </si>
  <si>
    <t>Tokyo</t>
  </si>
  <si>
    <t>Esthétique</t>
  </si>
  <si>
    <t>Sources</t>
  </si>
  <si>
    <t>Translations into English</t>
  </si>
  <si>
    <t>China</t>
  </si>
  <si>
    <t>Nagasaki-shi</t>
  </si>
  <si>
    <t>Biographies</t>
  </si>
  <si>
    <t>lexikon</t>
  </si>
  <si>
    <t>Conversation and phrase books</t>
  </si>
  <si>
    <t>Japan</t>
  </si>
  <si>
    <t>To 1600</t>
  </si>
  <si>
    <t>Encyclopedias</t>
  </si>
  <si>
    <t>To 1868</t>
  </si>
  <si>
    <t>Indexes</t>
  </si>
  <si>
    <t>Zhu shi</t>
  </si>
  <si>
    <t>Méthodologie</t>
  </si>
  <si>
    <t>Adaptations</t>
  </si>
  <si>
    <t>Investigation</t>
  </si>
  <si>
    <t>Meibo</t>
  </si>
  <si>
    <t>Grammar, Classical</t>
  </si>
  <si>
    <t>Expertising</t>
  </si>
  <si>
    <t>2000-2099</t>
  </si>
  <si>
    <t>Particles</t>
  </si>
  <si>
    <t>Employees</t>
  </si>
  <si>
    <t>Benran</t>
  </si>
  <si>
    <t>Methodology</t>
  </si>
  <si>
    <t>Management</t>
  </si>
  <si>
    <t>Edojidai</t>
  </si>
  <si>
    <t>History</t>
  </si>
  <si>
    <t>Lexicography</t>
  </si>
  <si>
    <t>Aesthetics</t>
  </si>
  <si>
    <t>Chinese influences</t>
  </si>
  <si>
    <t>In art</t>
  </si>
  <si>
    <t>Shoshi</t>
  </si>
  <si>
    <t>21st century</t>
  </si>
  <si>
    <t>1600-1868</t>
  </si>
  <si>
    <t>Criticism, interpretation, etc</t>
  </si>
  <si>
    <t>Japon</t>
  </si>
  <si>
    <t>Tokugawa period, 1600-1868</t>
  </si>
  <si>
    <t>Bombardment, 1945</t>
  </si>
  <si>
    <t>Interviews</t>
  </si>
  <si>
    <t>Korea (South)</t>
  </si>
  <si>
    <t>Hiroshima-shi</t>
  </si>
  <si>
    <t>Meiji period, 1868-1912</t>
  </si>
  <si>
    <t>Shomoku</t>
  </si>
  <si>
    <t>1900-1999</t>
  </si>
  <si>
    <t>Cursive writing</t>
  </si>
  <si>
    <t>Bio-bibliography</t>
  </si>
  <si>
    <t>Pictorial works</t>
  </si>
  <si>
    <t>Social life and customs</t>
  </si>
  <si>
    <t>Fiction</t>
  </si>
  <si>
    <t>Handbooks, manuals, etc</t>
  </si>
  <si>
    <t>Exhibitions</t>
  </si>
  <si>
    <t>History and criticism</t>
  </si>
  <si>
    <t>Criticism and interpretation</t>
  </si>
  <si>
    <t>Romans, nouvelles, etc</t>
  </si>
  <si>
    <t>Study and teaching</t>
  </si>
  <si>
    <t>20th century</t>
  </si>
  <si>
    <t>Rekishi</t>
  </si>
  <si>
    <t>jisho</t>
  </si>
  <si>
    <t>Japanese</t>
  </si>
  <si>
    <t>Japan -- Tokyo</t>
  </si>
  <si>
    <t>history</t>
  </si>
  <si>
    <t>Jisho</t>
  </si>
  <si>
    <t>rekishi</t>
  </si>
  <si>
    <t>edojidai</t>
  </si>
  <si>
    <t>meibo</t>
  </si>
  <si>
    <t>nihon</t>
  </si>
  <si>
    <t>denki</t>
  </si>
  <si>
    <t>formatted</t>
  </si>
  <si>
    <t>Subject Headings</t>
  </si>
  <si>
    <t>Diplomatic relations</t>
  </si>
  <si>
    <t>Korea -- Foreign relations -- History</t>
  </si>
  <si>
    <t>Korea -- Foreign relations</t>
  </si>
  <si>
    <t>Korea</t>
  </si>
  <si>
    <t>Korea  --  Foreign relations  --  History</t>
  </si>
  <si>
    <t>Corée  --  Relations extérieures</t>
  </si>
  <si>
    <t>Princes  --  Korea  --  Biography</t>
  </si>
  <si>
    <t>Princes  --  Corée  --  Biographies</t>
  </si>
  <si>
    <t>Kings and rulers</t>
  </si>
  <si>
    <t>Korea  --  Kings and rulers  --  Biography</t>
  </si>
  <si>
    <t>Koguryŏ (Kingdom)  --  Biography</t>
  </si>
  <si>
    <t>Asia  --  Koguryŏ (Kingdom)</t>
  </si>
  <si>
    <t>Economic history</t>
  </si>
  <si>
    <t>Korea  --  Economic conditions  --  1910-1945</t>
  </si>
  <si>
    <t>Korea  --  History  --  Japanese occupation, 1910-1945</t>
  </si>
  <si>
    <t>Korea  --  History  --  20th century</t>
  </si>
  <si>
    <t>Corée  --  Conditions économiques  --  1910-1945</t>
  </si>
  <si>
    <t>Corée  --  Histoire  --  1910-1945 (Occupation japonaise)</t>
  </si>
  <si>
    <t>To 935</t>
  </si>
  <si>
    <t>Japan  --  Foreign relations  --  Korea</t>
  </si>
  <si>
    <t>Korea  --  Foreign relations  --  Japan</t>
  </si>
  <si>
    <t>Japan  --  Foreign relations  --  To 794</t>
  </si>
  <si>
    <t>Korea  --  Foreign relations  --  To 935</t>
  </si>
  <si>
    <t>Japon  --  Relations extérieures  --  Corée</t>
  </si>
  <si>
    <t>Corée  --  Relations extérieures  --  Japon</t>
  </si>
  <si>
    <t>Japon  --  Relations extérieures  --  Jusqu'à 794</t>
  </si>
  <si>
    <t>Corée  --  Relations extérieures  --  Jusqu'à 935</t>
  </si>
  <si>
    <t>Nihon shoki</t>
  </si>
  <si>
    <t>Koreans  --  China  --  Politics and government</t>
  </si>
  <si>
    <t>Korean resistance movements, 1905-1945</t>
  </si>
  <si>
    <t>Sino-Japanese War, 1937-1945</t>
  </si>
  <si>
    <t>Guerre sino-japonaise, 1937-1945</t>
  </si>
  <si>
    <t>Koreans  --  Politics and government</t>
  </si>
  <si>
    <t>Korean resistance movements (1905-1945)</t>
  </si>
  <si>
    <t>Korea  --  Foreign relations  --  China</t>
  </si>
  <si>
    <t>China  --  Foreign relations  --  Korea</t>
  </si>
  <si>
    <t>Corée  --  Relations extérieures  --  Chine</t>
  </si>
  <si>
    <t>Chine  --  Relations extérieures  --  Corée</t>
  </si>
  <si>
    <t>Goddesses</t>
  </si>
  <si>
    <t>Goddesses in art</t>
  </si>
  <si>
    <t>Goddesses  --  Mythology</t>
  </si>
  <si>
    <t>Déesses</t>
  </si>
  <si>
    <t>Déesses dans l'art</t>
  </si>
  <si>
    <t>Déesses  --  Mythologie</t>
  </si>
  <si>
    <t>Archival materials  --  Conservation and restoration  --  Korea (South)</t>
  </si>
  <si>
    <t>Manuscripts  --  Conservation and restoration  --  Korea (South)</t>
  </si>
  <si>
    <t>Cultural property  --  Protection  --  Korea (South)</t>
  </si>
  <si>
    <t>Historic preservation  --  Korea (South)</t>
  </si>
  <si>
    <t>Documents d'archives  --  Conservation et restauration  --  Corée du Sud</t>
  </si>
  <si>
    <t>Manuscrits  --  Conservation et restauration  --  Corée du Sud</t>
  </si>
  <si>
    <t>Préservation historique  --  Corée du Sud</t>
  </si>
  <si>
    <t>Kyujanggak (Korea)</t>
  </si>
  <si>
    <t>Library materials  --  Conservation and restoration  --  Korea (South)</t>
  </si>
  <si>
    <t>Documents de bibliothèque  --  Conservation et restauration  --  Corée du Sud</t>
  </si>
  <si>
    <t>Colonization</t>
  </si>
  <si>
    <t>1910-1945</t>
  </si>
  <si>
    <t>International relations</t>
  </si>
  <si>
    <t>Tok Island (Korea)  --  Sources</t>
  </si>
  <si>
    <t>Korea  --  Relations  --  Japan  --  Sources</t>
  </si>
  <si>
    <t>Japan  --  Relations  --  Korea  --  Sources</t>
  </si>
  <si>
    <t>Liancourt, Rochers de  --  Sources</t>
  </si>
  <si>
    <t>Corée  --  Relations  --  Japon  --  Sources</t>
  </si>
  <si>
    <t>Korea (South)  --  Tok Island</t>
  </si>
  <si>
    <t>Antiquities</t>
  </si>
  <si>
    <t>Koguryŏ (Kingdom)  --  Antiquities</t>
  </si>
  <si>
    <t>Korea  --  Civilization  --  To 935</t>
  </si>
  <si>
    <t>Corée  --  Civilisation  --  Jusqu'à 935</t>
  </si>
  <si>
    <t>Excavations (Archaeology)  --  China</t>
  </si>
  <si>
    <t>Historic sites</t>
  </si>
  <si>
    <t>Koguryŏ (Kingdom)  --  Civilization</t>
  </si>
  <si>
    <t>Korea  --  Antiquities</t>
  </si>
  <si>
    <t>Pottery  --  Kaya (Confederation)  --  Catalogs</t>
  </si>
  <si>
    <t>Metal-work  --  Kaya (Confederation)  --  Catalogs</t>
  </si>
  <si>
    <t>Pottery, Korean  --  Catalogs</t>
  </si>
  <si>
    <t>Metal-work  --  Korea  --  Pictorial works</t>
  </si>
  <si>
    <t>Corée du Sud  --  Antiquités  --  Ouvrages illustrés</t>
  </si>
  <si>
    <t>Céramique coréenne  --  Expositions</t>
  </si>
  <si>
    <t>Travail des métaux  --  Corée  --  Ouvrages illustrés</t>
  </si>
  <si>
    <t>Kungnip Kimhae Pangmulgwan  --  Catalogs</t>
  </si>
  <si>
    <t>exhibition catalogs</t>
  </si>
  <si>
    <t>Catalogues d'exposition</t>
  </si>
  <si>
    <t>Kaya (Confederation)  --  Civilization  --  Catalogs</t>
  </si>
  <si>
    <t>Korea (South)  --  Antiquities  --  Catalogs</t>
  </si>
  <si>
    <t>Asia  --  Kaya (Confederation)</t>
  </si>
  <si>
    <t>Nationalism  --  Japan  --  History</t>
  </si>
  <si>
    <t>Nationalisme  --  Japon  --  Histoire</t>
  </si>
  <si>
    <t>Historiography</t>
  </si>
  <si>
    <t>Public opinion, Japanese</t>
  </si>
  <si>
    <t>Public opinion, Korean</t>
  </si>
  <si>
    <t>1945-1989</t>
  </si>
  <si>
    <t>Japan  --  Politics and government  --  1945-1989</t>
  </si>
  <si>
    <t>Japan  --  History  --  1945-1989  --  Historiography</t>
  </si>
  <si>
    <t>Korea (South)  --  Foreign relations  --  Japan</t>
  </si>
  <si>
    <t>Japan  --  Foreign relations  --  Korea (South)</t>
  </si>
  <si>
    <t>Korea (South)  --  Foreign public opinion, Japanese</t>
  </si>
  <si>
    <t>Japan  --  Foreign public opinion, Korean</t>
  </si>
  <si>
    <t>Japon  --  Politique et gouvernement  --  1945-1989</t>
  </si>
  <si>
    <t>Japon  --  Histoire  --  1945-1989  --  Historiographie</t>
  </si>
  <si>
    <t>Corée du Sud  --  Relations extérieures  --  Japon</t>
  </si>
  <si>
    <t>Japon  --  Relations extérieures  --  Corée du Sud</t>
  </si>
  <si>
    <t>Korean fiction  --  20th century</t>
  </si>
  <si>
    <t>Korean language materials</t>
  </si>
  <si>
    <t>Roman coréen  --  20e siècle</t>
  </si>
  <si>
    <t>Popular music  --  Korea (South)  --  History and criticism</t>
  </si>
  <si>
    <t>Rap (Music)  --  Korea (South)  --  History and criticism</t>
  </si>
  <si>
    <t>Boy bands  --  Korea (South)</t>
  </si>
  <si>
    <t>Arts and society</t>
  </si>
  <si>
    <t>Music videos  --  Korea (South)  --  History and criticism</t>
  </si>
  <si>
    <t>K-pop  --  Histoire et critique</t>
  </si>
  <si>
    <t>Groupes de garçons (Musique)  --  Corée du Sud</t>
  </si>
  <si>
    <t>Arts et société</t>
  </si>
  <si>
    <t>Vidéoclips  --  Corée du Sud  --  Histoire et critique</t>
  </si>
  <si>
    <t>Influence (Literary, artistic, etc.)</t>
  </si>
  <si>
    <t>Hip-hop</t>
  </si>
  <si>
    <t>Music and globalization</t>
  </si>
  <si>
    <t>Online social networks</t>
  </si>
  <si>
    <t>Philosophy</t>
  </si>
  <si>
    <t>Popular music  --  Social aspects</t>
  </si>
  <si>
    <t>Rap musicians</t>
  </si>
  <si>
    <t>Deleuze, Gilles, 1925-1995</t>
  </si>
  <si>
    <t>BTS (Musical group)  --  Influence</t>
  </si>
  <si>
    <t>Amnesia  --  Fiction</t>
  </si>
  <si>
    <t>Traffic accidents  --  Fiction</t>
  </si>
  <si>
    <t>Amnésie  --  Romans, nouvelles, etc</t>
  </si>
  <si>
    <t>Korean fiction</t>
  </si>
  <si>
    <t>Korea  --  History  --  To 935  --  Historiography  --  Sources</t>
  </si>
  <si>
    <t>Corée  --  Histoire  --  Jusqu'à 935  --  Historiographie  --  Sources</t>
  </si>
  <si>
    <t>Territory, National  --  Korea (South)</t>
  </si>
  <si>
    <t>Territory, National  --  Japan</t>
  </si>
  <si>
    <t>Territoire national  --  Corée du Sud</t>
  </si>
  <si>
    <t>Territoire national  --  Japon</t>
  </si>
  <si>
    <t>International law</t>
  </si>
  <si>
    <t>Tok Island (Korea)  --  History  --  Errors, inventions, etc</t>
  </si>
  <si>
    <t>Tok Island (Korea)  --  International status</t>
  </si>
  <si>
    <t>Liancourt, Rochers de  --  Histoire  --  Erreurs, inventions, etc</t>
  </si>
  <si>
    <t>Liancourt, Rochers de  --  Statut international</t>
  </si>
  <si>
    <t>Boundaries</t>
  </si>
  <si>
    <t>Territory, National</t>
  </si>
  <si>
    <t>Tok Island (Korea)  --  History</t>
  </si>
  <si>
    <t>Ullŭng Island (Korea)  --  History</t>
  </si>
  <si>
    <t>Liancourt, Rochers de  --  Histoire</t>
  </si>
  <si>
    <t>Korea (South)  --  Ullŭng Island</t>
  </si>
  <si>
    <t>Diplomatic and consular service, Korean  --  China  --  History</t>
  </si>
  <si>
    <t>Service diplomatique et consulaire coréen  --  Chine  --  Histoire</t>
  </si>
  <si>
    <t>Fan clubs</t>
  </si>
  <si>
    <t>Popular music fans</t>
  </si>
  <si>
    <t>Popular music  --  Korea (South)</t>
  </si>
  <si>
    <t>Rock musicians  --  Korea (South)</t>
  </si>
  <si>
    <t>Musique populaire  --  Fans</t>
  </si>
  <si>
    <t>K-pop</t>
  </si>
  <si>
    <t>Musiciens rock  --  Corée du Sud</t>
  </si>
  <si>
    <t>Subculture</t>
  </si>
  <si>
    <t>Nature conservation  --  Korea (North)  --  Paektu Mountain</t>
  </si>
  <si>
    <t>Mountain ecology  --  Korea (North)  --  Paektu Mountain</t>
  </si>
  <si>
    <t>Travel</t>
  </si>
  <si>
    <t>Folklore</t>
  </si>
  <si>
    <t>Paektu Mountain (Korea)  --  History</t>
  </si>
  <si>
    <t>Koreans  --  China  --  Yanbian Chaoxianzu Zizhizhou</t>
  </si>
  <si>
    <t>Chosŏnjok</t>
  </si>
  <si>
    <t>Korean reunification question (1945- )</t>
  </si>
  <si>
    <t>Coréens  --  Chine  --  Yanbian Chaoxianzu Zizhizhou</t>
  </si>
  <si>
    <t>Question de la réunification de la Corée (1945- )</t>
  </si>
  <si>
    <t>Yanbian Chaoxianzu Zizhizhou (China)</t>
  </si>
  <si>
    <t>Yanbian Chaoxianzu Zizhizhou (Chine)</t>
  </si>
  <si>
    <t>1392-1637</t>
  </si>
  <si>
    <t>Korea  --  Politics and government  --  1392-1637</t>
  </si>
  <si>
    <t>Korea  --  History  --  Manchu Invasions, 1627-1637</t>
  </si>
  <si>
    <t>Corée  --  Histoire  --  1627-1637 (Invasions mandchoues)</t>
  </si>
  <si>
    <t>Shinto shrines  --  Japan  --  Tokyo</t>
  </si>
  <si>
    <t>Shinto and politics  --  Japan  --  History</t>
  </si>
  <si>
    <t>World War, 1939-1945  --  Conscript labor  --  Japan</t>
  </si>
  <si>
    <t>War victims  --  Legal status, laws, etc.  --  Korea</t>
  </si>
  <si>
    <t>Guerre mondiale, 1939-1945  --  Travail obligatoire  --  Japon</t>
  </si>
  <si>
    <t>Yasukuni Jinja (Tokyo, Japan)</t>
  </si>
  <si>
    <t>Shinto shrines -- Japan -- Tokyo</t>
  </si>
  <si>
    <t>Shinto and politics -- Japan -- History</t>
  </si>
  <si>
    <t>World War, 1939-1945 -- Conscript labor -- Japan</t>
  </si>
  <si>
    <t>War victims -- Legal status, laws, etc. -- Korea</t>
  </si>
  <si>
    <t>Shinto and politics</t>
  </si>
  <si>
    <t>Shinto shrines</t>
  </si>
  <si>
    <t>War victims -- Legal status, laws, etc</t>
  </si>
  <si>
    <t>靖国神社 (Tokyo, Japan)</t>
  </si>
  <si>
    <t>Korea -- History -- Japanese occupation, 1910-1945</t>
  </si>
  <si>
    <t>Reconciliation  --  Political aspects</t>
  </si>
  <si>
    <t>World politics</t>
  </si>
  <si>
    <t>Réconciliation  --  Aspect politique</t>
  </si>
  <si>
    <t>Politique mondiale</t>
  </si>
  <si>
    <t>East Asia  --  History</t>
  </si>
  <si>
    <t>Extrême-Orient  --  Histoire</t>
  </si>
  <si>
    <t>Sepulchral monuments  --  Korea (South)  --  Pusan  --  History  --  Juvenile fiction</t>
  </si>
  <si>
    <t>Cemeteries  --  Korea (South)  --  Pusan  --  Juvenile fiction</t>
  </si>
  <si>
    <t>Korean War, 1950-1953  --  History  --  Juvenile fiction</t>
  </si>
  <si>
    <t>Cimetières  --  Corée du Sud  --  Pusan  --  Romans, nouvelles, etc. pour la jeunesse</t>
  </si>
  <si>
    <t>Guerre de Corée, 1950-1953  --  Histoire  --  Romans, nouvelles, etc. pour la jeunesse</t>
  </si>
  <si>
    <t>Ghosts</t>
  </si>
  <si>
    <t>ghost stories</t>
  </si>
  <si>
    <t>Juvenile works</t>
  </si>
  <si>
    <t>Histoires de fantômes</t>
  </si>
  <si>
    <t>Right-wing extremists  --  Japan</t>
  </si>
  <si>
    <t>Nationalism  --  Japan</t>
  </si>
  <si>
    <t>Extrémistes de droite  --  Japon</t>
  </si>
  <si>
    <t>Nationalisme  --  Japon</t>
  </si>
  <si>
    <t>Abe, Shinzō, 1954-2022</t>
  </si>
  <si>
    <t>Japan  --  Politics and government  --  21st century</t>
  </si>
  <si>
    <t>Japon  --  Politique et gouvernement  --  21e siècle</t>
  </si>
  <si>
    <t>Territory, National  --  Korea</t>
  </si>
  <si>
    <t>Territoire national  --  Corée</t>
  </si>
  <si>
    <t>Discoveries in geography</t>
  </si>
  <si>
    <t>1800-1899</t>
  </si>
  <si>
    <t>East Asia  --  Foreign relations  --  20th century</t>
  </si>
  <si>
    <t>Korea  --  Foreign relations  --  Russia</t>
  </si>
  <si>
    <t>Russia  --  Foreign relations  --  Korea</t>
  </si>
  <si>
    <t>Corée  --  Relations extérieures  --  Russie</t>
  </si>
  <si>
    <t>Landscapes in literature</t>
  </si>
  <si>
    <t>Korean literature  --  1392-1894  --  History and criticism</t>
  </si>
  <si>
    <t>Korean poetry  --  1392-1894  --  History and criticism</t>
  </si>
  <si>
    <t>Paysages dans la littérature</t>
  </si>
  <si>
    <t>Littérature coréenne  --  1392-1894  --  Histoire et critique</t>
  </si>
  <si>
    <t>Poésie coréenne  --  1392-1894  --  Histoire et critique</t>
  </si>
  <si>
    <t>Private schools  --  Korea (South)  --  Andong-gun</t>
  </si>
  <si>
    <t>Confucian shrines  --  Korea (South)  --  Andong-gun</t>
  </si>
  <si>
    <t>Education  --  Korea  --  History</t>
  </si>
  <si>
    <t>Éducation  --  Corée  --  Histoire</t>
  </si>
  <si>
    <t>Korean poetry  --  Translations into English  --  History and criticism</t>
  </si>
  <si>
    <t>Korean poetry  --  To 1900  --  History and criticism</t>
  </si>
  <si>
    <t>Korean poetry  --  1894-1919  --  History and criticism</t>
  </si>
  <si>
    <t>Poésie coréenne  --  Jusqu'à 1900  --  Histoire et critique</t>
  </si>
  <si>
    <t>Poésie coréenne  --  1894-1919  --  Histoire et critique</t>
  </si>
  <si>
    <t>To 1919</t>
  </si>
  <si>
    <t>Korea  --  History  --  To 935  --  Historiography</t>
  </si>
  <si>
    <t>Korea  --  History  --  To 935  --  Sources</t>
  </si>
  <si>
    <t>Kojosŏn (Kingdom)  --  Historiography</t>
  </si>
  <si>
    <t>Puyŏ (Ancient kingdom)  --  Historiography</t>
  </si>
  <si>
    <t>Corée  --  Histoire  --  Jusqu'à 935  --  Historiographie</t>
  </si>
  <si>
    <t>Corée  --  Histoire  --  Jusqu'à 935  --  Sources</t>
  </si>
  <si>
    <t>Han yuan (Zhang, Chujin)</t>
  </si>
  <si>
    <t>1368-1644</t>
  </si>
  <si>
    <t>Korea  --  Foreign relations  --  China  --  Sources</t>
  </si>
  <si>
    <t>China  --  Foreign relations  --  Korea  --  Sources</t>
  </si>
  <si>
    <t>Korea  --  History  --  1392-1637  --  Sources</t>
  </si>
  <si>
    <t>China  --  History  --  Ming dynasty, 1368-1644  --  Sources</t>
  </si>
  <si>
    <t>Corée  --  Relations extérieures  --  Chine  --  Sources</t>
  </si>
  <si>
    <t>Chine  --  Relations extérieures  --  Corée  --  Sources</t>
  </si>
  <si>
    <t>Corée  --  Histoire  --  1392-1637  --  Sources</t>
  </si>
  <si>
    <t>Chine  --  Histoire  --  1368-1644 (Dynastie des Ming)  --  Sources</t>
  </si>
  <si>
    <t>Foreign workers, Korean  --  Monuments  --  Japan</t>
  </si>
  <si>
    <t>Koreans  --  Monuments  --  Japan</t>
  </si>
  <si>
    <t>Sino-Japanese War, 1937-1945  --  Conscript labor  --  Japan</t>
  </si>
  <si>
    <t>War victims  --  Monuments  --  Japan</t>
  </si>
  <si>
    <t>World War, 1939-1945  --  Atrocities  --  Japan</t>
  </si>
  <si>
    <t>Travailleurs étrangers coréens  --  Monuments  --  Japon</t>
  </si>
  <si>
    <t>Guerre sino-japonaise, 1937-1945  --  Travail obligatoire  --  Japon</t>
  </si>
  <si>
    <t>Guerre mondiale, 1939-1945  --  Atrocités  --  Japon</t>
  </si>
  <si>
    <t>Forced labor</t>
  </si>
  <si>
    <t>War memorials</t>
  </si>
  <si>
    <t>Korea -- Foreign relations -- Japan</t>
  </si>
  <si>
    <t>Japan -- Foreign relations -- Korea</t>
  </si>
  <si>
    <t>Excavations (Archaeology)  --  Russia (Federation)  --  Primorskiĭ kraĭ</t>
  </si>
  <si>
    <t>Historic sites  --  Russia (Federation)  --  Primorskiĭ kraĭ</t>
  </si>
  <si>
    <t>Historic sites  --  Korea (North)</t>
  </si>
  <si>
    <t>Fortification  --  Russia (Federation)  --  Primorskiĭ kraĭ</t>
  </si>
  <si>
    <t>Fouilles (Archéologie)  --  Russie  --  Primorski Kraj</t>
  </si>
  <si>
    <t>Lieux historiques  --  Russie  --  Primorski Kraj</t>
  </si>
  <si>
    <t>Lieux historiques  --  Corée du Nord</t>
  </si>
  <si>
    <t>Bohai (Kingdom)  --  Antiquities</t>
  </si>
  <si>
    <t>Bohai (Kingdom)  --  Civilization</t>
  </si>
  <si>
    <t>Primorskiĭ kraĭ (Russia)  --  Antiquities</t>
  </si>
  <si>
    <t>Asia  --  Bohai (Kingdom)</t>
  </si>
  <si>
    <t>Territory, National  --  Law and legislation  --  Korea (South)</t>
  </si>
  <si>
    <t>Territory, National -- Law and legislation -- Korea (South)</t>
  </si>
  <si>
    <t>Tok Island (Korea) -- International status</t>
  </si>
  <si>
    <t>Korea (South) -- Foreign relations -- Japan</t>
  </si>
  <si>
    <t>Japan -- Foreign relations -- Korea (South)</t>
  </si>
  <si>
    <t>Liancourt, Rochers de -- Statut international</t>
  </si>
  <si>
    <t>Korea (South) -- Tok Island</t>
  </si>
  <si>
    <t>Modernism (Art)  --  Korea (South)  --  Exhibitions</t>
  </si>
  <si>
    <t>Art, Korean  --  20th century  --  Exhibitions</t>
  </si>
  <si>
    <t>Art, Modern  --  20th century  --  Exhibitions</t>
  </si>
  <si>
    <t>Art  --  Political aspects  --  Korea (South)</t>
  </si>
  <si>
    <t>Modernisme (Art)  --  Corée du Sud  --  Expositions</t>
  </si>
  <si>
    <t>Art coréen  --  20e siècle  --  Expositions</t>
  </si>
  <si>
    <t>Art  --  20e siècle  --  Expositions</t>
  </si>
  <si>
    <t>Art  --  Aspect politique  --  Corée du Sud</t>
  </si>
  <si>
    <t>Painting, Abstract  --  Korea</t>
  </si>
  <si>
    <t>Painting, Korean</t>
  </si>
  <si>
    <t>Peinture abstraite  --  Corée</t>
  </si>
  <si>
    <t>Peinture coréenne</t>
  </si>
  <si>
    <t>Yu, Yŏng-guk, 1916-</t>
  </si>
  <si>
    <t>Korean reunification question (1945- )  --  Philosophy</t>
  </si>
  <si>
    <t>Church and state  --  Korea (South)</t>
  </si>
  <si>
    <t>Minjung theology</t>
  </si>
  <si>
    <t>Self-reliance  --  Korea (North)</t>
  </si>
  <si>
    <t>Socialism  --  Korea (North)</t>
  </si>
  <si>
    <t>Communism and Christianity</t>
  </si>
  <si>
    <t>Question de la réunification de la Corée (1945- )  --  Philosophie</t>
  </si>
  <si>
    <t>Église et État  --  Corée du Sud</t>
  </si>
  <si>
    <t>Confiance en soi  --  Corée du Nord</t>
  </si>
  <si>
    <t>Communisme et christianisme</t>
  </si>
  <si>
    <t>Painters  --  Korea  --  Biography</t>
  </si>
  <si>
    <t>Painting, Korean  --  20th century</t>
  </si>
  <si>
    <t>Peintres  --  Corée  --  Biographies</t>
  </si>
  <si>
    <t>Peinture coréenne  --  20e siècle</t>
  </si>
  <si>
    <t>Kim Yu-jŏng Munhaksang</t>
  </si>
  <si>
    <t>Literary prizes  --  Korea (South)</t>
  </si>
  <si>
    <t>Short stories, Korean</t>
  </si>
  <si>
    <t>Nouvelles coréennes</t>
  </si>
  <si>
    <t>Department stores  --  Fiction</t>
  </si>
  <si>
    <t>Dreams  --  Fiction</t>
  </si>
  <si>
    <t>Korean fiction  --  21st century</t>
  </si>
  <si>
    <t>Young women  --  Fiction</t>
  </si>
  <si>
    <t>Grands magasins  --  Romans, nouvelles, etc</t>
  </si>
  <si>
    <t>Rêves  --  Romans, nouvelles, etc</t>
  </si>
  <si>
    <t>Roman coréen  --  21e siècle</t>
  </si>
  <si>
    <t>Jeunes femmes  --  Romans, nouvelles, etc</t>
  </si>
  <si>
    <t>Fantasy fiction</t>
  </si>
  <si>
    <t>Historic sites  --  Korea (South)  --  Seoul</t>
  </si>
  <si>
    <t>Historic sites  --  Korea (South)  --  Seoul  --  Pictorial works</t>
  </si>
  <si>
    <t>Walking  --  Korea (South)  --  Seoul</t>
  </si>
  <si>
    <t>Lieux historiques  --  Corée du Sud  --  Séoul</t>
  </si>
  <si>
    <t>Lieux historiques  --  Corée du Sud  --  Séoul  --  Ouvrages illustrés</t>
  </si>
  <si>
    <t>Seoul (Korea)  --  Description and travel</t>
  </si>
  <si>
    <t>1500-1599</t>
  </si>
  <si>
    <t>Korea  --  History  --  Japanese Invasions, 1592-1598</t>
  </si>
  <si>
    <t>East Asia  --  History  --  16th century</t>
  </si>
  <si>
    <t>Corée  --  Histoire  --  1592-1598 (Invasions japonaises)</t>
  </si>
  <si>
    <t>Extrême-Orient  --  Histoire  --  16e siècle</t>
  </si>
  <si>
    <t>Forced labor  --  Japan  --  History  --  20th century</t>
  </si>
  <si>
    <t>War victims  --  Korea (South)</t>
  </si>
  <si>
    <t>Travail forcé  --  Japon  --  Histoire  --  20e siècle</t>
  </si>
  <si>
    <t>Victimes de guerre  --  Corée du Sud</t>
  </si>
  <si>
    <t>Parks  --  Korea (South)  --  Seoul</t>
  </si>
  <si>
    <t>Parks  --  Korea (South)  --  Seoul  --  Designs and plans</t>
  </si>
  <si>
    <t>Recreation areas  --  Korea (South)  --  Seoul</t>
  </si>
  <si>
    <t>Landscape architecture  --  Korea (South)  --  Seoul  --  Designs and plans</t>
  </si>
  <si>
    <t>Zones de loisirs  --  Corée du Sud  --  Séoul</t>
  </si>
  <si>
    <t>Architecture du paysage  --  Corée du Sud  --  Séoul  --  Dessins et plans</t>
  </si>
  <si>
    <t>Architectural drawings</t>
  </si>
  <si>
    <t>Korean language  --  Textbooks for foreign speakers</t>
  </si>
  <si>
    <t>Korean language  --  Problems, exercises, etc</t>
  </si>
  <si>
    <t>Language arts (Elementary)  --  Korea (South)</t>
  </si>
  <si>
    <t>Coréen (Langue)  --  Manuels pour allophones</t>
  </si>
  <si>
    <t>Coréen (Langue)  --  Problèmes et exercices</t>
  </si>
  <si>
    <t>Arts du langage (Primaire)  --  Corée du Sud</t>
  </si>
  <si>
    <t>Korean language  --  Study and teaching (Primary)</t>
  </si>
  <si>
    <t>Textbooks  --  for foreign speakers</t>
  </si>
  <si>
    <t>Problems and exercises</t>
  </si>
  <si>
    <t>Names, Geographical  --  Korea (South)  --  Kangwŏn-do  --  History</t>
  </si>
  <si>
    <t>Gazetteers</t>
  </si>
  <si>
    <t>Kangwŏn-do (Korea : South)  --  Historical geography</t>
  </si>
  <si>
    <t>Excavations (Archaeology)  --  Korea (North)  --  Pukch'ŏng-gun</t>
  </si>
  <si>
    <t>Pukch'ŏng-gun (Korea)  --  Antiquities</t>
  </si>
  <si>
    <t>Tombs  --  Korea (North)  --  Pongsan-gun  --  Pictorial works</t>
  </si>
  <si>
    <t>Koguryŏ (Kingdom)  --  Civilization  --  Pictorial works</t>
  </si>
  <si>
    <t>Pongsan-gun (Korea)  --  Antiquities  --  Pictorial works</t>
  </si>
  <si>
    <t>Painting, Korean  --  Korea (North)</t>
  </si>
  <si>
    <t>Ink painting, Korean  --  Korea (North)</t>
  </si>
  <si>
    <t>Socialist realism in art  --  Korea (North)</t>
  </si>
  <si>
    <t>Painters  --  Korea (North)</t>
  </si>
  <si>
    <t>Peinture coréenne  --  Corée du Nord</t>
  </si>
  <si>
    <t>Réalisme socialiste dans l'art  --  Corée du Nord</t>
  </si>
  <si>
    <t>Peintres  --  Corée du Nord</t>
  </si>
  <si>
    <t>Art and state</t>
  </si>
  <si>
    <t>Art, Korean</t>
  </si>
  <si>
    <t>Artists</t>
  </si>
  <si>
    <t>Malerei</t>
  </si>
  <si>
    <t>Politische Kunst</t>
  </si>
  <si>
    <t>Politisches Plakat</t>
  </si>
  <si>
    <t>Nordkorea</t>
  </si>
  <si>
    <t>Ullŭng Island (Korea)</t>
  </si>
  <si>
    <t>Tok Island (Korea)</t>
  </si>
  <si>
    <t>Liancourt, Rochers de</t>
  </si>
  <si>
    <t>To 960</t>
  </si>
  <si>
    <t>Korea  --  History  --  To 935</t>
  </si>
  <si>
    <t>China  --  History  --  To 221 B.C</t>
  </si>
  <si>
    <t>China  --  History  --  221 B.C.-960 A.D</t>
  </si>
  <si>
    <t>Corée  --  Histoire  --  Jusqu'à 935</t>
  </si>
  <si>
    <t>Chine  --  Histoire  --  Jusqu'à 221 av. J.-C</t>
  </si>
  <si>
    <t>Chine  --  Histoire  --  221 av. J.-C.-960</t>
  </si>
  <si>
    <t>Korea -- History -- To 935</t>
  </si>
  <si>
    <t>China -- History -- To 221 BC</t>
  </si>
  <si>
    <t>China -- History -- 221 BC-960 AD</t>
  </si>
  <si>
    <t>Korea -- Foreign relations -- China</t>
  </si>
  <si>
    <t>China -- Foreign relations -- Korea</t>
  </si>
  <si>
    <t>1392-1868</t>
  </si>
  <si>
    <t>Korea  --  Relations  --  Japan</t>
  </si>
  <si>
    <t>Japan  --  Relations  --  Korea</t>
  </si>
  <si>
    <t>Korea  --  Foreign relations  --  1392-1637</t>
  </si>
  <si>
    <t>Japan  --  Foreign relations  --  1600-1868</t>
  </si>
  <si>
    <t>Corée  --  Relations  --  Japon</t>
  </si>
  <si>
    <t>Corée  --  Relations extérieures  --  1392-1637</t>
  </si>
  <si>
    <t>Japon  --  Relations extérieures  --  1600-1868</t>
  </si>
  <si>
    <t>Comfort women  --  East Asia  --  History  --  Sources</t>
  </si>
  <si>
    <t>Comfort women  --  Korea  --  History  --  Sources</t>
  </si>
  <si>
    <t>World War, 1939-1945  --  Women  --  East Asia  --  Sources</t>
  </si>
  <si>
    <t>World War, 1939-1945  --  Atrocities  --  Japan  --  Sources</t>
  </si>
  <si>
    <t>Femmes de réconfort  --  Corée  --  Histoire  --  Sources</t>
  </si>
  <si>
    <t>Guerre mondiale, 1939-1945  --  Atrocités  --  Japon  --  Sources</t>
  </si>
  <si>
    <t>Comfort women -- East Asia -- History -- Sources</t>
  </si>
  <si>
    <t>Comfort women -- Korea -- History -- Sources</t>
  </si>
  <si>
    <t>World War, 1939-1945 -- Women -- East Asia -- Sources</t>
  </si>
  <si>
    <t>World War, 1939-1945 -- Atrocities -- Japan -- Sources</t>
  </si>
  <si>
    <t>Atrocities</t>
  </si>
  <si>
    <t>Comfort women</t>
  </si>
  <si>
    <t>East Asia</t>
  </si>
  <si>
    <t>Handicraft  --  Korea  --  Catalogs</t>
  </si>
  <si>
    <t>Ceramics  --  Korea  --  Catalogs</t>
  </si>
  <si>
    <t>Painting  --  Korea  --  Catalogs</t>
  </si>
  <si>
    <t>Art objects, Korean  --  Japan  --  Catalogs</t>
  </si>
  <si>
    <t>Artisanat  --  Catalogues  --  Corée</t>
  </si>
  <si>
    <t>Objets d'art coréens  --  Catalogues  --  Japon</t>
  </si>
  <si>
    <t>Nihon Mingeikan  --  Catalogs</t>
  </si>
  <si>
    <t>Han Dynasty (China)</t>
  </si>
  <si>
    <t>Qin Dynasty (China)</t>
  </si>
  <si>
    <t>China -- Relations -- Korea -- History</t>
  </si>
  <si>
    <t>Korea -- Relations -- China -- History</t>
  </si>
  <si>
    <t>China -- History -- Qin dynasty, 221-207 BC</t>
  </si>
  <si>
    <t>China -- History -- Han dynasty, 202 BC-220 AD</t>
  </si>
  <si>
    <t>외교 관계外交關係</t>
  </si>
  <si>
    <t>중국(국명)中國; 일본(국명)日本; 한국(국명)韓國</t>
  </si>
  <si>
    <t>China -- Foreign relations -- Korea -- Sources</t>
  </si>
  <si>
    <t>Korea -- Foreign relations -- China -- Sources</t>
  </si>
  <si>
    <t>China -- Foreign relations -- Japan -- Sources</t>
  </si>
  <si>
    <t>Japan -- Foreign relations -- China -- Sources</t>
  </si>
  <si>
    <t>Territory, National -- Korea (South)</t>
  </si>
  <si>
    <t>Territory, National -- Japan</t>
  </si>
  <si>
    <t>Tok Island (Korea) -- History</t>
  </si>
  <si>
    <t>Tok Island (Korea) -- Territories and possessions</t>
  </si>
  <si>
    <t>Liancourt, Rochers de -- Territoires et possessions</t>
  </si>
  <si>
    <t>Koreans -- China -- Politics and government</t>
  </si>
  <si>
    <t>Korea -- History -- Independence movement, 1919</t>
  </si>
  <si>
    <t>Korea -- Politics and government -- 1910-1945</t>
  </si>
  <si>
    <t>Korea (South) -- Relations -- Japan</t>
  </si>
  <si>
    <t>Japan -- Relations -- Korea (South)</t>
  </si>
  <si>
    <t>Kojosŏn (Kingdom) -- Study and teaching</t>
  </si>
  <si>
    <t>Kojosŏn (Kingdom) -- Historiography</t>
  </si>
  <si>
    <t>Comfort women -- Korea</t>
  </si>
  <si>
    <t>World War, 1939-1945 -- Personal narratives, Korean</t>
  </si>
  <si>
    <t>World War, 1939-1945 -- Women -- Korea</t>
  </si>
  <si>
    <t>World War, 1939-1945 -- Atrocities -- Japan</t>
  </si>
  <si>
    <t>Personal Narrative</t>
  </si>
  <si>
    <t>Personal narratives -- Korean</t>
  </si>
  <si>
    <t>Personal narratives</t>
  </si>
  <si>
    <t>Récits personnels</t>
  </si>
  <si>
    <t>Koreans -- Politics and government</t>
  </si>
  <si>
    <t>1905-1945</t>
  </si>
  <si>
    <t>Korea -- History -- To 935 -- Historiography -- Sources</t>
  </si>
  <si>
    <t>Qing Dynasty (China)</t>
  </si>
  <si>
    <t>Study skills</t>
  </si>
  <si>
    <t>1644-1912</t>
  </si>
  <si>
    <t>중국(국명)[中國]; 한국(국명)[韓國]</t>
  </si>
  <si>
    <t>China -- History -- Qing dynasty, 1644-1912 -- Study and teaching</t>
  </si>
  <si>
    <t>China -- Relations -- Korea</t>
  </si>
  <si>
    <t>Korea -- Relations -- China</t>
  </si>
  <si>
    <t>宋 周相, 1695-1752 Travel</t>
  </si>
  <si>
    <t>Song, Chu-sang, 1695-1752 -- Travel</t>
  </si>
  <si>
    <t>Diamond Mountains (Korea) -- Description and travel</t>
  </si>
  <si>
    <t>Korea (North) -- Diamond Mountains</t>
  </si>
  <si>
    <t>Diaries</t>
  </si>
  <si>
    <t>Korea -- Officials and employees -- Diaries</t>
  </si>
  <si>
    <t>Korea -- History -- 1392-1637 -- Sources</t>
  </si>
  <si>
    <t>Early works</t>
  </si>
  <si>
    <t>1637-1864</t>
  </si>
  <si>
    <t>Korea -- Description and travel -- Early works to 1800</t>
  </si>
  <si>
    <t>Korea -- History -- 1637-1864</t>
  </si>
  <si>
    <t>Ombudspersons -- Korea -- Diaries</t>
  </si>
  <si>
    <t>Ombudspersons</t>
  </si>
  <si>
    <t>Korea -- History -- 1637-1864 -- Sources</t>
  </si>
  <si>
    <t>Local history</t>
  </si>
  <si>
    <t>경상도 (Korea); History, Local; Early works to 1800</t>
  </si>
  <si>
    <t>Kyŏngsang-do (Korea) -- History, Local -- Early works to 1800</t>
  </si>
  <si>
    <t>Korea (South) -- Kyŏngsang-do</t>
  </si>
  <si>
    <t>Documentary films -- Korea (South)</t>
  </si>
  <si>
    <t>Documentary films</t>
  </si>
  <si>
    <t>Social conditions</t>
  </si>
  <si>
    <t>Independent films</t>
  </si>
  <si>
    <t>Nonfiction films</t>
  </si>
  <si>
    <t>Feature films</t>
  </si>
  <si>
    <t>Documentaires</t>
  </si>
  <si>
    <t>Films autres que de fiction</t>
  </si>
  <si>
    <t>Korea (South) -- Social conditions -- 20th century</t>
  </si>
  <si>
    <t>Korea (South) -- Social life and customs -- 20th century</t>
  </si>
  <si>
    <t>Korea (South) -- Civilization -- 20th century</t>
  </si>
  <si>
    <t>Korean War, 1950-1953 -- Drama</t>
  </si>
  <si>
    <t>Korean War, 1950-1953 -- Motion pictures and the war</t>
  </si>
  <si>
    <t>Motion pictures -- Social aspects -- Korea (South)</t>
  </si>
  <si>
    <t>Motion pictures -- Korea (South) -- History -- 20th century</t>
  </si>
  <si>
    <t>War films -- Korea (South) -- History and criticism</t>
  </si>
  <si>
    <t>Films étrangers</t>
  </si>
  <si>
    <t>Motion pictures -- Social aspects</t>
  </si>
  <si>
    <t>War and motion pictures</t>
  </si>
  <si>
    <t>War films</t>
  </si>
  <si>
    <t>Foreign language films -- Korean</t>
  </si>
  <si>
    <t>Fiction films</t>
  </si>
  <si>
    <t>Diplomats -- Russia -- 19th century -- Biography</t>
  </si>
  <si>
    <t>Diplomates -- Russie -- 19e siècle -- Biographies</t>
  </si>
  <si>
    <t>Diplomats</t>
  </si>
  <si>
    <t>Waeber, C</t>
  </si>
  <si>
    <t>1800-1917</t>
  </si>
  <si>
    <t>Russia -- Foreign relations -- Korea</t>
  </si>
  <si>
    <t>Korea -- Foreign relations -- Russia</t>
  </si>
  <si>
    <t>Russia -- Foreign relations -- 1801-1917</t>
  </si>
  <si>
    <t>Russie -- Relations extérieures -- 1801-1917</t>
  </si>
  <si>
    <t>Russia</t>
  </si>
  <si>
    <t>Comfort women -- China -- Shanghai</t>
  </si>
  <si>
    <t>Sino-Japanese War, 1937-1945 -- Women</t>
  </si>
  <si>
    <t>1937-1945</t>
  </si>
  <si>
    <t>China -- Shanghai</t>
  </si>
  <si>
    <t>Treaties</t>
  </si>
  <si>
    <t>Korea (South) -- Foreign relations -- Japan -- Treaties</t>
  </si>
  <si>
    <t>World War, 1939-1945 -- Atrocities -- Asia</t>
  </si>
  <si>
    <t>Service, Compulsory non-military -- Japan</t>
  </si>
  <si>
    <t>War crimes -- Japan -- History -- 20th century</t>
  </si>
  <si>
    <t>Guerre mondiale, 1939-1945 -- Atrocités -- Asie</t>
  </si>
  <si>
    <t>Service, Compulsory non-military</t>
  </si>
  <si>
    <t>War crimes</t>
  </si>
  <si>
    <t>Korean language -- To 935</t>
  </si>
  <si>
    <t>Language and languages</t>
  </si>
  <si>
    <t>Korean language</t>
  </si>
  <si>
    <t>揚雄, 53 BC-18 AD 方言</t>
  </si>
  <si>
    <t>Yang, Xiong, 53 BC-18 AD Fang yan</t>
  </si>
  <si>
    <t>고조선 (Kingdom); Languages</t>
  </si>
  <si>
    <t>Kojosŏn (Kingdom) -- Languages</t>
  </si>
  <si>
    <t>Fang yan (Yang, Xiong)</t>
  </si>
  <si>
    <t>Evenki (Asian people) -- China -- Social life and customs</t>
  </si>
  <si>
    <t>Evenki (Asian people) -- Social life and customs</t>
  </si>
  <si>
    <t>Telecommunication -- East Asia -- History -- 19th century</t>
  </si>
  <si>
    <t>Telecommunication</t>
  </si>
  <si>
    <t>East Asia -- Foreign relations</t>
  </si>
  <si>
    <t>Names, Geographical -- Japan, Sea of</t>
  </si>
  <si>
    <t>Names</t>
  </si>
  <si>
    <t>Names, Geographical</t>
  </si>
  <si>
    <t>Japan, Sea of -- Name</t>
  </si>
  <si>
    <t>Japan, Sea of -- History</t>
  </si>
  <si>
    <t>Pacific Ocean -- Sea of Japan</t>
  </si>
  <si>
    <t>백제 (Kingdom); History</t>
  </si>
  <si>
    <t>Paekche (Kingdom) -- History</t>
  </si>
  <si>
    <t>Asia -- Paekche (Kingdom)</t>
  </si>
  <si>
    <t>National characteristics, Japanese</t>
  </si>
  <si>
    <t>Nationalism -- Japan</t>
  </si>
  <si>
    <t>Nationalism</t>
  </si>
  <si>
    <t>Japan -- Foreign relations -- East Asia</t>
  </si>
  <si>
    <t>East Asia -- Foreign relations -- Japan</t>
  </si>
  <si>
    <t>Tungusic peoples -- Social life and customs</t>
  </si>
  <si>
    <t>Tungus-Manchu languages</t>
  </si>
  <si>
    <t>Korean language -- To 935 -- Phonology</t>
  </si>
  <si>
    <t>Shamanism -- China -- Manchuria</t>
  </si>
  <si>
    <t>Shamanism -- Korea</t>
  </si>
  <si>
    <t>Langues toungouses</t>
  </si>
  <si>
    <t>Korean language -- Phonology</t>
  </si>
  <si>
    <t>Shamanism</t>
  </si>
  <si>
    <t>고구려 (Kingdom); Civilization</t>
  </si>
  <si>
    <t>Korea -- Social life and customs</t>
  </si>
  <si>
    <t>Koguryŏ (Kingdom) -- Civilization</t>
  </si>
  <si>
    <t>Asia -- Koguryŏ (Kingdom)</t>
  </si>
  <si>
    <t>China -- Manchuria</t>
  </si>
  <si>
    <t>Territory, National -- Korea</t>
  </si>
  <si>
    <t>안 용복, active 1693-1696</t>
  </si>
  <si>
    <t>An, Yong-bok, active 1693-1696</t>
  </si>
  <si>
    <t>Ullŭng Island (Korea) -- History</t>
  </si>
  <si>
    <t>Korea (South) -- Ullŭng Island</t>
  </si>
  <si>
    <t>Territory, National -- Korea (South) -- Sources</t>
  </si>
  <si>
    <t>Territory, National -- Japan -- Sources</t>
  </si>
  <si>
    <t>Japan. 囯会</t>
  </si>
  <si>
    <t>Japan. Kokkai</t>
  </si>
  <si>
    <t>Tok Island (Korea) -- History -- Sources</t>
  </si>
  <si>
    <t>Tok Island (Korea) -- International status -- History</t>
  </si>
  <si>
    <t>Middle class -- Korea -- History</t>
  </si>
  <si>
    <t>Middle class -- Korea -- Genealogy</t>
  </si>
  <si>
    <t>Middle class</t>
  </si>
  <si>
    <t>1392-1910</t>
  </si>
  <si>
    <t>Korea -- Social conditions -- 1392-1910</t>
  </si>
  <si>
    <t>Clans -- Korea -- History</t>
  </si>
  <si>
    <t>Clans</t>
  </si>
  <si>
    <t>Song family</t>
  </si>
  <si>
    <t>Genealogy</t>
  </si>
  <si>
    <t>Family histories</t>
  </si>
  <si>
    <t>Korea -- Genealogy</t>
  </si>
  <si>
    <t xml:space="preserve">Princes </t>
  </si>
  <si>
    <t xml:space="preserve"> Korea </t>
  </si>
  <si>
    <t xml:space="preserve"> Biography</t>
  </si>
  <si>
    <t xml:space="preserve">Koreans </t>
  </si>
  <si>
    <t xml:space="preserve"> China </t>
  </si>
  <si>
    <t xml:space="preserve"> Politics and government</t>
  </si>
  <si>
    <t xml:space="preserve">Archival materials </t>
  </si>
  <si>
    <t xml:space="preserve"> Conservation and restoration </t>
  </si>
  <si>
    <t xml:space="preserve"> Korea (South)</t>
  </si>
  <si>
    <t xml:space="preserve">Library materials </t>
  </si>
  <si>
    <t xml:space="preserve">Excavations (Archaeology) </t>
  </si>
  <si>
    <t xml:space="preserve"> China</t>
  </si>
  <si>
    <t xml:space="preserve">Pottery </t>
  </si>
  <si>
    <t xml:space="preserve"> Kaya (Confederation) </t>
  </si>
  <si>
    <t xml:space="preserve"> Catalogs</t>
  </si>
  <si>
    <t xml:space="preserve">Nationalism </t>
  </si>
  <si>
    <t xml:space="preserve"> Japan </t>
  </si>
  <si>
    <t xml:space="preserve"> History</t>
  </si>
  <si>
    <t xml:space="preserve">Korean fiction </t>
  </si>
  <si>
    <t xml:space="preserve"> 20th century</t>
  </si>
  <si>
    <t xml:space="preserve">Popular music </t>
  </si>
  <si>
    <t xml:space="preserve"> Korea (South) </t>
  </si>
  <si>
    <t xml:space="preserve"> History and criticism</t>
  </si>
  <si>
    <t xml:space="preserve">Amnesia </t>
  </si>
  <si>
    <t xml:space="preserve"> Fiction</t>
  </si>
  <si>
    <t xml:space="preserve">Territory, National </t>
  </si>
  <si>
    <t xml:space="preserve">Diplomatic and consular service, Korean </t>
  </si>
  <si>
    <t xml:space="preserve">Nature conservation </t>
  </si>
  <si>
    <t xml:space="preserve"> Korea (North) </t>
  </si>
  <si>
    <t xml:space="preserve"> Paektu Mountain</t>
  </si>
  <si>
    <t xml:space="preserve"> Yanbian Chaoxianzu Zizhizhou</t>
  </si>
  <si>
    <t xml:space="preserve">Shinto shrines </t>
  </si>
  <si>
    <t xml:space="preserve"> Tokyo</t>
  </si>
  <si>
    <t xml:space="preserve">Reconciliation </t>
  </si>
  <si>
    <t xml:space="preserve"> Political aspects</t>
  </si>
  <si>
    <t xml:space="preserve">Sepulchral monuments </t>
  </si>
  <si>
    <t xml:space="preserve"> Pusan </t>
  </si>
  <si>
    <t xml:space="preserve"> History </t>
  </si>
  <si>
    <t xml:space="preserve"> Juvenile fiction</t>
  </si>
  <si>
    <t xml:space="preserve">Right-wing extremists </t>
  </si>
  <si>
    <t xml:space="preserve"> Japan</t>
  </si>
  <si>
    <t xml:space="preserve"> Korea</t>
  </si>
  <si>
    <t xml:space="preserve">Private schools </t>
  </si>
  <si>
    <t xml:space="preserve"> Andong-gun</t>
  </si>
  <si>
    <t xml:space="preserve">Korean poetry </t>
  </si>
  <si>
    <t xml:space="preserve"> Translations into English </t>
  </si>
  <si>
    <t xml:space="preserve">Stone carving </t>
  </si>
  <si>
    <t xml:space="preserve"> East Asia </t>
  </si>
  <si>
    <t xml:space="preserve">Foreign workers, Korean </t>
  </si>
  <si>
    <t xml:space="preserve"> Monuments </t>
  </si>
  <si>
    <t xml:space="preserve"> Russia (Federation) </t>
  </si>
  <si>
    <t xml:space="preserve"> Primorskiĭ kraĭ</t>
  </si>
  <si>
    <t xml:space="preserve"> Law and legislation </t>
  </si>
  <si>
    <t>Law and legislation</t>
  </si>
  <si>
    <t xml:space="preserve">Modernism (Art) </t>
  </si>
  <si>
    <t xml:space="preserve"> Exhibitions</t>
  </si>
  <si>
    <t xml:space="preserve">Painting, Abstract </t>
  </si>
  <si>
    <t xml:space="preserve">Korean reunification question (1945- ) </t>
  </si>
  <si>
    <t xml:space="preserve"> Philosophy</t>
  </si>
  <si>
    <t xml:space="preserve">Painters </t>
  </si>
  <si>
    <t xml:space="preserve">Department stores </t>
  </si>
  <si>
    <t xml:space="preserve">Dreams </t>
  </si>
  <si>
    <t xml:space="preserve">Historic sites </t>
  </si>
  <si>
    <t xml:space="preserve"> Seoul</t>
  </si>
  <si>
    <t xml:space="preserve">World War, 1939-1945 </t>
  </si>
  <si>
    <t xml:space="preserve"> Conscript labor </t>
  </si>
  <si>
    <t xml:space="preserve">Parks </t>
  </si>
  <si>
    <t xml:space="preserve">Korean language </t>
  </si>
  <si>
    <t xml:space="preserve"> Textbooks for foreign speakers</t>
  </si>
  <si>
    <t xml:space="preserve">Names, Geographical </t>
  </si>
  <si>
    <t xml:space="preserve"> Kangwŏn-do </t>
  </si>
  <si>
    <t xml:space="preserve"> Pukch'ŏng-gun</t>
  </si>
  <si>
    <t xml:space="preserve">Tombs </t>
  </si>
  <si>
    <t xml:space="preserve"> Pongsan-gun </t>
  </si>
  <si>
    <t xml:space="preserve"> Pictorial works</t>
  </si>
  <si>
    <t xml:space="preserve">Painting, Korean </t>
  </si>
  <si>
    <t xml:space="preserve"> Korea (North)</t>
  </si>
  <si>
    <t xml:space="preserve">Comfort women </t>
  </si>
  <si>
    <t xml:space="preserve"> Sources</t>
  </si>
  <si>
    <t xml:space="preserve">Handicraft </t>
  </si>
  <si>
    <t>Koreans</t>
  </si>
  <si>
    <t>Korean War, 1950-1953</t>
  </si>
  <si>
    <t>19th century</t>
  </si>
  <si>
    <t>Shanghai</t>
  </si>
  <si>
    <t>Evenki (Asian people)</t>
  </si>
  <si>
    <t>Japan, Sea of</t>
  </si>
  <si>
    <t>Tungusic peoples</t>
  </si>
  <si>
    <t xml:space="preserve"> Corée </t>
  </si>
  <si>
    <t xml:space="preserve"> Biographies</t>
  </si>
  <si>
    <t xml:space="preserve">Manuscripts </t>
  </si>
  <si>
    <t xml:space="preserve">Documents de bibliothèque </t>
  </si>
  <si>
    <t xml:space="preserve"> Conservation et restauration </t>
  </si>
  <si>
    <t xml:space="preserve"> Corée du Sud</t>
  </si>
  <si>
    <t xml:space="preserve">Metal-work </t>
  </si>
  <si>
    <t xml:space="preserve">Nationalisme </t>
  </si>
  <si>
    <t xml:space="preserve"> Japon </t>
  </si>
  <si>
    <t xml:space="preserve"> Histoire</t>
  </si>
  <si>
    <t xml:space="preserve">Rap (Music) </t>
  </si>
  <si>
    <t xml:space="preserve">Traffic accidents </t>
  </si>
  <si>
    <t xml:space="preserve">Service diplomatique et consulaire coréen </t>
  </si>
  <si>
    <t xml:space="preserve"> Chine </t>
  </si>
  <si>
    <t xml:space="preserve">Mountain ecology </t>
  </si>
  <si>
    <t xml:space="preserve">Shinto and politics </t>
  </si>
  <si>
    <t xml:space="preserve">Cemeteries </t>
  </si>
  <si>
    <t xml:space="preserve">Territoire national </t>
  </si>
  <si>
    <t xml:space="preserve"> Corée</t>
  </si>
  <si>
    <t xml:space="preserve">Korean literature </t>
  </si>
  <si>
    <t xml:space="preserve"> 1392-1894 </t>
  </si>
  <si>
    <t xml:space="preserve">Confucian shrines </t>
  </si>
  <si>
    <t xml:space="preserve"> To 1900 </t>
  </si>
  <si>
    <t xml:space="preserve">Korea </t>
  </si>
  <si>
    <t xml:space="preserve"> Foreign relations </t>
  </si>
  <si>
    <t>Foreign relations</t>
  </si>
  <si>
    <t xml:space="preserve">Art, Korean </t>
  </si>
  <si>
    <t xml:space="preserve"> 20th century </t>
  </si>
  <si>
    <t xml:space="preserve">Church and state </t>
  </si>
  <si>
    <t xml:space="preserve">Literary prizes </t>
  </si>
  <si>
    <t xml:space="preserve">Rêves </t>
  </si>
  <si>
    <t xml:space="preserve"> Romans, nouvelles, etc</t>
  </si>
  <si>
    <t xml:space="preserve"> Seoul </t>
  </si>
  <si>
    <t xml:space="preserve">Forced labor </t>
  </si>
  <si>
    <t xml:space="preserve"> Designs and plans</t>
  </si>
  <si>
    <t xml:space="preserve"> Problems, exercises, etc</t>
  </si>
  <si>
    <t xml:space="preserve">Ink painting, Korean </t>
  </si>
  <si>
    <t xml:space="preserve">Ceramics </t>
  </si>
  <si>
    <t>Personal narratives, Korean</t>
  </si>
  <si>
    <t>Motion pictures and the war</t>
  </si>
  <si>
    <t>Diplomates</t>
  </si>
  <si>
    <t>Russie</t>
  </si>
  <si>
    <t>19e siècle</t>
  </si>
  <si>
    <t xml:space="preserve"> Economic conditions </t>
  </si>
  <si>
    <t xml:space="preserve"> 1910-1945</t>
  </si>
  <si>
    <t xml:space="preserve">Japan </t>
  </si>
  <si>
    <t xml:space="preserve">Goddesses </t>
  </si>
  <si>
    <t xml:space="preserve"> Mythology</t>
  </si>
  <si>
    <t xml:space="preserve">Cultural property </t>
  </si>
  <si>
    <t xml:space="preserve"> Protection </t>
  </si>
  <si>
    <t xml:space="preserve"> Japanese occupation, 1910-1945</t>
  </si>
  <si>
    <t xml:space="preserve">Tok Island (Korea) </t>
  </si>
  <si>
    <t xml:space="preserve">Pottery, Korean </t>
  </si>
  <si>
    <t xml:space="preserve">Roman coréen </t>
  </si>
  <si>
    <t xml:space="preserve"> 20e siècle</t>
  </si>
  <si>
    <t xml:space="preserve">Boy bands </t>
  </si>
  <si>
    <t xml:space="preserve">Amnésie </t>
  </si>
  <si>
    <t>Conscript labor</t>
  </si>
  <si>
    <t xml:space="preserve">Réconciliation </t>
  </si>
  <si>
    <t xml:space="preserve"> Aspect politique</t>
  </si>
  <si>
    <t xml:space="preserve">Korean War, 1950-1953 </t>
  </si>
  <si>
    <t xml:space="preserve">Extrémistes de droite </t>
  </si>
  <si>
    <t xml:space="preserve"> Japon</t>
  </si>
  <si>
    <t xml:space="preserve">Education </t>
  </si>
  <si>
    <t xml:space="preserve"> 1894-1919 </t>
  </si>
  <si>
    <t xml:space="preserve">Sino-Japanese War, 1937-1945 </t>
  </si>
  <si>
    <t xml:space="preserve">Art, Modern </t>
  </si>
  <si>
    <t xml:space="preserve">Peinture abstraite </t>
  </si>
  <si>
    <t xml:space="preserve">Peintres </t>
  </si>
  <si>
    <t xml:space="preserve"> 21st century</t>
  </si>
  <si>
    <t xml:space="preserve">Walking </t>
  </si>
  <si>
    <t xml:space="preserve">War victims </t>
  </si>
  <si>
    <t xml:space="preserve">Recreation areas </t>
  </si>
  <si>
    <t xml:space="preserve">Language arts (Elementary) </t>
  </si>
  <si>
    <t xml:space="preserve">Kangwŏn-do (Korea : South) </t>
  </si>
  <si>
    <t xml:space="preserve"> Historical geography</t>
  </si>
  <si>
    <t xml:space="preserve">Socialist realism in art </t>
  </si>
  <si>
    <t xml:space="preserve"> Women </t>
  </si>
  <si>
    <t xml:space="preserve">Painting </t>
  </si>
  <si>
    <t>Independence movement, 1919</t>
  </si>
  <si>
    <t>Kojosŏn (Kingdom)</t>
  </si>
  <si>
    <t>Song, Chu-sang, 1695-1752</t>
  </si>
  <si>
    <t>Officials and employees</t>
  </si>
  <si>
    <t>Social aspects</t>
  </si>
  <si>
    <t>Phonology</t>
  </si>
  <si>
    <t xml:space="preserve">Corée </t>
  </si>
  <si>
    <t xml:space="preserve"> Relations extérieures</t>
  </si>
  <si>
    <t xml:space="preserve">Historic preservation </t>
  </si>
  <si>
    <t xml:space="preserve"> Histoire </t>
  </si>
  <si>
    <t xml:space="preserve"> 1910-1945 (Occupation japonaise)</t>
  </si>
  <si>
    <t xml:space="preserve"> Relations </t>
  </si>
  <si>
    <t xml:space="preserve">Koguryŏ (Kingdom) </t>
  </si>
  <si>
    <t xml:space="preserve"> Antiquities</t>
  </si>
  <si>
    <t xml:space="preserve">Coréens </t>
  </si>
  <si>
    <t xml:space="preserve"> Legal status, laws, etc. </t>
  </si>
  <si>
    <t>War victims</t>
  </si>
  <si>
    <t>Legal status, laws, etc.</t>
  </si>
  <si>
    <t xml:space="preserve">Cimetières </t>
  </si>
  <si>
    <t xml:space="preserve"> Corée du Sud </t>
  </si>
  <si>
    <t xml:space="preserve"> Romans, nouvelles, etc. pour la jeunesse</t>
  </si>
  <si>
    <t xml:space="preserve">Éducation </t>
  </si>
  <si>
    <t xml:space="preserve">Poésie coréenne </t>
  </si>
  <si>
    <t xml:space="preserve"> Jusqu'à 1900 </t>
  </si>
  <si>
    <t xml:space="preserve"> Histoire et critique</t>
  </si>
  <si>
    <t xml:space="preserve"> To 935 </t>
  </si>
  <si>
    <t xml:space="preserve"> Historiography</t>
  </si>
  <si>
    <t xml:space="preserve">East Asia </t>
  </si>
  <si>
    <t xml:space="preserve"> Relations extérieures </t>
  </si>
  <si>
    <t xml:space="preserve">Fortification </t>
  </si>
  <si>
    <t xml:space="preserve"> International status</t>
  </si>
  <si>
    <t>International status</t>
  </si>
  <si>
    <t xml:space="preserve">Art </t>
  </si>
  <si>
    <t xml:space="preserve"> Political aspects </t>
  </si>
  <si>
    <t xml:space="preserve">Self-reliance </t>
  </si>
  <si>
    <t xml:space="preserve">Peinture coréenne </t>
  </si>
  <si>
    <t xml:space="preserve">Young women </t>
  </si>
  <si>
    <t xml:space="preserve">Lieux historiques </t>
  </si>
  <si>
    <t xml:space="preserve"> Séoul</t>
  </si>
  <si>
    <t xml:space="preserve"> Japanese Invasions, 1592-1598</t>
  </si>
  <si>
    <t xml:space="preserve">Guerre mondiale, 1939-1945 </t>
  </si>
  <si>
    <t xml:space="preserve"> Travail obligatoire </t>
  </si>
  <si>
    <t xml:space="preserve">Landscape architecture </t>
  </si>
  <si>
    <t xml:space="preserve">Coréen (Langue) </t>
  </si>
  <si>
    <t xml:space="preserve"> Manuels pour allophones</t>
  </si>
  <si>
    <t xml:space="preserve">Pukch'ŏng-gun (Korea) </t>
  </si>
  <si>
    <t xml:space="preserve"> Civilization </t>
  </si>
  <si>
    <t xml:space="preserve"> To 935</t>
  </si>
  <si>
    <t xml:space="preserve"> Atrocities </t>
  </si>
  <si>
    <t xml:space="preserve">Art objects, Korean </t>
  </si>
  <si>
    <t>Relations</t>
  </si>
  <si>
    <t>Diamond Mountains (Korea)</t>
  </si>
  <si>
    <t>Description and travel</t>
  </si>
  <si>
    <t>Manchuria</t>
  </si>
  <si>
    <t xml:space="preserve"> Kings and rulers </t>
  </si>
  <si>
    <t xml:space="preserve"> To 794</t>
  </si>
  <si>
    <t xml:space="preserve">Documents d'archives </t>
  </si>
  <si>
    <t xml:space="preserve"> Civilization</t>
  </si>
  <si>
    <t xml:space="preserve">Corée du Sud </t>
  </si>
  <si>
    <t xml:space="preserve"> Antiquités </t>
  </si>
  <si>
    <t xml:space="preserve"> Ouvrages illustrés</t>
  </si>
  <si>
    <t xml:space="preserve">Music videos </t>
  </si>
  <si>
    <t xml:space="preserve"> Historiography </t>
  </si>
  <si>
    <t xml:space="preserve">China </t>
  </si>
  <si>
    <t xml:space="preserve">Rock musicians </t>
  </si>
  <si>
    <t xml:space="preserve"> Politics and government </t>
  </si>
  <si>
    <t xml:space="preserve"> 1392-1637</t>
  </si>
  <si>
    <t xml:space="preserve">Guerre de Corée, 1950-1953 </t>
  </si>
  <si>
    <t xml:space="preserve">Littérature coréenne </t>
  </si>
  <si>
    <t xml:space="preserve">Extrême-Orient </t>
  </si>
  <si>
    <t xml:space="preserve">Japon </t>
  </si>
  <si>
    <t xml:space="preserve">Fouilles (Archéologie) </t>
  </si>
  <si>
    <t xml:space="preserve"> Russie </t>
  </si>
  <si>
    <t xml:space="preserve"> Primorski Kraj</t>
  </si>
  <si>
    <t xml:space="preserve">Korea (South) </t>
  </si>
  <si>
    <t xml:space="preserve">Modernisme (Art) </t>
  </si>
  <si>
    <t xml:space="preserve"> Expositions</t>
  </si>
  <si>
    <t xml:space="preserve">Socialism </t>
  </si>
  <si>
    <t xml:space="preserve">Grands magasins </t>
  </si>
  <si>
    <t xml:space="preserve"> Séoul </t>
  </si>
  <si>
    <t xml:space="preserve">Travail forcé </t>
  </si>
  <si>
    <t xml:space="preserve">Zones de loisirs </t>
  </si>
  <si>
    <t xml:space="preserve"> Problèmes et exercices</t>
  </si>
  <si>
    <t xml:space="preserve">Bohai (Kingdom) </t>
  </si>
  <si>
    <t xml:space="preserve">Pongsan-gun (Korea) </t>
  </si>
  <si>
    <t xml:space="preserve"> Antiquities </t>
  </si>
  <si>
    <t xml:space="preserve"> Corée du Nord</t>
  </si>
  <si>
    <t xml:space="preserve"> To 221 B.C</t>
  </si>
  <si>
    <t>To 221 BC</t>
  </si>
  <si>
    <t xml:space="preserve">Femmes de réconfort </t>
  </si>
  <si>
    <t xml:space="preserve">Artisanat </t>
  </si>
  <si>
    <t xml:space="preserve"> Catalogues </t>
  </si>
  <si>
    <t>Korea (North)</t>
  </si>
  <si>
    <t>Diamond Mountains</t>
  </si>
  <si>
    <t>Atrocités</t>
  </si>
  <si>
    <t>Asie</t>
  </si>
  <si>
    <t>Name</t>
  </si>
  <si>
    <t xml:space="preserve"> Conditions économiques </t>
  </si>
  <si>
    <t xml:space="preserve">Déesses </t>
  </si>
  <si>
    <t xml:space="preserve"> Mythologie</t>
  </si>
  <si>
    <t xml:space="preserve">Manuscrits </t>
  </si>
  <si>
    <t xml:space="preserve">Liancourt, Rochers de </t>
  </si>
  <si>
    <t xml:space="preserve">Céramique coréenne </t>
  </si>
  <si>
    <t xml:space="preserve">K-pop </t>
  </si>
  <si>
    <t xml:space="preserve"> Jusqu'à 935 </t>
  </si>
  <si>
    <t xml:space="preserve"> Historiographie </t>
  </si>
  <si>
    <t xml:space="preserve">Ullŭng Island (Korea) </t>
  </si>
  <si>
    <t xml:space="preserve"> Chine</t>
  </si>
  <si>
    <t xml:space="preserve">Musique populaire </t>
  </si>
  <si>
    <t xml:space="preserve"> Fans</t>
  </si>
  <si>
    <t xml:space="preserve">Paektu Mountain (Korea) </t>
  </si>
  <si>
    <t xml:space="preserve">Kojosŏn (Kingdom) </t>
  </si>
  <si>
    <t xml:space="preserve">Art coréen </t>
  </si>
  <si>
    <t xml:space="preserve"> 20e siècle </t>
  </si>
  <si>
    <t xml:space="preserve">Victimes de guerre </t>
  </si>
  <si>
    <t xml:space="preserve">Architecture du paysage </t>
  </si>
  <si>
    <t xml:space="preserve"> Dessins et plans</t>
  </si>
  <si>
    <t xml:space="preserve">Arts du langage (Primaire) </t>
  </si>
  <si>
    <t xml:space="preserve">Asia </t>
  </si>
  <si>
    <t xml:space="preserve"> Bohai (Kingdom)</t>
  </si>
  <si>
    <t xml:space="preserve"> Koguryŏ (Kingdom)</t>
  </si>
  <si>
    <t xml:space="preserve">Réalisme socialiste dans l'art </t>
  </si>
  <si>
    <t xml:space="preserve"> 221 B.C.-960 A.D</t>
  </si>
  <si>
    <t>221 BC-960 AD</t>
  </si>
  <si>
    <t xml:space="preserve"> Atrocités </t>
  </si>
  <si>
    <t xml:space="preserve">Objets d'art coréens </t>
  </si>
  <si>
    <t>Japanese occupation, 1910-1945</t>
  </si>
  <si>
    <t xml:space="preserve">Préservation historique </t>
  </si>
  <si>
    <t xml:space="preserve"> Civilisation </t>
  </si>
  <si>
    <t xml:space="preserve"> Jusqu'à 935</t>
  </si>
  <si>
    <t xml:space="preserve">Travail des métaux </t>
  </si>
  <si>
    <t xml:space="preserve">Groupes de garçons (Musique) </t>
  </si>
  <si>
    <t xml:space="preserve"> Errors, inventions, etc</t>
  </si>
  <si>
    <t xml:space="preserve">Chine </t>
  </si>
  <si>
    <t>Legal status, laws, etc</t>
  </si>
  <si>
    <t xml:space="preserve">Puyŏ (Ancient kingdom) </t>
  </si>
  <si>
    <t xml:space="preserve"> 1392-1637 </t>
  </si>
  <si>
    <t xml:space="preserve">Travailleurs étrangers coréens </t>
  </si>
  <si>
    <t xml:space="preserve"> Statut international</t>
  </si>
  <si>
    <t>Statut international</t>
  </si>
  <si>
    <t xml:space="preserve">Question de la réunification de la Corée (1945- ) </t>
  </si>
  <si>
    <t xml:space="preserve"> Philosophie</t>
  </si>
  <si>
    <t xml:space="preserve"> 21e siècle</t>
  </si>
  <si>
    <t xml:space="preserve">Seoul (Korea) </t>
  </si>
  <si>
    <t xml:space="preserve"> Description and travel</t>
  </si>
  <si>
    <t xml:space="preserve"> Study and teaching (Primary)</t>
  </si>
  <si>
    <t xml:space="preserve"> 1600-1868</t>
  </si>
  <si>
    <t xml:space="preserve">Nihon Mingeikan </t>
  </si>
  <si>
    <t>Territories and possessions</t>
  </si>
  <si>
    <t>Qing dynasty, 1644-1912</t>
  </si>
  <si>
    <t>Early works to 1800</t>
  </si>
  <si>
    <t>Kyŏngsang-do (Korea)</t>
  </si>
  <si>
    <t>History, Local</t>
  </si>
  <si>
    <t>Pacific Ocean</t>
  </si>
  <si>
    <t>Sea of Japan</t>
  </si>
  <si>
    <t xml:space="preserve"> Tok Island</t>
  </si>
  <si>
    <t xml:space="preserve"> Ullŭng Island</t>
  </si>
  <si>
    <t xml:space="preserve"> Manchu Invasions, 1627-1637</t>
  </si>
  <si>
    <t xml:space="preserve"> Historiographie</t>
  </si>
  <si>
    <t xml:space="preserve"> Ming dynasty, 1368-1644 </t>
  </si>
  <si>
    <t xml:space="preserve">Guerre sino-japonaise, 1937-1945 </t>
  </si>
  <si>
    <t xml:space="preserve"> Aspect politique </t>
  </si>
  <si>
    <t xml:space="preserve">Église et État </t>
  </si>
  <si>
    <t xml:space="preserve">Jeunes femmes </t>
  </si>
  <si>
    <t xml:space="preserve">Textbooks </t>
  </si>
  <si>
    <t xml:space="preserve"> for foreign speakers</t>
  </si>
  <si>
    <t>Qin dynasty, 221-207 BC</t>
  </si>
  <si>
    <t>Languages</t>
  </si>
  <si>
    <t>Paekche (Kingdom)</t>
  </si>
  <si>
    <t xml:space="preserve"> Jusqu'à 794</t>
  </si>
  <si>
    <t xml:space="preserve">Kungnip Kimhae Pangmulgwan </t>
  </si>
  <si>
    <t xml:space="preserve"> 1945-1989</t>
  </si>
  <si>
    <t xml:space="preserve">Vidéoclips </t>
  </si>
  <si>
    <t xml:space="preserve"> Erreurs, inventions, etc</t>
  </si>
  <si>
    <t xml:space="preserve">Musiciens rock </t>
  </si>
  <si>
    <t xml:space="preserve"> Politique et gouvernement </t>
  </si>
  <si>
    <t xml:space="preserve">Confiance en soi </t>
  </si>
  <si>
    <t xml:space="preserve"> 16th century</t>
  </si>
  <si>
    <t>Han dynasty, 202 BC-220 AD</t>
  </si>
  <si>
    <t>Territoires et possessions</t>
  </si>
  <si>
    <t>Kyŏngsang-do</t>
  </si>
  <si>
    <t xml:space="preserve"> 1945-1989 </t>
  </si>
  <si>
    <t>Tok Island</t>
  </si>
  <si>
    <t xml:space="preserve"> 1592-1598 (Invasions japonaises)</t>
  </si>
  <si>
    <t xml:space="preserve"> Jusqu'à 221 av. J.-C</t>
  </si>
  <si>
    <t xml:space="preserve"> 1627-1637 (Invasions mandchoues)</t>
  </si>
  <si>
    <t xml:space="preserve"> 221 av. J.-C.-960</t>
  </si>
  <si>
    <t>Foreign language films</t>
  </si>
  <si>
    <t>1801-1917</t>
  </si>
  <si>
    <t xml:space="preserve">Kaya (Confederation) </t>
  </si>
  <si>
    <t xml:space="preserve">BTS (Musical group) </t>
  </si>
  <si>
    <t xml:space="preserve"> Influence</t>
  </si>
  <si>
    <t xml:space="preserve"> Russia</t>
  </si>
  <si>
    <t xml:space="preserve"> 1368-1644 (Dynastie des Ming) </t>
  </si>
  <si>
    <t>Relations extérieures</t>
  </si>
  <si>
    <t xml:space="preserve"> Foreign public opinion, Japanese</t>
  </si>
  <si>
    <t xml:space="preserve">Russia </t>
  </si>
  <si>
    <t>Ullŭng Island</t>
  </si>
  <si>
    <t xml:space="preserve"> Kaya (Confederation)</t>
  </si>
  <si>
    <t xml:space="preserve"> Foreign public opinion, Korean</t>
  </si>
  <si>
    <t xml:space="preserve">Primorskiĭ kraĭ (Russia) </t>
  </si>
  <si>
    <t xml:space="preserve"> Social aspects</t>
  </si>
  <si>
    <t xml:space="preserve"> 16e siècle</t>
  </si>
  <si>
    <t>Koguryŏ (Kingdom)</t>
  </si>
  <si>
    <t xml:space="preserve"> Russie</t>
  </si>
  <si>
    <t>Dupe ISBN Check</t>
  </si>
  <si>
    <t>Dupe Check in FS</t>
  </si>
  <si>
    <t>Volume / Issue</t>
  </si>
  <si>
    <t>e</t>
  </si>
  <si>
    <t>박 한남 ^ 박 찬승 ^ Korea (South). 국사 편찬 위원회, issuing body</t>
  </si>
  <si>
    <t>Haksul hoeŭi ch'ongsŏ (Korea (South)</t>
  </si>
  <si>
    <t>學術 會議 叢書 (Korea (South). 국사 편찬 위원회) ; 2</t>
  </si>
  <si>
    <t>P'urŭn Yŏksa</t>
  </si>
  <si>
    <t>Ch'aek Kwa Namu</t>
  </si>
  <si>
    <t>Nationalism -- East Asia -- 21st century</t>
  </si>
  <si>
    <t>East Asia -- Foreign relations -- 21st century</t>
  </si>
  <si>
    <t>Navies -- History -- 19th century</t>
  </si>
  <si>
    <t>Navies -- History -- 20th century</t>
  </si>
  <si>
    <t>Sea-power -- History -- 19th century</t>
  </si>
  <si>
    <t>Sea-power -- History -- 20th century</t>
  </si>
  <si>
    <t>Imperialism</t>
  </si>
  <si>
    <t>Impérialisme</t>
  </si>
  <si>
    <t>Military relations</t>
  </si>
  <si>
    <t>Navies</t>
  </si>
  <si>
    <t>Sea-power</t>
  </si>
  <si>
    <t>1800-1999</t>
  </si>
  <si>
    <t>East Asia -- Military relations</t>
  </si>
  <si>
    <t>Pacific Area</t>
  </si>
  <si>
    <t>Nationalists -- Korea -- 20th century</t>
  </si>
  <si>
    <t>Nationalism -- Korea -- History -- 20th century</t>
  </si>
  <si>
    <t>Republicanism -- Korea -- History -- 20th century</t>
  </si>
  <si>
    <t>Social evolution</t>
  </si>
  <si>
    <t>Social change -- Korea -- 20th century</t>
  </si>
  <si>
    <t>Cultural Evolution</t>
  </si>
  <si>
    <t>Évolution sociale</t>
  </si>
  <si>
    <t>Nationalists</t>
  </si>
  <si>
    <t>Republicanism</t>
  </si>
  <si>
    <t>Social change</t>
  </si>
  <si>
    <t>Korea -- Politics and government -- 1910-1945 -- Philosophy</t>
  </si>
  <si>
    <t>Korea -- Civilization -- 20th century</t>
  </si>
  <si>
    <t>Borderlands -- China</t>
  </si>
  <si>
    <t>Geography -- Political aspects -- China</t>
  </si>
  <si>
    <t>Régions frontalières -- Chine</t>
  </si>
  <si>
    <t>Géographie -- Aspect politique -- Chine</t>
  </si>
  <si>
    <t>Borderlands</t>
  </si>
  <si>
    <t>China -- Boundaries -- History -- 20th century</t>
  </si>
  <si>
    <t>Diplomats -- Korea -- History</t>
  </si>
  <si>
    <t>Translators -- Korea -- History</t>
  </si>
  <si>
    <t>Diplomatic and consular service -- Korea -- History</t>
  </si>
  <si>
    <t>Diplomatic and consular service</t>
  </si>
  <si>
    <t>International economic relations</t>
  </si>
  <si>
    <t>Translators</t>
  </si>
  <si>
    <t>1637-1910</t>
  </si>
  <si>
    <t>Korea -- Foreign economic relations -- Japan</t>
  </si>
  <si>
    <t>Japan -- Foreign economic relations -- Korea</t>
  </si>
  <si>
    <t>Korea -- Foreign relations -- 1637-1864</t>
  </si>
  <si>
    <t>Korea -- Foreign relations -- 1864-1910</t>
  </si>
  <si>
    <t>To 1392</t>
  </si>
  <si>
    <t>渤海 (Kingdom)</t>
  </si>
  <si>
    <t>Bohai (Kingdom)</t>
  </si>
  <si>
    <t>Korea -- History -- Koryŏ period, 935-1392</t>
  </si>
  <si>
    <t>Asia -- Bohai (Kingdom)</t>
  </si>
  <si>
    <t>Koreans -- Japan -- History</t>
  </si>
  <si>
    <t>Koreans -- Japan -- Social conditions</t>
  </si>
  <si>
    <t>Koreans -- Social conditions</t>
  </si>
  <si>
    <t>Consumer behavior -- Korea (North)</t>
  </si>
  <si>
    <t>Consumer behavior</t>
  </si>
  <si>
    <t>Korea (North) -- Social conditions -- 21st century</t>
  </si>
  <si>
    <t>Korea (North) -- Social life and customs -- 21st century</t>
  </si>
  <si>
    <t>Geography</t>
  </si>
  <si>
    <t>Political aspects</t>
  </si>
  <si>
    <t>Régions frontalières</t>
  </si>
  <si>
    <t>Chine</t>
  </si>
  <si>
    <t>Géographie</t>
  </si>
  <si>
    <t>Aspect politique</t>
  </si>
  <si>
    <t>Koryŏ period, 935-1392</t>
  </si>
  <si>
    <t>Foreign economic relations</t>
  </si>
  <si>
    <t>1864-1910</t>
  </si>
  <si>
    <t>Row Labels</t>
  </si>
  <si>
    <t>소련(국명)[蘇聯]; 북한(국명)北韓; 조선(국명)[朝鮮]</t>
  </si>
  <si>
    <t>Korea (North) -- History -- Sources</t>
  </si>
  <si>
    <t>Korea (North) -- Foreign relations -- Sources</t>
  </si>
  <si>
    <t>Korea (North) -- Politics and government -- Sources</t>
  </si>
  <si>
    <t>Kkum kkunŭn kŭrimch'aek</t>
  </si>
  <si>
    <t>Kukhak charyo simch'ŭng yŏn'gu ch'ongsŏ</t>
  </si>
  <si>
    <t>Kim Yu-jŏng munhaksang susang chakp'umjip</t>
  </si>
  <si>
    <t>Kungnip Chungang Tosogwŏn komunhŏn yŏn'gu ch'ongsŏ</t>
  </si>
  <si>
    <t>Kugoe Han'guk munhwajae</t>
  </si>
  <si>
    <t>History of the Provisional Governmnt of the ROK, Research Series</t>
  </si>
  <si>
    <t>Chŏpkyŏng inmunhak pŏnyŏk ch'ongsŏ</t>
  </si>
  <si>
    <t>Taehan Min'guk Imsi Chŏngbusa yŏn'gu ch'ongsŏ</t>
  </si>
  <si>
    <t>Tongbuga Yŏksa Chaedan kihoek yŏn'gu</t>
  </si>
  <si>
    <t>Ilche ch'imt'alsa paro algi</t>
  </si>
  <si>
    <t>Tongbuga Yŏksa Chaedan pŏnyŏk ch'ongsŏ</t>
  </si>
  <si>
    <t>Ilche ch'imt'alsa charyo ch'ongsŏ</t>
  </si>
  <si>
    <t>Tongbuga yŏksa charyo ch'ongsŏ</t>
  </si>
  <si>
    <t>Tongbuga Yŏksa Chaedan yŏn'gu ch'ongsŏ</t>
  </si>
  <si>
    <t>Tongbuga Yŏksa Chaedan kyoyang ch'ongsŏ</t>
  </si>
  <si>
    <t>동북아 역사 재단 연구 총서</t>
  </si>
  <si>
    <t>동북아 역사 재단 교양 총서</t>
  </si>
  <si>
    <t>일제 침탈사 바로 알기</t>
  </si>
  <si>
    <t>꿈 꾸는 그림책</t>
  </si>
  <si>
    <t>국학 자료 심층 연구 총서</t>
  </si>
  <si>
    <t>동북아 역사 자료 총서</t>
  </si>
  <si>
    <t>김 유정 문학상 수상 작품집</t>
  </si>
  <si>
    <t>국립 중앙 도서관 고문헌 연구 총서</t>
  </si>
  <si>
    <t>일제 침탈사 자료 총서</t>
  </si>
  <si>
    <t>국외 한국 문화재</t>
  </si>
  <si>
    <t>대한 민국 임시 정부사 연구 총서</t>
  </si>
  <si>
    <t>동북아 역사 재단 번역 총서</t>
  </si>
  <si>
    <t>동북아 역사 재단 기획 연구화 연구 ; 3</t>
  </si>
  <si>
    <t>동북아 역사 재단 기획 연구화 연구 ; 4</t>
  </si>
  <si>
    <t>접경 인문학 번역 총서</t>
  </si>
  <si>
    <t>Donation Name 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</si>
</sst>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_([$$-409]* #,##0.00_);_([$$-409]* \(#,##0.00\);_([$$-409]* &quot;-&quot;??_);_(@_)"/>
    <numFmt numFmtId="165" formatCode="_([$$-409]* #,##0.0000000_);_([$$-409]* \(#,##0.0000000\);_([$$-409]* &quot;-&quot;??_);_(@_)"/>
    <numFmt numFmtId="166" formatCode="yyyy\-mm\-dd"/>
  </numFmts>
  <fonts count="40" x14ac:knownFonts="1">
    <font>
      <sz val="11"/>
      <color theme="1"/>
      <name val="Calibri"/>
      <family val="2"/>
      <scheme val="minor"/>
    </font>
    <font>
      <b/>
      <sz val="11"/>
      <color rgb="FF565A5C"/>
      <name val="Calibri"/>
      <family val="2"/>
      <scheme val="minor"/>
    </font>
    <font>
      <sz val="11"/>
      <color theme="0"/>
      <name val="Calibri"/>
      <family val="2"/>
      <scheme val="minor"/>
    </font>
    <font>
      <sz val="10"/>
      <color theme="1"/>
      <name val="Calibri"/>
      <family val="2"/>
      <scheme val="minor"/>
    </font>
    <font>
      <b/>
      <sz val="10"/>
      <color theme="7" tint="-0.499984740745262"/>
      <name val="Calibri"/>
      <family val="2"/>
      <scheme val="minor"/>
    </font>
    <font>
      <sz val="10"/>
      <color rgb="FF565A5C"/>
      <name val="Calibri"/>
      <family val="2"/>
      <scheme val="minor"/>
    </font>
    <font>
      <sz val="9"/>
      <color indexed="81"/>
      <name val="Tahoma"/>
      <family val="2"/>
    </font>
    <font>
      <b/>
      <sz val="9"/>
      <color indexed="81"/>
      <name val="Tahoma"/>
      <family val="2"/>
    </font>
    <font>
      <b/>
      <sz val="10"/>
      <color rgb="FF565A5C"/>
      <name val="Calibri"/>
      <family val="2"/>
      <scheme val="minor"/>
    </font>
    <font>
      <sz val="10"/>
      <color theme="0"/>
      <name val="Calibri"/>
      <family val="2"/>
      <scheme val="minor"/>
    </font>
    <font>
      <u/>
      <sz val="10"/>
      <color theme="10"/>
      <name val="Calibri"/>
      <family val="2"/>
      <scheme val="minor"/>
    </font>
    <font>
      <b/>
      <sz val="10"/>
      <color theme="0"/>
      <name val="Calibri"/>
      <family val="2"/>
      <scheme val="minor"/>
    </font>
    <font>
      <sz val="10"/>
      <color theme="0" tint="-0.499984740745262"/>
      <name val="Calibri"/>
      <family val="2"/>
    </font>
    <font>
      <u/>
      <sz val="10"/>
      <color theme="11"/>
      <name val="Calibri"/>
      <family val="2"/>
      <scheme val="minor"/>
    </font>
    <font>
      <b/>
      <sz val="11"/>
      <color theme="0"/>
      <name val="Calibri"/>
      <family val="2"/>
      <scheme val="minor"/>
    </font>
    <font>
      <b/>
      <sz val="11"/>
      <color theme="1"/>
      <name val="Calibri"/>
      <family val="2"/>
      <scheme val="minor"/>
    </font>
    <font>
      <sz val="9"/>
      <color theme="0" tint="-0.499984740745262"/>
      <name val="Calibri"/>
      <family val="2"/>
      <scheme val="minor"/>
    </font>
    <font>
      <b/>
      <sz val="9"/>
      <color theme="1"/>
      <name val="Calibri"/>
      <family val="2"/>
      <scheme val="minor"/>
    </font>
    <font>
      <sz val="16"/>
      <color theme="1"/>
      <name val="Calibri"/>
      <family val="2"/>
      <scheme val="minor"/>
    </font>
    <font>
      <b/>
      <sz val="28"/>
      <color theme="1"/>
      <name val="Calibri"/>
      <family val="2"/>
      <scheme val="minor"/>
    </font>
    <font>
      <sz val="28"/>
      <color theme="1"/>
      <name val="Calibri"/>
      <family val="2"/>
      <scheme val="minor"/>
    </font>
    <font>
      <sz val="8"/>
      <name val="Calibri"/>
      <family val="2"/>
      <scheme val="minor"/>
    </font>
    <font>
      <sz val="10"/>
      <color theme="1"/>
      <name val="Calibri"/>
      <family val="2"/>
    </font>
    <font>
      <sz val="9"/>
      <name val="Calibri"/>
      <family val="2"/>
    </font>
    <font>
      <u/>
      <sz val="11"/>
      <color theme="10"/>
      <name val="Calibri"/>
      <family val="2"/>
      <scheme val="minor"/>
    </font>
    <font>
      <sz val="10"/>
      <color rgb="FFFF0000"/>
      <name val="Calibri"/>
      <family val="2"/>
      <scheme val="minor"/>
    </font>
    <font>
      <sz val="10"/>
      <color theme="0"/>
      <name val="Calibri"/>
      <family val="2"/>
    </font>
    <font>
      <b/>
      <sz val="12"/>
      <color theme="0"/>
      <name val="Calibri"/>
      <family val="2"/>
      <scheme val="minor"/>
    </font>
    <font>
      <sz val="9"/>
      <color theme="1"/>
      <name val="Calibri"/>
      <family val="2"/>
      <scheme val="minor"/>
    </font>
    <font>
      <sz val="9"/>
      <name val="Calibri"/>
      <family val="2"/>
    </font>
    <font>
      <sz val="10"/>
      <color theme="1"/>
      <name val="Calibri"/>
      <family val="2"/>
    </font>
    <font>
      <b/>
      <sz val="11"/>
      <color rgb="FFCFB87C"/>
      <name val="Calibri"/>
      <family val="2"/>
      <scheme val="minor"/>
    </font>
    <font>
      <sz val="9"/>
      <color theme="0"/>
      <name val="Calibri"/>
      <family val="2"/>
      <scheme val="minor"/>
    </font>
    <font>
      <sz val="10"/>
      <color theme="0" tint="-0.499984740745262"/>
      <name val="Calibri"/>
      <family val="2"/>
      <scheme val="minor"/>
    </font>
    <font>
      <b/>
      <sz val="8"/>
      <color rgb="FF565A5C"/>
      <name val="Calibri"/>
      <family val="2"/>
      <scheme val="minor"/>
    </font>
    <font>
      <sz val="11"/>
      <color rgb="FF000000"/>
      <name val="Calibri"/>
      <family val="2"/>
    </font>
    <font>
      <sz val="11"/>
      <color rgb="FF006100"/>
      <name val="Calibri"/>
      <family val="2"/>
      <scheme val="minor"/>
    </font>
    <font>
      <b/>
      <sz val="12"/>
      <color rgb="FF7030A0"/>
      <name val="Calibri"/>
      <family val="2"/>
      <scheme val="minor"/>
    </font>
    <font>
      <b/>
      <sz val="10"/>
      <color rgb="FFCCCCFF"/>
      <name val="Calibri"/>
      <family val="2"/>
      <scheme val="minor"/>
    </font>
    <font>
      <sz val="30"/>
      <color theme="1"/>
      <name val="Calibri"/>
      <family val="2"/>
      <scheme val="minor"/>
    </font>
  </fonts>
  <fills count="17">
    <fill>
      <patternFill patternType="none"/>
    </fill>
    <fill>
      <patternFill patternType="gray125"/>
    </fill>
    <fill>
      <patternFill patternType="solid">
        <fgColor rgb="FFCFB87C"/>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rgb="FFD9D9D9"/>
        <bgColor indexed="64"/>
      </patternFill>
    </fill>
    <fill>
      <patternFill patternType="solid">
        <fgColor rgb="FF565A5C"/>
        <bgColor indexed="64"/>
      </patternFill>
    </fill>
    <fill>
      <patternFill patternType="solid">
        <fgColor theme="9" tint="-0.499984740745262"/>
        <bgColor indexed="64"/>
      </patternFill>
    </fill>
    <fill>
      <patternFill patternType="solid">
        <fgColor theme="4"/>
      </patternFill>
    </fill>
    <fill>
      <patternFill patternType="solid">
        <fgColor theme="0" tint="-0.249977111117893"/>
        <bgColor indexed="64"/>
      </patternFill>
    </fill>
    <fill>
      <patternFill patternType="solid">
        <fgColor theme="0"/>
        <bgColor indexed="64"/>
      </patternFill>
    </fill>
    <fill>
      <patternFill patternType="solid">
        <fgColor rgb="FFC6EFCE"/>
      </patternFill>
    </fill>
    <fill>
      <patternFill patternType="solid">
        <fgColor theme="5"/>
      </patternFill>
    </fill>
    <fill>
      <patternFill patternType="solid">
        <fgColor theme="8"/>
      </patternFill>
    </fill>
    <fill>
      <patternFill patternType="solid">
        <fgColor rgb="FF7030A0"/>
        <bgColor indexed="64"/>
      </patternFill>
    </fill>
    <fill>
      <patternFill patternType="solid">
        <fgColor rgb="FFCCCCFF"/>
        <bgColor indexed="64"/>
      </patternFill>
    </fill>
    <fill>
      <patternFill patternType="solid">
        <fgColor theme="2"/>
        <bgColor indexed="64"/>
      </patternFill>
    </fill>
  </fills>
  <borders count="36">
    <border>
      <left/>
      <right/>
      <top/>
      <bottom/>
      <diagonal/>
    </border>
    <border>
      <left style="thin">
        <color rgb="FF565A5C"/>
      </left>
      <right/>
      <top/>
      <bottom/>
      <diagonal/>
    </border>
    <border>
      <left/>
      <right style="thin">
        <color rgb="FF565A5C"/>
      </right>
      <top/>
      <bottom/>
      <diagonal/>
    </border>
    <border>
      <left style="thin">
        <color theme="0" tint="-0.249977111117893"/>
      </left>
      <right/>
      <top/>
      <bottom/>
      <diagonal/>
    </border>
    <border>
      <left style="thin">
        <color rgb="FF565A5C"/>
      </left>
      <right/>
      <top style="thin">
        <color rgb="FF565A5C"/>
      </top>
      <bottom/>
      <diagonal/>
    </border>
    <border>
      <left/>
      <right style="thin">
        <color rgb="FF565A5C"/>
      </right>
      <top style="thin">
        <color rgb="FF565A5C"/>
      </top>
      <bottom/>
      <diagonal/>
    </border>
    <border>
      <left/>
      <right style="thin">
        <color rgb="FF565A5C"/>
      </right>
      <top/>
      <bottom style="thin">
        <color rgb="FF565A5C"/>
      </bottom>
      <diagonal/>
    </border>
    <border>
      <left style="thin">
        <color rgb="FF565A5C"/>
      </left>
      <right style="thin">
        <color rgb="FF565A5C"/>
      </right>
      <top/>
      <bottom/>
      <diagonal/>
    </border>
    <border>
      <left style="thin">
        <color rgb="FF565A5C"/>
      </left>
      <right style="thin">
        <color rgb="FF565A5C"/>
      </right>
      <top style="thin">
        <color rgb="FF565A5C"/>
      </top>
      <bottom/>
      <diagonal/>
    </border>
    <border>
      <left style="thin">
        <color rgb="FF565A5C"/>
      </left>
      <right style="thin">
        <color rgb="FF565A5C"/>
      </right>
      <top style="thin">
        <color rgb="FF565A5C"/>
      </top>
      <bottom style="thin">
        <color rgb="FF565A5C"/>
      </bottom>
      <diagonal/>
    </border>
    <border>
      <left style="thin">
        <color rgb="FF565A5C"/>
      </left>
      <right/>
      <top style="thin">
        <color rgb="FF565A5C"/>
      </top>
      <bottom style="thin">
        <color rgb="FF565A5C"/>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rgb="FF565A5C"/>
      </right>
      <top/>
      <bottom style="thin">
        <color indexed="64"/>
      </bottom>
      <diagonal/>
    </border>
    <border>
      <left/>
      <right/>
      <top style="thin">
        <color indexed="64"/>
      </top>
      <bottom/>
      <diagonal/>
    </border>
    <border>
      <left/>
      <right/>
      <top/>
      <bottom style="thin">
        <color indexed="64"/>
      </bottom>
      <diagonal/>
    </border>
    <border>
      <left style="thin">
        <color rgb="FF565A5C"/>
      </left>
      <right style="thin">
        <color theme="2" tint="-9.9978637043366805E-2"/>
      </right>
      <top style="thin">
        <color rgb="FF565A5C"/>
      </top>
      <bottom/>
      <diagonal/>
    </border>
    <border>
      <left style="thin">
        <color rgb="FF565A5C"/>
      </left>
      <right style="thin">
        <color theme="2" tint="-9.9978637043366805E-2"/>
      </right>
      <top/>
      <bottom style="thin">
        <color rgb="FF565A5C"/>
      </bottom>
      <diagonal/>
    </border>
    <border>
      <left style="thin">
        <color theme="2" tint="-9.9978637043366805E-2"/>
      </left>
      <right style="thin">
        <color theme="2" tint="-9.9978637043366805E-2"/>
      </right>
      <top style="thin">
        <color rgb="FF565A5C"/>
      </top>
      <bottom/>
      <diagonal/>
    </border>
    <border>
      <left style="thin">
        <color theme="2" tint="-9.9978637043366805E-2"/>
      </left>
      <right style="thin">
        <color theme="2" tint="-9.9978637043366805E-2"/>
      </right>
      <top/>
      <bottom style="thin">
        <color rgb="FF565A5C"/>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theme="0" tint="-0.249977111117893"/>
      </left>
      <right style="thin">
        <color rgb="FF565A5C"/>
      </right>
      <top/>
      <bottom/>
      <diagonal/>
    </border>
    <border>
      <left/>
      <right style="thin">
        <color rgb="FF565A5C"/>
      </right>
      <top/>
      <bottom style="thin">
        <color indexed="64"/>
      </bottom>
      <diagonal/>
    </border>
    <border>
      <left/>
      <right style="thin">
        <color rgb="FF565A5C"/>
      </right>
      <top style="thin">
        <color indexed="64"/>
      </top>
      <bottom/>
      <diagonal/>
    </border>
    <border>
      <left/>
      <right style="dashDot">
        <color indexed="64"/>
      </right>
      <top/>
      <bottom/>
      <diagonal/>
    </border>
    <border>
      <left style="thin">
        <color rgb="FF565A5C"/>
      </left>
      <right/>
      <top/>
      <bottom style="thin">
        <color indexed="64"/>
      </bottom>
      <diagonal/>
    </border>
    <border>
      <left style="thin">
        <color indexed="64"/>
      </left>
      <right/>
      <top style="thin">
        <color theme="0" tint="-0.249977111117893"/>
      </top>
      <bottom style="thin">
        <color theme="0" tint="-0.249977111117893"/>
      </bottom>
      <diagonal/>
    </border>
  </borders>
  <cellStyleXfs count="7">
    <xf numFmtId="0" fontId="0" fillId="0" borderId="0"/>
    <xf numFmtId="0" fontId="13" fillId="0" borderId="0" applyNumberFormat="0" applyFill="0" applyBorder="0" applyProtection="0">
      <alignment vertical="center"/>
    </xf>
    <xf numFmtId="0" fontId="10" fillId="0" borderId="0" applyNumberFormat="0" applyFill="0" applyBorder="0" applyProtection="0">
      <alignment vertical="center"/>
    </xf>
    <xf numFmtId="0" fontId="2" fillId="8" borderId="0" applyNumberFormat="0" applyBorder="0" applyAlignment="0" applyProtection="0"/>
    <xf numFmtId="0" fontId="36"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cellStyleXfs>
  <cellXfs count="226">
    <xf numFmtId="0" fontId="0" fillId="0" borderId="0" xfId="0"/>
    <xf numFmtId="0" fontId="3" fillId="0" borderId="0" xfId="0" applyFont="1" applyAlignment="1">
      <alignment vertical="center"/>
    </xf>
    <xf numFmtId="0" fontId="0" fillId="0" borderId="0" xfId="0" applyAlignment="1">
      <alignment vertical="center"/>
    </xf>
    <xf numFmtId="49" fontId="8" fillId="4" borderId="3" xfId="0" applyNumberFormat="1" applyFont="1" applyFill="1" applyBorder="1" applyAlignment="1">
      <alignment horizontal="center" vertical="center" wrapText="1"/>
    </xf>
    <xf numFmtId="1" fontId="3" fillId="0" borderId="0" xfId="0" applyNumberFormat="1" applyFont="1" applyAlignment="1">
      <alignment horizontal="center" vertical="center"/>
    </xf>
    <xf numFmtId="1" fontId="0" fillId="0" borderId="0" xfId="0" applyNumberFormat="1" applyAlignment="1">
      <alignment vertical="center"/>
    </xf>
    <xf numFmtId="0" fontId="3" fillId="0" borderId="0" xfId="0" applyFont="1" applyAlignment="1">
      <alignment horizontal="left" vertical="center"/>
    </xf>
    <xf numFmtId="166" fontId="3" fillId="0" borderId="8" xfId="0" applyNumberFormat="1" applyFont="1" applyBorder="1" applyAlignment="1">
      <alignment vertical="center"/>
    </xf>
    <xf numFmtId="0" fontId="3" fillId="0" borderId="9" xfId="0" applyFont="1" applyBorder="1" applyAlignment="1">
      <alignment vertical="center"/>
    </xf>
    <xf numFmtId="0" fontId="3" fillId="0" borderId="5" xfId="0" applyFont="1" applyBorder="1" applyAlignment="1">
      <alignment horizontal="center" vertical="center"/>
    </xf>
    <xf numFmtId="0" fontId="3" fillId="0" borderId="6" xfId="0" applyFont="1" applyBorder="1" applyAlignment="1">
      <alignment horizontal="center" vertical="center"/>
    </xf>
    <xf numFmtId="0" fontId="14" fillId="6" borderId="0" xfId="3" applyFont="1" applyFill="1" applyAlignment="1">
      <alignment horizontal="center" vertical="center"/>
    </xf>
    <xf numFmtId="0" fontId="14" fillId="6" borderId="0" xfId="3" applyFont="1" applyFill="1"/>
    <xf numFmtId="0" fontId="0" fillId="4" borderId="0" xfId="0" applyFill="1"/>
    <xf numFmtId="0" fontId="15" fillId="0" borderId="4" xfId="0" applyFont="1" applyBorder="1"/>
    <xf numFmtId="0" fontId="15" fillId="0" borderId="10" xfId="0" applyFont="1" applyBorder="1"/>
    <xf numFmtId="166" fontId="3" fillId="0" borderId="7" xfId="0" applyNumberFormat="1" applyFont="1" applyBorder="1" applyAlignment="1">
      <alignment vertical="center"/>
    </xf>
    <xf numFmtId="0" fontId="15" fillId="0" borderId="17" xfId="0" applyFont="1" applyBorder="1"/>
    <xf numFmtId="166" fontId="3" fillId="0" borderId="20" xfId="0" applyNumberFormat="1" applyFont="1" applyBorder="1" applyAlignment="1">
      <alignment vertical="center"/>
    </xf>
    <xf numFmtId="0" fontId="16" fillId="0" borderId="0" xfId="0" applyFont="1" applyAlignment="1">
      <alignment horizontal="left" vertical="center"/>
    </xf>
    <xf numFmtId="0" fontId="0" fillId="0" borderId="12" xfId="0" applyBorder="1" applyAlignment="1">
      <alignment vertical="center"/>
    </xf>
    <xf numFmtId="0" fontId="8" fillId="0" borderId="18" xfId="0" applyFont="1" applyBorder="1" applyAlignment="1">
      <alignment horizontal="right"/>
    </xf>
    <xf numFmtId="0" fontId="8" fillId="0" borderId="19" xfId="0" applyFont="1" applyBorder="1" applyAlignment="1">
      <alignment horizontal="right"/>
    </xf>
    <xf numFmtId="0" fontId="3" fillId="0" borderId="23" xfId="0" applyFont="1" applyBorder="1" applyAlignment="1">
      <alignment vertical="center"/>
    </xf>
    <xf numFmtId="0" fontId="3" fillId="0" borderId="24" xfId="0" applyFont="1" applyBorder="1" applyAlignment="1">
      <alignment vertical="center"/>
    </xf>
    <xf numFmtId="0" fontId="3" fillId="0" borderId="25" xfId="0" applyFont="1" applyBorder="1" applyAlignment="1">
      <alignment vertical="center"/>
    </xf>
    <xf numFmtId="0" fontId="3" fillId="0" borderId="26" xfId="0" applyFont="1" applyBorder="1" applyAlignment="1">
      <alignment vertical="center"/>
    </xf>
    <xf numFmtId="0" fontId="10" fillId="0" borderId="26" xfId="2" applyBorder="1">
      <alignment vertical="center"/>
    </xf>
    <xf numFmtId="0" fontId="3" fillId="0" borderId="25" xfId="0" applyFont="1" applyBorder="1" applyAlignment="1">
      <alignment horizontal="center" vertical="center"/>
    </xf>
    <xf numFmtId="0" fontId="3" fillId="0" borderId="26" xfId="0" applyFont="1" applyBorder="1" applyAlignment="1">
      <alignment horizontal="center" vertical="center"/>
    </xf>
    <xf numFmtId="0" fontId="0" fillId="0" borderId="0" xfId="0" applyAlignment="1">
      <alignment horizontal="left"/>
    </xf>
    <xf numFmtId="0" fontId="15" fillId="0" borderId="0" xfId="0" applyFont="1" applyAlignment="1">
      <alignment horizontal="center" vertical="center"/>
    </xf>
    <xf numFmtId="0" fontId="10" fillId="0" borderId="25" xfId="2" applyBorder="1">
      <alignment vertical="center"/>
    </xf>
    <xf numFmtId="0" fontId="0" fillId="0" borderId="0" xfId="0" applyAlignment="1">
      <alignment horizontal="center" vertical="center" textRotation="90"/>
    </xf>
    <xf numFmtId="0" fontId="15" fillId="0" borderId="0" xfId="0" applyFont="1"/>
    <xf numFmtId="0" fontId="17" fillId="0" borderId="29" xfId="0" applyFont="1" applyBorder="1" applyAlignment="1">
      <alignment horizontal="center" vertical="center" textRotation="90" wrapText="1"/>
    </xf>
    <xf numFmtId="0" fontId="17" fillId="0" borderId="29" xfId="0" applyFont="1" applyBorder="1" applyAlignment="1">
      <alignment horizontal="center" vertical="center" textRotation="90"/>
    </xf>
    <xf numFmtId="0" fontId="3" fillId="0" borderId="29" xfId="0" applyFont="1" applyBorder="1" applyAlignment="1">
      <alignment horizontal="right" vertical="top" wrapText="1"/>
    </xf>
    <xf numFmtId="0" fontId="18" fillId="0" borderId="29" xfId="0" applyFont="1" applyBorder="1" applyAlignment="1">
      <alignment horizontal="center" vertical="center" textRotation="90" wrapText="1"/>
    </xf>
    <xf numFmtId="0" fontId="15" fillId="0" borderId="29" xfId="0" applyFont="1" applyBorder="1" applyAlignment="1">
      <alignment horizontal="left" vertical="center" textRotation="90" shrinkToFit="1"/>
    </xf>
    <xf numFmtId="0" fontId="0" fillId="0" borderId="27" xfId="0" applyBorder="1" applyAlignment="1">
      <alignment horizontal="center" vertical="center" textRotation="90" wrapText="1"/>
    </xf>
    <xf numFmtId="0" fontId="3" fillId="0" borderId="29" xfId="0" applyFont="1" applyBorder="1" applyAlignment="1">
      <alignment vertical="top"/>
    </xf>
    <xf numFmtId="0" fontId="0" fillId="0" borderId="29" xfId="0" applyBorder="1" applyAlignment="1">
      <alignment horizontal="left" vertical="top"/>
    </xf>
    <xf numFmtId="49" fontId="19" fillId="0" borderId="28" xfId="0" applyNumberFormat="1" applyFont="1" applyBorder="1" applyAlignment="1">
      <alignment horizontal="center" vertical="center" textRotation="90" shrinkToFit="1"/>
    </xf>
    <xf numFmtId="0" fontId="20" fillId="0" borderId="0" xfId="0" applyFont="1"/>
    <xf numFmtId="0" fontId="24" fillId="0" borderId="0" xfId="2" applyFont="1">
      <alignment vertical="center"/>
    </xf>
    <xf numFmtId="0" fontId="10" fillId="0" borderId="0" xfId="2">
      <alignment vertical="center"/>
    </xf>
    <xf numFmtId="49" fontId="3" fillId="0" borderId="13" xfId="0" applyNumberFormat="1" applyFont="1" applyBorder="1" applyAlignment="1">
      <alignment horizontal="left" vertical="center"/>
    </xf>
    <xf numFmtId="49" fontId="8" fillId="4" borderId="0" xfId="0" applyNumberFormat="1" applyFont="1" applyFill="1" applyAlignment="1">
      <alignment horizontal="center" vertical="center" wrapText="1"/>
    </xf>
    <xf numFmtId="49" fontId="22" fillId="0" borderId="0" xfId="0" applyNumberFormat="1" applyFont="1" applyAlignment="1">
      <alignment horizontal="left" vertical="center"/>
    </xf>
    <xf numFmtId="1" fontId="22" fillId="0" borderId="13" xfId="0" applyNumberFormat="1" applyFont="1" applyBorder="1" applyAlignment="1">
      <alignment horizontal="center" vertical="center"/>
    </xf>
    <xf numFmtId="1" fontId="22" fillId="0" borderId="0" xfId="0" applyNumberFormat="1" applyFont="1" applyAlignment="1">
      <alignment horizontal="center" vertical="center"/>
    </xf>
    <xf numFmtId="44" fontId="22" fillId="0" borderId="0" xfId="0" applyNumberFormat="1" applyFont="1" applyAlignment="1">
      <alignment horizontal="left" vertical="center"/>
    </xf>
    <xf numFmtId="49" fontId="3" fillId="0" borderId="0" xfId="0" applyNumberFormat="1" applyFont="1" applyAlignment="1">
      <alignment horizontal="center" vertical="center"/>
    </xf>
    <xf numFmtId="1" fontId="3" fillId="0" borderId="13" xfId="0" applyNumberFormat="1" applyFont="1" applyBorder="1" applyAlignment="1">
      <alignment horizontal="center" vertical="center"/>
    </xf>
    <xf numFmtId="49" fontId="3" fillId="0" borderId="0" xfId="0" applyNumberFormat="1" applyFont="1" applyAlignment="1">
      <alignment horizontal="left" vertical="center"/>
    </xf>
    <xf numFmtId="49" fontId="3" fillId="0" borderId="0" xfId="0" applyNumberFormat="1" applyFont="1" applyAlignment="1">
      <alignment horizontal="right" vertical="center"/>
    </xf>
    <xf numFmtId="0" fontId="26" fillId="0" borderId="1" xfId="0" applyFont="1" applyBorder="1" applyAlignment="1">
      <alignment vertical="center"/>
    </xf>
    <xf numFmtId="0" fontId="22" fillId="0" borderId="0" xfId="0" applyFont="1" applyAlignment="1">
      <alignment vertical="center"/>
    </xf>
    <xf numFmtId="0" fontId="22" fillId="0" borderId="0" xfId="0" applyFont="1" applyAlignment="1">
      <alignment vertical="center" wrapText="1"/>
    </xf>
    <xf numFmtId="0" fontId="9" fillId="0" borderId="0" xfId="0" applyFont="1" applyAlignment="1">
      <alignment vertical="center"/>
    </xf>
    <xf numFmtId="49" fontId="3" fillId="0" borderId="13" xfId="0" applyNumberFormat="1" applyFont="1" applyBorder="1" applyAlignment="1">
      <alignment horizontal="center" vertical="center"/>
    </xf>
    <xf numFmtId="0" fontId="0" fillId="0" borderId="0" xfId="0" applyAlignment="1">
      <alignment horizontal="left" vertical="center"/>
    </xf>
    <xf numFmtId="0" fontId="0" fillId="0" borderId="22" xfId="0" applyBorder="1"/>
    <xf numFmtId="49" fontId="23" fillId="0" borderId="0" xfId="0" applyNumberFormat="1" applyFont="1" applyAlignment="1">
      <alignment horizontal="left" vertical="center"/>
    </xf>
    <xf numFmtId="0" fontId="17" fillId="0" borderId="21" xfId="0" applyFont="1" applyBorder="1" applyAlignment="1">
      <alignment horizontal="center" vertical="center" textRotation="90" wrapText="1"/>
    </xf>
    <xf numFmtId="49" fontId="3" fillId="0" borderId="21" xfId="0" applyNumberFormat="1" applyFont="1" applyBorder="1" applyAlignment="1">
      <alignment vertical="center"/>
    </xf>
    <xf numFmtId="0" fontId="0" fillId="0" borderId="21" xfId="0" applyBorder="1"/>
    <xf numFmtId="0" fontId="0" fillId="0" borderId="29" xfId="0" applyBorder="1"/>
    <xf numFmtId="49" fontId="26" fillId="0" borderId="0" xfId="0" applyNumberFormat="1" applyFont="1" applyAlignment="1">
      <alignment horizontal="left" vertical="center"/>
    </xf>
    <xf numFmtId="0" fontId="17" fillId="0" borderId="27" xfId="0" applyFont="1" applyBorder="1" applyAlignment="1">
      <alignment horizontal="right"/>
    </xf>
    <xf numFmtId="0" fontId="17" fillId="0" borderId="21" xfId="0" applyFont="1" applyBorder="1" applyAlignment="1">
      <alignment horizontal="right"/>
    </xf>
    <xf numFmtId="0" fontId="28" fillId="0" borderId="21" xfId="0" applyFont="1" applyBorder="1"/>
    <xf numFmtId="0" fontId="17" fillId="0" borderId="21" xfId="0" applyFont="1" applyBorder="1" applyAlignment="1">
      <alignment horizontal="center"/>
    </xf>
    <xf numFmtId="0" fontId="0" fillId="0" borderId="0" xfId="0" applyAlignment="1">
      <alignment horizontal="right"/>
    </xf>
    <xf numFmtId="0" fontId="17" fillId="0" borderId="22" xfId="0" applyFont="1" applyBorder="1" applyAlignment="1">
      <alignment horizontal="right" vertical="top"/>
    </xf>
    <xf numFmtId="0" fontId="28" fillId="0" borderId="28" xfId="0" applyFont="1" applyBorder="1"/>
    <xf numFmtId="49" fontId="29" fillId="0" borderId="0" xfId="0" applyNumberFormat="1" applyFont="1" applyAlignment="1">
      <alignment horizontal="left" vertical="center"/>
    </xf>
    <xf numFmtId="49" fontId="30" fillId="0" borderId="0" xfId="0" applyNumberFormat="1" applyFont="1" applyAlignment="1">
      <alignment horizontal="left" vertical="center"/>
    </xf>
    <xf numFmtId="1" fontId="30" fillId="0" borderId="13" xfId="0" applyNumberFormat="1" applyFont="1" applyBorder="1" applyAlignment="1">
      <alignment horizontal="center" vertical="center"/>
    </xf>
    <xf numFmtId="0" fontId="26" fillId="0" borderId="0" xfId="0" applyFont="1" applyAlignment="1">
      <alignment vertical="center"/>
    </xf>
    <xf numFmtId="49" fontId="8" fillId="9" borderId="0" xfId="0" applyNumberFormat="1" applyFont="1" applyFill="1" applyAlignment="1">
      <alignment horizontal="center" vertical="center" wrapText="1"/>
    </xf>
    <xf numFmtId="49" fontId="3" fillId="0" borderId="33" xfId="0" applyNumberFormat="1" applyFont="1" applyBorder="1" applyAlignment="1">
      <alignment horizontal="left" vertical="center"/>
    </xf>
    <xf numFmtId="3" fontId="3" fillId="0" borderId="0" xfId="0" applyNumberFormat="1" applyFont="1" applyAlignment="1">
      <alignment horizontal="left" vertical="center"/>
    </xf>
    <xf numFmtId="3" fontId="22" fillId="0" borderId="0" xfId="0" applyNumberFormat="1" applyFont="1" applyAlignment="1">
      <alignment horizontal="left" vertical="center"/>
    </xf>
    <xf numFmtId="49" fontId="3" fillId="0" borderId="0" xfId="0" applyNumberFormat="1" applyFont="1" applyAlignment="1">
      <alignment vertical="center"/>
    </xf>
    <xf numFmtId="49" fontId="8" fillId="9" borderId="13" xfId="0" applyNumberFormat="1" applyFont="1" applyFill="1" applyBorder="1" applyAlignment="1">
      <alignment horizontal="center" vertical="center" wrapText="1"/>
    </xf>
    <xf numFmtId="49" fontId="8" fillId="9" borderId="3" xfId="0" applyNumberFormat="1" applyFont="1" applyFill="1" applyBorder="1" applyAlignment="1">
      <alignment horizontal="center" vertical="center" wrapText="1"/>
    </xf>
    <xf numFmtId="49" fontId="8" fillId="9" borderId="14" xfId="0" applyNumberFormat="1" applyFont="1" applyFill="1" applyBorder="1" applyAlignment="1">
      <alignment horizontal="center" vertical="center" wrapText="1"/>
    </xf>
    <xf numFmtId="49" fontId="3" fillId="0" borderId="14" xfId="0" applyNumberFormat="1" applyFont="1" applyBorder="1" applyAlignment="1">
      <alignment horizontal="center" vertical="center"/>
    </xf>
    <xf numFmtId="49" fontId="3" fillId="0" borderId="14" xfId="0" applyNumberFormat="1" applyFont="1" applyBorder="1" applyAlignment="1">
      <alignment horizontal="left" vertical="center"/>
    </xf>
    <xf numFmtId="49" fontId="3" fillId="10" borderId="0" xfId="0" applyNumberFormat="1" applyFont="1" applyFill="1" applyAlignment="1">
      <alignment horizontal="left" vertical="center"/>
    </xf>
    <xf numFmtId="49" fontId="22" fillId="10" borderId="0" xfId="0" applyNumberFormat="1" applyFont="1" applyFill="1" applyAlignment="1">
      <alignment horizontal="left" vertical="center"/>
    </xf>
    <xf numFmtId="49" fontId="8" fillId="2" borderId="0" xfId="0" applyNumberFormat="1" applyFont="1" applyFill="1" applyAlignment="1">
      <alignment horizontal="left" vertical="center"/>
    </xf>
    <xf numFmtId="49" fontId="1" fillId="2" borderId="1" xfId="0" applyNumberFormat="1" applyFont="1" applyFill="1" applyBorder="1" applyAlignment="1">
      <alignment horizontal="left" vertical="center"/>
    </xf>
    <xf numFmtId="49" fontId="3" fillId="10" borderId="13" xfId="0" applyNumberFormat="1" applyFont="1" applyFill="1" applyBorder="1" applyAlignment="1">
      <alignment horizontal="left" vertical="center"/>
    </xf>
    <xf numFmtId="49" fontId="1" fillId="2" borderId="0" xfId="0" applyNumberFormat="1" applyFont="1" applyFill="1" applyAlignment="1">
      <alignment horizontal="left" vertical="center"/>
    </xf>
    <xf numFmtId="49" fontId="1" fillId="2" borderId="11" xfId="0" applyNumberFormat="1" applyFont="1" applyFill="1" applyBorder="1" applyAlignment="1">
      <alignment horizontal="left" vertical="center"/>
    </xf>
    <xf numFmtId="49" fontId="1" fillId="2" borderId="21" xfId="0" applyNumberFormat="1" applyFont="1" applyFill="1" applyBorder="1" applyAlignment="1">
      <alignment horizontal="left" vertical="center"/>
    </xf>
    <xf numFmtId="49" fontId="22" fillId="0" borderId="33" xfId="0" applyNumberFormat="1" applyFont="1" applyBorder="1" applyAlignment="1">
      <alignment horizontal="left" vertical="center"/>
    </xf>
    <xf numFmtId="49" fontId="22" fillId="0" borderId="0" xfId="0" applyNumberFormat="1" applyFont="1" applyAlignment="1">
      <alignment horizontal="center" vertical="center"/>
    </xf>
    <xf numFmtId="49" fontId="1" fillId="2" borderId="12" xfId="0" applyNumberFormat="1" applyFont="1" applyFill="1" applyBorder="1" applyAlignment="1">
      <alignment horizontal="left" vertical="center"/>
    </xf>
    <xf numFmtId="49" fontId="22" fillId="0" borderId="14" xfId="0" applyNumberFormat="1" applyFont="1" applyBorder="1" applyAlignment="1">
      <alignment horizontal="left" vertical="center"/>
    </xf>
    <xf numFmtId="49" fontId="22" fillId="0" borderId="13" xfId="0" applyNumberFormat="1" applyFont="1" applyBorder="1" applyAlignment="1">
      <alignment horizontal="left" vertical="center"/>
    </xf>
    <xf numFmtId="49" fontId="1" fillId="2" borderId="32" xfId="0" applyNumberFormat="1" applyFont="1" applyFill="1" applyBorder="1" applyAlignment="1">
      <alignment horizontal="left" vertical="center"/>
    </xf>
    <xf numFmtId="0" fontId="9" fillId="0" borderId="1" xfId="0" applyFont="1" applyBorder="1" applyAlignment="1">
      <alignment horizontal="left" vertical="center"/>
    </xf>
    <xf numFmtId="49" fontId="4" fillId="3" borderId="22" xfId="0" applyNumberFormat="1" applyFont="1" applyFill="1" applyBorder="1" applyAlignment="1">
      <alignment horizontal="left" vertical="center"/>
    </xf>
    <xf numFmtId="49" fontId="1" fillId="2" borderId="2" xfId="0" applyNumberFormat="1" applyFont="1" applyFill="1" applyBorder="1" applyAlignment="1">
      <alignment horizontal="left" vertical="center"/>
    </xf>
    <xf numFmtId="49" fontId="22" fillId="10" borderId="14" xfId="0" applyNumberFormat="1" applyFont="1" applyFill="1" applyBorder="1" applyAlignment="1">
      <alignment horizontal="left" vertical="center"/>
    </xf>
    <xf numFmtId="0" fontId="10" fillId="0" borderId="0" xfId="2" applyNumberFormat="1">
      <alignment vertical="center"/>
    </xf>
    <xf numFmtId="44" fontId="3" fillId="0" borderId="13" xfId="0" applyNumberFormat="1" applyFont="1" applyBorder="1" applyAlignment="1">
      <alignment horizontal="left" vertical="center"/>
    </xf>
    <xf numFmtId="44" fontId="22" fillId="0" borderId="13" xfId="0" applyNumberFormat="1" applyFont="1" applyBorder="1" applyAlignment="1">
      <alignment horizontal="left" vertical="center"/>
    </xf>
    <xf numFmtId="1" fontId="4" fillId="3" borderId="31" xfId="0" applyNumberFormat="1" applyFont="1" applyFill="1" applyBorder="1" applyAlignment="1">
      <alignment horizontal="left" vertical="center"/>
    </xf>
    <xf numFmtId="1" fontId="3" fillId="0" borderId="14" xfId="0" applyNumberFormat="1" applyFont="1" applyBorder="1" applyAlignment="1">
      <alignment horizontal="left" vertical="center"/>
    </xf>
    <xf numFmtId="49" fontId="9" fillId="0" borderId="1" xfId="0" applyNumberFormat="1" applyFont="1" applyBorder="1" applyAlignment="1">
      <alignment horizontal="left" vertical="center"/>
    </xf>
    <xf numFmtId="49" fontId="9" fillId="0" borderId="1" xfId="0" applyNumberFormat="1" applyFont="1" applyBorder="1" applyAlignment="1">
      <alignment horizontal="center" vertical="center"/>
    </xf>
    <xf numFmtId="49" fontId="12" fillId="0" borderId="0" xfId="0" applyNumberFormat="1" applyFont="1" applyAlignment="1">
      <alignment horizontal="right" vertical="center"/>
    </xf>
    <xf numFmtId="1" fontId="12" fillId="0" borderId="2" xfId="0" applyNumberFormat="1" applyFont="1" applyBorder="1" applyAlignment="1">
      <alignment horizontal="left" vertical="center"/>
    </xf>
    <xf numFmtId="49" fontId="33" fillId="0" borderId="0" xfId="0" applyNumberFormat="1" applyFont="1" applyAlignment="1">
      <alignment horizontal="right" vertical="center"/>
    </xf>
    <xf numFmtId="1" fontId="33" fillId="0" borderId="2" xfId="0" applyNumberFormat="1" applyFont="1" applyBorder="1" applyAlignment="1">
      <alignment horizontal="left" vertical="center"/>
    </xf>
    <xf numFmtId="1" fontId="33" fillId="0" borderId="14" xfId="0" applyNumberFormat="1" applyFont="1" applyBorder="1" applyAlignment="1">
      <alignment horizontal="left" vertical="center"/>
    </xf>
    <xf numFmtId="1" fontId="12" fillId="0" borderId="14" xfId="0" applyNumberFormat="1" applyFont="1" applyBorder="1" applyAlignment="1">
      <alignment horizontal="left" vertical="center"/>
    </xf>
    <xf numFmtId="49" fontId="31" fillId="2" borderId="21" xfId="0" applyNumberFormat="1" applyFont="1" applyFill="1" applyBorder="1" applyAlignment="1">
      <alignment horizontal="left" vertical="center"/>
    </xf>
    <xf numFmtId="49" fontId="10" fillId="0" borderId="0" xfId="2" applyNumberFormat="1" applyFill="1" applyBorder="1">
      <alignment vertical="center"/>
    </xf>
    <xf numFmtId="49" fontId="10" fillId="0" borderId="0" xfId="2" applyNumberFormat="1">
      <alignment vertical="center"/>
    </xf>
    <xf numFmtId="164" fontId="5" fillId="5" borderId="34" xfId="0" applyNumberFormat="1" applyFont="1" applyFill="1" applyBorder="1" applyAlignment="1">
      <alignment horizontal="left" vertical="center"/>
    </xf>
    <xf numFmtId="165" fontId="5" fillId="5" borderId="31" xfId="0" applyNumberFormat="1" applyFont="1" applyFill="1" applyBorder="1" applyAlignment="1">
      <alignment horizontal="left" vertical="center"/>
    </xf>
    <xf numFmtId="49" fontId="0" fillId="0" borderId="0" xfId="0" applyNumberFormat="1" applyAlignment="1">
      <alignment horizontal="left" vertical="center"/>
    </xf>
    <xf numFmtId="49" fontId="8" fillId="9" borderId="33" xfId="0" applyNumberFormat="1" applyFont="1" applyFill="1" applyBorder="1" applyAlignment="1">
      <alignment horizontal="center" vertical="center" wrapText="1"/>
    </xf>
    <xf numFmtId="49" fontId="8" fillId="4" borderId="14" xfId="0" applyNumberFormat="1" applyFont="1" applyFill="1" applyBorder="1" applyAlignment="1">
      <alignment horizontal="center" vertical="center" wrapText="1"/>
    </xf>
    <xf numFmtId="49" fontId="34" fillId="4" borderId="3" xfId="0" applyNumberFormat="1" applyFont="1" applyFill="1" applyBorder="1" applyAlignment="1">
      <alignment horizontal="center" vertical="center" textRotation="90" wrapText="1"/>
    </xf>
    <xf numFmtId="49" fontId="8" fillId="9" borderId="30" xfId="0" applyNumberFormat="1" applyFont="1" applyFill="1" applyBorder="1" applyAlignment="1">
      <alignment horizontal="center" vertical="center" wrapText="1"/>
    </xf>
    <xf numFmtId="2" fontId="25" fillId="0" borderId="0" xfId="0" applyNumberFormat="1" applyFont="1" applyAlignment="1">
      <alignment horizontal="left" vertical="center"/>
    </xf>
    <xf numFmtId="2" fontId="3" fillId="0" borderId="0" xfId="0" applyNumberFormat="1" applyFont="1" applyAlignment="1">
      <alignment horizontal="left" vertical="center"/>
    </xf>
    <xf numFmtId="2" fontId="27" fillId="14" borderId="0" xfId="0" applyNumberFormat="1" applyFont="1" applyFill="1" applyAlignment="1">
      <alignment horizontal="left" vertical="center"/>
    </xf>
    <xf numFmtId="49" fontId="27" fillId="14" borderId="0" xfId="0" applyNumberFormat="1" applyFont="1" applyFill="1" applyAlignment="1">
      <alignment horizontal="left" vertical="center"/>
    </xf>
    <xf numFmtId="1" fontId="27" fillId="14" borderId="0" xfId="0" applyNumberFormat="1" applyFont="1" applyFill="1" applyAlignment="1">
      <alignment horizontal="left" vertical="center"/>
    </xf>
    <xf numFmtId="49" fontId="27" fillId="14" borderId="14" xfId="0" applyNumberFormat="1" applyFont="1" applyFill="1" applyBorder="1" applyAlignment="1">
      <alignment horizontal="left" vertical="center"/>
    </xf>
    <xf numFmtId="2" fontId="5" fillId="15" borderId="22" xfId="0" applyNumberFormat="1" applyFont="1" applyFill="1" applyBorder="1" applyAlignment="1">
      <alignment horizontal="left" vertical="center"/>
    </xf>
    <xf numFmtId="49" fontId="11" fillId="15" borderId="22" xfId="0" applyNumberFormat="1" applyFont="1" applyFill="1" applyBorder="1" applyAlignment="1">
      <alignment horizontal="left" vertical="center"/>
    </xf>
    <xf numFmtId="1" fontId="11" fillId="15" borderId="22" xfId="0" applyNumberFormat="1" applyFont="1" applyFill="1" applyBorder="1" applyAlignment="1">
      <alignment horizontal="left" vertical="center"/>
    </xf>
    <xf numFmtId="49" fontId="11" fillId="15" borderId="0" xfId="0" applyNumberFormat="1" applyFont="1" applyFill="1" applyAlignment="1">
      <alignment horizontal="left" vertical="center"/>
    </xf>
    <xf numFmtId="49" fontId="11" fillId="15" borderId="16" xfId="0" applyNumberFormat="1" applyFont="1" applyFill="1" applyBorder="1" applyAlignment="1">
      <alignment horizontal="left" vertical="center"/>
    </xf>
    <xf numFmtId="49" fontId="38" fillId="15" borderId="22" xfId="0" applyNumberFormat="1" applyFont="1" applyFill="1" applyBorder="1" applyAlignment="1">
      <alignment horizontal="left" vertical="center"/>
    </xf>
    <xf numFmtId="49" fontId="37" fillId="14" borderId="0" xfId="0" applyNumberFormat="1" applyFont="1" applyFill="1" applyAlignment="1">
      <alignment horizontal="left" vertical="center"/>
    </xf>
    <xf numFmtId="0" fontId="15" fillId="0" borderId="0" xfId="0" applyFont="1" applyAlignment="1">
      <alignment horizontal="center" vertical="center" textRotation="90" wrapText="1"/>
    </xf>
    <xf numFmtId="0" fontId="15" fillId="0" borderId="0" xfId="0" applyFont="1" applyAlignment="1">
      <alignment horizontal="center" vertical="center" textRotation="90"/>
    </xf>
    <xf numFmtId="0" fontId="0" fillId="0" borderId="0" xfId="0" applyAlignment="1">
      <alignment horizontal="left" vertical="center" textRotation="90"/>
    </xf>
    <xf numFmtId="0" fontId="0" fillId="0" borderId="0" xfId="0" applyAlignment="1">
      <alignment horizontal="left" textRotation="90"/>
    </xf>
    <xf numFmtId="2" fontId="39" fillId="0" borderId="0" xfId="0" applyNumberFormat="1" applyFont="1" applyAlignment="1">
      <alignment horizontal="center" textRotation="90" shrinkToFit="1"/>
    </xf>
    <xf numFmtId="0" fontId="0" fillId="0" borderId="0" xfId="0" applyAlignment="1">
      <alignment horizontal="left" textRotation="90" shrinkToFit="1"/>
    </xf>
    <xf numFmtId="0" fontId="0" fillId="0" borderId="0" xfId="0" applyAlignment="1">
      <alignment horizontal="center"/>
    </xf>
    <xf numFmtId="0" fontId="0" fillId="0" borderId="0" xfId="0" applyAlignment="1">
      <alignment wrapText="1"/>
    </xf>
    <xf numFmtId="2" fontId="0" fillId="0" borderId="0" xfId="0" applyNumberFormat="1" applyAlignment="1">
      <alignment horizontal="right" textRotation="90" shrinkToFit="1"/>
    </xf>
    <xf numFmtId="0" fontId="14" fillId="8" borderId="0" xfId="3" applyFont="1" applyAlignment="1">
      <alignment vertical="center"/>
    </xf>
    <xf numFmtId="0" fontId="14" fillId="12" borderId="0" xfId="5" applyFont="1" applyAlignment="1">
      <alignment vertical="center"/>
    </xf>
    <xf numFmtId="0" fontId="0" fillId="0" borderId="17" xfId="0" applyBorder="1" applyAlignment="1">
      <alignment horizontal="right" vertical="center"/>
    </xf>
    <xf numFmtId="0" fontId="15" fillId="0" borderId="0" xfId="0" applyFont="1" applyAlignment="1">
      <alignment vertical="center"/>
    </xf>
    <xf numFmtId="1" fontId="0" fillId="0" borderId="0" xfId="0" applyNumberFormat="1" applyAlignment="1">
      <alignment horizontal="center" vertical="center"/>
    </xf>
    <xf numFmtId="1" fontId="0" fillId="0" borderId="18" xfId="0" applyNumberFormat="1" applyBorder="1" applyAlignment="1">
      <alignment horizontal="right" vertical="center"/>
    </xf>
    <xf numFmtId="1" fontId="36" fillId="11" borderId="19" xfId="4" applyNumberFormat="1" applyBorder="1" applyAlignment="1">
      <alignment vertical="center"/>
    </xf>
    <xf numFmtId="1" fontId="0" fillId="0" borderId="17" xfId="0" applyNumberFormat="1" applyBorder="1" applyAlignment="1">
      <alignment horizontal="right" vertical="center"/>
    </xf>
    <xf numFmtId="1" fontId="0" fillId="0" borderId="0" xfId="0" applyNumberFormat="1" applyAlignment="1">
      <alignment horizontal="right" vertical="center"/>
    </xf>
    <xf numFmtId="0" fontId="14" fillId="13" borderId="0" xfId="6" applyFont="1" applyAlignment="1">
      <alignment vertical="center"/>
    </xf>
    <xf numFmtId="0" fontId="0" fillId="0" borderId="0" xfId="0" pivotButton="1"/>
    <xf numFmtId="49" fontId="0" fillId="0" borderId="0" xfId="0" applyNumberFormat="1"/>
    <xf numFmtId="49" fontId="0" fillId="0" borderId="0" xfId="0" applyNumberFormat="1" applyAlignment="1">
      <alignment horizontal="right"/>
    </xf>
    <xf numFmtId="2" fontId="14" fillId="13" borderId="0" xfId="6" applyNumberFormat="1" applyFont="1" applyAlignment="1">
      <alignment horizontal="left" vertical="center"/>
    </xf>
    <xf numFmtId="0" fontId="0" fillId="0" borderId="0" xfId="0" applyAlignment="1">
      <alignment horizontal="right" vertical="center"/>
    </xf>
    <xf numFmtId="0" fontId="0" fillId="0" borderId="0" xfId="0" pivotButton="1" applyAlignment="1">
      <alignment horizontal="left"/>
    </xf>
    <xf numFmtId="49" fontId="10" fillId="14" borderId="0" xfId="2" applyNumberFormat="1" applyFill="1" applyAlignment="1">
      <alignment horizontal="left" vertical="center"/>
    </xf>
    <xf numFmtId="0" fontId="10" fillId="14" borderId="0" xfId="2" applyNumberFormat="1" applyFill="1" applyAlignment="1">
      <alignment horizontal="left" vertical="center"/>
    </xf>
    <xf numFmtId="49" fontId="10" fillId="15" borderId="22" xfId="2" applyNumberFormat="1" applyFill="1" applyBorder="1" applyAlignment="1">
      <alignment horizontal="left" vertical="center"/>
    </xf>
    <xf numFmtId="0" fontId="10" fillId="15" borderId="22" xfId="2" applyNumberFormat="1" applyFill="1" applyBorder="1" applyAlignment="1">
      <alignment horizontal="left" vertical="center"/>
    </xf>
    <xf numFmtId="49" fontId="10" fillId="2" borderId="21" xfId="2" applyNumberFormat="1" applyFill="1" applyBorder="1" applyAlignment="1">
      <alignment horizontal="left" vertical="center"/>
    </xf>
    <xf numFmtId="49" fontId="10" fillId="2" borderId="0" xfId="2" applyNumberFormat="1" applyFill="1" applyAlignment="1">
      <alignment horizontal="left" vertical="center"/>
    </xf>
    <xf numFmtId="49" fontId="8" fillId="4" borderId="13" xfId="0" applyNumberFormat="1" applyFont="1" applyFill="1" applyBorder="1" applyAlignment="1">
      <alignment horizontal="center" vertical="center" wrapText="1"/>
    </xf>
    <xf numFmtId="49" fontId="9" fillId="10" borderId="0" xfId="0" applyNumberFormat="1" applyFont="1" applyFill="1" applyAlignment="1">
      <alignment horizontal="center" vertical="center" wrapText="1"/>
    </xf>
    <xf numFmtId="49" fontId="9" fillId="10" borderId="0" xfId="0" applyNumberFormat="1" applyFont="1" applyFill="1" applyAlignment="1">
      <alignment horizontal="left" vertical="center"/>
    </xf>
    <xf numFmtId="49" fontId="25" fillId="10" borderId="14" xfId="0" applyNumberFormat="1" applyFont="1" applyFill="1" applyBorder="1" applyAlignment="1">
      <alignment horizontal="left" vertical="center"/>
    </xf>
    <xf numFmtId="49" fontId="32" fillId="10" borderId="35" xfId="0" applyNumberFormat="1" applyFont="1" applyFill="1" applyBorder="1" applyAlignment="1">
      <alignment horizontal="center" vertical="center" wrapText="1"/>
    </xf>
    <xf numFmtId="49" fontId="11" fillId="10" borderId="0" xfId="0" applyNumberFormat="1" applyFont="1" applyFill="1" applyAlignment="1">
      <alignment horizontal="center" vertical="center" wrapText="1"/>
    </xf>
    <xf numFmtId="49" fontId="12" fillId="16" borderId="0" xfId="0" applyNumberFormat="1" applyFont="1" applyFill="1" applyAlignment="1">
      <alignment horizontal="center" vertical="center"/>
    </xf>
    <xf numFmtId="49" fontId="12" fillId="16" borderId="13" xfId="0" applyNumberFormat="1" applyFont="1" applyFill="1" applyBorder="1" applyAlignment="1">
      <alignment horizontal="center" vertical="center"/>
    </xf>
    <xf numFmtId="49" fontId="12" fillId="16" borderId="14" xfId="0" applyNumberFormat="1" applyFont="1" applyFill="1" applyBorder="1" applyAlignment="1">
      <alignment horizontal="center" vertical="center"/>
    </xf>
    <xf numFmtId="49" fontId="12" fillId="16" borderId="2" xfId="0" applyNumberFormat="1" applyFont="1" applyFill="1" applyBorder="1" applyAlignment="1">
      <alignment horizontal="center" vertical="center"/>
    </xf>
    <xf numFmtId="1" fontId="0" fillId="0" borderId="0" xfId="0" pivotButton="1" applyNumberFormat="1"/>
    <xf numFmtId="1" fontId="0" fillId="0" borderId="0" xfId="0" applyNumberFormat="1"/>
    <xf numFmtId="2" fontId="25" fillId="0" borderId="14" xfId="0" applyNumberFormat="1" applyFont="1" applyBorder="1" applyAlignment="1">
      <alignment horizontal="left" vertical="center"/>
    </xf>
    <xf numFmtId="49" fontId="3" fillId="10" borderId="14" xfId="0" applyNumberFormat="1" applyFont="1" applyFill="1" applyBorder="1" applyAlignment="1">
      <alignment horizontal="left" vertical="center"/>
    </xf>
    <xf numFmtId="49" fontId="25" fillId="0" borderId="14" xfId="0" applyNumberFormat="1" applyFont="1" applyBorder="1" applyAlignment="1">
      <alignment horizontal="left" vertical="center"/>
    </xf>
    <xf numFmtId="0" fontId="10" fillId="0" borderId="0" xfId="2" applyNumberFormat="1" applyFill="1">
      <alignment vertical="center"/>
    </xf>
    <xf numFmtId="49" fontId="3" fillId="0" borderId="2" xfId="0" applyNumberFormat="1" applyFont="1" applyBorder="1" applyAlignment="1">
      <alignment horizontal="center" vertical="center"/>
    </xf>
    <xf numFmtId="1" fontId="3" fillId="0" borderId="2" xfId="0" applyNumberFormat="1" applyFont="1" applyBorder="1" applyAlignment="1">
      <alignment horizontal="center" vertical="center"/>
    </xf>
    <xf numFmtId="44" fontId="0" fillId="3" borderId="22" xfId="0" applyNumberFormat="1" applyFill="1" applyBorder="1" applyAlignment="1">
      <alignment horizontal="left" vertical="center"/>
    </xf>
    <xf numFmtId="0" fontId="8" fillId="2" borderId="4" xfId="0" applyFont="1" applyFill="1" applyBorder="1" applyAlignment="1">
      <alignment horizontal="left" vertical="center"/>
    </xf>
    <xf numFmtId="0" fontId="8" fillId="2" borderId="5" xfId="0" applyFont="1" applyFill="1" applyBorder="1" applyAlignment="1">
      <alignment horizontal="left" vertical="center"/>
    </xf>
    <xf numFmtId="164" fontId="11" fillId="7" borderId="13" xfId="0" applyNumberFormat="1" applyFont="1" applyFill="1" applyBorder="1" applyAlignment="1">
      <alignment horizontal="left" vertical="center"/>
    </xf>
    <xf numFmtId="164" fontId="11" fillId="7" borderId="0" xfId="0" applyNumberFormat="1" applyFont="1" applyFill="1" applyAlignment="1">
      <alignment horizontal="left" vertical="center"/>
    </xf>
    <xf numFmtId="164" fontId="11" fillId="7" borderId="2" xfId="0" applyNumberFormat="1" applyFont="1" applyFill="1" applyBorder="1" applyAlignment="1">
      <alignment horizontal="left" vertical="center"/>
    </xf>
    <xf numFmtId="0" fontId="17" fillId="0" borderId="21" xfId="0" applyFont="1" applyBorder="1" applyAlignment="1">
      <alignment horizontal="center" vertical="center" textRotation="90" wrapText="1"/>
    </xf>
    <xf numFmtId="0" fontId="17" fillId="0" borderId="0" xfId="0" applyFont="1" applyAlignment="1">
      <alignment horizontal="center" vertical="center" textRotation="90" wrapText="1"/>
    </xf>
    <xf numFmtId="0" fontId="17" fillId="0" borderId="22" xfId="0" applyFont="1" applyBorder="1" applyAlignment="1">
      <alignment horizontal="center" vertical="center" textRotation="90" wrapText="1"/>
    </xf>
    <xf numFmtId="0" fontId="17" fillId="0" borderId="11" xfId="0" applyFont="1" applyBorder="1" applyAlignment="1">
      <alignment horizontal="center" vertical="center" textRotation="90" wrapText="1"/>
    </xf>
    <xf numFmtId="0" fontId="17" fillId="0" borderId="13" xfId="0" applyFont="1" applyBorder="1" applyAlignment="1">
      <alignment horizontal="center" vertical="center" textRotation="90" wrapText="1"/>
    </xf>
    <xf numFmtId="0" fontId="17" fillId="0" borderId="15" xfId="0" applyFont="1" applyBorder="1" applyAlignment="1">
      <alignment horizontal="center" vertical="center" textRotation="90" wrapText="1"/>
    </xf>
    <xf numFmtId="0" fontId="0" fillId="0" borderId="12"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17" fillId="0" borderId="21" xfId="0" applyFont="1" applyBorder="1" applyAlignment="1">
      <alignment horizontal="center" vertical="top"/>
    </xf>
    <xf numFmtId="0" fontId="17" fillId="0" borderId="12" xfId="0" applyFont="1" applyBorder="1" applyAlignment="1">
      <alignment horizontal="center" vertical="top"/>
    </xf>
    <xf numFmtId="0" fontId="17" fillId="0" borderId="22" xfId="0" applyFont="1" applyBorder="1" applyAlignment="1">
      <alignment horizontal="center" vertical="top"/>
    </xf>
    <xf numFmtId="0" fontId="17" fillId="0" borderId="16" xfId="0" applyFont="1" applyBorder="1" applyAlignment="1">
      <alignment horizontal="center" vertical="top"/>
    </xf>
    <xf numFmtId="0" fontId="0" fillId="0" borderId="21" xfId="0" applyBorder="1" applyAlignment="1">
      <alignment horizontal="center" vertical="center" textRotation="90"/>
    </xf>
    <xf numFmtId="0" fontId="0" fillId="0" borderId="0" xfId="0" applyAlignment="1">
      <alignment horizontal="center" vertical="center" textRotation="90"/>
    </xf>
    <xf numFmtId="0" fontId="0" fillId="0" borderId="22" xfId="0" applyBorder="1" applyAlignment="1">
      <alignment horizontal="center" vertical="center" textRotation="90"/>
    </xf>
    <xf numFmtId="0" fontId="0" fillId="0" borderId="0" xfId="0" applyAlignment="1">
      <alignment horizontal="center" vertical="center" wrapText="1"/>
    </xf>
    <xf numFmtId="0" fontId="3" fillId="0" borderId="11" xfId="0" applyFont="1" applyBorder="1" applyAlignment="1">
      <alignment horizontal="left" vertical="top"/>
    </xf>
    <xf numFmtId="0" fontId="3" fillId="0" borderId="21" xfId="0" applyFont="1" applyBorder="1" applyAlignment="1">
      <alignment horizontal="left" vertical="top"/>
    </xf>
    <xf numFmtId="0" fontId="3" fillId="0" borderId="12" xfId="0" applyFont="1" applyBorder="1" applyAlignment="1">
      <alignment horizontal="left" vertical="top"/>
    </xf>
    <xf numFmtId="0" fontId="3" fillId="0" borderId="13" xfId="0" applyFont="1" applyBorder="1" applyAlignment="1">
      <alignment horizontal="left" vertical="top"/>
    </xf>
    <xf numFmtId="0" fontId="3" fillId="0" borderId="0" xfId="0" applyFont="1" applyAlignment="1">
      <alignment horizontal="left" vertical="top"/>
    </xf>
    <xf numFmtId="0" fontId="3" fillId="0" borderId="14" xfId="0" applyFont="1" applyBorder="1" applyAlignment="1">
      <alignment horizontal="left" vertical="top"/>
    </xf>
    <xf numFmtId="0" fontId="3" fillId="0" borderId="15" xfId="0" applyFont="1" applyBorder="1" applyAlignment="1">
      <alignment horizontal="left" vertical="top"/>
    </xf>
    <xf numFmtId="0" fontId="3" fillId="0" borderId="22" xfId="0" applyFont="1" applyBorder="1" applyAlignment="1">
      <alignment horizontal="left" vertical="top"/>
    </xf>
    <xf numFmtId="0" fontId="3" fillId="0" borderId="16" xfId="0" applyFont="1" applyBorder="1" applyAlignment="1">
      <alignment horizontal="left" vertical="top"/>
    </xf>
  </cellXfs>
  <cellStyles count="7">
    <cellStyle name="Accent1" xfId="3" builtinId="29"/>
    <cellStyle name="Accent2" xfId="5" builtinId="33"/>
    <cellStyle name="Accent5" xfId="6" builtinId="45"/>
    <cellStyle name="Followed Hyperlink" xfId="1" builtinId="9" customBuiltin="1"/>
    <cellStyle name="Good" xfId="4" builtinId="26"/>
    <cellStyle name="Hyperlink" xfId="2" builtinId="8" customBuiltin="1"/>
    <cellStyle name="Normal" xfId="0" builtinId="0"/>
  </cellStyles>
  <dxfs count="95">
    <dxf>
      <alignment horizontal="left"/>
    </dxf>
    <dxf>
      <alignment horizontal="left"/>
    </dxf>
    <dxf>
      <numFmt numFmtId="1" formatCode="0"/>
    </dxf>
    <dxf>
      <numFmt numFmtId="19" formatCode="m/d/yyyy"/>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0" tint="-0.499984740745262"/>
        <name val="Calibri"/>
        <family val="2"/>
        <scheme val="minor"/>
      </font>
      <numFmt numFmtId="1" formatCode="0"/>
      <fill>
        <patternFill patternType="none">
          <fgColor theme="6" tint="0.79998168889431442"/>
          <bgColor auto="1"/>
        </patternFill>
      </fill>
      <alignment horizontal="left"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alignment horizontal="right" vertical="center" textRotation="0" wrapText="0" indent="0" justifyLastLine="0" shrinkToFit="0" readingOrder="0"/>
    </dxf>
    <dxf>
      <font>
        <b val="0"/>
        <i val="0"/>
        <strike val="0"/>
        <condense val="0"/>
        <extend val="0"/>
        <outline val="0"/>
        <shadow val="0"/>
        <u val="none"/>
        <vertAlign val="baseline"/>
        <sz val="10"/>
        <color theme="0" tint="-0.499984740745262"/>
        <name val="Calibri"/>
        <family val="2"/>
        <scheme val="minor"/>
      </font>
      <numFmt numFmtId="30" formatCode="@"/>
      <fill>
        <patternFill patternType="none">
          <fgColor theme="6" tint="0.79998168889431442"/>
          <bgColor auto="1"/>
        </patternFill>
      </fill>
      <alignment horizontal="right" vertical="center" textRotation="0" wrapText="0" indent="0" justifyLastLine="0" shrinkToFit="0" readingOrder="0"/>
    </dxf>
    <dxf>
      <font>
        <b val="0"/>
        <i val="0"/>
        <strike val="0"/>
        <condense val="0"/>
        <extend val="0"/>
        <outline val="0"/>
        <shadow val="0"/>
        <u val="none"/>
        <vertAlign val="baseline"/>
        <sz val="10"/>
        <color theme="1"/>
        <name val="Calibri"/>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none"/>
      </font>
      <numFmt numFmtId="34" formatCode="_(&quot;$&quot;* #,##0.00_);_(&quot;$&quot;* \(#,##0.00\);_(&quot;$&quot;* &quot;-&quot;??_);_(@_)"/>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general" vertical="center"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1"/>
        <name val="Calibri"/>
        <family val="2"/>
        <scheme val="minor"/>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style="thin">
          <color indexed="64"/>
        </right>
      </border>
    </dxf>
    <dxf>
      <font>
        <b val="0"/>
        <i val="0"/>
        <strike val="0"/>
        <condense val="0"/>
        <extend val="0"/>
        <outline val="0"/>
        <shadow val="0"/>
        <u val="none"/>
        <vertAlign val="baseline"/>
        <sz val="10"/>
        <color theme="1"/>
        <name val="Calibri"/>
        <family val="2"/>
        <scheme val="minor"/>
      </font>
      <alignment horizontal="right"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right"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right"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right"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border diagonalUp="0" diagonalDown="0" outline="0">
        <left style="thin">
          <color indexed="64"/>
        </left>
        <right/>
      </border>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border diagonalUp="0" diagonalDown="0" outline="0">
        <left/>
        <right/>
        <top/>
        <bottom/>
      </border>
    </dxf>
    <dxf>
      <font>
        <strike val="0"/>
        <outline val="0"/>
        <shadow val="0"/>
        <u val="none"/>
        <vertAlign val="baseline"/>
        <sz val="10"/>
        <color theme="1"/>
        <name val="Calibri"/>
        <family val="2"/>
        <scheme val="minor"/>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Calibri"/>
        <family val="2"/>
        <scheme val="minor"/>
      </font>
      <numFmt numFmtId="1" formatCode="0"/>
      <fill>
        <patternFill patternType="none">
          <fgColor theme="6" tint="0.79998168889431442"/>
          <bgColor auto="1"/>
        </patternFill>
      </fill>
      <alignment horizontal="center"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theme="1"/>
        <name val="Calibri"/>
        <family val="2"/>
        <scheme val="minor"/>
      </font>
      <numFmt numFmtId="1" formatCode="0"/>
      <fill>
        <patternFill patternType="none">
          <fgColor theme="6" tint="0.79998168889431442"/>
          <bgColor auto="1"/>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center"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numFmt numFmtId="0" formatCode="General"/>
      <fill>
        <patternFill patternType="none">
          <fgColor theme="6" tint="0.79998168889431442"/>
          <bgColor auto="1"/>
        </patternFill>
      </fill>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numFmt numFmtId="0" formatCode="General"/>
      <fill>
        <patternFill patternType="none">
          <fgColor theme="6" tint="0.79998168889431442"/>
          <bgColor auto="1"/>
        </patternFill>
      </fill>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1"/>
        <name val="Calibri"/>
        <family val="2"/>
        <scheme val="minor"/>
      </font>
      <numFmt numFmtId="30" formatCode="@"/>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1"/>
        <name val="Calibri"/>
        <family val="2"/>
        <scheme val="minor"/>
      </font>
      <numFmt numFmtId="30" formatCode="@"/>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dxf>
    <dxf>
      <numFmt numFmtId="30" formatCode="@"/>
      <fill>
        <patternFill patternType="none">
          <bgColor auto="1"/>
        </patternFill>
      </fill>
    </dxf>
    <dxf>
      <font>
        <b val="0"/>
        <i val="0"/>
        <strike val="0"/>
        <condense val="0"/>
        <extend val="0"/>
        <outline val="0"/>
        <shadow val="0"/>
        <u val="none"/>
        <vertAlign val="baseline"/>
        <sz val="10"/>
        <color theme="0"/>
        <name val="Calibri"/>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0"/>
        <name val="Calibri"/>
        <family val="2"/>
        <scheme val="none"/>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rgb="FFFF0000"/>
        <name val="Calibri"/>
        <family val="2"/>
        <scheme val="minor"/>
      </font>
      <numFmt numFmtId="30" formatCode="@"/>
      <fill>
        <patternFill patternType="none">
          <fgColor indexed="64"/>
          <bgColor theme="0"/>
        </patternFill>
      </fill>
      <alignment horizontal="left" vertical="center"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1"/>
        <name val="Calibri"/>
        <family val="2"/>
        <scheme val="minor"/>
      </font>
      <alignment horizontal="general" vertical="center" textRotation="0" wrapText="0" indent="0" justifyLastLine="0" shrinkToFit="0" readingOrder="0"/>
      <border diagonalUp="0" diagonalDown="0" outline="0">
        <left style="thin">
          <color indexed="64"/>
        </left>
        <right/>
        <top/>
        <bottom/>
      </border>
    </dxf>
    <dxf>
      <font>
        <strike val="0"/>
        <outline val="0"/>
        <shadow val="0"/>
        <u val="none"/>
        <vertAlign val="baseline"/>
        <sz val="10"/>
        <color theme="0"/>
        <name val="Calibri"/>
        <family val="2"/>
        <scheme val="minor"/>
      </font>
      <numFmt numFmtId="30" formatCode="@"/>
      <fill>
        <patternFill>
          <fgColor indexed="64"/>
          <bgColor theme="0"/>
        </patternFill>
      </fill>
      <alignment horizontal="left" vertical="center" textRotation="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1"/>
        <name val="Calibri"/>
        <family val="2"/>
        <scheme val="minor"/>
      </font>
      <numFmt numFmtId="30" formatCode="@"/>
      <fill>
        <patternFill patternType="solid">
          <fgColor indexed="64"/>
          <bgColor theme="0"/>
        </patternFill>
      </fill>
      <alignment horizontal="left"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solid">
          <fgColor indexed="64"/>
          <bgColor theme="0"/>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theme="1"/>
        <name val="Calibri"/>
        <family val="2"/>
        <scheme val="minor"/>
      </font>
      <numFmt numFmtId="30" formatCode="@"/>
      <fill>
        <patternFill patternType="solid">
          <fgColor indexed="64"/>
          <bgColor theme="0"/>
        </patternFill>
      </fill>
      <alignment horizontal="left" vertical="center" textRotation="0" wrapText="0" indent="0" justifyLastLine="0" shrinkToFit="0" readingOrder="0"/>
    </dxf>
    <dxf>
      <font>
        <b val="0"/>
        <i val="0"/>
        <strike val="0"/>
        <condense val="0"/>
        <extend val="0"/>
        <outline val="0"/>
        <shadow val="0"/>
        <u val="none"/>
        <vertAlign val="baseline"/>
        <sz val="10"/>
        <color rgb="FFFF0000"/>
        <name val="Calibri"/>
        <family val="2"/>
        <scheme val="none"/>
      </font>
      <alignment horizontal="lef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name val="Calibri"/>
        <family val="2"/>
        <scheme val="minor"/>
      </font>
      <numFmt numFmtId="2" formatCode="0.00"/>
      <alignment horizontal="left" vertical="center" textRotation="0" indent="0" justifyLastLine="0" shrinkToFit="0" readingOrder="0"/>
      <border outline="0">
        <right style="thin">
          <color indexed="64"/>
        </right>
      </border>
    </dxf>
    <dxf>
      <numFmt numFmtId="30" formatCode="@"/>
      <alignment vertical="center" textRotation="0" indent="0" justifyLastLine="0" shrinkToFit="0" readingOrder="0"/>
    </dxf>
    <dxf>
      <border outline="0">
        <left style="thin">
          <color theme="6" tint="0.39997558519241921"/>
        </left>
        <right style="thin">
          <color rgb="FF000000"/>
        </right>
        <top style="thin">
          <color theme="0" tint="-0.249977111117893"/>
        </top>
        <bottom style="thin">
          <color theme="6" tint="0.39997558519241921"/>
        </bottom>
      </border>
    </dxf>
    <dxf>
      <font>
        <strike val="0"/>
        <outline val="0"/>
        <shadow val="0"/>
        <vertAlign val="baseline"/>
        <sz val="10"/>
        <name val="Calibri"/>
        <family val="2"/>
      </font>
      <numFmt numFmtId="30" formatCode="@"/>
      <fill>
        <patternFill patternType="none">
          <bgColor auto="1"/>
        </patternFill>
      </fill>
      <alignment vertical="center" textRotation="0" indent="0" justifyLastLine="0" shrinkToFit="0" readingOrder="0"/>
    </dxf>
    <dxf>
      <font>
        <b/>
        <i val="0"/>
        <strike val="0"/>
        <condense val="0"/>
        <extend val="0"/>
        <outline val="0"/>
        <shadow val="0"/>
        <u val="none"/>
        <vertAlign val="baseline"/>
        <sz val="10"/>
        <color rgb="FF565A5C"/>
        <name val="Calibri"/>
        <family val="2"/>
        <scheme val="minor"/>
      </font>
      <numFmt numFmtId="30" formatCode="@"/>
      <fill>
        <patternFill patternType="solid">
          <fgColor indexed="64"/>
          <bgColor theme="0" tint="-0.14999847407452621"/>
        </patternFill>
      </fill>
      <alignment horizontal="center" vertical="center" textRotation="0" wrapText="1" indent="0" justifyLastLine="0" shrinkToFit="0" readingOrder="0"/>
    </dxf>
    <dxf>
      <font>
        <color rgb="FF9C0006"/>
      </font>
      <fill>
        <patternFill>
          <fgColor indexed="64"/>
          <bgColor rgb="FFFFC7CE"/>
        </patternFill>
      </fill>
    </dxf>
    <dxf>
      <font>
        <color theme="0" tint="-0.499984740745262"/>
      </font>
      <fill>
        <patternFill>
          <fgColor indexed="64"/>
          <bgColor theme="2"/>
        </patternFill>
      </fill>
    </dxf>
    <dxf>
      <font>
        <color rgb="FF565A5C"/>
      </font>
      <fill>
        <patternFill>
          <fgColor indexed="64"/>
          <bgColor theme="0" tint="-0.24994659260841701"/>
        </patternFill>
      </fill>
    </dxf>
    <dxf>
      <fill>
        <patternFill>
          <fgColor indexed="64"/>
          <bgColor rgb="FFFFC7CE"/>
        </patternFill>
      </fill>
    </dxf>
    <dxf>
      <font>
        <color theme="0" tint="-0.24994659260841701"/>
      </font>
    </dxf>
    <dxf>
      <font>
        <color theme="0" tint="-0.24994659260841701"/>
      </font>
      <fill>
        <patternFill patternType="none">
          <fgColor indexed="64"/>
          <bgColor indexed="65"/>
        </patternFill>
      </fill>
    </dxf>
    <dxf>
      <font>
        <color rgb="FF9C5700"/>
      </font>
      <fill>
        <patternFill>
          <fgColor indexed="64"/>
          <bgColor rgb="FFFFEB9C"/>
        </patternFill>
      </fill>
    </dxf>
    <dxf>
      <font>
        <color rgb="FF9C5700"/>
      </font>
      <fill>
        <patternFill>
          <fgColor indexed="64"/>
          <bgColor rgb="FFFFEB9C"/>
        </patternFill>
      </fill>
    </dxf>
    <dxf>
      <font>
        <color rgb="FF9C5700"/>
      </font>
      <fill>
        <patternFill>
          <fgColor indexed="64"/>
          <bgColor rgb="FFFFEB9C"/>
        </patternFill>
      </fill>
    </dxf>
    <dxf>
      <font>
        <color rgb="FF9C5700"/>
      </font>
      <fill>
        <patternFill>
          <fgColor indexed="64"/>
          <bgColor rgb="FFFFEB9C"/>
        </patternFill>
      </fill>
    </dxf>
    <dxf>
      <font>
        <color rgb="FF9C5700"/>
      </font>
      <fill>
        <patternFill>
          <fgColor indexed="64"/>
          <bgColor rgb="FFFFEB9C"/>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5700"/>
      </font>
      <fill>
        <patternFill>
          <fgColor indexed="64"/>
          <bgColor rgb="FFFFEB9C"/>
        </patternFill>
      </fill>
    </dxf>
    <dxf>
      <font>
        <color rgb="FF006100"/>
      </font>
      <fill>
        <patternFill>
          <fgColor indexed="64"/>
          <bgColor rgb="FFC6EFCE"/>
        </patternFill>
      </fill>
    </dxf>
  </dxfs>
  <tableStyles count="0" defaultTableStyle="TableStyleMedium2" defaultPivotStyle="PivotStyleMedium9"/>
  <colors>
    <mruColors>
      <color rgb="FFCCCCFF"/>
      <color rgb="FF565A5C"/>
      <color rgb="FFCFB87C"/>
      <color rgb="FF9933FF"/>
      <color rgb="FF9C5700"/>
      <color rgb="FFCC99FF"/>
      <color rgb="FFA2A4A3"/>
      <color rgb="FF9C0006"/>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theme" Target="theme/theme1.xml"/><Relationship Id="rId26" Type="http://schemas.microsoft.com/office/2017/06/relationships/rdSupportingPropertyBag" Target="richData/rdsupportingpropertybag.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5" Type="http://schemas.microsoft.com/office/2017/06/relationships/rdSupportingPropertyBagStructure" Target="richData/rdsupportingpropertybagstructure.xml"/><Relationship Id="rId2" Type="http://schemas.openxmlformats.org/officeDocument/2006/relationships/worksheet" Target="worksheets/sheet2.xml"/><Relationship Id="rId16" Type="http://schemas.openxmlformats.org/officeDocument/2006/relationships/pivotCacheDefinition" Target="pivotCache/pivotCacheDefinition5.xml"/><Relationship Id="rId20" Type="http://schemas.openxmlformats.org/officeDocument/2006/relationships/sharedStrings" Target="sharedStrings.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ichStyles" Target="richData/richStyles.xml"/><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microsoft.com/office/2017/06/relationships/rdRichValueStructure" Target="richData/rdrichvaluestructure.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17/06/relationships/rdRichValue" Target="richData/rdrichvalue.xml"/><Relationship Id="rId27"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[Donation - Template.xlsm]s-Assign!Collection</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 of Collection Assignments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s>
    <c:plotArea>
      <c:layout/>
      <c:pieChart>
        <c:varyColors val="1"/>
        <c:ser>
          <c:idx val="0"/>
          <c:order val="0"/>
          <c:tx>
            <c:strRef>
              <c:f>'s-Assign'!$B$1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544-4B14-B953-12802A09196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544-4B14-B953-12802A09196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544-4B14-B953-12802A09196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544-4B14-B953-12802A09196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544-4B14-B953-12802A09196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544-4B14-B953-12802A09196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544-4B14-B953-12802A09196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's-Assign'!$A$2:$A$9</c:f>
              <c:strCache>
                <c:ptCount val="7"/>
                <c:pt idx="0">
                  <c:v>see slip</c:v>
                </c:pt>
                <c:pt idx="1">
                  <c:v>norst</c:v>
                </c:pt>
                <c:pt idx="2">
                  <c:v>artst</c:v>
                </c:pt>
                <c:pt idx="3">
                  <c:v>reject</c:v>
                </c:pt>
                <c:pt idx="4">
                  <c:v>pascal</c:v>
                </c:pt>
                <c:pt idx="5">
                  <c:v>dupe</c:v>
                </c:pt>
                <c:pt idx="6">
                  <c:v>asnst</c:v>
                </c:pt>
              </c:strCache>
            </c:strRef>
          </c:cat>
          <c:val>
            <c:numRef>
              <c:f>'s-Assign'!$B$2:$B$9</c:f>
              <c:numCache>
                <c:formatCode>General</c:formatCode>
                <c:ptCount val="7"/>
                <c:pt idx="0">
                  <c:v>2</c:v>
                </c:pt>
                <c:pt idx="1">
                  <c:v>3</c:v>
                </c:pt>
                <c:pt idx="2">
                  <c:v>4</c:v>
                </c:pt>
                <c:pt idx="3">
                  <c:v>23</c:v>
                </c:pt>
                <c:pt idx="4">
                  <c:v>26</c:v>
                </c:pt>
                <c:pt idx="5">
                  <c:v>46</c:v>
                </c:pt>
                <c:pt idx="6">
                  <c:v>65</c:v>
                </c:pt>
              </c:numCache>
            </c:numRef>
          </c:val>
          <c:extLst>
            <c:ext xmlns:c16="http://schemas.microsoft.com/office/drawing/2014/chart" uri="{C3380CC4-5D6E-409C-BE32-E72D297353CC}">
              <c16:uniqueId val="{00000000-5019-42D7-921A-F4482663A871}"/>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[Donation - Template.xlsm]s-Series!SeriesRE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a:t>
            </a:r>
            <a:r>
              <a:rPr lang="en-US" baseline="0"/>
              <a:t> of Series Titles - Romanized/English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's-Series'!$E$1</c:f>
              <c:strCache>
                <c:ptCount val="1"/>
                <c:pt idx="0">
                  <c:v>Total</c:v>
                </c:pt>
              </c:strCache>
            </c:strRef>
          </c:tx>
          <c:spPr>
            <a:solidFill>
              <a:schemeClr val="accent1"/>
            </a:solidFill>
            <a:ln>
              <a:noFill/>
            </a:ln>
            <a:effectLst/>
          </c:spPr>
          <c:invertIfNegative val="0"/>
          <c:cat>
            <c:strRef>
              <c:f>'s-Series'!$D$2:$D$22</c:f>
              <c:strCache>
                <c:ptCount val="21"/>
                <c:pt idx="0">
                  <c:v>Kukhak charyo simch'ŭng yŏn'gu ch'ongsŏ</c:v>
                </c:pt>
                <c:pt idx="1">
                  <c:v>Chosŏn Sidae Kaein Ilgi Kugyŏ̆k ch'ongsŏk Ch'ongsŏ</c:v>
                </c:pt>
                <c:pt idx="2">
                  <c:v>Kim Yu-jŏng munhaksang susang chakp'umjip</c:v>
                </c:pt>
                <c:pt idx="3">
                  <c:v>History of Japan's intrusions into Korea</c:v>
                </c:pt>
                <c:pt idx="4">
                  <c:v>Kungnip Chungang Tosogwŏn komunhŏn yŏn'gu ch'ongsŏ</c:v>
                </c:pt>
                <c:pt idx="5">
                  <c:v>Kyujanggak charyo chʿongsŏ</c:v>
                </c:pt>
                <c:pt idx="6">
                  <c:v>박 한남 ^ 박 찬승 ^ Korea (South). 국사 편찬 위원회, issuing body</c:v>
                </c:pt>
                <c:pt idx="7">
                  <c:v>Kyujanggak charyo ch'ongsŏ</c:v>
                </c:pt>
                <c:pt idx="8">
                  <c:v>Taehan Min'guk Imsi Chŏngbusa yŏn'gu ch'ongsŏ</c:v>
                </c:pt>
                <c:pt idx="9">
                  <c:v>Chŏpkyŏng inmunhak pŏnyŏk ch'ongsŏ</c:v>
                </c:pt>
                <c:pt idx="10">
                  <c:v>Kkum kkunŭn kŭrimch'aek</c:v>
                </c:pt>
                <c:pt idx="11">
                  <c:v>History of the Provisional Governmnt of the ROK, Research Series</c:v>
                </c:pt>
                <c:pt idx="12">
                  <c:v>Kugoe Han'guk munhwajae</c:v>
                </c:pt>
                <c:pt idx="13">
                  <c:v>Tongbuga Yŏksa Chaedan kihoek yŏn'gu</c:v>
                </c:pt>
                <c:pt idx="14">
                  <c:v>Ilche ch'imt'alsa paro algi</c:v>
                </c:pt>
                <c:pt idx="15">
                  <c:v>Tongbuga Yŏksa Chaedan pŏnyŏk ch'ongsŏ</c:v>
                </c:pt>
                <c:pt idx="16">
                  <c:v>Ilche ch'imt'alsa charyo ch'ongsŏ</c:v>
                </c:pt>
                <c:pt idx="17">
                  <c:v>Chosŏn sidae kaein ilgi kugyŏk ch'ongsŏ</c:v>
                </c:pt>
                <c:pt idx="18">
                  <c:v>Tongbuga Yŏksa Chaedan kyoyang ch'ongsŏ</c:v>
                </c:pt>
                <c:pt idx="19">
                  <c:v>Tongbuga yŏksa charyo ch'ongsŏ</c:v>
                </c:pt>
                <c:pt idx="20">
                  <c:v>Tongbuga Yŏksa Chaedan yŏn'gu ch'ongsŏ</c:v>
                </c:pt>
              </c:strCache>
            </c:strRef>
          </c:cat>
          <c:val>
            <c:numRef>
              <c:f>'s-Series'!$E$2:$E$22</c:f>
              <c:numCache>
                <c:formatCode>General</c:formatCode>
                <c:ptCount val="21"/>
                <c:pt idx="0">
                  <c:v>1</c:v>
                </c:pt>
                <c:pt idx="1">
                  <c:v>1</c:v>
                </c:pt>
                <c:pt idx="2">
                  <c:v>1</c:v>
                </c:pt>
                <c:pt idx="3">
                  <c:v>1</c:v>
                </c:pt>
                <c:pt idx="4">
                  <c:v>1</c:v>
                </c:pt>
                <c:pt idx="5">
                  <c:v>1</c:v>
                </c:pt>
                <c:pt idx="6">
                  <c:v>1</c:v>
                </c:pt>
                <c:pt idx="7">
                  <c:v>1</c:v>
                </c:pt>
                <c:pt idx="8">
                  <c:v>1</c:v>
                </c:pt>
                <c:pt idx="9">
                  <c:v>1</c:v>
                </c:pt>
                <c:pt idx="10">
                  <c:v>1</c:v>
                </c:pt>
                <c:pt idx="11">
                  <c:v>1</c:v>
                </c:pt>
                <c:pt idx="12">
                  <c:v>1</c:v>
                </c:pt>
                <c:pt idx="13">
                  <c:v>2</c:v>
                </c:pt>
                <c:pt idx="14">
                  <c:v>3</c:v>
                </c:pt>
                <c:pt idx="15">
                  <c:v>4</c:v>
                </c:pt>
                <c:pt idx="16">
                  <c:v>5</c:v>
                </c:pt>
                <c:pt idx="17">
                  <c:v>7</c:v>
                </c:pt>
                <c:pt idx="18">
                  <c:v>11</c:v>
                </c:pt>
                <c:pt idx="19">
                  <c:v>14</c:v>
                </c:pt>
                <c:pt idx="20">
                  <c:v>53</c:v>
                </c:pt>
              </c:numCache>
            </c:numRef>
          </c:val>
          <c:extLst>
            <c:ext xmlns:c16="http://schemas.microsoft.com/office/drawing/2014/chart" uri="{C3380CC4-5D6E-409C-BE32-E72D297353CC}">
              <c16:uniqueId val="{00000002-326D-4F67-93A0-D5015F4D4D55}"/>
            </c:ext>
          </c:extLst>
        </c:ser>
        <c:dLbls>
          <c:showLegendKey val="0"/>
          <c:showVal val="0"/>
          <c:showCatName val="0"/>
          <c:showSerName val="0"/>
          <c:showPercent val="0"/>
          <c:showBubbleSize val="0"/>
        </c:dLbls>
        <c:gapWidth val="182"/>
        <c:axId val="1737739696"/>
        <c:axId val="1737737296"/>
      </c:barChart>
      <c:catAx>
        <c:axId val="17377396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737296"/>
        <c:crosses val="autoZero"/>
        <c:auto val="1"/>
        <c:lblAlgn val="ctr"/>
        <c:lblOffset val="100"/>
        <c:noMultiLvlLbl val="0"/>
      </c:catAx>
      <c:valAx>
        <c:axId val="17377372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7396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[Donation - Template.xlsm]s-Series!SeriesN</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 of Series Titles - Non Romanized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's-Series'!$U$1</c:f>
              <c:strCache>
                <c:ptCount val="1"/>
                <c:pt idx="0">
                  <c:v>Total</c:v>
                </c:pt>
              </c:strCache>
            </c:strRef>
          </c:tx>
          <c:spPr>
            <a:solidFill>
              <a:schemeClr val="accent2"/>
            </a:solidFill>
            <a:ln>
              <a:noFill/>
            </a:ln>
            <a:effectLst/>
          </c:spPr>
          <c:invertIfNegative val="0"/>
          <c:cat>
            <c:strRef>
              <c:f>'s-Series'!$T$2:$T$19</c:f>
              <c:strCache>
                <c:ptCount val="18"/>
                <c:pt idx="0">
                  <c:v>접경 인문학 번역 총서</c:v>
                </c:pt>
                <c:pt idx="1">
                  <c:v>김 유정 문학상 수상 작품집</c:v>
                </c:pt>
                <c:pt idx="2">
                  <c:v>동북아 역사 재단 기획 연구화 연구 ; 4</c:v>
                </c:pt>
                <c:pt idx="3">
                  <c:v>Haksul hoeŭi ch'ongsŏ (Korea (South)</c:v>
                </c:pt>
                <c:pt idx="4">
                  <c:v>꿈 꾸는 그림책</c:v>
                </c:pt>
                <c:pt idx="5">
                  <c:v>국립 중앙 도서관 고문헌 연구 총서</c:v>
                </c:pt>
                <c:pt idx="6">
                  <c:v>동북아 역사 재단 기획 연구화 연구 ; 3</c:v>
                </c:pt>
                <c:pt idx="7">
                  <c:v>국외 한국 문화재</c:v>
                </c:pt>
                <c:pt idx="8">
                  <c:v>국학 자료 심층 연구 총서</c:v>
                </c:pt>
                <c:pt idx="9">
                  <c:v>대한 민국 임시 정부사 연구 총서</c:v>
                </c:pt>
                <c:pt idx="10">
                  <c:v>奎章閣 資料 叢書. 系譜 篇</c:v>
                </c:pt>
                <c:pt idx="11">
                  <c:v>일제 침탈사 바로 알기</c:v>
                </c:pt>
                <c:pt idx="12">
                  <c:v>동북아 역사 재단 번역 총서</c:v>
                </c:pt>
                <c:pt idx="13">
                  <c:v>일제 침탈사 자료 총서</c:v>
                </c:pt>
                <c:pt idx="14">
                  <c:v>조선 시대 개인 일기 국역 총서</c:v>
                </c:pt>
                <c:pt idx="15">
                  <c:v>동북아 역사 재단 교양 총서</c:v>
                </c:pt>
                <c:pt idx="16">
                  <c:v>동북아 역사 자료 총서</c:v>
                </c:pt>
                <c:pt idx="17">
                  <c:v>동북아 역사 재단 연구 총서</c:v>
                </c:pt>
              </c:strCache>
            </c:strRef>
          </c:cat>
          <c:val>
            <c:numRef>
              <c:f>'s-Series'!$U$2:$U$19</c:f>
              <c:numCache>
                <c:formatCode>General</c:formatCode>
                <c:ptCount val="18"/>
                <c:pt idx="0">
                  <c:v>1</c:v>
                </c:pt>
                <c:pt idx="1">
                  <c:v>1</c:v>
                </c:pt>
                <c:pt idx="2">
                  <c:v>1</c:v>
                </c:pt>
                <c:pt idx="3">
                  <c:v>1</c:v>
                </c:pt>
                <c:pt idx="4">
                  <c:v>1</c:v>
                </c:pt>
                <c:pt idx="5">
                  <c:v>1</c:v>
                </c:pt>
                <c:pt idx="6">
                  <c:v>1</c:v>
                </c:pt>
                <c:pt idx="7">
                  <c:v>1</c:v>
                </c:pt>
                <c:pt idx="8">
                  <c:v>1</c:v>
                </c:pt>
                <c:pt idx="9">
                  <c:v>1</c:v>
                </c:pt>
                <c:pt idx="10">
                  <c:v>2</c:v>
                </c:pt>
                <c:pt idx="11">
                  <c:v>3</c:v>
                </c:pt>
                <c:pt idx="12">
                  <c:v>4</c:v>
                </c:pt>
                <c:pt idx="13">
                  <c:v>5</c:v>
                </c:pt>
                <c:pt idx="14">
                  <c:v>8</c:v>
                </c:pt>
                <c:pt idx="15">
                  <c:v>12</c:v>
                </c:pt>
                <c:pt idx="16">
                  <c:v>14</c:v>
                </c:pt>
                <c:pt idx="17">
                  <c:v>52</c:v>
                </c:pt>
              </c:numCache>
            </c:numRef>
          </c:val>
          <c:extLst>
            <c:ext xmlns:c16="http://schemas.microsoft.com/office/drawing/2014/chart" uri="{C3380CC4-5D6E-409C-BE32-E72D297353CC}">
              <c16:uniqueId val="{00000000-5FDF-49BC-919B-475B189266C3}"/>
            </c:ext>
          </c:extLst>
        </c:ser>
        <c:dLbls>
          <c:showLegendKey val="0"/>
          <c:showVal val="0"/>
          <c:showCatName val="0"/>
          <c:showSerName val="0"/>
          <c:showPercent val="0"/>
          <c:showBubbleSize val="0"/>
        </c:dLbls>
        <c:gapWidth val="182"/>
        <c:axId val="671150543"/>
        <c:axId val="671164463"/>
      </c:barChart>
      <c:catAx>
        <c:axId val="6711505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1164463"/>
        <c:crosses val="autoZero"/>
        <c:auto val="1"/>
        <c:lblAlgn val="ctr"/>
        <c:lblOffset val="100"/>
        <c:noMultiLvlLbl val="0"/>
      </c:catAx>
      <c:valAx>
        <c:axId val="6711644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11505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[Donation - Template.xlsm]s-Pub!PubRE</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rPr>
              <a:t>Count of Publishers - Romanized/English</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's-Pub'!$B$1</c:f>
              <c:strCache>
                <c:ptCount val="1"/>
                <c:pt idx="0">
                  <c:v>Total</c:v>
                </c:pt>
              </c:strCache>
            </c:strRef>
          </c:tx>
          <c:spPr>
            <a:solidFill>
              <a:schemeClr val="accent1"/>
            </a:solidFill>
            <a:ln>
              <a:noFill/>
            </a:ln>
            <a:effectLst/>
          </c:spPr>
          <c:invertIfNegative val="0"/>
          <c:cat>
            <c:strRef>
              <c:f>'s-Pub'!$A$2:$A$37</c:f>
              <c:strCache>
                <c:ptCount val="36"/>
                <c:pt idx="0">
                  <c:v>Munhak Tongne</c:v>
                </c:pt>
                <c:pt idx="1">
                  <c:v>Chŏnnam Taehakkyo Ch'ulp'an Munhwawŏn</c:v>
                </c:pt>
                <c:pt idx="2">
                  <c:v>Ch'orokpi Ch'aek Kongbang</c:v>
                </c:pt>
                <c:pt idx="3">
                  <c:v>Gimhae National Museum</c:v>
                </c:pt>
                <c:pt idx="4">
                  <c:v>National Memorial Of The Korean Provisional Government</c:v>
                </c:pt>
                <c:pt idx="5">
                  <c:v>Hanʼguk Yŏngsang Charyowŏn</c:v>
                </c:pt>
                <c:pt idx="6">
                  <c:v>Hyŏnsil Munhwa Yŏn'gu</c:v>
                </c:pt>
                <c:pt idx="7">
                  <c:v>Imaju</c:v>
                </c:pt>
                <c:pt idx="8">
                  <c:v>Kkum'gyo Ch'ulp'ansa</c:v>
                </c:pt>
                <c:pt idx="9">
                  <c:v>Nurwa</c:v>
                </c:pt>
                <c:pt idx="10">
                  <c:v>Kugoe Sojae Munhwajae Chaedan</c:v>
                </c:pt>
                <c:pt idx="11">
                  <c:v>Kungnip Chungang Tosogwŏn</c:v>
                </c:pt>
                <c:pt idx="12">
                  <c:v>Kungnip Taehan Min'guk Imsi Chŏngbu Kinyŏmgwan</c:v>
                </c:pt>
                <c:pt idx="13">
                  <c:v>Midasŭ Puksŭ</c:v>
                </c:pt>
                <c:pt idx="14">
                  <c:v>Parrhesia</c:v>
                </c:pt>
                <c:pt idx="15">
                  <c:v>Ch'aek Kwa Namu</c:v>
                </c:pt>
                <c:pt idx="16">
                  <c:v>Pusan Taehakkyo Ch'ulp'an Munhwawŏn</c:v>
                </c:pt>
                <c:pt idx="17">
                  <c:v>P'urŭn Yŏksa</c:v>
                </c:pt>
                <c:pt idx="18">
                  <c:v>Sae Mulkyŏl</c:v>
                </c:pt>
                <c:pt idx="19">
                  <c:v>學術 會議 叢書 (Korea (South). 국사 편찬 위원회) ; 2</c:v>
                </c:pt>
                <c:pt idx="20">
                  <c:v>Seoul metropolitan government</c:v>
                </c:pt>
                <c:pt idx="21">
                  <c:v>Han'guk Yŏngsang Charyowŏn</c:v>
                </c:pt>
                <c:pt idx="22">
                  <c:v>Seoul Selection</c:v>
                </c:pt>
                <c:pt idx="23">
                  <c:v>Munhak kwa Chisŏngsa</c:v>
                </c:pt>
                <c:pt idx="24">
                  <c:v>Ŭnhaeng Namu</c:v>
                </c:pt>
                <c:pt idx="25">
                  <c:v>K'ŏmyunik'eisyŏn Puksŭ</c:v>
                </c:pt>
                <c:pt idx="26">
                  <c:v>Yoo Youngkuk Art Foundation</c:v>
                </c:pt>
                <c:pt idx="27">
                  <c:v>P'aekt'ori Nain</c:v>
                </c:pt>
                <c:pt idx="28">
                  <c:v>Sŏul Taehakkyo Kyujang'gak Han'gukhak Yŏn'guwŏn</c:v>
                </c:pt>
                <c:pt idx="29">
                  <c:v>Mari Puksŭ</c:v>
                </c:pt>
                <c:pt idx="30">
                  <c:v>Northeast Asian History Foundation</c:v>
                </c:pt>
                <c:pt idx="31">
                  <c:v>n/a</c:v>
                </c:pt>
                <c:pt idx="32">
                  <c:v>Kungnip Munhwajae Yŏn'guso</c:v>
                </c:pt>
                <c:pt idx="33">
                  <c:v>Dongbuga Yeoksa Jaedan</c:v>
                </c:pt>
                <c:pt idx="34">
                  <c:v>Sŏul Taehakkyo Kyujanggak Han'gukhak Yŏn'guwŏn</c:v>
                </c:pt>
                <c:pt idx="35">
                  <c:v>Tongbuga Yŏksa Chaedan</c:v>
                </c:pt>
              </c:strCache>
            </c:strRef>
          </c:cat>
          <c:val>
            <c:numRef>
              <c:f>'s-Pub'!$B$2:$B$37</c:f>
              <c:numCache>
                <c:formatCode>General</c:formatCode>
                <c:ptCount val="36"/>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2</c:v>
                </c:pt>
                <c:pt idx="28">
                  <c:v>2</c:v>
                </c:pt>
                <c:pt idx="29">
                  <c:v>3</c:v>
                </c:pt>
                <c:pt idx="30">
                  <c:v>4</c:v>
                </c:pt>
                <c:pt idx="31">
                  <c:v>7</c:v>
                </c:pt>
                <c:pt idx="32">
                  <c:v>8</c:v>
                </c:pt>
                <c:pt idx="33">
                  <c:v>8</c:v>
                </c:pt>
                <c:pt idx="34">
                  <c:v>8</c:v>
                </c:pt>
                <c:pt idx="35">
                  <c:v>115</c:v>
                </c:pt>
              </c:numCache>
            </c:numRef>
          </c:val>
          <c:extLst>
            <c:ext xmlns:c16="http://schemas.microsoft.com/office/drawing/2014/chart" uri="{C3380CC4-5D6E-409C-BE32-E72D297353CC}">
              <c16:uniqueId val="{00000000-3411-4D7A-B3AB-223EEBF01EFE}"/>
            </c:ext>
          </c:extLst>
        </c:ser>
        <c:dLbls>
          <c:showLegendKey val="0"/>
          <c:showVal val="0"/>
          <c:showCatName val="0"/>
          <c:showSerName val="0"/>
          <c:showPercent val="0"/>
          <c:showBubbleSize val="0"/>
        </c:dLbls>
        <c:gapWidth val="182"/>
        <c:axId val="458982223"/>
        <c:axId val="458978863"/>
      </c:barChart>
      <c:catAx>
        <c:axId val="4589822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978863"/>
        <c:crosses val="autoZero"/>
        <c:auto val="1"/>
        <c:lblAlgn val="ctr"/>
        <c:lblOffset val="100"/>
        <c:noMultiLvlLbl val="0"/>
      </c:catAx>
      <c:valAx>
        <c:axId val="4589788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9822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[Donation - Template.xlsm]s-Pub!PubN</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rPr>
              <a:t>Count of Publishers - Non-Romanized</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's-Pub'!$N$1</c:f>
              <c:strCache>
                <c:ptCount val="1"/>
                <c:pt idx="0">
                  <c:v>Total</c:v>
                </c:pt>
              </c:strCache>
            </c:strRef>
          </c:tx>
          <c:spPr>
            <a:solidFill>
              <a:schemeClr val="accent2"/>
            </a:solidFill>
            <a:ln>
              <a:noFill/>
            </a:ln>
            <a:effectLst/>
          </c:spPr>
          <c:invertIfNegative val="0"/>
          <c:cat>
            <c:strRef>
              <c:f>'s-Pub'!$M$2</c:f>
              <c:strCache>
                <c:ptCount val="1"/>
                <c:pt idx="0">
                  <c:v>동북아역사재단</c:v>
                </c:pt>
              </c:strCache>
            </c:strRef>
          </c:cat>
          <c:val>
            <c:numRef>
              <c:f>'s-Pub'!$N$2</c:f>
              <c:numCache>
                <c:formatCode>General</c:formatCode>
                <c:ptCount val="1"/>
                <c:pt idx="0">
                  <c:v>8</c:v>
                </c:pt>
              </c:numCache>
            </c:numRef>
          </c:val>
          <c:extLst>
            <c:ext xmlns:c16="http://schemas.microsoft.com/office/drawing/2014/chart" uri="{C3380CC4-5D6E-409C-BE32-E72D297353CC}">
              <c16:uniqueId val="{00000000-63CA-4620-A8CE-089C6F14E691}"/>
            </c:ext>
          </c:extLst>
        </c:ser>
        <c:dLbls>
          <c:showLegendKey val="0"/>
          <c:showVal val="0"/>
          <c:showCatName val="0"/>
          <c:showSerName val="0"/>
          <c:showPercent val="0"/>
          <c:showBubbleSize val="0"/>
        </c:dLbls>
        <c:gapWidth val="182"/>
        <c:axId val="1652869167"/>
        <c:axId val="1652870607"/>
      </c:barChart>
      <c:catAx>
        <c:axId val="16528691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2870607"/>
        <c:crosses val="autoZero"/>
        <c:auto val="1"/>
        <c:lblAlgn val="ctr"/>
        <c:lblOffset val="100"/>
        <c:noMultiLvlLbl val="0"/>
      </c:catAx>
      <c:valAx>
        <c:axId val="165287060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28691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[Donation - Template.xlsm]s-Date!dates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rPr>
              <a:t>Count of Publications by Year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's-Date'!$B$1</c:f>
              <c:strCache>
                <c:ptCount val="1"/>
                <c:pt idx="0">
                  <c:v>Total</c:v>
                </c:pt>
              </c:strCache>
            </c:strRef>
          </c:tx>
          <c:spPr>
            <a:solidFill>
              <a:schemeClr val="accent1"/>
            </a:solidFill>
            <a:ln>
              <a:noFill/>
            </a:ln>
            <a:effectLst/>
          </c:spPr>
          <c:invertIfNegative val="0"/>
          <c:cat>
            <c:strRef>
              <c:f>'s-Date'!$A$2:$A$21</c:f>
              <c:strCache>
                <c:ptCount val="20"/>
                <c:pt idx="0">
                  <c:v>2022</c:v>
                </c:pt>
                <c:pt idx="1">
                  <c:v>2021</c:v>
                </c:pt>
                <c:pt idx="2">
                  <c:v>2022</c:v>
                </c:pt>
                <c:pt idx="3">
                  <c:v>2006</c:v>
                </c:pt>
                <c:pt idx="4">
                  <c:v>2016</c:v>
                </c:pt>
                <c:pt idx="5">
                  <c:v>2009</c:v>
                </c:pt>
                <c:pt idx="6">
                  <c:v>2015</c:v>
                </c:pt>
                <c:pt idx="7">
                  <c:v>2015-2017</c:v>
                </c:pt>
                <c:pt idx="8">
                  <c:v>2017</c:v>
                </c:pt>
                <c:pt idx="9">
                  <c:v>2020- </c:v>
                </c:pt>
                <c:pt idx="10">
                  <c:v>2012- </c:v>
                </c:pt>
                <c:pt idx="11">
                  <c:v>2020</c:v>
                </c:pt>
                <c:pt idx="12">
                  <c:v>2019- </c:v>
                </c:pt>
                <c:pt idx="13">
                  <c:v>2018</c:v>
                </c:pt>
                <c:pt idx="14">
                  <c:v>2020-2021</c:v>
                </c:pt>
                <c:pt idx="15">
                  <c:v>2018-2019</c:v>
                </c:pt>
                <c:pt idx="16">
                  <c:v>2019</c:v>
                </c:pt>
                <c:pt idx="17">
                  <c:v>2020</c:v>
                </c:pt>
                <c:pt idx="18">
                  <c:v>2018</c:v>
                </c:pt>
                <c:pt idx="19">
                  <c:v>2019</c:v>
                </c:pt>
              </c:strCache>
            </c:strRef>
          </c:cat>
          <c:val>
            <c:numRef>
              <c:f>'s-Date'!$B$2:$B$21</c:f>
              <c:numCache>
                <c:formatCode>General</c:formatCode>
                <c:ptCount val="20"/>
                <c:pt idx="0">
                  <c:v>1</c:v>
                </c:pt>
                <c:pt idx="1">
                  <c:v>1</c:v>
                </c:pt>
                <c:pt idx="2">
                  <c:v>1</c:v>
                </c:pt>
                <c:pt idx="3">
                  <c:v>1</c:v>
                </c:pt>
                <c:pt idx="4">
                  <c:v>1</c:v>
                </c:pt>
                <c:pt idx="5">
                  <c:v>1</c:v>
                </c:pt>
                <c:pt idx="6">
                  <c:v>1</c:v>
                </c:pt>
                <c:pt idx="7">
                  <c:v>1</c:v>
                </c:pt>
                <c:pt idx="8">
                  <c:v>1</c:v>
                </c:pt>
                <c:pt idx="9">
                  <c:v>3</c:v>
                </c:pt>
                <c:pt idx="10">
                  <c:v>4</c:v>
                </c:pt>
                <c:pt idx="11">
                  <c:v>4</c:v>
                </c:pt>
                <c:pt idx="12">
                  <c:v>7</c:v>
                </c:pt>
                <c:pt idx="13">
                  <c:v>7</c:v>
                </c:pt>
                <c:pt idx="14">
                  <c:v>8</c:v>
                </c:pt>
                <c:pt idx="15">
                  <c:v>13</c:v>
                </c:pt>
                <c:pt idx="16">
                  <c:v>24</c:v>
                </c:pt>
                <c:pt idx="17">
                  <c:v>26</c:v>
                </c:pt>
                <c:pt idx="18">
                  <c:v>30</c:v>
                </c:pt>
                <c:pt idx="19">
                  <c:v>44</c:v>
                </c:pt>
              </c:numCache>
            </c:numRef>
          </c:val>
          <c:extLst>
            <c:ext xmlns:c16="http://schemas.microsoft.com/office/drawing/2014/chart" uri="{C3380CC4-5D6E-409C-BE32-E72D297353CC}">
              <c16:uniqueId val="{00000000-482C-4E04-A017-D5B8E3766A7B}"/>
            </c:ext>
          </c:extLst>
        </c:ser>
        <c:dLbls>
          <c:showLegendKey val="0"/>
          <c:showVal val="0"/>
          <c:showCatName val="0"/>
          <c:showSerName val="0"/>
          <c:showPercent val="0"/>
          <c:showBubbleSize val="0"/>
        </c:dLbls>
        <c:gapWidth val="182"/>
        <c:axId val="453838383"/>
        <c:axId val="453839823"/>
      </c:barChart>
      <c:catAx>
        <c:axId val="4538383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839823"/>
        <c:crosses val="autoZero"/>
        <c:auto val="1"/>
        <c:lblAlgn val="ctr"/>
        <c:lblOffset val="100"/>
        <c:noMultiLvlLbl val="0"/>
      </c:catAx>
      <c:valAx>
        <c:axId val="45383982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8383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[Donation - Template.xlsm]s-Date!decades</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rPr>
              <a:t>Count of Publications by Decade</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's-Date'!$R$1</c:f>
              <c:strCache>
                <c:ptCount val="1"/>
                <c:pt idx="0">
                  <c:v>Total</c:v>
                </c:pt>
              </c:strCache>
            </c:strRef>
          </c:tx>
          <c:spPr>
            <a:solidFill>
              <a:schemeClr val="accent5"/>
            </a:solidFill>
            <a:ln>
              <a:noFill/>
            </a:ln>
            <a:effectLst/>
          </c:spPr>
          <c:invertIfNegative val="0"/>
          <c:cat>
            <c:strRef>
              <c:f>'s-Date'!$Q$2:$Q$3</c:f>
              <c:strCache>
                <c:ptCount val="2"/>
                <c:pt idx="0">
                  <c:v>2010-2019</c:v>
                </c:pt>
                <c:pt idx="1">
                  <c:v>2020-2029</c:v>
                </c:pt>
              </c:strCache>
            </c:strRef>
          </c:cat>
          <c:val>
            <c:numRef>
              <c:f>'s-Date'!$R$2:$R$3</c:f>
              <c:numCache>
                <c:formatCode>General</c:formatCode>
                <c:ptCount val="2"/>
                <c:pt idx="0">
                  <c:v>37</c:v>
                </c:pt>
                <c:pt idx="1">
                  <c:v>12</c:v>
                </c:pt>
              </c:numCache>
            </c:numRef>
          </c:val>
          <c:extLst>
            <c:ext xmlns:c16="http://schemas.microsoft.com/office/drawing/2014/chart" uri="{C3380CC4-5D6E-409C-BE32-E72D297353CC}">
              <c16:uniqueId val="{00000000-1A51-4934-9B7A-3F6C043EEF86}"/>
            </c:ext>
          </c:extLst>
        </c:ser>
        <c:dLbls>
          <c:showLegendKey val="0"/>
          <c:showVal val="0"/>
          <c:showCatName val="0"/>
          <c:showSerName val="0"/>
          <c:showPercent val="0"/>
          <c:showBubbleSize val="0"/>
        </c:dLbls>
        <c:gapWidth val="182"/>
        <c:axId val="512786607"/>
        <c:axId val="512780367"/>
      </c:barChart>
      <c:catAx>
        <c:axId val="5127866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780367"/>
        <c:crosses val="autoZero"/>
        <c:auto val="1"/>
        <c:lblAlgn val="ctr"/>
        <c:lblOffset val="100"/>
        <c:noMultiLvlLbl val="0"/>
      </c:catAx>
      <c:valAx>
        <c:axId val="51278036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7866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[Donation - Template.xlsm]s-Subjects!Subjects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rPr>
              <a:t>Count of Subject Headings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's-Subjects'!$C$4</c:f>
              <c:strCache>
                <c:ptCount val="1"/>
                <c:pt idx="0">
                  <c:v>Total</c:v>
                </c:pt>
              </c:strCache>
            </c:strRef>
          </c:tx>
          <c:spPr>
            <a:solidFill>
              <a:schemeClr val="accent1"/>
            </a:solidFill>
            <a:ln>
              <a:noFill/>
            </a:ln>
            <a:effectLst/>
          </c:spPr>
          <c:invertIfNegative val="0"/>
          <c:cat>
            <c:strRef>
              <c:f>'s-Subjects'!$B$5:$B$169</c:f>
              <c:strCache>
                <c:ptCount val="164"/>
                <c:pt idx="0">
                  <c:v>National characteristics, Japanese</c:v>
                </c:pt>
                <c:pt idx="1">
                  <c:v>Tungusic peoples -- Social life and customs</c:v>
                </c:pt>
                <c:pt idx="2">
                  <c:v>Middle class -- Korea -- History</c:v>
                </c:pt>
                <c:pt idx="3">
                  <c:v>Clans -- Korea -- History</c:v>
                </c:pt>
                <c:pt idx="4">
                  <c:v>Manners and customs</c:v>
                </c:pt>
                <c:pt idx="5">
                  <c:v>Princes  --  Corée  --  Biographies</c:v>
                </c:pt>
                <c:pt idx="6">
                  <c:v>Nationalisme  --  Japon  --  Histoire</c:v>
                </c:pt>
                <c:pt idx="7">
                  <c:v>Consumer behavior</c:v>
                </c:pt>
                <c:pt idx="8">
                  <c:v>Korean language materials</c:v>
                </c:pt>
                <c:pt idx="9">
                  <c:v>Goddesses</c:v>
                </c:pt>
                <c:pt idx="10">
                  <c:v>Rap (Music)  --  Korea (South)  --  History and criticism</c:v>
                </c:pt>
                <c:pt idx="11">
                  <c:v>Colonization</c:v>
                </c:pt>
                <c:pt idx="12">
                  <c:v>Traffic accidents  --  Fiction</c:v>
                </c:pt>
                <c:pt idx="13">
                  <c:v>Nationalism  --  Japan  --  History</c:v>
                </c:pt>
                <c:pt idx="14">
                  <c:v>Popular music fans</c:v>
                </c:pt>
                <c:pt idx="15">
                  <c:v>Popular music  --  Korea (South)  --  History and criticism</c:v>
                </c:pt>
                <c:pt idx="16">
                  <c:v>Mountain ecology  --  Korea (North)  --  Paektu Mountain</c:v>
                </c:pt>
                <c:pt idx="17">
                  <c:v>Boundaries</c:v>
                </c:pt>
                <c:pt idx="18">
                  <c:v>Chosŏnjok</c:v>
                </c:pt>
                <c:pt idx="19">
                  <c:v>Nature conservation  --  Korea (North)  --  Paektu Mountain</c:v>
                </c:pt>
                <c:pt idx="20">
                  <c:v>Shinto and politics  --  Japan  --  History</c:v>
                </c:pt>
                <c:pt idx="21">
                  <c:v>Shinto shrines  --  Japan  --  Tokyo</c:v>
                </c:pt>
                <c:pt idx="22">
                  <c:v>Shinto and politics -- Japan -- History</c:v>
                </c:pt>
                <c:pt idx="23">
                  <c:v>Reconciliation  --  Political aspects</c:v>
                </c:pt>
                <c:pt idx="24">
                  <c:v>World politics</c:v>
                </c:pt>
                <c:pt idx="25">
                  <c:v>Right-wing extremists  --  Japan</c:v>
                </c:pt>
                <c:pt idx="26">
                  <c:v>Cemeteries  --  Korea (South)  --  Pusan  --  Juvenile fiction</c:v>
                </c:pt>
                <c:pt idx="27">
                  <c:v>Private schools  --  Korea (South)  --  Andong-gun</c:v>
                </c:pt>
                <c:pt idx="28">
                  <c:v>Nationalism  --  Japan</c:v>
                </c:pt>
                <c:pt idx="29">
                  <c:v>Stone carving  --  East Asia  --  History</c:v>
                </c:pt>
                <c:pt idx="30">
                  <c:v>Territoire national  --  Corée</c:v>
                </c:pt>
                <c:pt idx="31">
                  <c:v>Territory, National  --  Law and legislation  --  Korea (South)</c:v>
                </c:pt>
                <c:pt idx="32">
                  <c:v>Korean literature  --  1392-1894  --  History and criticism</c:v>
                </c:pt>
                <c:pt idx="33">
                  <c:v>Modernism (Art)  --  Korea (South)  --  Exhibitions</c:v>
                </c:pt>
                <c:pt idx="34">
                  <c:v>Confucian shrines  --  Korea (South)  --  Andong-gun</c:v>
                </c:pt>
                <c:pt idx="35">
                  <c:v>Korean reunification question (1945- )  --  Philosophy</c:v>
                </c:pt>
                <c:pt idx="36">
                  <c:v>Korean poetry  --  To 1900  --  History and criticism</c:v>
                </c:pt>
                <c:pt idx="37">
                  <c:v>Kim Yu-jŏng Munhaksang</c:v>
                </c:pt>
                <c:pt idx="38">
                  <c:v>Koreans  --  Monuments  --  Japan</c:v>
                </c:pt>
                <c:pt idx="39">
                  <c:v>Historic sites  --  Korea (South)  --  Seoul</c:v>
                </c:pt>
                <c:pt idx="40">
                  <c:v>Korea  --  Foreign relations  --  Japan</c:v>
                </c:pt>
                <c:pt idx="41">
                  <c:v>Parks  --  Korea (South)  --  Seoul</c:v>
                </c:pt>
                <c:pt idx="42">
                  <c:v>Korea -- Foreign relations -- Japan</c:v>
                </c:pt>
                <c:pt idx="43">
                  <c:v>Excavations (Archaeology)  --  Korea (North)  --  Pukch'ŏng-gun</c:v>
                </c:pt>
                <c:pt idx="44">
                  <c:v>Art, Korean  --  20th century  --  Exhibitions</c:v>
                </c:pt>
                <c:pt idx="45">
                  <c:v>Painting, Korean  --  Korea (North)</c:v>
                </c:pt>
                <c:pt idx="46">
                  <c:v>Painting, Korean</c:v>
                </c:pt>
                <c:pt idx="47">
                  <c:v>Han Dynasty (China)</c:v>
                </c:pt>
                <c:pt idx="48">
                  <c:v>Church and state  --  Korea (South)</c:v>
                </c:pt>
                <c:pt idx="49">
                  <c:v>Documentary films -- Korea (South)</c:v>
                </c:pt>
                <c:pt idx="50">
                  <c:v>Painting, Korean  --  20th century</c:v>
                </c:pt>
                <c:pt idx="51">
                  <c:v>Diplomats -- Russia -- 19th century -- Biography</c:v>
                </c:pt>
                <c:pt idx="52">
                  <c:v>Literary prizes  --  Korea (South)</c:v>
                </c:pt>
                <c:pt idx="53">
                  <c:v>Evenki (Asian people) -- China -- Social life and customs</c:v>
                </c:pt>
                <c:pt idx="54">
                  <c:v>Rêves  --  Romans, nouvelles, etc</c:v>
                </c:pt>
                <c:pt idx="55">
                  <c:v>Education</c:v>
                </c:pt>
                <c:pt idx="56">
                  <c:v>Historic sites  --  Korea (South)  --  Seoul  --  Pictorial works</c:v>
                </c:pt>
                <c:pt idx="57">
                  <c:v>Territory, National -- Korea (South) -- Sources</c:v>
                </c:pt>
                <c:pt idx="58">
                  <c:v>Forced labor  --  Japan  --  History  --  20th century</c:v>
                </c:pt>
                <c:pt idx="59">
                  <c:v>To 935</c:v>
                </c:pt>
                <c:pt idx="60">
                  <c:v>Parks  --  Korea (South)  --  Seoul  --  Designs and plans</c:v>
                </c:pt>
                <c:pt idx="61">
                  <c:v>Documents de bibliothèque  --  Conservation et restauration  --  Corée du Sud</c:v>
                </c:pt>
                <c:pt idx="62">
                  <c:v>Gazetteers</c:v>
                </c:pt>
                <c:pt idx="63">
                  <c:v>Metal-work  --  Kaya (Confederation)  --  Catalogs</c:v>
                </c:pt>
                <c:pt idx="64">
                  <c:v>Ink painting, Korean  --  Korea (North)</c:v>
                </c:pt>
                <c:pt idx="65">
                  <c:v>Library materials  --  Conservation and restoration  --  Korea (South)</c:v>
                </c:pt>
                <c:pt idx="66">
                  <c:v>Ceramics  --  Korea  --  Catalogs</c:v>
                </c:pt>
                <c:pt idx="67">
                  <c:v>Korean fiction  --  20th century</c:v>
                </c:pt>
                <c:pt idx="68">
                  <c:v>Qin Dynasty (China)</c:v>
                </c:pt>
                <c:pt idx="69">
                  <c:v>Fan clubs</c:v>
                </c:pt>
                <c:pt idx="70">
                  <c:v>World War, 1939-1945 -- Personal narratives, Korean</c:v>
                </c:pt>
                <c:pt idx="71">
                  <c:v>Shinto shrines -- Japan -- Tokyo</c:v>
                </c:pt>
                <c:pt idx="72">
                  <c:v>Qing Dynasty (China)</c:v>
                </c:pt>
                <c:pt idx="73">
                  <c:v>Landscapes in literature</c:v>
                </c:pt>
                <c:pt idx="74">
                  <c:v>宋 周相, 1695-1752 Travel</c:v>
                </c:pt>
                <c:pt idx="75">
                  <c:v>Foreign workers, Korean  --  Monuments  --  Japan</c:v>
                </c:pt>
                <c:pt idx="76">
                  <c:v>Korean War, 1950-1953 -- Motion pictures and the war</c:v>
                </c:pt>
                <c:pt idx="77">
                  <c:v>Painting, Abstract  --  Korea</c:v>
                </c:pt>
                <c:pt idx="78">
                  <c:v>Diplomates -- Russie -- 19e siècle -- Biographies</c:v>
                </c:pt>
                <c:pt idx="79">
                  <c:v>Department stores  --  Fiction</c:v>
                </c:pt>
                <c:pt idx="80">
                  <c:v>Treaties</c:v>
                </c:pt>
                <c:pt idx="81">
                  <c:v>Names, Geographical  --  Korea (South)  --  Kangwŏn-do  --  History</c:v>
                </c:pt>
                <c:pt idx="82">
                  <c:v>Language and languages</c:v>
                </c:pt>
                <c:pt idx="83">
                  <c:v>Handicraft  --  Korea  --  Catalogs</c:v>
                </c:pt>
                <c:pt idx="84">
                  <c:v>Evenki (Asian people) -- Social life and customs</c:v>
                </c:pt>
                <c:pt idx="85">
                  <c:v>Korean War, 1950-1953 -- Drama</c:v>
                </c:pt>
                <c:pt idx="86">
                  <c:v>Names</c:v>
                </c:pt>
                <c:pt idx="87">
                  <c:v>Names, Geographical -- Japan, Sea of</c:v>
                </c:pt>
                <c:pt idx="88">
                  <c:v>Nationalism -- Japan</c:v>
                </c:pt>
                <c:pt idx="89">
                  <c:v>Tang Dynasty (China)</c:v>
                </c:pt>
                <c:pt idx="90">
                  <c:v>Tungus-Manchu languages</c:v>
                </c:pt>
                <c:pt idx="91">
                  <c:v>1910-1945</c:v>
                </c:pt>
                <c:pt idx="92">
                  <c:v>Territory, National -- Japan -- Sources</c:v>
                </c:pt>
                <c:pt idx="93">
                  <c:v>Pottery  --  Kaya (Confederation)  --  Catalogs</c:v>
                </c:pt>
                <c:pt idx="94">
                  <c:v>Middle class -- Korea -- Genealogy</c:v>
                </c:pt>
                <c:pt idx="95">
                  <c:v>Koreans  --  China  --  Yanbian Chaoxianzu Zizhizhou</c:v>
                </c:pt>
                <c:pt idx="96">
                  <c:v>Clans</c:v>
                </c:pt>
                <c:pt idx="97">
                  <c:v>Korean poetry  --  Translations into English  --  History and criticism</c:v>
                </c:pt>
                <c:pt idx="98">
                  <c:v>Nationalism -- East Asia -- 21st century</c:v>
                </c:pt>
                <c:pt idx="99">
                  <c:v>Painters  --  Korea  --  Biography</c:v>
                </c:pt>
                <c:pt idx="100">
                  <c:v>Navies -- History -- 19th century</c:v>
                </c:pt>
                <c:pt idx="101">
                  <c:v>Tombs  --  Korea (North)  --  Pongsan-gun  --  Pictorial works</c:v>
                </c:pt>
                <c:pt idx="102">
                  <c:v>Borderlands -- China</c:v>
                </c:pt>
                <c:pt idx="103">
                  <c:v>Korean language -- To 935</c:v>
                </c:pt>
                <c:pt idx="104">
                  <c:v>Diplomats -- Korea -- History</c:v>
                </c:pt>
                <c:pt idx="105">
                  <c:v>Goddesses in art</c:v>
                </c:pt>
                <c:pt idx="106">
                  <c:v>Koreans -- Japan -- History</c:v>
                </c:pt>
                <c:pt idx="107">
                  <c:v>Amnesia  --  Fiction</c:v>
                </c:pt>
                <c:pt idx="108">
                  <c:v>Consumer behavior -- Korea (North)</c:v>
                </c:pt>
                <c:pt idx="109">
                  <c:v>Territory, National -- Law and legislation -- Korea (South)</c:v>
                </c:pt>
                <c:pt idx="110">
                  <c:v>Navies -- History -- 20th century</c:v>
                </c:pt>
                <c:pt idx="111">
                  <c:v>Ombudspersons -- Korea -- Diaries</c:v>
                </c:pt>
                <c:pt idx="112">
                  <c:v>Nationalists -- Korea -- 20th century</c:v>
                </c:pt>
                <c:pt idx="113">
                  <c:v>Princes  --  Korea  --  Biography</c:v>
                </c:pt>
                <c:pt idx="114">
                  <c:v>Geography -- Political aspects -- China</c:v>
                </c:pt>
                <c:pt idx="115">
                  <c:v>World War, 1939-1945  --  Conscript labor  --  Japan</c:v>
                </c:pt>
                <c:pt idx="116">
                  <c:v>Translators -- Korea -- History</c:v>
                </c:pt>
                <c:pt idx="117">
                  <c:v>Sepulchral monuments  --  Korea (South)  --  Pusan  --  History  --  Juvenile fiction</c:v>
                </c:pt>
                <c:pt idx="118">
                  <c:v>To 1392</c:v>
                </c:pt>
                <c:pt idx="119">
                  <c:v>Territory, National -- Korea</c:v>
                </c:pt>
                <c:pt idx="120">
                  <c:v>Koreans -- Japan -- Social conditions</c:v>
                </c:pt>
                <c:pt idx="121">
                  <c:v>Sources</c:v>
                </c:pt>
                <c:pt idx="122">
                  <c:v>Service diplomatique et consulaire coréen  --  Chine  --  Histoire</c:v>
                </c:pt>
                <c:pt idx="123">
                  <c:v>Diplomatic and consular service, Korean  --  China  --  History</c:v>
                </c:pt>
                <c:pt idx="124">
                  <c:v>Koreans -- China -- Politics and government</c:v>
                </c:pt>
                <c:pt idx="125">
                  <c:v>Travel</c:v>
                </c:pt>
                <c:pt idx="126">
                  <c:v>Telecommunication -- East Asia -- History -- 19th century</c:v>
                </c:pt>
                <c:pt idx="127">
                  <c:v>Territory, National  --  Korea (South)</c:v>
                </c:pt>
                <c:pt idx="128">
                  <c:v>Comfort women  --  East Asia  --  History  --  Sources</c:v>
                </c:pt>
                <c:pt idx="129">
                  <c:v>Dreams  --  Fiction</c:v>
                </c:pt>
                <c:pt idx="130">
                  <c:v>1900-1999</c:v>
                </c:pt>
                <c:pt idx="131">
                  <c:v>World War, 1939-1945 -- Atrocities -- Asia</c:v>
                </c:pt>
                <c:pt idx="132">
                  <c:v>Comfort women  --  Korea  --  History  --  Sources</c:v>
                </c:pt>
                <c:pt idx="133">
                  <c:v>소련(국명)[蘇聯]; 북한(국명)北韓; 조선(국명)[朝鮮]</c:v>
                </c:pt>
                <c:pt idx="134">
                  <c:v>Territory, National  --  Korea</c:v>
                </c:pt>
                <c:pt idx="135">
                  <c:v>Economic history</c:v>
                </c:pt>
                <c:pt idx="136">
                  <c:v>Koreans  --  China  --  Politics and government</c:v>
                </c:pt>
                <c:pt idx="137">
                  <c:v>Territory, National  --  Japan</c:v>
                </c:pt>
                <c:pt idx="138">
                  <c:v>Comfort women -- Korea -- History -- Sources</c:v>
                </c:pt>
                <c:pt idx="139">
                  <c:v>Sino-Japanese War, 1937-1945 -- Women</c:v>
                </c:pt>
                <c:pt idx="140">
                  <c:v>International law</c:v>
                </c:pt>
                <c:pt idx="141">
                  <c:v>Comfort women -- China -- Shanghai</c:v>
                </c:pt>
                <c:pt idx="142">
                  <c:v>Comfort women -- Korea</c:v>
                </c:pt>
                <c:pt idx="143">
                  <c:v>Korean language  --  Textbooks for foreign speakers</c:v>
                </c:pt>
                <c:pt idx="144">
                  <c:v>Comfort women -- East Asia -- History -- Sources</c:v>
                </c:pt>
                <c:pt idx="145">
                  <c:v>Politics and government</c:v>
                </c:pt>
                <c:pt idx="146">
                  <c:v>Korean language  --  Problems, exercises, etc</c:v>
                </c:pt>
                <c:pt idx="147">
                  <c:v>외교 관계外交關係</c:v>
                </c:pt>
                <c:pt idx="148">
                  <c:v>Civilization</c:v>
                </c:pt>
                <c:pt idx="149">
                  <c:v>Territory, National -- Japan</c:v>
                </c:pt>
                <c:pt idx="150">
                  <c:v>Korean resistance movements, 1905-1945</c:v>
                </c:pt>
                <c:pt idx="151">
                  <c:v>Manuscripts  --  Conservation and restoration  --  Korea (South)</c:v>
                </c:pt>
                <c:pt idx="152">
                  <c:v>Diaries</c:v>
                </c:pt>
                <c:pt idx="153">
                  <c:v>Archival materials  --  Conservation and restoration  --  Korea (South)</c:v>
                </c:pt>
                <c:pt idx="154">
                  <c:v>Territory, National -- Korea (South)</c:v>
                </c:pt>
                <c:pt idx="155">
                  <c:v>Historic sites  --  Russia (Federation)  --  Primorskiĭ kraĭ</c:v>
                </c:pt>
                <c:pt idx="156">
                  <c:v>Excavations (Archaeology)  --  Russia (Federation)  --  Primorskiĭ kraĭ</c:v>
                </c:pt>
                <c:pt idx="157">
                  <c:v>International relations</c:v>
                </c:pt>
                <c:pt idx="158">
                  <c:v>Employees</c:v>
                </c:pt>
                <c:pt idx="159">
                  <c:v>Historiography</c:v>
                </c:pt>
                <c:pt idx="160">
                  <c:v>Excavations (Archaeology)  --  China</c:v>
                </c:pt>
                <c:pt idx="161">
                  <c:v>Antiquities</c:v>
                </c:pt>
                <c:pt idx="162">
                  <c:v>History</c:v>
                </c:pt>
                <c:pt idx="163">
                  <c:v>Diplomatic relations</c:v>
                </c:pt>
              </c:strCache>
            </c:strRef>
          </c:cat>
          <c:val>
            <c:numRef>
              <c:f>'s-Subjects'!$C$5:$C$169</c:f>
              <c:numCache>
                <c:formatCode>General</c:formatCode>
                <c:ptCount val="16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2</c:v>
                </c:pt>
                <c:pt idx="122">
                  <c:v>2</c:v>
                </c:pt>
                <c:pt idx="123">
                  <c:v>2</c:v>
                </c:pt>
                <c:pt idx="124">
                  <c:v>2</c:v>
                </c:pt>
                <c:pt idx="125">
                  <c:v>2</c:v>
                </c:pt>
                <c:pt idx="126">
                  <c:v>2</c:v>
                </c:pt>
                <c:pt idx="127">
                  <c:v>2</c:v>
                </c:pt>
                <c:pt idx="128">
                  <c:v>2</c:v>
                </c:pt>
                <c:pt idx="129">
                  <c:v>2</c:v>
                </c:pt>
                <c:pt idx="130">
                  <c:v>2</c:v>
                </c:pt>
                <c:pt idx="131">
                  <c:v>2</c:v>
                </c:pt>
                <c:pt idx="132">
                  <c:v>2</c:v>
                </c:pt>
                <c:pt idx="133">
                  <c:v>2</c:v>
                </c:pt>
                <c:pt idx="134">
                  <c:v>2</c:v>
                </c:pt>
                <c:pt idx="135">
                  <c:v>2</c:v>
                </c:pt>
                <c:pt idx="136">
                  <c:v>2</c:v>
                </c:pt>
                <c:pt idx="137">
                  <c:v>3</c:v>
                </c:pt>
                <c:pt idx="138">
                  <c:v>3</c:v>
                </c:pt>
                <c:pt idx="139">
                  <c:v>3</c:v>
                </c:pt>
                <c:pt idx="140">
                  <c:v>3</c:v>
                </c:pt>
                <c:pt idx="141">
                  <c:v>3</c:v>
                </c:pt>
                <c:pt idx="142">
                  <c:v>3</c:v>
                </c:pt>
                <c:pt idx="143">
                  <c:v>3</c:v>
                </c:pt>
                <c:pt idx="144">
                  <c:v>3</c:v>
                </c:pt>
                <c:pt idx="145">
                  <c:v>3</c:v>
                </c:pt>
                <c:pt idx="146">
                  <c:v>3</c:v>
                </c:pt>
                <c:pt idx="147">
                  <c:v>3</c:v>
                </c:pt>
                <c:pt idx="148">
                  <c:v>4</c:v>
                </c:pt>
                <c:pt idx="149">
                  <c:v>4</c:v>
                </c:pt>
                <c:pt idx="150">
                  <c:v>5</c:v>
                </c:pt>
                <c:pt idx="151">
                  <c:v>5</c:v>
                </c:pt>
                <c:pt idx="152">
                  <c:v>5</c:v>
                </c:pt>
                <c:pt idx="153">
                  <c:v>5</c:v>
                </c:pt>
                <c:pt idx="154">
                  <c:v>5</c:v>
                </c:pt>
                <c:pt idx="155">
                  <c:v>6</c:v>
                </c:pt>
                <c:pt idx="156">
                  <c:v>6</c:v>
                </c:pt>
                <c:pt idx="157">
                  <c:v>6</c:v>
                </c:pt>
                <c:pt idx="158">
                  <c:v>7</c:v>
                </c:pt>
                <c:pt idx="159">
                  <c:v>7</c:v>
                </c:pt>
                <c:pt idx="160">
                  <c:v>8</c:v>
                </c:pt>
                <c:pt idx="161">
                  <c:v>11</c:v>
                </c:pt>
                <c:pt idx="162">
                  <c:v>30</c:v>
                </c:pt>
                <c:pt idx="163">
                  <c:v>33</c:v>
                </c:pt>
              </c:numCache>
            </c:numRef>
          </c:val>
          <c:extLst>
            <c:ext xmlns:c16="http://schemas.microsoft.com/office/drawing/2014/chart" uri="{C3380CC4-5D6E-409C-BE32-E72D297353CC}">
              <c16:uniqueId val="{00000000-F044-477A-8040-7EED80D8FCCE}"/>
            </c:ext>
          </c:extLst>
        </c:ser>
        <c:dLbls>
          <c:showLegendKey val="0"/>
          <c:showVal val="0"/>
          <c:showCatName val="0"/>
          <c:showSerName val="0"/>
          <c:showPercent val="0"/>
          <c:showBubbleSize val="0"/>
        </c:dLbls>
        <c:gapWidth val="182"/>
        <c:axId val="421457263"/>
        <c:axId val="421447663"/>
      </c:barChart>
      <c:catAx>
        <c:axId val="42145726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447663"/>
        <c:crosses val="autoZero"/>
        <c:auto val="1"/>
        <c:lblAlgn val="ctr"/>
        <c:lblOffset val="100"/>
        <c:noMultiLvlLbl val="0"/>
      </c:catAx>
      <c:valAx>
        <c:axId val="4214476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4572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[Donation - Template.xlsm]s-Subjects!SubSubjects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 of Subject Facets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's-Subjects'!$P$4</c:f>
              <c:strCache>
                <c:ptCount val="1"/>
                <c:pt idx="0">
                  <c:v>Total</c:v>
                </c:pt>
              </c:strCache>
            </c:strRef>
          </c:tx>
          <c:spPr>
            <a:solidFill>
              <a:schemeClr val="accent5"/>
            </a:solidFill>
            <a:ln>
              <a:noFill/>
            </a:ln>
            <a:effectLst/>
          </c:spPr>
          <c:invertIfNegative val="0"/>
          <c:cat>
            <c:strRef>
              <c:f>'s-Subjects'!$O$5:$O$675</c:f>
              <c:strCache>
                <c:ptCount val="670"/>
                <c:pt idx="0">
                  <c:v>Artisanat </c:v>
                </c:pt>
                <c:pt idx="1">
                  <c:v>Géographie</c:v>
                </c:pt>
                <c:pt idx="2">
                  <c:v>Artists</c:v>
                </c:pt>
                <c:pt idx="3">
                  <c:v>Cimetières </c:v>
                </c:pt>
                <c:pt idx="4">
                  <c:v>Colonization</c:v>
                </c:pt>
                <c:pt idx="5">
                  <c:v>1368-1644</c:v>
                </c:pt>
                <c:pt idx="6">
                  <c:v>Communism and Christianity</c:v>
                </c:pt>
                <c:pt idx="7">
                  <c:v>1500-1599</c:v>
                </c:pt>
                <c:pt idx="8">
                  <c:v>Communisme et christianisme</c:v>
                </c:pt>
                <c:pt idx="9">
                  <c:v>1644-1912</c:v>
                </c:pt>
                <c:pt idx="10">
                  <c:v>Confiance en soi </c:v>
                </c:pt>
                <c:pt idx="11">
                  <c:v>1800-1999</c:v>
                </c:pt>
                <c:pt idx="12">
                  <c:v>Confucian shrines </c:v>
                </c:pt>
                <c:pt idx="13">
                  <c:v>1905-1945</c:v>
                </c:pt>
                <c:pt idx="14">
                  <c:v>Coréens </c:v>
                </c:pt>
                <c:pt idx="15">
                  <c:v>618-907</c:v>
                </c:pt>
                <c:pt idx="16">
                  <c:v>Cultural Evolution</c:v>
                </c:pt>
                <c:pt idx="17">
                  <c:v>Amnesia </c:v>
                </c:pt>
                <c:pt idx="18">
                  <c:v>Déesses</c:v>
                </c:pt>
                <c:pt idx="19">
                  <c:v>Architectural drawings</c:v>
                </c:pt>
                <c:pt idx="20">
                  <c:v>Déesses </c:v>
                </c:pt>
                <c:pt idx="21">
                  <c:v>Art and state</c:v>
                </c:pt>
                <c:pt idx="22">
                  <c:v>Déesses dans l'art</c:v>
                </c:pt>
                <c:pt idx="23">
                  <c:v>Art objects, Korean </c:v>
                </c:pt>
                <c:pt idx="24">
                  <c:v>Deleuze, Gilles, 1925-1995</c:v>
                </c:pt>
                <c:pt idx="25">
                  <c:v>Art, Korean </c:v>
                </c:pt>
                <c:pt idx="26">
                  <c:v>Department stores </c:v>
                </c:pt>
                <c:pt idx="27">
                  <c:v>Arts and society</c:v>
                </c:pt>
                <c:pt idx="28">
                  <c:v>Diamond Mountains (Korea)</c:v>
                </c:pt>
                <c:pt idx="29">
                  <c:v>Aspect politique</c:v>
                </c:pt>
                <c:pt idx="30">
                  <c:v>Diplomates</c:v>
                </c:pt>
                <c:pt idx="31">
                  <c:v>Cemeteries </c:v>
                </c:pt>
                <c:pt idx="32">
                  <c:v>Discoveries in geography</c:v>
                </c:pt>
                <c:pt idx="33">
                  <c:v>Céramique coréenne </c:v>
                </c:pt>
                <c:pt idx="34">
                  <c:v>Documentaires</c:v>
                </c:pt>
                <c:pt idx="35">
                  <c:v>Church and state </c:v>
                </c:pt>
                <c:pt idx="36">
                  <c:v>Documents de bibliothèque </c:v>
                </c:pt>
                <c:pt idx="37">
                  <c:v>1392-1868</c:v>
                </c:pt>
                <c:pt idx="38">
                  <c:v>Education</c:v>
                </c:pt>
                <c:pt idx="39">
                  <c:v>1800-1917</c:v>
                </c:pt>
                <c:pt idx="40">
                  <c:v>Education </c:v>
                </c:pt>
                <c:pt idx="41">
                  <c:v>1945-1989</c:v>
                </c:pt>
                <c:pt idx="42">
                  <c:v>Éducation </c:v>
                </c:pt>
                <c:pt idx="43">
                  <c:v>Amnésie </c:v>
                </c:pt>
                <c:pt idx="44">
                  <c:v>Église et État </c:v>
                </c:pt>
                <c:pt idx="45">
                  <c:v>Art coréen </c:v>
                </c:pt>
                <c:pt idx="46">
                  <c:v>Évolution sociale</c:v>
                </c:pt>
                <c:pt idx="47">
                  <c:v>Art, Modern </c:v>
                </c:pt>
                <c:pt idx="48">
                  <c:v>Extrémistes de droite </c:v>
                </c:pt>
                <c:pt idx="49">
                  <c:v>Catalogues d'exposition</c:v>
                </c:pt>
                <c:pt idx="50">
                  <c:v>Family histories</c:v>
                </c:pt>
                <c:pt idx="51">
                  <c:v>Chosŏnjok</c:v>
                </c:pt>
                <c:pt idx="52">
                  <c:v>Fan clubs</c:v>
                </c:pt>
                <c:pt idx="53">
                  <c:v>1637-1910</c:v>
                </c:pt>
                <c:pt idx="54">
                  <c:v>Fang yan (Yang, Xiong)</c:v>
                </c:pt>
                <c:pt idx="55">
                  <c:v>Abe, Shinzō, 1954-2022</c:v>
                </c:pt>
                <c:pt idx="56">
                  <c:v>Films autres que de fiction</c:v>
                </c:pt>
                <c:pt idx="57">
                  <c:v>Art, Korean</c:v>
                </c:pt>
                <c:pt idx="58">
                  <c:v>Films étrangers</c:v>
                </c:pt>
                <c:pt idx="59">
                  <c:v>Ceramics </c:v>
                </c:pt>
                <c:pt idx="60">
                  <c:v>Folklore</c:v>
                </c:pt>
                <c:pt idx="61">
                  <c:v>1864-1910</c:v>
                </c:pt>
                <c:pt idx="62">
                  <c:v>Forced labor</c:v>
                </c:pt>
                <c:pt idx="63">
                  <c:v>Arts et société</c:v>
                </c:pt>
                <c:pt idx="64">
                  <c:v>Forced labor </c:v>
                </c:pt>
                <c:pt idx="65">
                  <c:v>Architecture du paysage </c:v>
                </c:pt>
                <c:pt idx="66">
                  <c:v>Foreign language films</c:v>
                </c:pt>
                <c:pt idx="67">
                  <c:v>Gazetteers</c:v>
                </c:pt>
                <c:pt idx="68">
                  <c:v>Foreign workers, Korean </c:v>
                </c:pt>
                <c:pt idx="69">
                  <c:v>Painting, Abstract </c:v>
                </c:pt>
                <c:pt idx="70">
                  <c:v>Geography</c:v>
                </c:pt>
                <c:pt idx="71">
                  <c:v>Painting, Korean</c:v>
                </c:pt>
                <c:pt idx="72">
                  <c:v>Ghosts</c:v>
                </c:pt>
                <c:pt idx="73">
                  <c:v>Politique mondiale</c:v>
                </c:pt>
                <c:pt idx="74">
                  <c:v>Politische Kunst</c:v>
                </c:pt>
                <c:pt idx="75">
                  <c:v>Goddesses in art</c:v>
                </c:pt>
                <c:pt idx="76">
                  <c:v>Politisches Plakat</c:v>
                </c:pt>
                <c:pt idx="77">
                  <c:v>Guerre de Corée, 1950-1953 </c:v>
                </c:pt>
                <c:pt idx="78">
                  <c:v>Pongsan-gun (Korea) </c:v>
                </c:pt>
                <c:pt idx="79">
                  <c:v>Han Dynasty (China)</c:v>
                </c:pt>
                <c:pt idx="80">
                  <c:v>Popular music fans</c:v>
                </c:pt>
                <c:pt idx="81">
                  <c:v>Handicraft </c:v>
                </c:pt>
                <c:pt idx="82">
                  <c:v>Pottery </c:v>
                </c:pt>
                <c:pt idx="83">
                  <c:v>Histoires de fantômes</c:v>
                </c:pt>
                <c:pt idx="84">
                  <c:v>Pottery, Korean </c:v>
                </c:pt>
                <c:pt idx="85">
                  <c:v>Ink painting, Korean </c:v>
                </c:pt>
                <c:pt idx="86">
                  <c:v>Private schools </c:v>
                </c:pt>
                <c:pt idx="87">
                  <c:v>Japan. 囯会</c:v>
                </c:pt>
                <c:pt idx="88">
                  <c:v>Public opinion, Japanese</c:v>
                </c:pt>
                <c:pt idx="89">
                  <c:v>Juvenile works</c:v>
                </c:pt>
                <c:pt idx="90">
                  <c:v>Public opinion, Korean</c:v>
                </c:pt>
                <c:pt idx="91">
                  <c:v>Kaya (Confederation) </c:v>
                </c:pt>
                <c:pt idx="92">
                  <c:v>Pukch'ŏng-gun (Korea) </c:v>
                </c:pt>
                <c:pt idx="93">
                  <c:v>Kings and rulers</c:v>
                </c:pt>
                <c:pt idx="94">
                  <c:v>Qin Dynasty (China)</c:v>
                </c:pt>
                <c:pt idx="95">
                  <c:v>Korean literature </c:v>
                </c:pt>
                <c:pt idx="96">
                  <c:v>Qing Dynasty (China)</c:v>
                </c:pt>
                <c:pt idx="97">
                  <c:v>Korean reunification question (1945- ) </c:v>
                </c:pt>
                <c:pt idx="98">
                  <c:v>Question de la réunification de la Corée (1945- )</c:v>
                </c:pt>
                <c:pt idx="99">
                  <c:v>Koryŏ period, 935-1392</c:v>
                </c:pt>
                <c:pt idx="100">
                  <c:v>Question de la réunification de la Corée (1945- ) </c:v>
                </c:pt>
                <c:pt idx="101">
                  <c:v>K-pop </c:v>
                </c:pt>
                <c:pt idx="102">
                  <c:v>Rap (Music) </c:v>
                </c:pt>
                <c:pt idx="103">
                  <c:v>Kyŏngsang-do (Korea)</c:v>
                </c:pt>
                <c:pt idx="104">
                  <c:v>Rap musicians</c:v>
                </c:pt>
                <c:pt idx="105">
                  <c:v>Landscapes in literature</c:v>
                </c:pt>
                <c:pt idx="106">
                  <c:v>Réalisme socialiste dans l'art </c:v>
                </c:pt>
                <c:pt idx="107">
                  <c:v>Langues toungouses</c:v>
                </c:pt>
                <c:pt idx="108">
                  <c:v>Récits personnels</c:v>
                </c:pt>
                <c:pt idx="109">
                  <c:v>Literary prizes </c:v>
                </c:pt>
                <c:pt idx="110">
                  <c:v>Reconciliation </c:v>
                </c:pt>
                <c:pt idx="111">
                  <c:v>Local history</c:v>
                </c:pt>
                <c:pt idx="112">
                  <c:v>Réconciliation </c:v>
                </c:pt>
                <c:pt idx="113">
                  <c:v>Minjung theology</c:v>
                </c:pt>
                <c:pt idx="114">
                  <c:v>Recreation areas </c:v>
                </c:pt>
                <c:pt idx="115">
                  <c:v>Modernisme (Art) </c:v>
                </c:pt>
                <c:pt idx="116">
                  <c:v>Régions frontalières</c:v>
                </c:pt>
                <c:pt idx="117">
                  <c:v>Music and globalization</c:v>
                </c:pt>
                <c:pt idx="118">
                  <c:v>Right-wing extremists </c:v>
                </c:pt>
                <c:pt idx="119">
                  <c:v>Musiciens rock </c:v>
                </c:pt>
                <c:pt idx="120">
                  <c:v>Rock musicians </c:v>
                </c:pt>
                <c:pt idx="121">
                  <c:v>Names</c:v>
                </c:pt>
                <c:pt idx="122">
                  <c:v>Russia </c:v>
                </c:pt>
                <c:pt idx="123">
                  <c:v>Nature conservation </c:v>
                </c:pt>
                <c:pt idx="124">
                  <c:v>Self-reliance </c:v>
                </c:pt>
                <c:pt idx="125">
                  <c:v>Nihon shoki</c:v>
                </c:pt>
                <c:pt idx="126">
                  <c:v>Seoul (Korea) </c:v>
                </c:pt>
                <c:pt idx="127">
                  <c:v>Nouvelles coréennes</c:v>
                </c:pt>
                <c:pt idx="128">
                  <c:v>Sepulchral monuments </c:v>
                </c:pt>
                <c:pt idx="129">
                  <c:v>Online social networks</c:v>
                </c:pt>
                <c:pt idx="130">
                  <c:v>Shinto and politics </c:v>
                </c:pt>
                <c:pt idx="131">
                  <c:v>Pacific Ocean</c:v>
                </c:pt>
                <c:pt idx="132">
                  <c:v>Shinto shrines </c:v>
                </c:pt>
                <c:pt idx="133">
                  <c:v>Painting </c:v>
                </c:pt>
                <c:pt idx="134">
                  <c:v>Short stories, Korean</c:v>
                </c:pt>
                <c:pt idx="135">
                  <c:v>Goddesses</c:v>
                </c:pt>
                <c:pt idx="136">
                  <c:v>Sino-Japanese War, 1937-1945 </c:v>
                </c:pt>
                <c:pt idx="137">
                  <c:v>Paysages dans la littérature</c:v>
                </c:pt>
                <c:pt idx="138">
                  <c:v>Socialism </c:v>
                </c:pt>
                <c:pt idx="139">
                  <c:v>Peinture coréenne</c:v>
                </c:pt>
                <c:pt idx="140">
                  <c:v>Socialist realism in art </c:v>
                </c:pt>
                <c:pt idx="141">
                  <c:v>Political aspects</c:v>
                </c:pt>
                <c:pt idx="142">
                  <c:v>Song, Chu-sang, 1695-1752</c:v>
                </c:pt>
                <c:pt idx="143">
                  <c:v>Grands magasins </c:v>
                </c:pt>
                <c:pt idx="144">
                  <c:v>Stone carving </c:v>
                </c:pt>
                <c:pt idx="145">
                  <c:v>Han yuan (Zhang, Chujin)</c:v>
                </c:pt>
                <c:pt idx="146">
                  <c:v>Study skills</c:v>
                </c:pt>
                <c:pt idx="147">
                  <c:v>Impérialisme</c:v>
                </c:pt>
                <c:pt idx="148">
                  <c:v>Subculture</c:v>
                </c:pt>
                <c:pt idx="149">
                  <c:v>Jeunes femmes </c:v>
                </c:pt>
                <c:pt idx="150">
                  <c:v>Tang Dynasty (China)</c:v>
                </c:pt>
                <c:pt idx="151">
                  <c:v>Kim Yu-jŏng Munhaksang</c:v>
                </c:pt>
                <c:pt idx="152">
                  <c:v>To 1392</c:v>
                </c:pt>
                <c:pt idx="153">
                  <c:v>Korean reunification question (1945- )</c:v>
                </c:pt>
                <c:pt idx="154">
                  <c:v>To 1919</c:v>
                </c:pt>
                <c:pt idx="155">
                  <c:v>K-pop</c:v>
                </c:pt>
                <c:pt idx="156">
                  <c:v>Tombs </c:v>
                </c:pt>
                <c:pt idx="157">
                  <c:v>Landscape architecture </c:v>
                </c:pt>
                <c:pt idx="158">
                  <c:v>Traffic accidents </c:v>
                </c:pt>
                <c:pt idx="159">
                  <c:v>Library materials </c:v>
                </c:pt>
                <c:pt idx="160">
                  <c:v>Travail des métaux </c:v>
                </c:pt>
                <c:pt idx="161">
                  <c:v>Malerei</c:v>
                </c:pt>
                <c:pt idx="162">
                  <c:v>Travail forcé </c:v>
                </c:pt>
                <c:pt idx="163">
                  <c:v>Mountain ecology </c:v>
                </c:pt>
                <c:pt idx="164">
                  <c:v>Travailleurs étrangers coréens </c:v>
                </c:pt>
                <c:pt idx="165">
                  <c:v>Musique populaire </c:v>
                </c:pt>
                <c:pt idx="166">
                  <c:v>Tungusic peoples</c:v>
                </c:pt>
                <c:pt idx="167">
                  <c:v>Nihon Mingeikan </c:v>
                </c:pt>
                <c:pt idx="168">
                  <c:v>Victimes de guerre </c:v>
                </c:pt>
                <c:pt idx="169">
                  <c:v>Objets d'art coréens </c:v>
                </c:pt>
                <c:pt idx="170">
                  <c:v>Vidéoclips </c:v>
                </c:pt>
                <c:pt idx="171">
                  <c:v>Paektu Mountain (Korea) </c:v>
                </c:pt>
                <c:pt idx="172">
                  <c:v>Waeber, C</c:v>
                </c:pt>
                <c:pt idx="173">
                  <c:v>Goddesses </c:v>
                </c:pt>
                <c:pt idx="174">
                  <c:v>Walking </c:v>
                </c:pt>
                <c:pt idx="175">
                  <c:v>Personal Narrative</c:v>
                </c:pt>
                <c:pt idx="176">
                  <c:v>War and motion pictures</c:v>
                </c:pt>
                <c:pt idx="177">
                  <c:v>Guerre sino-japonaise, 1937-1945 </c:v>
                </c:pt>
                <c:pt idx="178">
                  <c:v>War memorials</c:v>
                </c:pt>
                <c:pt idx="179">
                  <c:v>International economic relations</c:v>
                </c:pt>
                <c:pt idx="180">
                  <c:v>World politics</c:v>
                </c:pt>
                <c:pt idx="181">
                  <c:v>Korean fiction</c:v>
                </c:pt>
                <c:pt idx="182">
                  <c:v>Yanbian Chaoxianzu Zizhizhou (China)</c:v>
                </c:pt>
                <c:pt idx="183">
                  <c:v>Kungnip Kimhae Pangmulgwan </c:v>
                </c:pt>
                <c:pt idx="184">
                  <c:v>Yanbian Chaoxianzu Zizhizhou (Chine)</c:v>
                </c:pt>
                <c:pt idx="185">
                  <c:v>Littérature coréenne </c:v>
                </c:pt>
                <c:pt idx="186">
                  <c:v>Yang, Xiong, 53 BC-18 AD Fang yan</c:v>
                </c:pt>
                <c:pt idx="187">
                  <c:v>Music videos </c:v>
                </c:pt>
                <c:pt idx="188">
                  <c:v>Young women </c:v>
                </c:pt>
                <c:pt idx="189">
                  <c:v>Nordkorea</c:v>
                </c:pt>
                <c:pt idx="190">
                  <c:v>Yu, Yŏng-guk, 1916-</c:v>
                </c:pt>
                <c:pt idx="191">
                  <c:v>ghost stories</c:v>
                </c:pt>
                <c:pt idx="192">
                  <c:v>Zones de loisirs </c:v>
                </c:pt>
                <c:pt idx="193">
                  <c:v>靖国神社 (Tokyo, Japan)</c:v>
                </c:pt>
                <c:pt idx="194">
                  <c:v>경상도 (Korea); History, Local; Early works to 1800</c:v>
                </c:pt>
                <c:pt idx="195">
                  <c:v>Kangwŏn-do (Korea : South) </c:v>
                </c:pt>
                <c:pt idx="196">
                  <c:v>고구려 (Kingdom); Civilization</c:v>
                </c:pt>
                <c:pt idx="197">
                  <c:v>Language and languages</c:v>
                </c:pt>
                <c:pt idx="198">
                  <c:v>고조선 (Kingdom); Languages</c:v>
                </c:pt>
                <c:pt idx="199">
                  <c:v>Names, Geographical </c:v>
                </c:pt>
                <c:pt idx="200">
                  <c:v>백제 (Kingdom); History</c:v>
                </c:pt>
                <c:pt idx="201">
                  <c:v>Peinture abstraite </c:v>
                </c:pt>
                <c:pt idx="202">
                  <c:v>안 용복, active 1693-1696</c:v>
                </c:pt>
                <c:pt idx="203">
                  <c:v>Korean War, 1950-1953 </c:v>
                </c:pt>
                <c:pt idx="204">
                  <c:v>중국(국명)[中國]; 한국(국명)[韓國]</c:v>
                </c:pt>
                <c:pt idx="205">
                  <c:v>Pacific Area</c:v>
                </c:pt>
                <c:pt idx="206">
                  <c:v>宋 周相, 1695-1752 Travel</c:v>
                </c:pt>
                <c:pt idx="207">
                  <c:v>Modernism (Art) </c:v>
                </c:pt>
                <c:pt idx="208">
                  <c:v>揚雄, 53 BC-18 AD 方言</c:v>
                </c:pt>
                <c:pt idx="209">
                  <c:v>Hip-hop</c:v>
                </c:pt>
                <c:pt idx="210">
                  <c:v>渤海 (Kingdom)</c:v>
                </c:pt>
                <c:pt idx="211">
                  <c:v> 1627-1637 (Invasions mandchoues)</c:v>
                </c:pt>
                <c:pt idx="212">
                  <c:v>Diplomatic and consular service</c:v>
                </c:pt>
                <c:pt idx="213">
                  <c:v>Bohai (Kingdom)</c:v>
                </c:pt>
                <c:pt idx="214">
                  <c:v>Diplomatic and consular service, Korean </c:v>
                </c:pt>
                <c:pt idx="215">
                  <c:v>Boy bands </c:v>
                </c:pt>
                <c:pt idx="216">
                  <c:v>19e siècle</c:v>
                </c:pt>
                <c:pt idx="217">
                  <c:v> Political aspects </c:v>
                </c:pt>
                <c:pt idx="218">
                  <c:v>221 BC-960 AD</c:v>
                </c:pt>
                <c:pt idx="219">
                  <c:v> Pukch'ŏng-gun</c:v>
                </c:pt>
                <c:pt idx="220">
                  <c:v> Japanese Invasions, 1592-1598</c:v>
                </c:pt>
                <c:pt idx="221">
                  <c:v>Chine</c:v>
                </c:pt>
                <c:pt idx="222">
                  <c:v>Dreams </c:v>
                </c:pt>
                <c:pt idx="223">
                  <c:v> Social aspects</c:v>
                </c:pt>
                <c:pt idx="224">
                  <c:v>Early works</c:v>
                </c:pt>
                <c:pt idx="225">
                  <c:v>Clans</c:v>
                </c:pt>
                <c:pt idx="226">
                  <c:v>Economic history</c:v>
                </c:pt>
                <c:pt idx="227">
                  <c:v> Tokyo</c:v>
                </c:pt>
                <c:pt idx="228">
                  <c:v> Jusqu'à 1900 </c:v>
                </c:pt>
                <c:pt idx="229">
                  <c:v> 16th century</c:v>
                </c:pt>
                <c:pt idx="230">
                  <c:v> Jusqu'à 794</c:v>
                </c:pt>
                <c:pt idx="231">
                  <c:v>Conscript labor</c:v>
                </c:pt>
                <c:pt idx="232">
                  <c:v> Kangwŏn-do </c:v>
                </c:pt>
                <c:pt idx="233">
                  <c:v> Aspect politique</c:v>
                </c:pt>
                <c:pt idx="234">
                  <c:v>An, Yong-bok, active 1693-1696</c:v>
                </c:pt>
                <c:pt idx="235">
                  <c:v> Description and travel</c:v>
                </c:pt>
                <c:pt idx="236">
                  <c:v>Evenki (Asian people)</c:v>
                </c:pt>
                <c:pt idx="237">
                  <c:v> Dessins et plans</c:v>
                </c:pt>
                <c:pt idx="238">
                  <c:v> Kaya (Confederation)</c:v>
                </c:pt>
                <c:pt idx="239">
                  <c:v> Foreign public opinion, Japanese</c:v>
                </c:pt>
                <c:pt idx="240">
                  <c:v>Exhibition catalogs</c:v>
                </c:pt>
                <c:pt idx="241">
                  <c:v> Foreign public opinion, Korean</c:v>
                </c:pt>
                <c:pt idx="242">
                  <c:v> Kings and rulers </c:v>
                </c:pt>
                <c:pt idx="243">
                  <c:v>Borderlands</c:v>
                </c:pt>
                <c:pt idx="244">
                  <c:v> Law and legislation </c:v>
                </c:pt>
                <c:pt idx="245">
                  <c:v> Pongsan-gun </c:v>
                </c:pt>
                <c:pt idx="246">
                  <c:v> Legal status, laws, etc. </c:v>
                </c:pt>
                <c:pt idx="247">
                  <c:v> Russie</c:v>
                </c:pt>
                <c:pt idx="248">
                  <c:v> Manchu Invasions, 1627-1637</c:v>
                </c:pt>
                <c:pt idx="249">
                  <c:v> To 794</c:v>
                </c:pt>
                <c:pt idx="250">
                  <c:v>Fantasy fiction</c:v>
                </c:pt>
                <c:pt idx="251">
                  <c:v> Antiquités </c:v>
                </c:pt>
                <c:pt idx="252">
                  <c:v>Femmes de réconfort </c:v>
                </c:pt>
                <c:pt idx="253">
                  <c:v> Aspect politique </c:v>
                </c:pt>
                <c:pt idx="254">
                  <c:v>Fiction films</c:v>
                </c:pt>
                <c:pt idx="255">
                  <c:v> Fans</c:v>
                </c:pt>
                <c:pt idx="256">
                  <c:v> Ming dynasty, 1368-1644 </c:v>
                </c:pt>
                <c:pt idx="257">
                  <c:v> Historical geography</c:v>
                </c:pt>
                <c:pt idx="258">
                  <c:v> Mythologie</c:v>
                </c:pt>
                <c:pt idx="259">
                  <c:v> Russia</c:v>
                </c:pt>
                <c:pt idx="260">
                  <c:v> Mythology</c:v>
                </c:pt>
                <c:pt idx="261">
                  <c:v> Translations into English </c:v>
                </c:pt>
                <c:pt idx="262">
                  <c:v> 1592-1598 (Invasions japonaises)</c:v>
                </c:pt>
                <c:pt idx="263">
                  <c:v> 1368-1644 (Dynastie des Ming) </c:v>
                </c:pt>
                <c:pt idx="264">
                  <c:v> 16e siècle</c:v>
                </c:pt>
                <c:pt idx="265">
                  <c:v>BTS (Musical group) </c:v>
                </c:pt>
                <c:pt idx="266">
                  <c:v>Foreign economic relations</c:v>
                </c:pt>
                <c:pt idx="267">
                  <c:v>Consumer behavior</c:v>
                </c:pt>
                <c:pt idx="268">
                  <c:v> Philosophie</c:v>
                </c:pt>
                <c:pt idx="269">
                  <c:v> To 1900 </c:v>
                </c:pt>
                <c:pt idx="270">
                  <c:v> Philosophy</c:v>
                </c:pt>
                <c:pt idx="271">
                  <c:v>Diamond Mountains</c:v>
                </c:pt>
                <c:pt idx="272">
                  <c:v> Political aspects</c:v>
                </c:pt>
                <c:pt idx="273">
                  <c:v>Painting, Korean </c:v>
                </c:pt>
                <c:pt idx="274">
                  <c:v>소련(국명)[蘇聯]; 북한(국명)北韓; 조선(국명)[朝鮮]</c:v>
                </c:pt>
                <c:pt idx="275">
                  <c:v>Names, Geographical</c:v>
                </c:pt>
                <c:pt idx="276">
                  <c:v>Independent films</c:v>
                </c:pt>
                <c:pt idx="277">
                  <c:v>Rêves </c:v>
                </c:pt>
                <c:pt idx="278">
                  <c:v>Independence movement, 1919</c:v>
                </c:pt>
                <c:pt idx="279">
                  <c:v>Nationalisme </c:v>
                </c:pt>
                <c:pt idx="280">
                  <c:v>Roman coréen </c:v>
                </c:pt>
                <c:pt idx="281">
                  <c:v>Nonfiction films</c:v>
                </c:pt>
                <c:pt idx="282">
                  <c:v>National characteristics, Japanese</c:v>
                </c:pt>
                <c:pt idx="283">
                  <c:v>Guerre sino-japonaise, 1937-1945</c:v>
                </c:pt>
                <c:pt idx="284">
                  <c:v>Nationalism </c:v>
                </c:pt>
                <c:pt idx="285">
                  <c:v>Painters </c:v>
                </c:pt>
                <c:pt idx="286">
                  <c:v>Name</c:v>
                </c:pt>
                <c:pt idx="287">
                  <c:v>Kojosŏn (Kingdom) </c:v>
                </c:pt>
                <c:pt idx="288">
                  <c:v>Sea of Japan</c:v>
                </c:pt>
                <c:pt idx="289">
                  <c:v>Peinture coréenne </c:v>
                </c:pt>
                <c:pt idx="290">
                  <c:v>Languages</c:v>
                </c:pt>
                <c:pt idx="291">
                  <c:v>Personal narratives, Korean</c:v>
                </c:pt>
                <c:pt idx="292">
                  <c:v>Service diplomatique et consulaire coréen </c:v>
                </c:pt>
                <c:pt idx="293">
                  <c:v>Korean fiction </c:v>
                </c:pt>
                <c:pt idx="294">
                  <c:v>Shinto and politics</c:v>
                </c:pt>
                <c:pt idx="295">
                  <c:v>Princes </c:v>
                </c:pt>
                <c:pt idx="296">
                  <c:v>Influence (Literary, artistic, etc.)</c:v>
                </c:pt>
                <c:pt idx="297">
                  <c:v>Qin dynasty, 221-207 BC</c:v>
                </c:pt>
                <c:pt idx="298">
                  <c:v>Shinto shrines</c:v>
                </c:pt>
                <c:pt idx="299">
                  <c:v>Korean War, 1950-1953</c:v>
                </c:pt>
                <c:pt idx="300">
                  <c:v>Law and legislation</c:v>
                </c:pt>
                <c:pt idx="301">
                  <c:v>Imperialism</c:v>
                </c:pt>
                <c:pt idx="302">
                  <c:v>Legal status, laws, etc</c:v>
                </c:pt>
                <c:pt idx="303">
                  <c:v>Relations extérieures</c:v>
                </c:pt>
                <c:pt idx="304">
                  <c:v>Legal status, laws, etc.</c:v>
                </c:pt>
                <c:pt idx="305">
                  <c:v>Japan. Kokkai</c:v>
                </c:pt>
                <c:pt idx="306">
                  <c:v>Social change</c:v>
                </c:pt>
                <c:pt idx="307">
                  <c:v>Ombudspersons</c:v>
                </c:pt>
                <c:pt idx="308">
                  <c:v>Social evolution</c:v>
                </c:pt>
                <c:pt idx="309">
                  <c:v>Parks </c:v>
                </c:pt>
                <c:pt idx="310">
                  <c:v>Song family</c:v>
                </c:pt>
                <c:pt idx="311">
                  <c:v>Personal narratives</c:v>
                </c:pt>
                <c:pt idx="312">
                  <c:v>Han dynasty, 202 BC-220 AD</c:v>
                </c:pt>
                <c:pt idx="313">
                  <c:v>Korean language materials</c:v>
                </c:pt>
                <c:pt idx="314">
                  <c:v>Guerre mondiale, 1939-1945</c:v>
                </c:pt>
                <c:pt idx="315">
                  <c:v>Qing dynasty, 1644-1912</c:v>
                </c:pt>
                <c:pt idx="316">
                  <c:v>Translators</c:v>
                </c:pt>
                <c:pt idx="317">
                  <c:v>Kyŏngsang-do</c:v>
                </c:pt>
                <c:pt idx="318">
                  <c:v>Tungus-Manchu languages</c:v>
                </c:pt>
                <c:pt idx="319">
                  <c:v>Nationalists</c:v>
                </c:pt>
                <c:pt idx="320">
                  <c:v>Ullŭng Island</c:v>
                </c:pt>
                <c:pt idx="321">
                  <c:v>Peintres </c:v>
                </c:pt>
                <c:pt idx="322">
                  <c:v>Ullŭng Island (Korea)</c:v>
                </c:pt>
                <c:pt idx="323">
                  <c:v>Puyŏ (Ancient kingdom) </c:v>
                </c:pt>
                <c:pt idx="324">
                  <c:v>Ullŭng Island (Korea) </c:v>
                </c:pt>
                <c:pt idx="325">
                  <c:v>Republicanism</c:v>
                </c:pt>
                <c:pt idx="326">
                  <c:v>Metal-work </c:v>
                </c:pt>
                <c:pt idx="327">
                  <c:v>Philosophy</c:v>
                </c:pt>
                <c:pt idx="328">
                  <c:v>War victims</c:v>
                </c:pt>
                <c:pt idx="329">
                  <c:v>Groupes de garçons (Musique) </c:v>
                </c:pt>
                <c:pt idx="330">
                  <c:v>Military relations</c:v>
                </c:pt>
                <c:pt idx="331">
                  <c:v>History, Local</c:v>
                </c:pt>
                <c:pt idx="332">
                  <c:v>Motion pictures and the war</c:v>
                </c:pt>
                <c:pt idx="333">
                  <c:v>1800-1899</c:v>
                </c:pt>
                <c:pt idx="334">
                  <c:v>Art </c:v>
                </c:pt>
                <c:pt idx="335">
                  <c:v>Arts du langage (Primaire) </c:v>
                </c:pt>
                <c:pt idx="336">
                  <c:v>1392-1910</c:v>
                </c:pt>
                <c:pt idx="337">
                  <c:v>Boundaries</c:v>
                </c:pt>
                <c:pt idx="338">
                  <c:v>Extrême-Orient </c:v>
                </c:pt>
                <c:pt idx="339">
                  <c:v>Corée du Sud </c:v>
                </c:pt>
                <c:pt idx="340">
                  <c:v>1937-1945</c:v>
                </c:pt>
                <c:pt idx="341">
                  <c:v>Drama</c:v>
                </c:pt>
                <c:pt idx="342">
                  <c:v>Russie</c:v>
                </c:pt>
                <c:pt idx="343">
                  <c:v>Treaties</c:v>
                </c:pt>
                <c:pt idx="344">
                  <c:v>중국(국명)中國; 일본(국명)日本; 한국(국명)韓國</c:v>
                </c:pt>
                <c:pt idx="345">
                  <c:v>Paekche (Kingdom)</c:v>
                </c:pt>
                <c:pt idx="346">
                  <c:v>외교 관계外交關係</c:v>
                </c:pt>
                <c:pt idx="347">
                  <c:v>Sea-power</c:v>
                </c:pt>
                <c:pt idx="348">
                  <c:v>Kojosŏn (Kingdom)</c:v>
                </c:pt>
                <c:pt idx="349">
                  <c:v>Language arts (Elementary) </c:v>
                </c:pt>
                <c:pt idx="350">
                  <c:v>Textbooks </c:v>
                </c:pt>
                <c:pt idx="351">
                  <c:v>Navies</c:v>
                </c:pt>
                <c:pt idx="352">
                  <c:v>Manners and customs</c:v>
                </c:pt>
                <c:pt idx="353">
                  <c:v>War victims </c:v>
                </c:pt>
                <c:pt idx="354">
                  <c:v>Koguryŏ (Kingdom)</c:v>
                </c:pt>
                <c:pt idx="355">
                  <c:v>Middle class</c:v>
                </c:pt>
                <c:pt idx="356">
                  <c:v>To 960</c:v>
                </c:pt>
                <c:pt idx="357">
                  <c:v>Yasukuni Jinja (Tokyo, Japan)</c:v>
                </c:pt>
                <c:pt idx="358">
                  <c:v>Problems and exercises</c:v>
                </c:pt>
                <c:pt idx="359">
                  <c:v>Shamanism</c:v>
                </c:pt>
                <c:pt idx="360">
                  <c:v>Popular music </c:v>
                </c:pt>
                <c:pt idx="361">
                  <c:v>Poésie coréenne </c:v>
                </c:pt>
                <c:pt idx="362">
                  <c:v> Romans, nouvelles, etc. pour la jeunesse</c:v>
                </c:pt>
                <c:pt idx="363">
                  <c:v> Jusqu'à 221 av. J.-C</c:v>
                </c:pt>
                <c:pt idx="364">
                  <c:v> Séoul</c:v>
                </c:pt>
                <c:pt idx="365">
                  <c:v>Comfort women </c:v>
                </c:pt>
                <c:pt idx="366">
                  <c:v> 20e siècle </c:v>
                </c:pt>
                <c:pt idx="367">
                  <c:v> To 221 B.C</c:v>
                </c:pt>
                <c:pt idx="368">
                  <c:v>Criticism, interpretation, etc</c:v>
                </c:pt>
                <c:pt idx="369">
                  <c:v> Women </c:v>
                </c:pt>
                <c:pt idx="370">
                  <c:v> 20th century </c:v>
                </c:pt>
                <c:pt idx="371">
                  <c:v> Conditions économiques </c:v>
                </c:pt>
                <c:pt idx="372">
                  <c:v>1939-1945</c:v>
                </c:pt>
                <c:pt idx="373">
                  <c:v> 21e siècle</c:v>
                </c:pt>
                <c:pt idx="374">
                  <c:v>2000-2099</c:v>
                </c:pt>
                <c:pt idx="375">
                  <c:v> Kaya (Confederation) </c:v>
                </c:pt>
                <c:pt idx="376">
                  <c:v> 1894-1919 </c:v>
                </c:pt>
                <c:pt idx="377">
                  <c:v> 21st century</c:v>
                </c:pt>
                <c:pt idx="378">
                  <c:v> Erreurs, inventions, etc</c:v>
                </c:pt>
                <c:pt idx="379">
                  <c:v>Description and travel</c:v>
                </c:pt>
                <c:pt idx="380">
                  <c:v> 1945-1989</c:v>
                </c:pt>
                <c:pt idx="381">
                  <c:v>Diplomats</c:v>
                </c:pt>
                <c:pt idx="382">
                  <c:v> 1945-1989 </c:v>
                </c:pt>
                <c:pt idx="383">
                  <c:v> 221 av. J.-C.-960</c:v>
                </c:pt>
                <c:pt idx="384">
                  <c:v> Influence</c:v>
                </c:pt>
                <c:pt idx="385">
                  <c:v> 221 B.C.-960 A.D</c:v>
                </c:pt>
                <c:pt idx="386">
                  <c:v> Biographies</c:v>
                </c:pt>
                <c:pt idx="387">
                  <c:v>Documentary films</c:v>
                </c:pt>
                <c:pt idx="388">
                  <c:v> Yanbian Chaoxianzu Zizhizhou</c:v>
                </c:pt>
                <c:pt idx="389">
                  <c:v>Documents d'archives </c:v>
                </c:pt>
                <c:pt idx="390">
                  <c:v>Feature films</c:v>
                </c:pt>
                <c:pt idx="391">
                  <c:v> Andong-gun</c:v>
                </c:pt>
                <c:pt idx="392">
                  <c:v> Economic conditions </c:v>
                </c:pt>
                <c:pt idx="393">
                  <c:v> 1600-1868</c:v>
                </c:pt>
                <c:pt idx="394">
                  <c:v>Asie</c:v>
                </c:pt>
                <c:pt idx="395">
                  <c:v>Early works to 1800</c:v>
                </c:pt>
                <c:pt idx="396">
                  <c:v> Catalogues </c:v>
                </c:pt>
                <c:pt idx="397">
                  <c:v>East Asia </c:v>
                </c:pt>
                <c:pt idx="398">
                  <c:v>1801-1917</c:v>
                </c:pt>
                <c:pt idx="399">
                  <c:v> Antiquities </c:v>
                </c:pt>
                <c:pt idx="400">
                  <c:v> Errors, inventions, etc</c:v>
                </c:pt>
                <c:pt idx="401">
                  <c:v> Paektu Mountain</c:v>
                </c:pt>
                <c:pt idx="402">
                  <c:v> Ullŭng Island</c:v>
                </c:pt>
                <c:pt idx="403">
                  <c:v> 1392-1637 </c:v>
                </c:pt>
                <c:pt idx="404">
                  <c:v>Atrocités</c:v>
                </c:pt>
                <c:pt idx="405">
                  <c:v> Séoul </c:v>
                </c:pt>
                <c:pt idx="406">
                  <c:v> Designs and plans</c:v>
                </c:pt>
                <c:pt idx="407">
                  <c:v> Politique et gouvernement </c:v>
                </c:pt>
                <c:pt idx="408">
                  <c:v>Manuscrits </c:v>
                </c:pt>
                <c:pt idx="409">
                  <c:v>Telecommunication</c:v>
                </c:pt>
                <c:pt idx="410">
                  <c:v>To 221 BC</c:v>
                </c:pt>
                <c:pt idx="411">
                  <c:v>Service, Compulsory non-military</c:v>
                </c:pt>
                <c:pt idx="412">
                  <c:v>Korean resistance movements (1905-1945)</c:v>
                </c:pt>
                <c:pt idx="413">
                  <c:v>Korean</c:v>
                </c:pt>
                <c:pt idx="414">
                  <c:v>War films</c:v>
                </c:pt>
                <c:pt idx="415">
                  <c:v>Motion pictures</c:v>
                </c:pt>
                <c:pt idx="416">
                  <c:v>Manchuria</c:v>
                </c:pt>
                <c:pt idx="417">
                  <c:v>Social aspects</c:v>
                </c:pt>
                <c:pt idx="418">
                  <c:v>War crimes</c:v>
                </c:pt>
                <c:pt idx="419">
                  <c:v>Japan, Sea of</c:v>
                </c:pt>
                <c:pt idx="420">
                  <c:v>Préservation historique </c:v>
                </c:pt>
                <c:pt idx="421">
                  <c:v>Korean language</c:v>
                </c:pt>
                <c:pt idx="422">
                  <c:v>Phonology</c:v>
                </c:pt>
                <c:pt idx="423">
                  <c:v>Korean poetry </c:v>
                </c:pt>
                <c:pt idx="424">
                  <c:v>Cultural property </c:v>
                </c:pt>
                <c:pt idx="425">
                  <c:v>Genealogy</c:v>
                </c:pt>
                <c:pt idx="426">
                  <c:v>Archival materials </c:v>
                </c:pt>
                <c:pt idx="427">
                  <c:v>Manuscripts </c:v>
                </c:pt>
                <c:pt idx="428">
                  <c:v>Sino-Japanese War, 1937-1945</c:v>
                </c:pt>
                <c:pt idx="429">
                  <c:v>Korean resistance movements, 1905-1945</c:v>
                </c:pt>
                <c:pt idx="430">
                  <c:v>Kyujanggak (Korea)</c:v>
                </c:pt>
                <c:pt idx="431">
                  <c:v>Historic preservation </c:v>
                </c:pt>
                <c:pt idx="432">
                  <c:v> Study and teaching (Primary)</c:v>
                </c:pt>
                <c:pt idx="433">
                  <c:v> Textbooks for foreign speakers</c:v>
                </c:pt>
                <c:pt idx="434">
                  <c:v>Fortification </c:v>
                </c:pt>
                <c:pt idx="435">
                  <c:v> 20e siècle</c:v>
                </c:pt>
                <c:pt idx="436">
                  <c:v> Juvenile fiction</c:v>
                </c:pt>
                <c:pt idx="437">
                  <c:v> Atrocités </c:v>
                </c:pt>
                <c:pt idx="438">
                  <c:v> Manuels pour allophones</c:v>
                </c:pt>
                <c:pt idx="439">
                  <c:v> Atrocities </c:v>
                </c:pt>
                <c:pt idx="440">
                  <c:v> Historiographie </c:v>
                </c:pt>
                <c:pt idx="441">
                  <c:v> Politics and government </c:v>
                </c:pt>
                <c:pt idx="442">
                  <c:v> for foreign speakers</c:v>
                </c:pt>
                <c:pt idx="443">
                  <c:v> Exhibitions</c:v>
                </c:pt>
                <c:pt idx="444">
                  <c:v>Coréen (Langue) </c:v>
                </c:pt>
                <c:pt idx="445">
                  <c:v> 1392-1637</c:v>
                </c:pt>
                <c:pt idx="446">
                  <c:v> Historiographie</c:v>
                </c:pt>
                <c:pt idx="447">
                  <c:v>Fouilles (Archéologie) </c:v>
                </c:pt>
                <c:pt idx="448">
                  <c:v> Ouvrages illustrés</c:v>
                </c:pt>
                <c:pt idx="449">
                  <c:v> Problèmes et exercices</c:v>
                </c:pt>
                <c:pt idx="450">
                  <c:v> Historiography </c:v>
                </c:pt>
                <c:pt idx="451">
                  <c:v> Problems, exercises, etc</c:v>
                </c:pt>
                <c:pt idx="452">
                  <c:v> Seoul </c:v>
                </c:pt>
                <c:pt idx="453">
                  <c:v> Pusan </c:v>
                </c:pt>
                <c:pt idx="454">
                  <c:v>Nationalism</c:v>
                </c:pt>
                <c:pt idx="455">
                  <c:v>Primorskiĭ kraĭ (Russia) </c:v>
                </c:pt>
                <c:pt idx="456">
                  <c:v>Travel</c:v>
                </c:pt>
                <c:pt idx="457">
                  <c:v>Koreans </c:v>
                </c:pt>
                <c:pt idx="458">
                  <c:v>Guerre mondiale, 1939-1945 </c:v>
                </c:pt>
                <c:pt idx="459">
                  <c:v>1637-1864</c:v>
                </c:pt>
                <c:pt idx="460">
                  <c:v>19th century</c:v>
                </c:pt>
                <c:pt idx="461">
                  <c:v>Russia</c:v>
                </c:pt>
                <c:pt idx="462">
                  <c:v>Territoire national </c:v>
                </c:pt>
                <c:pt idx="463">
                  <c:v>Koreans</c:v>
                </c:pt>
                <c:pt idx="464">
                  <c:v> International status</c:v>
                </c:pt>
                <c:pt idx="465">
                  <c:v> Korea (North) </c:v>
                </c:pt>
                <c:pt idx="466">
                  <c:v>Dictionaries. Japanese</c:v>
                </c:pt>
                <c:pt idx="467">
                  <c:v>Gairaigo</c:v>
                </c:pt>
                <c:pt idx="468">
                  <c:v> Seoul</c:v>
                </c:pt>
                <c:pt idx="469">
                  <c:v> Biography</c:v>
                </c:pt>
                <c:pt idx="470">
                  <c:v> Politics and government</c:v>
                </c:pt>
                <c:pt idx="471">
                  <c:v> Expositions</c:v>
                </c:pt>
                <c:pt idx="472">
                  <c:v>Catalogues</c:v>
                </c:pt>
                <c:pt idx="473">
                  <c:v>Art and the war</c:v>
                </c:pt>
                <c:pt idx="474">
                  <c:v> Chine </c:v>
                </c:pt>
                <c:pt idx="475">
                  <c:v> 1910-1945</c:v>
                </c:pt>
                <c:pt idx="476">
                  <c:v> Travail obligatoire </c:v>
                </c:pt>
                <c:pt idx="477">
                  <c:v> Monuments </c:v>
                </c:pt>
                <c:pt idx="478">
                  <c:v> Statut international</c:v>
                </c:pt>
                <c:pt idx="479">
                  <c:v>Edo jidai</c:v>
                </c:pt>
                <c:pt idx="480">
                  <c:v>Bunpō</c:v>
                </c:pt>
                <c:pt idx="481">
                  <c:v>Edo period</c:v>
                </c:pt>
                <c:pt idx="482">
                  <c:v>Conversation and phrase books</c:v>
                </c:pt>
                <c:pt idx="483">
                  <c:v>Edo period, 1600-1868</c:v>
                </c:pt>
                <c:pt idx="484">
                  <c:v>Adaptations</c:v>
                </c:pt>
                <c:pt idx="485">
                  <c:v>Esthétique</c:v>
                </c:pt>
                <c:pt idx="486">
                  <c:v>Court and courtiers</c:v>
                </c:pt>
                <c:pt idx="487">
                  <c:v> 1392-1894 </c:v>
                </c:pt>
                <c:pt idx="488">
                  <c:v>Ci yu</c:v>
                </c:pt>
                <c:pt idx="489">
                  <c:v> Conscript labor </c:v>
                </c:pt>
                <c:pt idx="490">
                  <c:v>Shakai</c:v>
                </c:pt>
                <c:pt idx="491">
                  <c:v>Translations into English</c:v>
                </c:pt>
                <c:pt idx="492">
                  <c:v>To 1600</c:v>
                </c:pt>
                <c:pt idx="493">
                  <c:v>Nagasaki-shi</c:v>
                </c:pt>
                <c:pt idx="494">
                  <c:v>Production and direction</c:v>
                </c:pt>
                <c:pt idx="495">
                  <c:v>Imprints</c:v>
                </c:pt>
                <c:pt idx="496">
                  <c:v>historia</c:v>
                </c:pt>
                <c:pt idx="497">
                  <c:v>Historic sites</c:v>
                </c:pt>
                <c:pt idx="498">
                  <c:v>Meiji period</c:v>
                </c:pt>
                <c:pt idx="499">
                  <c:v>Tang dynasty, 618-907</c:v>
                </c:pt>
                <c:pt idx="500">
                  <c:v>Méthodologie</c:v>
                </c:pt>
                <c:pt idx="501">
                  <c:v>Territories and possessions</c:v>
                </c:pt>
                <c:pt idx="502">
                  <c:v>Personnel</c:v>
                </c:pt>
                <c:pt idx="503">
                  <c:v>lexikon</c:v>
                </c:pt>
                <c:pt idx="504">
                  <c:v>Juvenile fiction</c:v>
                </c:pt>
                <c:pt idx="505">
                  <c:v>Intellectual life</c:v>
                </c:pt>
                <c:pt idx="506">
                  <c:v>Japanese occupation, 1910-1945</c:v>
                </c:pt>
                <c:pt idx="507">
                  <c:v>Territory, National </c:v>
                </c:pt>
                <c:pt idx="508">
                  <c:v>World War, 1939-1945 </c:v>
                </c:pt>
                <c:pt idx="509">
                  <c:v>Territoires et possessions</c:v>
                </c:pt>
                <c:pt idx="510">
                  <c:v>Mœurs et coutumes</c:v>
                </c:pt>
                <c:pt idx="511">
                  <c:v>Statut international</c:v>
                </c:pt>
                <c:pt idx="512">
                  <c:v>Zhu shi</c:v>
                </c:pt>
                <c:pt idx="513">
                  <c:v>Korean language </c:v>
                </c:pt>
                <c:pt idx="514">
                  <c:v>1392-1637</c:v>
                </c:pt>
                <c:pt idx="515">
                  <c:v> Romans, nouvelles, etc</c:v>
                </c:pt>
                <c:pt idx="516">
                  <c:v> Protection </c:v>
                </c:pt>
                <c:pt idx="517">
                  <c:v> East Asia </c:v>
                </c:pt>
                <c:pt idx="518">
                  <c:v> Pictorial works</c:v>
                </c:pt>
                <c:pt idx="519">
                  <c:v>Liancourt, Rochers de</c:v>
                </c:pt>
                <c:pt idx="520">
                  <c:v>Social conditions</c:v>
                </c:pt>
                <c:pt idx="521">
                  <c:v>International relations</c:v>
                </c:pt>
                <c:pt idx="522">
                  <c:v>Tok Island (Korea) </c:v>
                </c:pt>
                <c:pt idx="523">
                  <c:v>Liancourt, Rochers de </c:v>
                </c:pt>
                <c:pt idx="524">
                  <c:v>1910-1945</c:v>
                </c:pt>
                <c:pt idx="525">
                  <c:v>International law</c:v>
                </c:pt>
                <c:pt idx="526">
                  <c:v> Histoire et critique</c:v>
                </c:pt>
                <c:pt idx="527">
                  <c:v> Fiction</c:v>
                </c:pt>
                <c:pt idx="528">
                  <c:v> 20th century</c:v>
                </c:pt>
                <c:pt idx="529">
                  <c:v> China </c:v>
                </c:pt>
                <c:pt idx="530">
                  <c:v>Biographies</c:v>
                </c:pt>
                <c:pt idx="531">
                  <c:v>Koguryŏ (Kingdom) </c:v>
                </c:pt>
                <c:pt idx="532">
                  <c:v>Shanghai</c:v>
                </c:pt>
                <c:pt idx="533">
                  <c:v>World War, 1939-1945</c:v>
                </c:pt>
                <c:pt idx="534">
                  <c:v>Historiography</c:v>
                </c:pt>
                <c:pt idx="535">
                  <c:v>Tokyo</c:v>
                </c:pt>
                <c:pt idx="536">
                  <c:v>Japon </c:v>
                </c:pt>
                <c:pt idx="537">
                  <c:v>International status</c:v>
                </c:pt>
                <c:pt idx="538">
                  <c:v>Bohai (Kingdom) </c:v>
                </c:pt>
                <c:pt idx="539">
                  <c:v>Korea (North)</c:v>
                </c:pt>
                <c:pt idx="540">
                  <c:v>Chine </c:v>
                </c:pt>
                <c:pt idx="541">
                  <c:v> Historiography</c:v>
                </c:pt>
                <c:pt idx="542">
                  <c:v> Corée </c:v>
                </c:pt>
                <c:pt idx="543">
                  <c:v> To 935 </c:v>
                </c:pt>
                <c:pt idx="544">
                  <c:v> Jusqu'à 935 </c:v>
                </c:pt>
                <c:pt idx="545">
                  <c:v>China </c:v>
                </c:pt>
                <c:pt idx="546">
                  <c:v> Japanese occupation, 1910-1945</c:v>
                </c:pt>
                <c:pt idx="547">
                  <c:v> Bohai (Kingdom)</c:v>
                </c:pt>
                <c:pt idx="548">
                  <c:v> 1910-1945 (Occupation japonaise)</c:v>
                </c:pt>
                <c:pt idx="549">
                  <c:v> Corée du Sud </c:v>
                </c:pt>
                <c:pt idx="550">
                  <c:v> Japon </c:v>
                </c:pt>
                <c:pt idx="551">
                  <c:v>Officials and employees</c:v>
                </c:pt>
                <c:pt idx="552">
                  <c:v>Tok Island</c:v>
                </c:pt>
                <c:pt idx="553">
                  <c:v>Historic sites </c:v>
                </c:pt>
                <c:pt idx="554">
                  <c:v>Lieux historiques </c:v>
                </c:pt>
                <c:pt idx="555">
                  <c:v>Korea (South) </c:v>
                </c:pt>
                <c:pt idx="556">
                  <c:v>Excavations (Archaeology) </c:v>
                </c:pt>
                <c:pt idx="557">
                  <c:v> Tok Island</c:v>
                </c:pt>
                <c:pt idx="558">
                  <c:v>Chinese influences</c:v>
                </c:pt>
                <c:pt idx="559">
                  <c:v>Catalogs</c:v>
                </c:pt>
                <c:pt idx="560">
                  <c:v>Edojidai</c:v>
                </c:pt>
                <c:pt idx="561">
                  <c:v>Aesthetics</c:v>
                </c:pt>
                <c:pt idx="562">
                  <c:v>1900-1999</c:v>
                </c:pt>
                <c:pt idx="563">
                  <c:v>Expertising</c:v>
                </c:pt>
                <c:pt idx="564">
                  <c:v> Histoire</c:v>
                </c:pt>
                <c:pt idx="565">
                  <c:v> Chine</c:v>
                </c:pt>
                <c:pt idx="566">
                  <c:v>Benran</c:v>
                </c:pt>
                <c:pt idx="567">
                  <c:v> History and criticism</c:v>
                </c:pt>
                <c:pt idx="568">
                  <c:v>meibo</c:v>
                </c:pt>
                <c:pt idx="569">
                  <c:v>Particles</c:v>
                </c:pt>
                <c:pt idx="570">
                  <c:v>Methodology</c:v>
                </c:pt>
                <c:pt idx="571">
                  <c:v>Management</c:v>
                </c:pt>
                <c:pt idx="572">
                  <c:v>Grammar, Classical</c:v>
                </c:pt>
                <c:pt idx="573">
                  <c:v>Indexes</c:v>
                </c:pt>
                <c:pt idx="574">
                  <c:v>Investigation</c:v>
                </c:pt>
                <c:pt idx="575">
                  <c:v>In art</c:v>
                </c:pt>
                <c:pt idx="576">
                  <c:v>Lexicography</c:v>
                </c:pt>
                <c:pt idx="577">
                  <c:v>Shoshi</c:v>
                </c:pt>
                <c:pt idx="578">
                  <c:v>Asia</c:v>
                </c:pt>
                <c:pt idx="579">
                  <c:v>Japan </c:v>
                </c:pt>
                <c:pt idx="580">
                  <c:v> Conservation et restauration </c:v>
                </c:pt>
                <c:pt idx="581">
                  <c:v>Atrocities</c:v>
                </c:pt>
                <c:pt idx="582">
                  <c:v>Antiquities</c:v>
                </c:pt>
                <c:pt idx="583">
                  <c:v>Asia </c:v>
                </c:pt>
                <c:pt idx="584">
                  <c:v> Japan </c:v>
                </c:pt>
                <c:pt idx="585">
                  <c:v> Relations extérieures</c:v>
                </c:pt>
                <c:pt idx="586">
                  <c:v> Corée du Nord</c:v>
                </c:pt>
                <c:pt idx="587">
                  <c:v>Tok Island (Korea)</c:v>
                </c:pt>
                <c:pt idx="588">
                  <c:v>Relations</c:v>
                </c:pt>
                <c:pt idx="589">
                  <c:v>Comfort women</c:v>
                </c:pt>
                <c:pt idx="590">
                  <c:v>Territory, National</c:v>
                </c:pt>
                <c:pt idx="591">
                  <c:v>Women</c:v>
                </c:pt>
                <c:pt idx="592">
                  <c:v> Conservation and restoration </c:v>
                </c:pt>
                <c:pt idx="593">
                  <c:v> Catalogs</c:v>
                </c:pt>
                <c:pt idx="594">
                  <c:v>Employees</c:v>
                </c:pt>
                <c:pt idx="595">
                  <c:v>Diaries</c:v>
                </c:pt>
                <c:pt idx="596">
                  <c:v>Bombardment, 1945</c:v>
                </c:pt>
                <c:pt idx="597">
                  <c:v> Koguryŏ (Kingdom)</c:v>
                </c:pt>
                <c:pt idx="598">
                  <c:v> Korea (North)</c:v>
                </c:pt>
                <c:pt idx="599">
                  <c:v> Relations </c:v>
                </c:pt>
                <c:pt idx="600">
                  <c:v> Primorski Kraj</c:v>
                </c:pt>
                <c:pt idx="601">
                  <c:v>Bio-bibliography</c:v>
                </c:pt>
                <c:pt idx="602">
                  <c:v> Russie </c:v>
                </c:pt>
                <c:pt idx="603">
                  <c:v>Pictorial works</c:v>
                </c:pt>
                <c:pt idx="604">
                  <c:v>Tokugawa period, 1600-1868</c:v>
                </c:pt>
                <c:pt idx="605">
                  <c:v>To 1868</c:v>
                </c:pt>
                <c:pt idx="606">
                  <c:v>Hiroshima-shi</c:v>
                </c:pt>
                <c:pt idx="607">
                  <c:v>Japon</c:v>
                </c:pt>
                <c:pt idx="608">
                  <c:v> Korea </c:v>
                </c:pt>
                <c:pt idx="609">
                  <c:v>21st century</c:v>
                </c:pt>
                <c:pt idx="610">
                  <c:v>To 935</c:v>
                </c:pt>
                <c:pt idx="611">
                  <c:v> Civilization</c:v>
                </c:pt>
                <c:pt idx="612">
                  <c:v> Korea (South) </c:v>
                </c:pt>
                <c:pt idx="613">
                  <c:v> China</c:v>
                </c:pt>
                <c:pt idx="614">
                  <c:v>Cursive writing</c:v>
                </c:pt>
                <c:pt idx="615">
                  <c:v>East Asia</c:v>
                </c:pt>
                <c:pt idx="616">
                  <c:v> Civilisation </c:v>
                </c:pt>
                <c:pt idx="617">
                  <c:v>Encyclopedias</c:v>
                </c:pt>
                <c:pt idx="618">
                  <c:v>Bibliography</c:v>
                </c:pt>
                <c:pt idx="619">
                  <c:v>Meiji period, 1868-1912</c:v>
                </c:pt>
                <c:pt idx="620">
                  <c:v>Interviews</c:v>
                </c:pt>
                <c:pt idx="621">
                  <c:v>Shomoku</c:v>
                </c:pt>
                <c:pt idx="622">
                  <c:v> Corée</c:v>
                </c:pt>
                <c:pt idx="623">
                  <c:v> Russia (Federation) </c:v>
                </c:pt>
                <c:pt idx="624">
                  <c:v> Civilization </c:v>
                </c:pt>
                <c:pt idx="625">
                  <c:v> Primorskiĭ kraĭ</c:v>
                </c:pt>
                <c:pt idx="626">
                  <c:v> Jusqu'à 935</c:v>
                </c:pt>
                <c:pt idx="627">
                  <c:v> Korea</c:v>
                </c:pt>
                <c:pt idx="628">
                  <c:v> To 935</c:v>
                </c:pt>
                <c:pt idx="629">
                  <c:v>nihon</c:v>
                </c:pt>
                <c:pt idx="630">
                  <c:v> Japon</c:v>
                </c:pt>
                <c:pt idx="631">
                  <c:v>Handbooks, manuals, etc</c:v>
                </c:pt>
                <c:pt idx="632">
                  <c:v> Japan</c:v>
                </c:pt>
                <c:pt idx="633">
                  <c:v>Jinmeijiten</c:v>
                </c:pt>
                <c:pt idx="634">
                  <c:v>Social life and customs</c:v>
                </c:pt>
                <c:pt idx="635">
                  <c:v>Politics and government</c:v>
                </c:pt>
                <c:pt idx="636">
                  <c:v> Antiquities</c:v>
                </c:pt>
                <c:pt idx="637">
                  <c:v> History</c:v>
                </c:pt>
                <c:pt idx="638">
                  <c:v>denki</c:v>
                </c:pt>
                <c:pt idx="639">
                  <c:v>Criticism and interpretation</c:v>
                </c:pt>
                <c:pt idx="640">
                  <c:v>Exhibitions</c:v>
                </c:pt>
                <c:pt idx="641">
                  <c:v>Diplomatic relations</c:v>
                </c:pt>
                <c:pt idx="642">
                  <c:v>History and criticism</c:v>
                </c:pt>
                <c:pt idx="643">
                  <c:v>Civilization</c:v>
                </c:pt>
                <c:pt idx="644">
                  <c:v> Corée du Sud</c:v>
                </c:pt>
                <c:pt idx="645">
                  <c:v>Romans, nouvelles, etc</c:v>
                </c:pt>
                <c:pt idx="646">
                  <c:v>1600-1868</c:v>
                </c:pt>
                <c:pt idx="647">
                  <c:v> Histoire </c:v>
                </c:pt>
                <c:pt idx="648">
                  <c:v>Study and teaching</c:v>
                </c:pt>
                <c:pt idx="649">
                  <c:v>Corée </c:v>
                </c:pt>
                <c:pt idx="650">
                  <c:v> History </c:v>
                </c:pt>
                <c:pt idx="651">
                  <c:v> Korea (South)</c:v>
                </c:pt>
                <c:pt idx="652">
                  <c:v> Relations extérieures </c:v>
                </c:pt>
                <c:pt idx="653">
                  <c:v>Foreign relations</c:v>
                </c:pt>
                <c:pt idx="654">
                  <c:v>Korea </c:v>
                </c:pt>
                <c:pt idx="655">
                  <c:v>Rekishi</c:v>
                </c:pt>
                <c:pt idx="656">
                  <c:v>China</c:v>
                </c:pt>
                <c:pt idx="657">
                  <c:v>20th century</c:v>
                </c:pt>
                <c:pt idx="658">
                  <c:v> Sources</c:v>
                </c:pt>
                <c:pt idx="659">
                  <c:v>Korea (South)</c:v>
                </c:pt>
                <c:pt idx="660">
                  <c:v>Jisho</c:v>
                </c:pt>
                <c:pt idx="661">
                  <c:v> Foreign relations </c:v>
                </c:pt>
                <c:pt idx="662">
                  <c:v>Sources</c:v>
                </c:pt>
                <c:pt idx="663">
                  <c:v>Korea</c:v>
                </c:pt>
                <c:pt idx="664">
                  <c:v>Biography</c:v>
                </c:pt>
                <c:pt idx="665">
                  <c:v>Fiction</c:v>
                </c:pt>
                <c:pt idx="666">
                  <c:v>Japanese</c:v>
                </c:pt>
                <c:pt idx="667">
                  <c:v>Dictionaries</c:v>
                </c:pt>
                <c:pt idx="668">
                  <c:v>History</c:v>
                </c:pt>
                <c:pt idx="669">
                  <c:v>Japan</c:v>
                </c:pt>
              </c:strCache>
            </c:strRef>
          </c:cat>
          <c:val>
            <c:numRef>
              <c:f>'s-Subjects'!$P$5:$P$675</c:f>
              <c:numCache>
                <c:formatCode>General</c:formatCode>
                <c:ptCount val="67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2</c:v>
                </c:pt>
                <c:pt idx="212">
                  <c:v>2</c:v>
                </c:pt>
                <c:pt idx="213">
                  <c:v>2</c:v>
                </c:pt>
                <c:pt idx="214">
                  <c:v>2</c:v>
                </c:pt>
                <c:pt idx="215">
                  <c:v>2</c:v>
                </c:pt>
                <c:pt idx="216">
                  <c:v>2</c:v>
                </c:pt>
                <c:pt idx="217">
                  <c:v>2</c:v>
                </c:pt>
                <c:pt idx="218">
                  <c:v>2</c:v>
                </c:pt>
                <c:pt idx="219">
                  <c:v>2</c:v>
                </c:pt>
                <c:pt idx="220">
                  <c:v>2</c:v>
                </c:pt>
                <c:pt idx="221">
                  <c:v>2</c:v>
                </c:pt>
                <c:pt idx="222">
                  <c:v>2</c:v>
                </c:pt>
                <c:pt idx="223">
                  <c:v>2</c:v>
                </c:pt>
                <c:pt idx="224">
                  <c:v>2</c:v>
                </c:pt>
                <c:pt idx="225">
                  <c:v>2</c:v>
                </c:pt>
                <c:pt idx="226">
                  <c:v>2</c:v>
                </c:pt>
                <c:pt idx="227">
                  <c:v>2</c:v>
                </c:pt>
                <c:pt idx="228">
                  <c:v>2</c:v>
                </c:pt>
                <c:pt idx="229">
                  <c:v>2</c:v>
                </c:pt>
                <c:pt idx="230">
                  <c:v>2</c:v>
                </c:pt>
                <c:pt idx="231">
                  <c:v>2</c:v>
                </c:pt>
                <c:pt idx="232">
                  <c:v>2</c:v>
                </c:pt>
                <c:pt idx="233">
                  <c:v>2</c:v>
                </c:pt>
                <c:pt idx="234">
                  <c:v>2</c:v>
                </c:pt>
                <c:pt idx="235">
                  <c:v>2</c:v>
                </c:pt>
                <c:pt idx="236">
                  <c:v>2</c:v>
                </c:pt>
                <c:pt idx="237">
                  <c:v>2</c:v>
                </c:pt>
                <c:pt idx="238">
                  <c:v>2</c:v>
                </c:pt>
                <c:pt idx="239">
                  <c:v>2</c:v>
                </c:pt>
                <c:pt idx="240">
                  <c:v>2</c:v>
                </c:pt>
                <c:pt idx="241">
                  <c:v>2</c:v>
                </c:pt>
                <c:pt idx="242">
                  <c:v>2</c:v>
                </c:pt>
                <c:pt idx="243">
                  <c:v>2</c:v>
                </c:pt>
                <c:pt idx="244">
                  <c:v>2</c:v>
                </c:pt>
                <c:pt idx="245">
                  <c:v>2</c:v>
                </c:pt>
                <c:pt idx="246">
                  <c:v>2</c:v>
                </c:pt>
                <c:pt idx="247">
                  <c:v>2</c:v>
                </c:pt>
                <c:pt idx="248">
                  <c:v>2</c:v>
                </c:pt>
                <c:pt idx="249">
                  <c:v>2</c:v>
                </c:pt>
                <c:pt idx="250">
                  <c:v>2</c:v>
                </c:pt>
                <c:pt idx="251">
                  <c:v>2</c:v>
                </c:pt>
                <c:pt idx="252">
                  <c:v>2</c:v>
                </c:pt>
                <c:pt idx="253">
                  <c:v>2</c:v>
                </c:pt>
                <c:pt idx="254">
                  <c:v>2</c:v>
                </c:pt>
                <c:pt idx="255">
                  <c:v>2</c:v>
                </c:pt>
                <c:pt idx="256">
                  <c:v>2</c:v>
                </c:pt>
                <c:pt idx="257">
                  <c:v>2</c:v>
                </c:pt>
                <c:pt idx="258">
                  <c:v>2</c:v>
                </c:pt>
                <c:pt idx="259">
                  <c:v>2</c:v>
                </c:pt>
                <c:pt idx="260">
                  <c:v>2</c:v>
                </c:pt>
                <c:pt idx="261">
                  <c:v>2</c:v>
                </c:pt>
                <c:pt idx="262">
                  <c:v>2</c:v>
                </c:pt>
                <c:pt idx="263">
                  <c:v>2</c:v>
                </c:pt>
                <c:pt idx="264">
                  <c:v>2</c:v>
                </c:pt>
                <c:pt idx="265">
                  <c:v>2</c:v>
                </c:pt>
                <c:pt idx="266">
                  <c:v>2</c:v>
                </c:pt>
                <c:pt idx="267">
                  <c:v>2</c:v>
                </c:pt>
                <c:pt idx="268">
                  <c:v>2</c:v>
                </c:pt>
                <c:pt idx="269">
                  <c:v>2</c:v>
                </c:pt>
                <c:pt idx="270">
                  <c:v>2</c:v>
                </c:pt>
                <c:pt idx="271">
                  <c:v>2</c:v>
                </c:pt>
                <c:pt idx="272">
                  <c:v>2</c:v>
                </c:pt>
                <c:pt idx="273">
                  <c:v>2</c:v>
                </c:pt>
                <c:pt idx="274">
                  <c:v>2</c:v>
                </c:pt>
                <c:pt idx="275">
                  <c:v>2</c:v>
                </c:pt>
                <c:pt idx="276">
                  <c:v>2</c:v>
                </c:pt>
                <c:pt idx="277">
                  <c:v>2</c:v>
                </c:pt>
                <c:pt idx="278">
                  <c:v>2</c:v>
                </c:pt>
                <c:pt idx="279">
                  <c:v>2</c:v>
                </c:pt>
                <c:pt idx="280">
                  <c:v>2</c:v>
                </c:pt>
                <c:pt idx="281">
                  <c:v>2</c:v>
                </c:pt>
                <c:pt idx="282">
                  <c:v>2</c:v>
                </c:pt>
                <c:pt idx="283">
                  <c:v>2</c:v>
                </c:pt>
                <c:pt idx="284">
                  <c:v>2</c:v>
                </c:pt>
                <c:pt idx="285">
                  <c:v>2</c:v>
                </c:pt>
                <c:pt idx="286">
                  <c:v>2</c:v>
                </c:pt>
                <c:pt idx="287">
                  <c:v>2</c:v>
                </c:pt>
                <c:pt idx="288">
                  <c:v>2</c:v>
                </c:pt>
                <c:pt idx="289">
                  <c:v>2</c:v>
                </c:pt>
                <c:pt idx="290">
                  <c:v>2</c:v>
                </c:pt>
                <c:pt idx="291">
                  <c:v>2</c:v>
                </c:pt>
                <c:pt idx="292">
                  <c:v>2</c:v>
                </c:pt>
                <c:pt idx="293">
                  <c:v>2</c:v>
                </c:pt>
                <c:pt idx="294">
                  <c:v>2</c:v>
                </c:pt>
                <c:pt idx="295">
                  <c:v>2</c:v>
                </c:pt>
                <c:pt idx="296">
                  <c:v>2</c:v>
                </c:pt>
                <c:pt idx="297">
                  <c:v>2</c:v>
                </c:pt>
                <c:pt idx="298">
                  <c:v>2</c:v>
                </c:pt>
                <c:pt idx="299">
                  <c:v>2</c:v>
                </c:pt>
                <c:pt idx="300">
                  <c:v>2</c:v>
                </c:pt>
                <c:pt idx="301">
                  <c:v>2</c:v>
                </c:pt>
                <c:pt idx="302">
                  <c:v>2</c:v>
                </c:pt>
                <c:pt idx="303">
                  <c:v>2</c:v>
                </c:pt>
                <c:pt idx="304">
                  <c:v>2</c:v>
                </c:pt>
                <c:pt idx="305">
                  <c:v>2</c:v>
                </c:pt>
                <c:pt idx="306">
                  <c:v>2</c:v>
                </c:pt>
                <c:pt idx="307">
                  <c:v>2</c:v>
                </c:pt>
                <c:pt idx="308">
                  <c:v>2</c:v>
                </c:pt>
                <c:pt idx="309">
                  <c:v>2</c:v>
                </c:pt>
                <c:pt idx="310">
                  <c:v>2</c:v>
                </c:pt>
                <c:pt idx="311">
                  <c:v>2</c:v>
                </c:pt>
                <c:pt idx="312">
                  <c:v>2</c:v>
                </c:pt>
                <c:pt idx="313">
                  <c:v>2</c:v>
                </c:pt>
                <c:pt idx="314">
                  <c:v>2</c:v>
                </c:pt>
                <c:pt idx="315">
                  <c:v>2</c:v>
                </c:pt>
                <c:pt idx="316">
                  <c:v>2</c:v>
                </c:pt>
                <c:pt idx="317">
                  <c:v>2</c:v>
                </c:pt>
                <c:pt idx="318">
                  <c:v>2</c:v>
                </c:pt>
                <c:pt idx="319">
                  <c:v>2</c:v>
                </c:pt>
                <c:pt idx="320">
                  <c:v>2</c:v>
                </c:pt>
                <c:pt idx="321">
                  <c:v>2</c:v>
                </c:pt>
                <c:pt idx="322">
                  <c:v>2</c:v>
                </c:pt>
                <c:pt idx="323">
                  <c:v>2</c:v>
                </c:pt>
                <c:pt idx="324">
                  <c:v>2</c:v>
                </c:pt>
                <c:pt idx="325">
                  <c:v>2</c:v>
                </c:pt>
                <c:pt idx="326">
                  <c:v>2</c:v>
                </c:pt>
                <c:pt idx="327">
                  <c:v>2</c:v>
                </c:pt>
                <c:pt idx="328">
                  <c:v>2</c:v>
                </c:pt>
                <c:pt idx="329">
                  <c:v>2</c:v>
                </c:pt>
                <c:pt idx="330">
                  <c:v>2</c:v>
                </c:pt>
                <c:pt idx="331">
                  <c:v>2</c:v>
                </c:pt>
                <c:pt idx="332">
                  <c:v>2</c:v>
                </c:pt>
                <c:pt idx="333">
                  <c:v>3</c:v>
                </c:pt>
                <c:pt idx="334">
                  <c:v>3</c:v>
                </c:pt>
                <c:pt idx="335">
                  <c:v>3</c:v>
                </c:pt>
                <c:pt idx="336">
                  <c:v>3</c:v>
                </c:pt>
                <c:pt idx="337">
                  <c:v>3</c:v>
                </c:pt>
                <c:pt idx="338">
                  <c:v>3</c:v>
                </c:pt>
                <c:pt idx="339">
                  <c:v>3</c:v>
                </c:pt>
                <c:pt idx="340">
                  <c:v>3</c:v>
                </c:pt>
                <c:pt idx="341">
                  <c:v>3</c:v>
                </c:pt>
                <c:pt idx="342">
                  <c:v>3</c:v>
                </c:pt>
                <c:pt idx="343">
                  <c:v>3</c:v>
                </c:pt>
                <c:pt idx="344">
                  <c:v>3</c:v>
                </c:pt>
                <c:pt idx="345">
                  <c:v>3</c:v>
                </c:pt>
                <c:pt idx="346">
                  <c:v>3</c:v>
                </c:pt>
                <c:pt idx="347">
                  <c:v>3</c:v>
                </c:pt>
                <c:pt idx="348">
                  <c:v>3</c:v>
                </c:pt>
                <c:pt idx="349">
                  <c:v>3</c:v>
                </c:pt>
                <c:pt idx="350">
                  <c:v>3</c:v>
                </c:pt>
                <c:pt idx="351">
                  <c:v>3</c:v>
                </c:pt>
                <c:pt idx="352">
                  <c:v>3</c:v>
                </c:pt>
                <c:pt idx="353">
                  <c:v>3</c:v>
                </c:pt>
                <c:pt idx="354">
                  <c:v>3</c:v>
                </c:pt>
                <c:pt idx="355">
                  <c:v>3</c:v>
                </c:pt>
                <c:pt idx="356">
                  <c:v>3</c:v>
                </c:pt>
                <c:pt idx="357">
                  <c:v>3</c:v>
                </c:pt>
                <c:pt idx="358">
                  <c:v>3</c:v>
                </c:pt>
                <c:pt idx="359">
                  <c:v>3</c:v>
                </c:pt>
                <c:pt idx="360">
                  <c:v>3</c:v>
                </c:pt>
                <c:pt idx="361">
                  <c:v>3</c:v>
                </c:pt>
                <c:pt idx="362">
                  <c:v>4</c:v>
                </c:pt>
                <c:pt idx="363">
                  <c:v>4</c:v>
                </c:pt>
                <c:pt idx="364">
                  <c:v>4</c:v>
                </c:pt>
                <c:pt idx="365">
                  <c:v>4</c:v>
                </c:pt>
                <c:pt idx="366">
                  <c:v>4</c:v>
                </c:pt>
                <c:pt idx="367">
                  <c:v>4</c:v>
                </c:pt>
                <c:pt idx="368">
                  <c:v>4</c:v>
                </c:pt>
                <c:pt idx="369">
                  <c:v>4</c:v>
                </c:pt>
                <c:pt idx="370">
                  <c:v>4</c:v>
                </c:pt>
                <c:pt idx="371">
                  <c:v>4</c:v>
                </c:pt>
                <c:pt idx="372">
                  <c:v>4</c:v>
                </c:pt>
                <c:pt idx="373">
                  <c:v>4</c:v>
                </c:pt>
                <c:pt idx="374">
                  <c:v>4</c:v>
                </c:pt>
                <c:pt idx="375">
                  <c:v>4</c:v>
                </c:pt>
                <c:pt idx="376">
                  <c:v>4</c:v>
                </c:pt>
                <c:pt idx="377">
                  <c:v>4</c:v>
                </c:pt>
                <c:pt idx="378">
                  <c:v>4</c:v>
                </c:pt>
                <c:pt idx="379">
                  <c:v>4</c:v>
                </c:pt>
                <c:pt idx="380">
                  <c:v>4</c:v>
                </c:pt>
                <c:pt idx="381">
                  <c:v>4</c:v>
                </c:pt>
                <c:pt idx="382">
                  <c:v>4</c:v>
                </c:pt>
                <c:pt idx="383">
                  <c:v>4</c:v>
                </c:pt>
                <c:pt idx="384">
                  <c:v>4</c:v>
                </c:pt>
                <c:pt idx="385">
                  <c:v>4</c:v>
                </c:pt>
                <c:pt idx="386">
                  <c:v>4</c:v>
                </c:pt>
                <c:pt idx="387">
                  <c:v>4</c:v>
                </c:pt>
                <c:pt idx="388">
                  <c:v>4</c:v>
                </c:pt>
                <c:pt idx="389">
                  <c:v>4</c:v>
                </c:pt>
                <c:pt idx="390">
                  <c:v>4</c:v>
                </c:pt>
                <c:pt idx="391">
                  <c:v>4</c:v>
                </c:pt>
                <c:pt idx="392">
                  <c:v>4</c:v>
                </c:pt>
                <c:pt idx="393">
                  <c:v>4</c:v>
                </c:pt>
                <c:pt idx="394">
                  <c:v>4</c:v>
                </c:pt>
                <c:pt idx="395">
                  <c:v>4</c:v>
                </c:pt>
                <c:pt idx="396">
                  <c:v>4</c:v>
                </c:pt>
                <c:pt idx="397">
                  <c:v>4</c:v>
                </c:pt>
                <c:pt idx="398">
                  <c:v>4</c:v>
                </c:pt>
                <c:pt idx="399">
                  <c:v>4</c:v>
                </c:pt>
                <c:pt idx="400">
                  <c:v>4</c:v>
                </c:pt>
                <c:pt idx="401">
                  <c:v>4</c:v>
                </c:pt>
                <c:pt idx="402">
                  <c:v>4</c:v>
                </c:pt>
                <c:pt idx="403">
                  <c:v>4</c:v>
                </c:pt>
                <c:pt idx="404">
                  <c:v>4</c:v>
                </c:pt>
                <c:pt idx="405">
                  <c:v>4</c:v>
                </c:pt>
                <c:pt idx="406">
                  <c:v>4</c:v>
                </c:pt>
                <c:pt idx="407">
                  <c:v>4</c:v>
                </c:pt>
                <c:pt idx="408">
                  <c:v>4</c:v>
                </c:pt>
                <c:pt idx="409">
                  <c:v>4</c:v>
                </c:pt>
                <c:pt idx="410">
                  <c:v>4</c:v>
                </c:pt>
                <c:pt idx="411">
                  <c:v>4</c:v>
                </c:pt>
                <c:pt idx="412">
                  <c:v>4</c:v>
                </c:pt>
                <c:pt idx="413">
                  <c:v>4</c:v>
                </c:pt>
                <c:pt idx="414">
                  <c:v>4</c:v>
                </c:pt>
                <c:pt idx="415">
                  <c:v>4</c:v>
                </c:pt>
                <c:pt idx="416">
                  <c:v>4</c:v>
                </c:pt>
                <c:pt idx="417">
                  <c:v>4</c:v>
                </c:pt>
                <c:pt idx="418">
                  <c:v>4</c:v>
                </c:pt>
                <c:pt idx="419">
                  <c:v>4</c:v>
                </c:pt>
                <c:pt idx="420">
                  <c:v>4</c:v>
                </c:pt>
                <c:pt idx="421">
                  <c:v>4</c:v>
                </c:pt>
                <c:pt idx="422">
                  <c:v>4</c:v>
                </c:pt>
                <c:pt idx="423">
                  <c:v>4</c:v>
                </c:pt>
                <c:pt idx="424">
                  <c:v>5</c:v>
                </c:pt>
                <c:pt idx="425">
                  <c:v>5</c:v>
                </c:pt>
                <c:pt idx="426">
                  <c:v>5</c:v>
                </c:pt>
                <c:pt idx="427">
                  <c:v>5</c:v>
                </c:pt>
                <c:pt idx="428">
                  <c:v>5</c:v>
                </c:pt>
                <c:pt idx="429">
                  <c:v>5</c:v>
                </c:pt>
                <c:pt idx="430">
                  <c:v>5</c:v>
                </c:pt>
                <c:pt idx="431">
                  <c:v>5</c:v>
                </c:pt>
                <c:pt idx="432">
                  <c:v>6</c:v>
                </c:pt>
                <c:pt idx="433">
                  <c:v>6</c:v>
                </c:pt>
                <c:pt idx="434">
                  <c:v>6</c:v>
                </c:pt>
                <c:pt idx="435">
                  <c:v>6</c:v>
                </c:pt>
                <c:pt idx="436">
                  <c:v>6</c:v>
                </c:pt>
                <c:pt idx="437">
                  <c:v>6</c:v>
                </c:pt>
                <c:pt idx="438">
                  <c:v>6</c:v>
                </c:pt>
                <c:pt idx="439">
                  <c:v>6</c:v>
                </c:pt>
                <c:pt idx="440">
                  <c:v>6</c:v>
                </c:pt>
                <c:pt idx="441">
                  <c:v>6</c:v>
                </c:pt>
                <c:pt idx="442">
                  <c:v>6</c:v>
                </c:pt>
                <c:pt idx="443">
                  <c:v>6</c:v>
                </c:pt>
                <c:pt idx="444">
                  <c:v>6</c:v>
                </c:pt>
                <c:pt idx="445">
                  <c:v>6</c:v>
                </c:pt>
                <c:pt idx="446">
                  <c:v>6</c:v>
                </c:pt>
                <c:pt idx="447">
                  <c:v>6</c:v>
                </c:pt>
                <c:pt idx="448">
                  <c:v>6</c:v>
                </c:pt>
                <c:pt idx="449">
                  <c:v>6</c:v>
                </c:pt>
                <c:pt idx="450">
                  <c:v>6</c:v>
                </c:pt>
                <c:pt idx="451">
                  <c:v>6</c:v>
                </c:pt>
                <c:pt idx="452">
                  <c:v>6</c:v>
                </c:pt>
                <c:pt idx="453">
                  <c:v>6</c:v>
                </c:pt>
                <c:pt idx="454">
                  <c:v>6</c:v>
                </c:pt>
                <c:pt idx="455">
                  <c:v>6</c:v>
                </c:pt>
                <c:pt idx="456">
                  <c:v>6</c:v>
                </c:pt>
                <c:pt idx="457">
                  <c:v>6</c:v>
                </c:pt>
                <c:pt idx="458">
                  <c:v>6</c:v>
                </c:pt>
                <c:pt idx="459">
                  <c:v>7</c:v>
                </c:pt>
                <c:pt idx="460">
                  <c:v>7</c:v>
                </c:pt>
                <c:pt idx="461">
                  <c:v>7</c:v>
                </c:pt>
                <c:pt idx="462">
                  <c:v>7</c:v>
                </c:pt>
                <c:pt idx="463">
                  <c:v>7</c:v>
                </c:pt>
                <c:pt idx="464">
                  <c:v>8</c:v>
                </c:pt>
                <c:pt idx="465">
                  <c:v>8</c:v>
                </c:pt>
                <c:pt idx="466">
                  <c:v>8</c:v>
                </c:pt>
                <c:pt idx="467">
                  <c:v>8</c:v>
                </c:pt>
                <c:pt idx="468">
                  <c:v>8</c:v>
                </c:pt>
                <c:pt idx="469">
                  <c:v>8</c:v>
                </c:pt>
                <c:pt idx="470">
                  <c:v>8</c:v>
                </c:pt>
                <c:pt idx="471">
                  <c:v>8</c:v>
                </c:pt>
                <c:pt idx="472">
                  <c:v>8</c:v>
                </c:pt>
                <c:pt idx="473">
                  <c:v>8</c:v>
                </c:pt>
                <c:pt idx="474">
                  <c:v>8</c:v>
                </c:pt>
                <c:pt idx="475">
                  <c:v>8</c:v>
                </c:pt>
                <c:pt idx="476">
                  <c:v>8</c:v>
                </c:pt>
                <c:pt idx="477">
                  <c:v>8</c:v>
                </c:pt>
                <c:pt idx="478">
                  <c:v>8</c:v>
                </c:pt>
                <c:pt idx="479">
                  <c:v>8</c:v>
                </c:pt>
                <c:pt idx="480">
                  <c:v>8</c:v>
                </c:pt>
                <c:pt idx="481">
                  <c:v>8</c:v>
                </c:pt>
                <c:pt idx="482">
                  <c:v>8</c:v>
                </c:pt>
                <c:pt idx="483">
                  <c:v>8</c:v>
                </c:pt>
                <c:pt idx="484">
                  <c:v>8</c:v>
                </c:pt>
                <c:pt idx="485">
                  <c:v>8</c:v>
                </c:pt>
                <c:pt idx="486">
                  <c:v>8</c:v>
                </c:pt>
                <c:pt idx="487">
                  <c:v>8</c:v>
                </c:pt>
                <c:pt idx="488">
                  <c:v>8</c:v>
                </c:pt>
                <c:pt idx="489">
                  <c:v>8</c:v>
                </c:pt>
                <c:pt idx="490">
                  <c:v>8</c:v>
                </c:pt>
                <c:pt idx="491">
                  <c:v>8</c:v>
                </c:pt>
                <c:pt idx="492">
                  <c:v>8</c:v>
                </c:pt>
                <c:pt idx="493">
                  <c:v>8</c:v>
                </c:pt>
                <c:pt idx="494">
                  <c:v>8</c:v>
                </c:pt>
                <c:pt idx="495">
                  <c:v>8</c:v>
                </c:pt>
                <c:pt idx="496">
                  <c:v>8</c:v>
                </c:pt>
                <c:pt idx="497">
                  <c:v>8</c:v>
                </c:pt>
                <c:pt idx="498">
                  <c:v>8</c:v>
                </c:pt>
                <c:pt idx="499">
                  <c:v>8</c:v>
                </c:pt>
                <c:pt idx="500">
                  <c:v>8</c:v>
                </c:pt>
                <c:pt idx="501">
                  <c:v>8</c:v>
                </c:pt>
                <c:pt idx="502">
                  <c:v>8</c:v>
                </c:pt>
                <c:pt idx="503">
                  <c:v>8</c:v>
                </c:pt>
                <c:pt idx="504">
                  <c:v>8</c:v>
                </c:pt>
                <c:pt idx="505">
                  <c:v>8</c:v>
                </c:pt>
                <c:pt idx="506">
                  <c:v>8</c:v>
                </c:pt>
                <c:pt idx="507">
                  <c:v>8</c:v>
                </c:pt>
                <c:pt idx="508">
                  <c:v>8</c:v>
                </c:pt>
                <c:pt idx="509">
                  <c:v>8</c:v>
                </c:pt>
                <c:pt idx="510">
                  <c:v>8</c:v>
                </c:pt>
                <c:pt idx="511">
                  <c:v>8</c:v>
                </c:pt>
                <c:pt idx="512">
                  <c:v>8</c:v>
                </c:pt>
                <c:pt idx="513">
                  <c:v>9</c:v>
                </c:pt>
                <c:pt idx="514">
                  <c:v>10</c:v>
                </c:pt>
                <c:pt idx="515">
                  <c:v>10</c:v>
                </c:pt>
                <c:pt idx="516">
                  <c:v>10</c:v>
                </c:pt>
                <c:pt idx="517">
                  <c:v>10</c:v>
                </c:pt>
                <c:pt idx="518">
                  <c:v>10</c:v>
                </c:pt>
                <c:pt idx="519">
                  <c:v>10</c:v>
                </c:pt>
                <c:pt idx="520">
                  <c:v>10</c:v>
                </c:pt>
                <c:pt idx="521">
                  <c:v>10</c:v>
                </c:pt>
                <c:pt idx="522">
                  <c:v>10</c:v>
                </c:pt>
                <c:pt idx="523">
                  <c:v>10</c:v>
                </c:pt>
                <c:pt idx="524">
                  <c:v>11</c:v>
                </c:pt>
                <c:pt idx="525">
                  <c:v>11</c:v>
                </c:pt>
                <c:pt idx="526">
                  <c:v>12</c:v>
                </c:pt>
                <c:pt idx="527">
                  <c:v>12</c:v>
                </c:pt>
                <c:pt idx="528">
                  <c:v>12</c:v>
                </c:pt>
                <c:pt idx="529">
                  <c:v>12</c:v>
                </c:pt>
                <c:pt idx="530">
                  <c:v>12</c:v>
                </c:pt>
                <c:pt idx="531">
                  <c:v>12</c:v>
                </c:pt>
                <c:pt idx="532">
                  <c:v>12</c:v>
                </c:pt>
                <c:pt idx="533">
                  <c:v>12</c:v>
                </c:pt>
                <c:pt idx="534">
                  <c:v>12</c:v>
                </c:pt>
                <c:pt idx="535">
                  <c:v>12</c:v>
                </c:pt>
                <c:pt idx="536">
                  <c:v>12</c:v>
                </c:pt>
                <c:pt idx="537">
                  <c:v>12</c:v>
                </c:pt>
                <c:pt idx="538">
                  <c:v>13</c:v>
                </c:pt>
                <c:pt idx="539">
                  <c:v>13</c:v>
                </c:pt>
                <c:pt idx="540">
                  <c:v>14</c:v>
                </c:pt>
                <c:pt idx="541">
                  <c:v>14</c:v>
                </c:pt>
                <c:pt idx="542">
                  <c:v>14</c:v>
                </c:pt>
                <c:pt idx="543">
                  <c:v>14</c:v>
                </c:pt>
                <c:pt idx="544">
                  <c:v>14</c:v>
                </c:pt>
                <c:pt idx="545">
                  <c:v>14</c:v>
                </c:pt>
                <c:pt idx="546">
                  <c:v>14</c:v>
                </c:pt>
                <c:pt idx="547">
                  <c:v>14</c:v>
                </c:pt>
                <c:pt idx="548">
                  <c:v>14</c:v>
                </c:pt>
                <c:pt idx="549">
                  <c:v>14</c:v>
                </c:pt>
                <c:pt idx="550">
                  <c:v>14</c:v>
                </c:pt>
                <c:pt idx="551">
                  <c:v>14</c:v>
                </c:pt>
                <c:pt idx="552">
                  <c:v>14</c:v>
                </c:pt>
                <c:pt idx="553">
                  <c:v>14</c:v>
                </c:pt>
                <c:pt idx="554">
                  <c:v>14</c:v>
                </c:pt>
                <c:pt idx="555">
                  <c:v>14</c:v>
                </c:pt>
                <c:pt idx="556">
                  <c:v>15</c:v>
                </c:pt>
                <c:pt idx="557">
                  <c:v>16</c:v>
                </c:pt>
                <c:pt idx="558">
                  <c:v>16</c:v>
                </c:pt>
                <c:pt idx="559">
                  <c:v>16</c:v>
                </c:pt>
                <c:pt idx="560">
                  <c:v>16</c:v>
                </c:pt>
                <c:pt idx="561">
                  <c:v>16</c:v>
                </c:pt>
                <c:pt idx="562">
                  <c:v>16</c:v>
                </c:pt>
                <c:pt idx="563">
                  <c:v>16</c:v>
                </c:pt>
                <c:pt idx="564">
                  <c:v>16</c:v>
                </c:pt>
                <c:pt idx="565">
                  <c:v>16</c:v>
                </c:pt>
                <c:pt idx="566">
                  <c:v>16</c:v>
                </c:pt>
                <c:pt idx="567">
                  <c:v>16</c:v>
                </c:pt>
                <c:pt idx="568">
                  <c:v>16</c:v>
                </c:pt>
                <c:pt idx="569">
                  <c:v>16</c:v>
                </c:pt>
                <c:pt idx="570">
                  <c:v>16</c:v>
                </c:pt>
                <c:pt idx="571">
                  <c:v>16</c:v>
                </c:pt>
                <c:pt idx="572">
                  <c:v>16</c:v>
                </c:pt>
                <c:pt idx="573">
                  <c:v>16</c:v>
                </c:pt>
                <c:pt idx="574">
                  <c:v>16</c:v>
                </c:pt>
                <c:pt idx="575">
                  <c:v>16</c:v>
                </c:pt>
                <c:pt idx="576">
                  <c:v>16</c:v>
                </c:pt>
                <c:pt idx="577">
                  <c:v>16</c:v>
                </c:pt>
                <c:pt idx="578">
                  <c:v>17</c:v>
                </c:pt>
                <c:pt idx="579">
                  <c:v>17</c:v>
                </c:pt>
                <c:pt idx="580">
                  <c:v>18</c:v>
                </c:pt>
                <c:pt idx="581">
                  <c:v>18</c:v>
                </c:pt>
                <c:pt idx="582">
                  <c:v>19</c:v>
                </c:pt>
                <c:pt idx="583">
                  <c:v>20</c:v>
                </c:pt>
                <c:pt idx="584">
                  <c:v>20</c:v>
                </c:pt>
                <c:pt idx="585">
                  <c:v>20</c:v>
                </c:pt>
                <c:pt idx="586">
                  <c:v>20</c:v>
                </c:pt>
                <c:pt idx="587">
                  <c:v>20</c:v>
                </c:pt>
                <c:pt idx="588">
                  <c:v>20</c:v>
                </c:pt>
                <c:pt idx="589">
                  <c:v>21</c:v>
                </c:pt>
                <c:pt idx="590">
                  <c:v>21</c:v>
                </c:pt>
                <c:pt idx="591">
                  <c:v>21</c:v>
                </c:pt>
                <c:pt idx="592">
                  <c:v>22</c:v>
                </c:pt>
                <c:pt idx="593">
                  <c:v>22</c:v>
                </c:pt>
                <c:pt idx="594">
                  <c:v>23</c:v>
                </c:pt>
                <c:pt idx="595">
                  <c:v>23</c:v>
                </c:pt>
                <c:pt idx="596">
                  <c:v>24</c:v>
                </c:pt>
                <c:pt idx="597">
                  <c:v>24</c:v>
                </c:pt>
                <c:pt idx="598">
                  <c:v>24</c:v>
                </c:pt>
                <c:pt idx="599">
                  <c:v>24</c:v>
                </c:pt>
                <c:pt idx="600">
                  <c:v>24</c:v>
                </c:pt>
                <c:pt idx="601">
                  <c:v>24</c:v>
                </c:pt>
                <c:pt idx="602">
                  <c:v>24</c:v>
                </c:pt>
                <c:pt idx="603">
                  <c:v>24</c:v>
                </c:pt>
                <c:pt idx="604">
                  <c:v>24</c:v>
                </c:pt>
                <c:pt idx="605">
                  <c:v>24</c:v>
                </c:pt>
                <c:pt idx="606">
                  <c:v>24</c:v>
                </c:pt>
                <c:pt idx="607">
                  <c:v>24</c:v>
                </c:pt>
                <c:pt idx="608">
                  <c:v>26</c:v>
                </c:pt>
                <c:pt idx="609">
                  <c:v>28</c:v>
                </c:pt>
                <c:pt idx="610">
                  <c:v>28</c:v>
                </c:pt>
                <c:pt idx="611">
                  <c:v>30</c:v>
                </c:pt>
                <c:pt idx="612">
                  <c:v>32</c:v>
                </c:pt>
                <c:pt idx="613">
                  <c:v>32</c:v>
                </c:pt>
                <c:pt idx="614">
                  <c:v>32</c:v>
                </c:pt>
                <c:pt idx="615">
                  <c:v>32</c:v>
                </c:pt>
                <c:pt idx="616">
                  <c:v>32</c:v>
                </c:pt>
                <c:pt idx="617">
                  <c:v>32</c:v>
                </c:pt>
                <c:pt idx="618">
                  <c:v>32</c:v>
                </c:pt>
                <c:pt idx="619">
                  <c:v>32</c:v>
                </c:pt>
                <c:pt idx="620">
                  <c:v>32</c:v>
                </c:pt>
                <c:pt idx="621">
                  <c:v>32</c:v>
                </c:pt>
                <c:pt idx="622">
                  <c:v>34</c:v>
                </c:pt>
                <c:pt idx="623">
                  <c:v>36</c:v>
                </c:pt>
                <c:pt idx="624">
                  <c:v>36</c:v>
                </c:pt>
                <c:pt idx="625">
                  <c:v>36</c:v>
                </c:pt>
                <c:pt idx="626">
                  <c:v>38</c:v>
                </c:pt>
                <c:pt idx="627">
                  <c:v>38</c:v>
                </c:pt>
                <c:pt idx="628">
                  <c:v>38</c:v>
                </c:pt>
                <c:pt idx="629">
                  <c:v>38</c:v>
                </c:pt>
                <c:pt idx="630">
                  <c:v>40</c:v>
                </c:pt>
                <c:pt idx="631">
                  <c:v>40</c:v>
                </c:pt>
                <c:pt idx="632">
                  <c:v>42</c:v>
                </c:pt>
                <c:pt idx="633">
                  <c:v>43</c:v>
                </c:pt>
                <c:pt idx="634">
                  <c:v>43</c:v>
                </c:pt>
                <c:pt idx="635">
                  <c:v>43</c:v>
                </c:pt>
                <c:pt idx="636">
                  <c:v>46</c:v>
                </c:pt>
                <c:pt idx="637">
                  <c:v>48</c:v>
                </c:pt>
                <c:pt idx="638">
                  <c:v>48</c:v>
                </c:pt>
                <c:pt idx="639">
                  <c:v>48</c:v>
                </c:pt>
                <c:pt idx="640">
                  <c:v>48</c:v>
                </c:pt>
                <c:pt idx="641">
                  <c:v>49</c:v>
                </c:pt>
                <c:pt idx="642">
                  <c:v>50</c:v>
                </c:pt>
                <c:pt idx="643">
                  <c:v>51</c:v>
                </c:pt>
                <c:pt idx="644">
                  <c:v>52</c:v>
                </c:pt>
                <c:pt idx="645">
                  <c:v>56</c:v>
                </c:pt>
                <c:pt idx="646">
                  <c:v>64</c:v>
                </c:pt>
                <c:pt idx="647">
                  <c:v>64</c:v>
                </c:pt>
                <c:pt idx="648">
                  <c:v>67</c:v>
                </c:pt>
                <c:pt idx="649">
                  <c:v>68</c:v>
                </c:pt>
                <c:pt idx="650">
                  <c:v>74</c:v>
                </c:pt>
                <c:pt idx="651">
                  <c:v>74</c:v>
                </c:pt>
                <c:pt idx="652">
                  <c:v>74</c:v>
                </c:pt>
                <c:pt idx="653">
                  <c:v>75</c:v>
                </c:pt>
                <c:pt idx="654">
                  <c:v>80</c:v>
                </c:pt>
                <c:pt idx="655">
                  <c:v>80</c:v>
                </c:pt>
                <c:pt idx="656">
                  <c:v>82</c:v>
                </c:pt>
                <c:pt idx="657">
                  <c:v>84</c:v>
                </c:pt>
                <c:pt idx="658">
                  <c:v>86</c:v>
                </c:pt>
                <c:pt idx="659">
                  <c:v>89</c:v>
                </c:pt>
                <c:pt idx="660">
                  <c:v>95</c:v>
                </c:pt>
                <c:pt idx="661">
                  <c:v>98</c:v>
                </c:pt>
                <c:pt idx="662">
                  <c:v>113</c:v>
                </c:pt>
                <c:pt idx="663">
                  <c:v>143</c:v>
                </c:pt>
                <c:pt idx="664">
                  <c:v>177</c:v>
                </c:pt>
                <c:pt idx="665">
                  <c:v>184</c:v>
                </c:pt>
                <c:pt idx="666">
                  <c:v>184</c:v>
                </c:pt>
                <c:pt idx="667">
                  <c:v>320</c:v>
                </c:pt>
                <c:pt idx="668">
                  <c:v>371</c:v>
                </c:pt>
                <c:pt idx="669">
                  <c:v>459</c:v>
                </c:pt>
              </c:numCache>
            </c:numRef>
          </c:val>
          <c:extLst>
            <c:ext xmlns:c16="http://schemas.microsoft.com/office/drawing/2014/chart" uri="{C3380CC4-5D6E-409C-BE32-E72D297353CC}">
              <c16:uniqueId val="{00000000-8671-418E-88DF-3BBD6B3BF2F8}"/>
            </c:ext>
          </c:extLst>
        </c:ser>
        <c:dLbls>
          <c:showLegendKey val="0"/>
          <c:showVal val="0"/>
          <c:showCatName val="0"/>
          <c:showSerName val="0"/>
          <c:showPercent val="0"/>
          <c:showBubbleSize val="0"/>
        </c:dLbls>
        <c:gapWidth val="182"/>
        <c:axId val="431769071"/>
        <c:axId val="431769551"/>
      </c:barChart>
      <c:catAx>
        <c:axId val="4317690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769551"/>
        <c:crosses val="autoZero"/>
        <c:auto val="1"/>
        <c:lblAlgn val="ctr"/>
        <c:lblOffset val="100"/>
        <c:noMultiLvlLbl val="0"/>
      </c:catAx>
      <c:valAx>
        <c:axId val="43176955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7690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 id="18">
  <a:schemeClr val="accent5"/>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36</xdr:col>
          <xdr:colOff>142875</xdr:colOff>
          <xdr:row>5</xdr:row>
          <xdr:rowOff>142875</xdr:rowOff>
        </xdr:from>
        <xdr:to>
          <xdr:col>37</xdr:col>
          <xdr:colOff>714375</xdr:colOff>
          <xdr:row>5</xdr:row>
          <xdr:rowOff>381000</xdr:rowOff>
        </xdr:to>
        <xdr:sp macro="" textlink="">
          <xdr:nvSpPr>
            <xdr:cNvPr id="1070" name="Button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Convert CJK Currencies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38</xdr:col>
          <xdr:colOff>142875</xdr:colOff>
          <xdr:row>5</xdr:row>
          <xdr:rowOff>142875</xdr:rowOff>
        </xdr:from>
        <xdr:to>
          <xdr:col>39</xdr:col>
          <xdr:colOff>714375</xdr:colOff>
          <xdr:row>5</xdr:row>
          <xdr:rowOff>381000</xdr:rowOff>
        </xdr:to>
        <xdr:sp macro="" textlink="">
          <xdr:nvSpPr>
            <xdr:cNvPr id="1117" name="Button 93"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Formatting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0</xdr:row>
          <xdr:rowOff>200025</xdr:rowOff>
        </xdr:from>
        <xdr:to>
          <xdr:col>4</xdr:col>
          <xdr:colOff>304800</xdr:colOff>
          <xdr:row>2</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4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xdr:twoCellAnchor>
    <xdr:from>
      <xdr:col>3</xdr:col>
      <xdr:colOff>0</xdr:colOff>
      <xdr:row>3</xdr:row>
      <xdr:rowOff>0</xdr:rowOff>
    </xdr:from>
    <xdr:to>
      <xdr:col>11</xdr:col>
      <xdr:colOff>0</xdr:colOff>
      <xdr:row>23</xdr:row>
      <xdr:rowOff>3048</xdr:rowOff>
    </xdr:to>
    <xdr:graphicFrame macro="">
      <xdr:nvGraphicFramePr>
        <xdr:cNvPr id="3" name="Chart_Collection">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0</xdr:row>
          <xdr:rowOff>200025</xdr:rowOff>
        </xdr:from>
        <xdr:to>
          <xdr:col>7</xdr:col>
          <xdr:colOff>304800</xdr:colOff>
          <xdr:row>2</xdr:row>
          <xdr:rowOff>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4</xdr:row>
          <xdr:rowOff>0</xdr:rowOff>
        </xdr:from>
        <xdr:to>
          <xdr:col>5</xdr:col>
          <xdr:colOff>1371600</xdr:colOff>
          <xdr:row>5</xdr:row>
          <xdr:rowOff>47625</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466725</xdr:colOff>
          <xdr:row>6</xdr:row>
          <xdr:rowOff>0</xdr:rowOff>
        </xdr:from>
        <xdr:to>
          <xdr:col>6</xdr:col>
          <xdr:colOff>0</xdr:colOff>
          <xdr:row>7</xdr:row>
          <xdr:rowOff>47625</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500-000003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466725</xdr:colOff>
          <xdr:row>4</xdr:row>
          <xdr:rowOff>0</xdr:rowOff>
        </xdr:from>
        <xdr:to>
          <xdr:col>22</xdr:col>
          <xdr:colOff>0</xdr:colOff>
          <xdr:row>5</xdr:row>
          <xdr:rowOff>47625</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500-00000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466725</xdr:colOff>
          <xdr:row>6</xdr:row>
          <xdr:rowOff>0</xdr:rowOff>
        </xdr:from>
        <xdr:to>
          <xdr:col>22</xdr:col>
          <xdr:colOff>0</xdr:colOff>
          <xdr:row>7</xdr:row>
          <xdr:rowOff>47625</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500-000005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xdr:twoCellAnchor>
    <xdr:from>
      <xdr:col>6</xdr:col>
      <xdr:colOff>0</xdr:colOff>
      <xdr:row>2</xdr:row>
      <xdr:rowOff>190499</xdr:rowOff>
    </xdr:from>
    <xdr:to>
      <xdr:col>14</xdr:col>
      <xdr:colOff>0</xdr:colOff>
      <xdr:row>26</xdr:row>
      <xdr:rowOff>36451</xdr:rowOff>
    </xdr:to>
    <xdr:graphicFrame macro="">
      <xdr:nvGraphicFramePr>
        <xdr:cNvPr id="4" name="Chart_Series_Title_RE">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0</xdr:colOff>
      <xdr:row>3</xdr:row>
      <xdr:rowOff>0</xdr:rowOff>
    </xdr:from>
    <xdr:to>
      <xdr:col>30</xdr:col>
      <xdr:colOff>0</xdr:colOff>
      <xdr:row>26</xdr:row>
      <xdr:rowOff>36451</xdr:rowOff>
    </xdr:to>
    <xdr:graphicFrame macro="">
      <xdr:nvGraphicFramePr>
        <xdr:cNvPr id="5" name="Chart_Series_Title_N">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0</xdr:row>
          <xdr:rowOff>200025</xdr:rowOff>
        </xdr:from>
        <xdr:to>
          <xdr:col>4</xdr:col>
          <xdr:colOff>314325</xdr:colOff>
          <xdr:row>2</xdr:row>
          <xdr:rowOff>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6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4</xdr:row>
          <xdr:rowOff>0</xdr:rowOff>
        </xdr:from>
        <xdr:to>
          <xdr:col>3</xdr:col>
          <xdr:colOff>0</xdr:colOff>
          <xdr:row>5</xdr:row>
          <xdr:rowOff>47625</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6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6</xdr:row>
          <xdr:rowOff>0</xdr:rowOff>
        </xdr:from>
        <xdr:to>
          <xdr:col>3</xdr:col>
          <xdr:colOff>0</xdr:colOff>
          <xdr:row>7</xdr:row>
          <xdr:rowOff>47625</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6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466725</xdr:colOff>
          <xdr:row>4</xdr:row>
          <xdr:rowOff>0</xdr:rowOff>
        </xdr:from>
        <xdr:to>
          <xdr:col>15</xdr:col>
          <xdr:colOff>0</xdr:colOff>
          <xdr:row>5</xdr:row>
          <xdr:rowOff>47625</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600-000004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466725</xdr:colOff>
          <xdr:row>6</xdr:row>
          <xdr:rowOff>0</xdr:rowOff>
        </xdr:from>
        <xdr:to>
          <xdr:col>15</xdr:col>
          <xdr:colOff>0</xdr:colOff>
          <xdr:row>7</xdr:row>
          <xdr:rowOff>47625</xdr:rowOff>
        </xdr:to>
        <xdr:sp macro="" textlink="">
          <xdr:nvSpPr>
            <xdr:cNvPr id="17413" name="Button 5" hidden="1">
              <a:extLst>
                <a:ext uri="{63B3BB69-23CF-44E3-9099-C40C66FF867C}">
                  <a14:compatExt spid="_x0000_s17413"/>
                </a:ext>
                <a:ext uri="{FF2B5EF4-FFF2-40B4-BE49-F238E27FC236}">
                  <a16:creationId xmlns:a16="http://schemas.microsoft.com/office/drawing/2014/main" id="{00000000-0008-0000-0600-000005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xdr:twoCellAnchor>
    <xdr:from>
      <xdr:col>3</xdr:col>
      <xdr:colOff>0</xdr:colOff>
      <xdr:row>3</xdr:row>
      <xdr:rowOff>0</xdr:rowOff>
    </xdr:from>
    <xdr:to>
      <xdr:col>11</xdr:col>
      <xdr:colOff>0</xdr:colOff>
      <xdr:row>36</xdr:row>
      <xdr:rowOff>181828</xdr:rowOff>
    </xdr:to>
    <xdr:graphicFrame macro="">
      <xdr:nvGraphicFramePr>
        <xdr:cNvPr id="4" name="Chart_Publishers_RE">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0</xdr:colOff>
      <xdr:row>3</xdr:row>
      <xdr:rowOff>2</xdr:rowOff>
    </xdr:from>
    <xdr:to>
      <xdr:col>23</xdr:col>
      <xdr:colOff>0</xdr:colOff>
      <xdr:row>8</xdr:row>
      <xdr:rowOff>8977</xdr:rowOff>
    </xdr:to>
    <xdr:graphicFrame macro="">
      <xdr:nvGraphicFramePr>
        <xdr:cNvPr id="5" name="Chart_Publishers_N">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0</xdr:row>
          <xdr:rowOff>200025</xdr:rowOff>
        </xdr:from>
        <xdr:to>
          <xdr:col>4</xdr:col>
          <xdr:colOff>304800</xdr:colOff>
          <xdr:row>2</xdr:row>
          <xdr:rowOff>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4</xdr:row>
          <xdr:rowOff>0</xdr:rowOff>
        </xdr:from>
        <xdr:to>
          <xdr:col>3</xdr:col>
          <xdr:colOff>0</xdr:colOff>
          <xdr:row>5</xdr:row>
          <xdr:rowOff>47625</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7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6</xdr:row>
          <xdr:rowOff>0</xdr:rowOff>
        </xdr:from>
        <xdr:to>
          <xdr:col>3</xdr:col>
          <xdr:colOff>0</xdr:colOff>
          <xdr:row>7</xdr:row>
          <xdr:rowOff>47625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7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466725</xdr:colOff>
          <xdr:row>4</xdr:row>
          <xdr:rowOff>0</xdr:rowOff>
        </xdr:from>
        <xdr:to>
          <xdr:col>19</xdr:col>
          <xdr:colOff>0</xdr:colOff>
          <xdr:row>5</xdr:row>
          <xdr:rowOff>47625</xdr:rowOff>
        </xdr:to>
        <xdr:sp macro="" textlink="">
          <xdr:nvSpPr>
            <xdr:cNvPr id="18436" name="Button 4" hidden="1">
              <a:extLst>
                <a:ext uri="{63B3BB69-23CF-44E3-9099-C40C66FF867C}">
                  <a14:compatExt spid="_x0000_s18436"/>
                </a:ext>
                <a:ext uri="{FF2B5EF4-FFF2-40B4-BE49-F238E27FC236}">
                  <a16:creationId xmlns:a16="http://schemas.microsoft.com/office/drawing/2014/main" id="{00000000-0008-0000-0700-000004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466725</xdr:colOff>
          <xdr:row>6</xdr:row>
          <xdr:rowOff>0</xdr:rowOff>
        </xdr:from>
        <xdr:to>
          <xdr:col>19</xdr:col>
          <xdr:colOff>0</xdr:colOff>
          <xdr:row>7</xdr:row>
          <xdr:rowOff>47625</xdr:rowOff>
        </xdr:to>
        <xdr:sp macro="" textlink="">
          <xdr:nvSpPr>
            <xdr:cNvPr id="18437" name="Button 5" hidden="1">
              <a:extLst>
                <a:ext uri="{63B3BB69-23CF-44E3-9099-C40C66FF867C}">
                  <a14:compatExt spid="_x0000_s18437"/>
                </a:ext>
                <a:ext uri="{FF2B5EF4-FFF2-40B4-BE49-F238E27FC236}">
                  <a16:creationId xmlns:a16="http://schemas.microsoft.com/office/drawing/2014/main" id="{00000000-0008-0000-0700-000005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xdr:twoCellAnchor>
    <xdr:from>
      <xdr:col>3</xdr:col>
      <xdr:colOff>0</xdr:colOff>
      <xdr:row>3</xdr:row>
      <xdr:rowOff>0</xdr:rowOff>
    </xdr:from>
    <xdr:to>
      <xdr:col>11</xdr:col>
      <xdr:colOff>0</xdr:colOff>
      <xdr:row>24</xdr:row>
      <xdr:rowOff>15820</xdr:rowOff>
    </xdr:to>
    <xdr:graphicFrame macro="">
      <xdr:nvGraphicFramePr>
        <xdr:cNvPr id="4" name="Chart_Years">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0</xdr:colOff>
      <xdr:row>3</xdr:row>
      <xdr:rowOff>1</xdr:rowOff>
    </xdr:from>
    <xdr:to>
      <xdr:col>27</xdr:col>
      <xdr:colOff>0</xdr:colOff>
      <xdr:row>10</xdr:row>
      <xdr:rowOff>74197</xdr:rowOff>
    </xdr:to>
    <xdr:graphicFrame macro="">
      <xdr:nvGraphicFramePr>
        <xdr:cNvPr id="5" name="Chart_Decades">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466725</xdr:colOff>
          <xdr:row>4</xdr:row>
          <xdr:rowOff>0</xdr:rowOff>
        </xdr:from>
        <xdr:to>
          <xdr:col>4</xdr:col>
          <xdr:colOff>0</xdr:colOff>
          <xdr:row>5</xdr:row>
          <xdr:rowOff>47625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8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466725</xdr:colOff>
          <xdr:row>6</xdr:row>
          <xdr:rowOff>0</xdr:rowOff>
        </xdr:from>
        <xdr:to>
          <xdr:col>4</xdr:col>
          <xdr:colOff>0</xdr:colOff>
          <xdr:row>7</xdr:row>
          <xdr:rowOff>47625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8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0</xdr:row>
          <xdr:rowOff>200025</xdr:rowOff>
        </xdr:from>
        <xdr:to>
          <xdr:col>5</xdr:col>
          <xdr:colOff>304800</xdr:colOff>
          <xdr:row>2</xdr:row>
          <xdr:rowOff>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800-000003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466725</xdr:colOff>
          <xdr:row>4</xdr:row>
          <xdr:rowOff>0</xdr:rowOff>
        </xdr:from>
        <xdr:to>
          <xdr:col>17</xdr:col>
          <xdr:colOff>0</xdr:colOff>
          <xdr:row>5</xdr:row>
          <xdr:rowOff>47625</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800-000004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466725</xdr:colOff>
          <xdr:row>6</xdr:row>
          <xdr:rowOff>0</xdr:rowOff>
        </xdr:from>
        <xdr:to>
          <xdr:col>17</xdr:col>
          <xdr:colOff>0</xdr:colOff>
          <xdr:row>7</xdr:row>
          <xdr:rowOff>47625</xdr:rowOff>
        </xdr:to>
        <xdr:sp macro="" textlink="">
          <xdr:nvSpPr>
            <xdr:cNvPr id="19461" name="Button 5" hidden="1">
              <a:extLst>
                <a:ext uri="{63B3BB69-23CF-44E3-9099-C40C66FF867C}">
                  <a14:compatExt spid="_x0000_s19461"/>
                </a:ext>
                <a:ext uri="{FF2B5EF4-FFF2-40B4-BE49-F238E27FC236}">
                  <a16:creationId xmlns:a16="http://schemas.microsoft.com/office/drawing/2014/main" id="{00000000-0008-0000-0800-000005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xdr:twoCellAnchor>
    <xdr:from>
      <xdr:col>4</xdr:col>
      <xdr:colOff>0</xdr:colOff>
      <xdr:row>2</xdr:row>
      <xdr:rowOff>190492</xdr:rowOff>
    </xdr:from>
    <xdr:to>
      <xdr:col>11</xdr:col>
      <xdr:colOff>304800</xdr:colOff>
      <xdr:row>254</xdr:row>
      <xdr:rowOff>51745</xdr:rowOff>
    </xdr:to>
    <xdr:graphicFrame macro="">
      <xdr:nvGraphicFramePr>
        <xdr:cNvPr id="4" name="Chart_Subjects">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2</xdr:row>
      <xdr:rowOff>190488</xdr:rowOff>
    </xdr:from>
    <xdr:to>
      <xdr:col>25</xdr:col>
      <xdr:colOff>0</xdr:colOff>
      <xdr:row>595</xdr:row>
      <xdr:rowOff>92515</xdr:rowOff>
    </xdr:to>
    <xdr:graphicFrame macro="">
      <xdr:nvGraphicFramePr>
        <xdr:cNvPr id="6" name="Chart_Sub-Subjects">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231721</xdr:colOff>
      <xdr:row>1</xdr:row>
      <xdr:rowOff>292633</xdr:rowOff>
    </xdr:to>
    <xdr:pic>
      <xdr:nvPicPr>
        <xdr:cNvPr id="13" name="Picture 12">
          <a:extLst>
            <a:ext uri="{FF2B5EF4-FFF2-40B4-BE49-F238E27FC236}">
              <a16:creationId xmlns:a16="http://schemas.microsoft.com/office/drawing/2014/main" id="{00000000-0008-0000-0A00-00000D000000}"/>
            </a:ext>
          </a:extLst>
        </xdr:cNvPr>
        <xdr:cNvPicPr>
          <a:picLocks noChangeAspect="1"/>
        </xdr:cNvPicPr>
      </xdr:nvPicPr>
      <xdr:blipFill>
        <a:blip xmlns:r="http://schemas.openxmlformats.org/officeDocument/2006/relationships" r:embed="rId1"/>
        <a:stretch>
          <a:fillRect/>
        </a:stretch>
      </xdr:blipFill>
      <xdr:spPr>
        <a:xfrm>
          <a:off x="0" y="0"/>
          <a:ext cx="841321" cy="292633"/>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5156.508566898148" createdVersion="8" refreshedVersion="8" minRefreshableVersion="3" recordCount="190" xr:uid="{C687F9B1-783E-4319-B912-571BACC8EF24}">
  <cacheSource type="worksheet">
    <worksheetSource name="Donation"/>
  </cacheSource>
  <cacheFields count="35">
    <cacheField name="Key" numFmtId="2">
      <sharedItems containsString="0" containsBlank="1" containsNumber="1" minValue="1.1000000000000001" maxValue="111"/>
    </cacheField>
    <cacheField name="b" numFmtId="49">
      <sharedItems containsNonDate="0" containsString="0" containsBlank="1"/>
    </cacheField>
    <cacheField name="c" numFmtId="49">
      <sharedItems containsNonDate="0" containsString="0" containsBlank="1"/>
    </cacheField>
    <cacheField name="d" numFmtId="49">
      <sharedItems containsNonDate="0" containsString="0" containsBlank="1"/>
    </cacheField>
    <cacheField name="e" numFmtId="49">
      <sharedItems containsNonDate="0" containsString="0" containsBlank="1"/>
    </cacheField>
    <cacheField name="f" numFmtId="49">
      <sharedItems containsNonDate="0" containsString="0" containsBlank="1"/>
    </cacheField>
    <cacheField name="Note" numFmtId="49">
      <sharedItems containsBlank="1"/>
    </cacheField>
    <cacheField name="URL for Price Check" numFmtId="49">
      <sharedItems containsBlank="1"/>
    </cacheField>
    <cacheField name="Collection" numFmtId="49">
      <sharedItems containsBlank="1" count="8">
        <s v="asnst"/>
        <s v="dupe"/>
        <s v="pascal"/>
        <s v="reject"/>
        <s v="norst"/>
        <m/>
        <s v="artst"/>
        <s v="see slip"/>
      </sharedItems>
    </cacheField>
    <cacheField name="Volume / Issue" numFmtId="49">
      <sharedItems containsBlank="1" containsMixedTypes="1" containsNumber="1" containsInteger="1" minValue="1" maxValue="18"/>
    </cacheField>
    <cacheField name="Total_x000a_Vols" numFmtId="49">
      <sharedItems containsBlank="1" containsMixedTypes="1" containsNumber="1" containsInteger="1" minValue="2" maxValue="10"/>
    </cacheField>
    <cacheField name="Dupe ISBN Check" numFmtId="0">
      <sharedItems containsBlank="1"/>
    </cacheField>
    <cacheField name="Dupe_x000a_Title_x000a_Check" numFmtId="0">
      <sharedItems containsBlank="1"/>
    </cacheField>
    <cacheField name="Dupe Check in FS" numFmtId="49">
      <sharedItems containsBlank="1"/>
    </cacheField>
    <cacheField name="ISBN13#/_x000a_ISSN#" numFmtId="1">
      <sharedItems containsBlank="1" containsMixedTypes="1" containsNumber="1" containsInteger="1" minValue="9781624121272" maxValue="9791197913945"/>
    </cacheField>
    <cacheField name="ISBN10#/_x000a_ISSN#" numFmtId="49">
      <sharedItems containsBlank="1" containsMixedTypes="1" containsNumber="1" containsInteger="1" minValue="1624121276" maxValue="9791189943"/>
    </cacheField>
    <cacheField name="OCLC#" numFmtId="1">
      <sharedItems containsBlank="1" containsMixedTypes="1" containsNumber="1" containsInteger="1" minValue="503481196" maxValue="1373915516"/>
    </cacheField>
    <cacheField name="Langauge" numFmtId="49">
      <sharedItems containsBlank="1"/>
    </cacheField>
    <cacheField name="Translated Title (Unofficial)" numFmtId="49">
      <sharedItems containsBlank="1"/>
    </cacheField>
    <cacheField name="Title (R/E)" numFmtId="49">
      <sharedItems containsBlank="1"/>
    </cacheField>
    <cacheField name="Title (N)" numFmtId="49">
      <sharedItems containsBlank="1"/>
    </cacheField>
    <cacheField name="Creator (R/E)" numFmtId="49">
      <sharedItems containsBlank="1"/>
    </cacheField>
    <cacheField name="Creator (N)" numFmtId="49">
      <sharedItems containsBlank="1"/>
    </cacheField>
    <cacheField name="Series (R/E)" numFmtId="49">
      <sharedItems containsBlank="1"/>
    </cacheField>
    <cacheField name="Series (N)" numFmtId="49">
      <sharedItems containsBlank="1"/>
    </cacheField>
    <cacheField name="Publisher (R/E)" numFmtId="49">
      <sharedItems containsBlank="1" count="38">
        <s v="Dongbuga Yeoksa Jaedan"/>
        <s v="Tongbuga Yŏksa Chaedan"/>
        <s v="Sŏul Taehakkyo Kyujanggak Han'gukhak Yŏn'guwŏn"/>
        <s v="Northeast Asian History Foundation"/>
        <s v="Gimhae National Museum"/>
        <s v="n/a"/>
        <s v="Munhak Tongne"/>
        <s v="Parrhesia"/>
        <s v="Munhak kwa Chisŏngsa"/>
        <s v="Imaju"/>
        <s v="K'ŏmyunik'eisyŏn Puksŭ"/>
        <s v="Kkum'gyo Ch'ulp'ansa"/>
        <s v="Pusan Taehakkyo Ch'ulp'an Munhwawŏn"/>
        <s v="Sae Mulkyŏl"/>
        <s v="Midasŭ Puksŭ"/>
        <s v="Hyŏnsil Munhwa Yŏn'gu"/>
        <s v="Yoo Youngkuk Art Foundation"/>
        <s v="Chŏnnam Taehakkyo Ch'ulp'an Munhwawŏn"/>
        <s v="Nurwa"/>
        <s v="Ŭnhaeng Namu"/>
        <s v="P'aekt'ori Nain"/>
        <s v="Ch'orokpi Ch'aek Kongbang"/>
        <s v="Seoul metropolitan government"/>
        <s v="Mari Puksŭ"/>
        <s v="Kungnip Chungang Tosogwŏn"/>
        <s v="Seoul Selection"/>
        <s v="Kugoe Sojae Munhwajae Chaedan"/>
        <s v="National Memorial Of The Korean Provisional Government"/>
        <s v="Kungnip Taehan Min'guk Imsi Chŏngbu Kinyŏmgwan"/>
        <s v="Kungnip Munhwajae Yŏn'guso"/>
        <s v="Hanʼguk Yŏngsang Charyowŏn"/>
        <s v="Han'guk Yŏngsang Charyowŏn"/>
        <s v="Sŏul Taehakkyo Kyujang'gak Han'gukhak Yŏn'guwŏn"/>
        <s v="學術 會議 叢書 (Korea (South). 국사 편찬 위원회) ; 2"/>
        <s v="P'urŭn Yŏksa"/>
        <s v="Ch'aek Kwa Namu"/>
        <s v="Kuksa P'yŏnch'an Wiwŏnhoe"/>
        <m/>
      </sharedItems>
    </cacheField>
    <cacheField name="Publisher (N)" numFmtId="49">
      <sharedItems containsBlank="1" count="4">
        <s v="동북아역사재단"/>
        <s v="n/a"/>
        <s v="Kuksa P'yŏnch'an Wiwŏnhoe"/>
        <m/>
      </sharedItems>
    </cacheField>
    <cacheField name="Pub Date (RE)" numFmtId="49">
      <sharedItems containsBlank="1" containsMixedTypes="1" containsNumber="1" containsInteger="1" minValue="2006" maxValue="2022" count="23">
        <n v="2018"/>
        <s v="2018-2019"/>
        <n v="2019"/>
        <s v="2019"/>
        <n v="2020"/>
        <s v="2020-2021"/>
        <s v="2020"/>
        <s v="n/a"/>
        <n v="2015"/>
        <n v="2016"/>
        <s v="2019- "/>
        <n v="2017"/>
        <s v="2020- "/>
        <n v="2006"/>
        <n v="2021"/>
        <s v="2012- "/>
        <s v="2015-2017"/>
        <s v="2022"/>
        <n v="2022"/>
        <n v="2009"/>
        <s v="2018"/>
        <s v="1900- "/>
        <m/>
      </sharedItems>
    </cacheField>
    <cacheField name="Pub Date (N)" numFmtId="49">
      <sharedItems containsBlank="1"/>
    </cacheField>
    <cacheField name="Edition (RE)" numFmtId="49">
      <sharedItems containsBlank="1"/>
    </cacheField>
    <cacheField name="Edition (N)" numFmtId="49">
      <sharedItems containsBlank="1"/>
    </cacheField>
    <cacheField name="Subject Headings" numFmtId="49">
      <sharedItems containsBlank="1" longText="1"/>
    </cacheField>
    <cacheField name="USD Estimate" numFmtId="44">
      <sharedItems/>
    </cacheField>
    <cacheField name="Currency" numFmtId="49">
      <sharedItems containsNonDate="0" containsString="0" containsBlank="1"/>
    </cacheField>
    <cacheField name="Local Value Estimate" numFmtId="1">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5156.508567245372" createdVersion="8" refreshedVersion="8" minRefreshableVersion="3" recordCount="500" xr:uid="{4174334D-522D-4925-8364-0888B3C1359C}">
  <cacheSource type="worksheet">
    <worksheetSource ref="N1:N1048576" sheet="s-Date"/>
  </cacheSource>
  <cacheFields count="1">
    <cacheField name="Dates Reformatted" numFmtId="0">
      <sharedItems containsString="0" containsBlank="1" containsNumber="1" containsInteger="1" minValue="2018" maxValue="2020" count="4">
        <n v="2018"/>
        <n v="2019"/>
        <n v="2020"/>
        <m/>
      </sharedItems>
      <fieldGroup base="0">
        <rangePr autoStart="0" autoEnd="0" startNum="0" endNum="3000" groupInterval="10"/>
        <groupItems count="302">
          <s v="&lt;0 or (blank)"/>
          <s v="0-9"/>
          <s v="10-19"/>
          <s v="20-29"/>
          <s v="30-39"/>
          <s v="40-49"/>
          <s v="50-59"/>
          <s v="60-69"/>
          <s v="70-79"/>
          <s v="80-89"/>
          <s v="90-99"/>
          <s v="100-109"/>
          <s v="110-119"/>
          <s v="120-129"/>
          <s v="130-139"/>
          <s v="140-149"/>
          <s v="150-159"/>
          <s v="160-169"/>
          <s v="170-179"/>
          <s v="180-189"/>
          <s v="190-199"/>
          <s v="200-209"/>
          <s v="210-219"/>
          <s v="220-229"/>
          <s v="230-239"/>
          <s v="240-249"/>
          <s v="250-259"/>
          <s v="260-269"/>
          <s v="270-279"/>
          <s v="280-289"/>
          <s v="290-299"/>
          <s v="300-309"/>
          <s v="310-319"/>
          <s v="320-329"/>
          <s v="330-339"/>
          <s v="340-349"/>
          <s v="350-359"/>
          <s v="360-369"/>
          <s v="370-379"/>
          <s v="380-389"/>
          <s v="390-399"/>
          <s v="400-409"/>
          <s v="410-419"/>
          <s v="420-429"/>
          <s v="430-439"/>
          <s v="440-449"/>
          <s v="450-459"/>
          <s v="460-469"/>
          <s v="470-479"/>
          <s v="480-489"/>
          <s v="490-499"/>
          <s v="500-509"/>
          <s v="510-519"/>
          <s v="520-529"/>
          <s v="530-539"/>
          <s v="540-549"/>
          <s v="550-559"/>
          <s v="560-569"/>
          <s v="570-579"/>
          <s v="580-589"/>
          <s v="590-599"/>
          <s v="600-609"/>
          <s v="610-619"/>
          <s v="620-629"/>
          <s v="630-639"/>
          <s v="640-649"/>
          <s v="650-659"/>
          <s v="660-669"/>
          <s v="670-679"/>
          <s v="680-689"/>
          <s v="690-699"/>
          <s v="700-709"/>
          <s v="710-719"/>
          <s v="720-729"/>
          <s v="730-739"/>
          <s v="740-749"/>
          <s v="750-759"/>
          <s v="760-769"/>
          <s v="770-779"/>
          <s v="780-789"/>
          <s v="790-799"/>
          <s v="800-809"/>
          <s v="810-819"/>
          <s v="820-829"/>
          <s v="830-839"/>
          <s v="840-849"/>
          <s v="850-859"/>
          <s v="860-869"/>
          <s v="870-879"/>
          <s v="880-889"/>
          <s v="890-899"/>
          <s v="900-909"/>
          <s v="910-919"/>
          <s v="920-929"/>
          <s v="930-939"/>
          <s v="940-949"/>
          <s v="950-959"/>
          <s v="960-969"/>
          <s v="970-979"/>
          <s v="980-989"/>
          <s v="990-999"/>
          <s v="1000-1009"/>
          <s v="1010-1019"/>
          <s v="1020-1029"/>
          <s v="1030-1039"/>
          <s v="1040-1049"/>
          <s v="1050-1059"/>
          <s v="1060-1069"/>
          <s v="1070-1079"/>
          <s v="1080-1089"/>
          <s v="1090-1099"/>
          <s v="1100-1109"/>
          <s v="1110-1119"/>
          <s v="1120-1129"/>
          <s v="1130-1139"/>
          <s v="1140-1149"/>
          <s v="1150-1159"/>
          <s v="1160-1169"/>
          <s v="1170-1179"/>
          <s v="1180-1189"/>
          <s v="1190-1199"/>
          <s v="1200-1209"/>
          <s v="1210-1219"/>
          <s v="1220-1229"/>
          <s v="1230-1239"/>
          <s v="1240-1249"/>
          <s v="1250-1259"/>
          <s v="1260-1269"/>
          <s v="1270-1279"/>
          <s v="1280-1289"/>
          <s v="1290-1299"/>
          <s v="1300-1309"/>
          <s v="1310-1319"/>
          <s v="1320-1329"/>
          <s v="1330-1339"/>
          <s v="1340-1349"/>
          <s v="1350-1359"/>
          <s v="1360-1369"/>
          <s v="1370-1379"/>
          <s v="1380-1389"/>
          <s v="1390-1399"/>
          <s v="1400-1409"/>
          <s v="1410-1419"/>
          <s v="1420-1429"/>
          <s v="1430-1439"/>
          <s v="1440-1449"/>
          <s v="1450-1459"/>
          <s v="1460-1469"/>
          <s v="1470-1479"/>
          <s v="1480-1489"/>
          <s v="1490-1499"/>
          <s v="1500-1509"/>
          <s v="1510-1519"/>
          <s v="1520-1529"/>
          <s v="1530-1539"/>
          <s v="1540-1549"/>
          <s v="1550-1559"/>
          <s v="1560-1569"/>
          <s v="1570-1579"/>
          <s v="1580-1589"/>
          <s v="1590-1599"/>
          <s v="1600-1609"/>
          <s v="1610-1619"/>
          <s v="1620-1629"/>
          <s v="1630-1639"/>
          <s v="1640-1649"/>
          <s v="1650-1659"/>
          <s v="1660-1669"/>
          <s v="1670-1679"/>
          <s v="1680-1689"/>
          <s v="1690-1699"/>
          <s v="1700-1709"/>
          <s v="1710-1719"/>
          <s v="1720-1729"/>
          <s v="1730-1739"/>
          <s v="1740-1749"/>
          <s v="1750-1759"/>
          <s v="1760-1769"/>
          <s v="1770-1779"/>
          <s v="1780-1789"/>
          <s v="1790-1799"/>
          <s v="1800-1809"/>
          <s v="1810-1819"/>
          <s v="1820-1829"/>
          <s v="1830-1839"/>
          <s v="1840-1849"/>
          <s v="1850-1859"/>
          <s v="1860-1869"/>
          <s v="1870-1879"/>
          <s v="1880-1889"/>
          <s v="1890-1899"/>
          <s v="1900-1909"/>
          <s v="1910-1919"/>
          <s v="1920-1929"/>
          <s v="1930-1939"/>
          <s v="1940-1949"/>
          <s v="1950-1959"/>
          <s v="1960-1969"/>
          <s v="1970-1979"/>
          <s v="1980-1989"/>
          <s v="1990-1999"/>
          <s v="2000-2009"/>
          <s v="2010-2019"/>
          <s v="2020-2029"/>
          <s v="2030-2039"/>
          <s v="2040-2049"/>
          <s v="2050-2059"/>
          <s v="2060-2069"/>
          <s v="2070-2079"/>
          <s v="2080-2089"/>
          <s v="2090-2099"/>
          <s v="2100-2109"/>
          <s v="2110-2119"/>
          <s v="2120-2129"/>
          <s v="2130-2139"/>
          <s v="2140-2149"/>
          <s v="2150-2159"/>
          <s v="2160-2169"/>
          <s v="2170-2179"/>
          <s v="2180-2189"/>
          <s v="2190-2199"/>
          <s v="2200-2209"/>
          <s v="2210-2219"/>
          <s v="2220-2229"/>
          <s v="2230-2239"/>
          <s v="2240-2249"/>
          <s v="2250-2259"/>
          <s v="2260-2269"/>
          <s v="2270-2279"/>
          <s v="2280-2289"/>
          <s v="2290-2299"/>
          <s v="2300-2309"/>
          <s v="2310-2319"/>
          <s v="2320-2329"/>
          <s v="2330-2339"/>
          <s v="2340-2349"/>
          <s v="2350-2359"/>
          <s v="2360-2369"/>
          <s v="2370-2379"/>
          <s v="2380-2389"/>
          <s v="2390-2399"/>
          <s v="2400-2409"/>
          <s v="2410-2419"/>
          <s v="2420-2429"/>
          <s v="2430-2439"/>
          <s v="2440-2449"/>
          <s v="2450-2459"/>
          <s v="2460-2469"/>
          <s v="2470-2479"/>
          <s v="2480-2489"/>
          <s v="2490-2499"/>
          <s v="2500-2509"/>
          <s v="2510-2519"/>
          <s v="2520-2529"/>
          <s v="2530-2539"/>
          <s v="2540-2549"/>
          <s v="2550-2559"/>
          <s v="2560-2569"/>
          <s v="2570-2579"/>
          <s v="2580-2589"/>
          <s v="2590-2599"/>
          <s v="2600-2609"/>
          <s v="2610-2619"/>
          <s v="2620-2629"/>
          <s v="2630-2639"/>
          <s v="2640-2649"/>
          <s v="2650-2659"/>
          <s v="2660-2669"/>
          <s v="2670-2679"/>
          <s v="2680-2689"/>
          <s v="2690-2699"/>
          <s v="2700-2709"/>
          <s v="2710-2719"/>
          <s v="2720-2729"/>
          <s v="2730-2739"/>
          <s v="2740-2749"/>
          <s v="2750-2759"/>
          <s v="2760-2769"/>
          <s v="2770-2779"/>
          <s v="2780-2789"/>
          <s v="2790-2799"/>
          <s v="2800-2809"/>
          <s v="2810-2819"/>
          <s v="2820-2829"/>
          <s v="2830-2839"/>
          <s v="2840-2849"/>
          <s v="2850-2859"/>
          <s v="2860-2869"/>
          <s v="2870-2879"/>
          <s v="2880-2889"/>
          <s v="2890-2899"/>
          <s v="2900-2909"/>
          <s v="2910-2919"/>
          <s v="2920-2929"/>
          <s v="2930-2939"/>
          <s v="2940-2949"/>
          <s v="2950-2959"/>
          <s v="2960-2969"/>
          <s v="2970-2979"/>
          <s v="2980-2989"/>
          <s v="2990-3000"/>
          <s v="&gt;3000"/>
        </groupItems>
      </fieldGroup>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5156.508766203704" createdVersion="8" refreshedVersion="8" minRefreshableVersion="3" recordCount="333" xr:uid="{CB13BD24-6E7B-4481-8277-945C87903960}">
  <cacheSource type="worksheet">
    <worksheetSource ref="A1:A334" sheet="s-Subjects"/>
  </cacheSource>
  <cacheFields count="1">
    <cacheField name="Subjects" numFmtId="0">
      <sharedItems count="745">
        <s v="Diplomatic relations"/>
        <s v="Princes  --  Korea  --  Biography"/>
        <s v="Economic history"/>
        <s v="Koreans  --  China  --  Politics and government"/>
        <s v="Goddesses"/>
        <s v="Archival materials  --  Conservation and restoration  --  Korea (South)"/>
        <s v="Library materials  --  Conservation and restoration  --  Korea (South)"/>
        <s v="Colonization"/>
        <s v="History"/>
        <s v="International relations"/>
        <s v="Antiquities"/>
        <s v="Excavations (Archaeology)  --  China"/>
        <s v="Pottery  --  Kaya (Confederation)  --  Catalogs"/>
        <s v="Nationalism  --  Japan  --  History"/>
        <s v="Korean fiction  --  20th century"/>
        <s v="Popular music  --  Korea (South)  --  History and criticism"/>
        <s v="Amnesia  --  Fiction"/>
        <s v="Historiography"/>
        <s v="Territory, National  --  Korea (South)"/>
        <s v="Boundaries"/>
        <s v="Diplomatic and consular service, Korean  --  China  --  History"/>
        <s v="Fan clubs"/>
        <s v="Nature conservation  --  Korea (North)  --  Paektu Mountain"/>
        <s v="Koreans  --  China  --  Yanbian Chaoxianzu Zizhizhou"/>
        <s v="Shinto shrines  --  Japan  --  Tokyo"/>
        <s v="Shinto shrines -- Japan -- Tokyo"/>
        <s v="Reconciliation  --  Political aspects"/>
        <s v="Sepulchral monuments  --  Korea (South)  --  Pusan  --  History  --  Juvenile fiction"/>
        <s v="Right-wing extremists  --  Japan"/>
        <s v="Territory, National  --  Korea"/>
        <s v="Landscapes in literature"/>
        <s v="Private schools  --  Korea (South)  --  Andong-gun"/>
        <s v="Korean poetry  --  Translations into English  --  History and criticism"/>
        <s v="Tang Dynasty (China)"/>
        <s v="Stone carving  --  East Asia  --  History"/>
        <s v="Foreign workers, Korean  --  Monuments  --  Japan"/>
        <s v="Excavations (Archaeology)  --  Russia (Federation)  --  Primorskiĭ kraĭ"/>
        <s v="Territory, National  --  Law and legislation  --  Korea (South)"/>
        <s v="Territory, National -- Law and legislation -- Korea (South)"/>
        <s v="Modernism (Art)  --  Korea (South)  --  Exhibitions"/>
        <s v="Painting, Abstract  --  Korea"/>
        <s v="Korean reunification question (1945- )  --  Philosophy"/>
        <s v="Painters  --  Korea  --  Biography"/>
        <s v="Kim Yu-jŏng Munhaksang"/>
        <s v="Department stores  --  Fiction"/>
        <s v="Dreams  --  Fiction"/>
        <s v="Historic sites  --  Korea (South)  --  Seoul"/>
        <s v="World War, 1939-1945  --  Conscript labor  --  Japan"/>
        <s v="Parks  --  Korea (South)  --  Seoul"/>
        <s v="Korean language  --  Textbooks for foreign speakers"/>
        <s v="Names, Geographical  --  Korea (South)  --  Kangwŏn-do  --  History"/>
        <s v="Excavations (Archaeology)  --  Korea (North)  --  Pukch'ŏng-gun"/>
        <s v="Tombs  --  Korea (North)  --  Pongsan-gun  --  Pictorial works"/>
        <s v="Painting, Korean  --  Korea (North)"/>
        <s v="Territory, National  --  Japan"/>
        <s v="Comfort women  --  East Asia  --  History  --  Sources"/>
        <s v="Comfort women -- East Asia -- History -- Sources"/>
        <s v="Handicraft  --  Korea  --  Catalogs"/>
        <s v="Han Dynasty (China)"/>
        <s v="외교 관계外交關係"/>
        <s v="Territory, National -- Korea (South)"/>
        <s v="Korean resistance movements, 1905-1945"/>
        <s v="Education"/>
        <s v="Comfort women -- Korea"/>
        <s v="Koreans -- China -- Politics and government"/>
        <s v="Travel"/>
        <s v="Employees"/>
        <s v="Ombudspersons -- Korea -- Diaries"/>
        <s v="Documentary films -- Korea (South)"/>
        <s v="Korean War, 1950-1953 -- Drama"/>
        <s v="Diplomats -- Russia -- 19th century -- Biography"/>
        <s v="Comfort women -- China -- Shanghai"/>
        <s v="Korean language -- To 935"/>
        <s v="Evenki (Asian people) -- China -- Social life and customs"/>
        <s v="Telecommunication -- East Asia -- History -- 19th century"/>
        <s v="Names, Geographical -- Japan, Sea of"/>
        <s v="National characteristics, Japanese"/>
        <s v="Tungusic peoples -- Social life and customs"/>
        <s v="Territory, National -- Korea"/>
        <s v="Territory, National -- Korea (South) -- Sources"/>
        <s v="Middle class -- Korea -- History"/>
        <s v="Clans -- Korea -- History"/>
        <s v="Nationalism -- East Asia -- 21st century"/>
        <s v="Navies -- History -- 19th century"/>
        <s v="Borderlands -- China"/>
        <s v="Diplomats -- Korea -- History"/>
        <s v="Koreans -- Japan -- History"/>
        <s v="Consumer behavior -- Korea (North)"/>
        <s v="소련(국명)[蘇聯]; 북한(국명)北韓; 조선(국명)[朝鮮]"/>
        <s v="Princes  --  Corée  --  Biographies"/>
        <s v="1900-1999"/>
        <s v="To 935"/>
        <s v="Goddesses in art"/>
        <s v="Manuscripts  --  Conservation and restoration  --  Korea (South)"/>
        <s v="Documents de bibliothèque  --  Conservation et restauration  --  Corée du Sud"/>
        <s v="1910-1945"/>
        <s v="Sources"/>
        <s v="Civilization"/>
        <s v="Metal-work  --  Kaya (Confederation)  --  Catalogs"/>
        <s v="Nationalisme  --  Japon  --  Histoire"/>
        <s v="Korean language materials"/>
        <s v="Rap (Music)  --  Korea (South)  --  History and criticism"/>
        <s v="Traffic accidents  --  Fiction"/>
        <s v="International law"/>
        <s v="Service diplomatique et consulaire coréen  --  Chine  --  Histoire"/>
        <s v="Popular music fans"/>
        <s v="Mountain ecology  --  Korea (North)  --  Paektu Mountain"/>
        <s v="Chosŏnjok"/>
        <s v="Politics and government"/>
        <s v="Shinto and politics  --  Japan  --  History"/>
        <s v="Shinto and politics -- Japan -- History"/>
        <s v="World politics"/>
        <s v="Cemeteries  --  Korea (South)  --  Pusan  --  Juvenile fiction"/>
        <s v="Nationalism  --  Japan"/>
        <s v="Territoire national  --  Corée"/>
        <s v="Korean literature  --  1392-1894  --  History and criticism"/>
        <s v="Confucian shrines  --  Korea (South)  --  Andong-gun"/>
        <s v="Korean poetry  --  To 1900  --  History and criticism"/>
        <s v="Koreans  --  Monuments  --  Japan"/>
        <s v="Korea  --  Foreign relations  --  Japan"/>
        <s v="Korea -- Foreign relations -- Japan"/>
        <s v="Historic sites  --  Russia (Federation)  --  Primorskiĭ kraĭ"/>
        <s v="Art, Korean  --  20th century  --  Exhibitions"/>
        <s v="Painting, Korean"/>
        <s v="Church and state  --  Korea (South)"/>
        <s v="Painting, Korean  --  20th century"/>
        <s v="Literary prizes  --  Korea (South)"/>
        <s v="Rêves  --  Romans, nouvelles, etc"/>
        <s v="Historic sites  --  Korea (South)  --  Seoul  --  Pictorial works"/>
        <s v="Forced labor  --  Japan  --  History  --  20th century"/>
        <s v="Parks  --  Korea (South)  --  Seoul  --  Designs and plans"/>
        <s v="Korean language  --  Problems, exercises, etc"/>
        <s v="Gazetteers"/>
        <s v="Ink painting, Korean  --  Korea (North)"/>
        <s v="Comfort women  --  Korea  --  History  --  Sources"/>
        <s v="Comfort women -- Korea -- History -- Sources"/>
        <s v="Ceramics  --  Korea  --  Catalogs"/>
        <s v="Qin Dynasty (China)"/>
        <s v="Territory, National -- Japan"/>
        <s v="World War, 1939-1945 -- Personal narratives, Korean"/>
        <s v="Qing Dynasty (China)"/>
        <s v="宋 周相, 1695-1752 Travel"/>
        <s v="Diaries"/>
        <s v="Manners and customs"/>
        <s v="Korean War, 1950-1953 -- Motion pictures and the war"/>
        <s v="Diplomates -- Russie -- 19e siècle -- Biographies"/>
        <s v="Sino-Japanese War, 1937-1945 -- Women"/>
        <s v="Treaties"/>
        <s v="World War, 1939-1945 -- Atrocities -- Asia"/>
        <s v="Language and languages"/>
        <s v="Evenki (Asian people) -- Social life and customs"/>
        <s v="Names"/>
        <s v="Nationalism -- Japan"/>
        <s v="Tungus-Manchu languages"/>
        <s v="Territory, National -- Japan -- Sources"/>
        <s v="Middle class -- Korea -- Genealogy"/>
        <s v="Clans"/>
        <s v="Navies -- History -- 20th century"/>
        <s v="Nationalists -- Korea -- 20th century"/>
        <s v="Geography -- Political aspects -- China"/>
        <s v="Translators -- Korea -- History"/>
        <s v="To 1392"/>
        <s v="Koreans -- Japan -- Social conditions"/>
        <s v="Consumer behavior"/>
        <s v="Bombings" u="1"/>
        <s v="Toyo igaku -- Shoshi" u="1"/>
        <s v="Éducation  --  Corée  --  Histoire" u="1"/>
        <s v="Authors, Japanese" u="1"/>
        <s v="Historic sites  --  Korea (North)" u="1"/>
        <s v="Théâtre" u="1"/>
        <s v="Nihon-Rekishi-Edo jidai" u="1"/>
        <s v="Takizawa, Bakin, 1767-1848" u="1"/>
        <s v="collective biographies" u="1"/>
        <s v="Philosophers" u="1"/>
        <s v="Metal-work  --  Korea  --  Pictorial works" u="1"/>
        <s v="Jōhō kensaku" u="1"/>
        <s v="Bibliographies" u="1"/>
        <s v="Romans psychologiques" u="1"/>
        <s v="1868-1912" u="1"/>
        <s v="丸木位里, 1901-1995. 原爆の図. 丸木俊, 1912-2000. 原爆の図" u="1"/>
        <s v="Chūgokugo-Bunpō" u="1"/>
        <s v="Pukch'ŏng-gun (Korea)  --  Antiquities" u="1"/>
        <s v="Criticism, interpretation, etc" u="1"/>
        <s v="Korean language" u="1"/>
        <s v="Territory, National" u="1"/>
        <s v="Chinese literature -- Study and teaching" u="1"/>
        <s v="Korea -- Officials and employees -- Diaries" u="1"/>
        <s v="Kangwŏn-do (Korea : South)  --  Historical geography" u="1"/>
        <s v="1368-1644" u="1"/>
        <s v="Social conditions" u="1"/>
        <s v="Pottery, Korean  --  Catalogs" u="1"/>
        <s v="Poems (texts)" u="1"/>
        <s v="Korea -- History -- Independence movement, 1919" u="1"/>
        <s v="Edo-Zeit" u="1"/>
        <s v="寺山修司, 1936-1983" u="1"/>
        <s v="Fiefs" u="1"/>
        <s v="Documentary films" u="1"/>
        <s v="Ocean travel -- Fiction" u="1"/>
        <s v="Women" u="1"/>
        <s v="Atomic bomb in art" u="1"/>
        <s v="Diplomats" u="1"/>
        <s v="China -- Study and teaching -- Bibliography" u="1"/>
        <s v="Nakahara, Chūya -- Translations into English" u="1"/>
        <s v="War in art" u="1"/>
        <s v="Bombe atomique dans l'art" u="1"/>
        <s v="Sinologists -- Japan -- Biography" u="1"/>
        <s v="Man-woman relationships" u="1"/>
        <s v="Motion pictures -- Social aspects -- Korea (South)" u="1"/>
        <s v="shuppan -- nihon -- rekishi -- edojidai" u="1"/>
        <s v="Chinese language" u="1"/>
        <s v="Shoshigaku-Rekishi" u="1"/>
        <s v="Tang shi -- Ci yu -- Zhu shi" u="1"/>
        <s v="Questioning -- Japan -- Fiction" u="1"/>
        <s v="揚雄, 53 BC-18 AD 方言" u="1"/>
        <s v="Theatrical producers and directors -- Japan -- Interviews" u="1"/>
        <s v="Art  --  Political aspects  --  Korea (South)" u="1"/>
        <s v="Philosophers -- Japan -- Encyclopedias" u="1"/>
        <s v="Paleography, Japanese -- Handbooks, manuals, etc" u="1"/>
        <s v="Confucius. Chun qiu" u="1"/>
        <s v="China -- Dictionaries" u="1"/>
        <s v="Daimyō -- Biographies" u="1"/>
        <s v="Kōda, Rohan, 1867-1947" u="1"/>
        <s v="Extrémistes de droite  --  Japon" u="1"/>
        <s v="Nengo" u="1"/>
        <s v="Biobibliography" u="1"/>
        <s v="Japanese language -- Grammar, Classical" u="1"/>
        <s v="1392-1868" u="1"/>
        <s v="Bombings -- Japan -- Fiction" u="1"/>
        <s v="War victims  --  Legal status, laws, etc.  --  Korea" u="1"/>
        <s v="広島市 (Japan); In art.; 広島市 (Japan); History; Bombardment, 1945; Pictorial works" u="1"/>
        <s v="Literatur" u="1"/>
        <s v="Man-woman relationships -- Fiction" u="1"/>
        <s v="Nationalisme  --  Japon" u="1"/>
        <s v="Chinese language -- Particles -- Dictionaries -- Japanese" u="1"/>
        <s v="Kings and rulers" u="1"/>
        <s v="Japanese language -- Meiji period, 1868-1912 -- Lexicography" u="1"/>
        <s v="Tōkyōto-Rekishi" u="1"/>
        <s v="Translating and interpreting -- Japan" u="1"/>
        <s v="Arts and society" u="1"/>
        <s v="渤海 (Kingdom)" u="1"/>
        <s v="Nouvelles coréennes" u="1"/>
        <s v="Courts and courtiers" u="1"/>
        <s v="Japan -- History -- Tokugawa period, 1600-1868" u="1"/>
        <s v="Gongyang, Gao. Gongyang zhuan" u="1"/>
        <s v="Kunten" u="1"/>
        <s v="Humorous fiction" u="1"/>
        <s v="Theatrical producers and directors -- Japan -- Biography" u="1"/>
        <s v="Zen Buddhism" u="1"/>
        <s v="Actors" u="1"/>
        <s v="안 용복, active 1693-1696" u="1"/>
        <s v="Korea  --  Relations  --  Japan  --  Sources" u="1"/>
        <s v="World War, 1939-1945 -- Atrocities -- Japan -- Sources" u="1"/>
        <s v="Cataloging -- China -- History" u="1"/>
        <s v="China -- Civilization -- Study and teaching" u="1"/>
        <s v="Maruki, Iri, 1901-1995. Genbaku no zu" u="1"/>
        <s v="Waka -- Dictionaries -- Japanese" u="1"/>
        <s v="War victims  --  Monuments  --  Japan" u="1"/>
        <s v="Painters  --  Korea (North)" u="1"/>
        <s v="Nihon-Rekishi-Kinsei-Jiten" u="1"/>
        <s v="Cataloging" u="1"/>
        <s v="Toyoshi --" u="1"/>
        <s v="Short stories, Japanese -- 21st century" u="1"/>
        <s v="Rare books -- Expertising" u="1"/>
        <s v="Mothers and sons" u="1"/>
        <s v="China -- Civilization" u="1"/>
        <s v="Printing" u="1"/>
        <s v="Families -- Fiction" u="1"/>
        <s v="Nihon-Rekishi-Shoshi" u="1"/>
        <s v="Koyomi" u="1"/>
        <s v="Directory" u="1"/>
        <s v="Song family" u="1"/>
        <s v="World War, 1939-1945 -- Atrocities -- Japan" u="1"/>
        <s v="Chugoku -- Rekishi" u="1"/>
        <s v="Motion pictures -- Aesthetics" u="1"/>
        <s v="To 1868" u="1"/>
        <s v="Chinese language -- Cursive writing -- Handbooks, manuals, etc" u="1"/>
        <s v="Zen priests -- Japan -- Biography -- Japanese" u="1"/>
        <s v="To 1600" u="1"/>
        <s v="Biographies" u="1"/>
        <s v="Drama" u="1"/>
        <s v="Mori, Ōgai, 1862-1922 -- Criticism and interpretation" u="1"/>
        <s v="Japanese language -- To 1868 -- Dictionaries" u="1"/>
        <s v="漫画" u="1"/>
        <s v="Local history" u="1"/>
        <s v="Paleography, Japanese -- Dictionaries" u="1"/>
        <s v="Denki -- Nihon" u="1"/>
        <s v="Ruisho" u="1"/>
        <s v="Japanese language" u="1"/>
        <s v="Geschichte 1868-1912" u="1"/>
        <s v="Sino-Japanese War, 1937-1945" u="1"/>
        <s v="Korean reunification question (1945- )" u="1"/>
        <s v="Chugoku shiso -- Benran" u="1"/>
        <s v="Medicine, Chinese -- Japan -- Bibliography" u="1"/>
        <s v="Travail -- Romans, nouvelles, etc" u="1"/>
        <s v="Japanese philology -- Dictionaries" u="1"/>
        <s v="Shui hu zhuan -- Dictionaries" u="1"/>
        <s v="Japan -- Hiroshima-shi" u="1"/>
        <s v="Chinese language -- Cursive writing" u="1"/>
        <s v="Department stores -- Japan -- Management -- History" u="1"/>
        <s v="Royal households -- Japan -- History -- Sources" u="1"/>
        <s v="Art, Modern  --  20th century  --  Exhibitions" u="1"/>
        <s v="Hallucinations and illusions -- Fiction" u="1"/>
        <s v="Chinese language -- Conversation and phrase books -- Japanese" u="1"/>
        <s v="Translations (form)" u="1"/>
        <s v="Japanese poetry -- To 1600 -- Dictionaries -- Japanese" u="1"/>
        <s v="Japan -- Court and courtiers -- History -- Sources" u="1"/>
        <s v="Monstres -- Romans, nouvelles, etc" u="1"/>
        <s v="Drama -- 20th century -- History and criticism" u="1"/>
        <s v="Daimyo" u="1"/>
        <s v="Literature, Modern" u="1"/>
        <s v="Art" u="1"/>
        <s v="Fiefs -- Japan -- History -- Handbooks, manuals, etc" u="1"/>
        <s v="百貨店-歴史" u="1"/>
        <s v="Japan -- Biography -- Indexes" u="1"/>
        <s v="Korea  --  Relations  --  Japan" u="1"/>
        <s v="Nakahara, Chūya" u="1"/>
        <s v="Japan -- Foreign relations -- Korea" u="1"/>
        <s v="Relations industrielles -- Romans, nouvelles, etc" u="1"/>
        <s v="Shoshigaku-Jiten" u="1"/>
        <s v="China -- Study and teaching" u="1"/>
        <s v="Japan -- Politics and government -- 1600-1868 -- Handbooks, manuals, etc" u="1"/>
        <s v="Self-reliance  --  Korea (North)" u="1"/>
        <s v="Buddhists -- Japan -- Biography -- Dictionaries -- Japanese" u="1"/>
        <s v="Translations" u="1"/>
        <s v="Nagai, Kafū, 1879-1959 -- Criticism and interpretation" u="1"/>
        <s v="World War, 1939-1945 -- Conscript labor -- Japan" u="1"/>
        <s v="China" u="1"/>
        <s v="Xi xiang ji" u="1"/>
        <s v="Diamond Mountains (Korea) -- Description and travel" u="1"/>
        <s v="Nihon shisō-Rekishi-Benran" u="1"/>
        <s v="Buddhism -- Japan" u="1"/>
        <s v="Politique mondiale" u="1"/>
        <s v="Japan  --  Foreign relations  --  Korea" u="1"/>
        <s v="Kanji-Jiten" u="1"/>
        <s v="Tok Island (Korea)  --  Sources" u="1"/>
        <s v="Recreation areas  --  Korea (South)  --  Seoul" u="1"/>
        <s v="Sound recording industry -- Korea (South) -- History" u="1"/>
        <s v="Short stories" u="1"/>
        <s v="Waka" u="1"/>
        <s v="Novels" u="1"/>
        <s v="nihon shoki" u="1"/>
        <s v="Nihon -- Shakai -- Rekishi -- Edojidai" u="1"/>
        <s v="Diplomatics, Japanese -- Dictionaries" u="1"/>
        <s v="Medicine, Chinese Traditional -- history" u="1"/>
        <s v="Nihon -- Rekishi" u="1"/>
        <s v="Historic sites" u="1"/>
        <s v="Koreans" u="1"/>
        <s v="Nationalism -- Korea -- History -- 20th century" u="1"/>
        <s v="Domestic fiction" u="1"/>
        <s v="Japanese poetry" u="1"/>
        <s v="Maruki, Toshi, 1912-2000. Genbaku no zu" u="1"/>
        <s v="Shunjū kuyōden" u="1"/>
        <s v="Guliang, Chi. Guliang zhuan" u="1"/>
        <s v="Waka-Sahō-Jiten" u="1"/>
        <s v="People with disabilities" u="1"/>
        <s v="Shui hu zhuan" u="1"/>
        <s v="Jinmeijiten -- Nihon" u="1"/>
        <s v="Tosho kaidai" u="1"/>
        <s v="Police -- Japan -- Fiction" u="1"/>
        <s v="Historic preservation  --  Korea (South)" u="1"/>
        <s v="Chugokushiso -- Shomoku" u="1"/>
        <s v="Peinture coréenne  --  20e siècle" u="1"/>
        <s v="Painting, Japanese" u="1"/>
        <s v="Japan -- Biography" u="1"/>
        <s v="HISTORY -- Asia -- Japan" u="1"/>
        <s v="Zen priests" u="1"/>
        <s v="Service, Compulsory non-military -- Japan" u="1"/>
        <s v="Chūgoku shisō-Benran" u="1"/>
        <s v="Wörterbuch" u="1"/>
        <s v="To 960" u="1"/>
        <s v="Motion pictures" u="1"/>
        <s v="Fiction" u="1"/>
        <s v="Liu, Xiang, 77 B.C.-6 B.C" u="1"/>
        <s v="Japan -- Nagasaki-shi" u="1"/>
        <s v="Imprimés chinois -- Catalogues -- Japon" u="1"/>
        <s v="Nouvelles" u="1"/>
        <s v="Maruki, Iri, 1901-1995 -- Exhibitions" u="1"/>
        <s v="Industrial relations -- Fiction" u="1"/>
        <s v="Coréens  --  Chine  --  Yanbian Chaoxianzu Zizhizhou" u="1"/>
        <s v="Chinese language -- Dictionaries -- Japanese" u="1"/>
        <s v="Corée  --  Histoire  --  1910-1945 (Occupation japonaise)" u="1"/>
        <s v="Takizawa, Bakin, 1767-1848 -- Criticism and interpretation" u="1"/>
        <s v="Zen Buddhism -- Dictionaries -- Japanese" u="1"/>
        <s v="Tok Island (Korea)  --  International status" u="1"/>
        <s v="Intānetto" u="1"/>
        <s v="Buddhism -- Dictionaries -- Japanese" u="1"/>
        <s v="Vie rurale -- Romans, nouvelles, etc" u="1"/>
        <s v="Usines -- Personnel -- Romans, nouvelles, etc" u="1"/>
        <s v="Early printed books" u="1"/>
        <s v="Japan -- Social life and customs" u="1"/>
        <s v="Sino-Japanese War, 1937-1945  --  Conscript labor  --  Japan" u="1"/>
        <s v="Song, Chu-sang, 1695-1752 -- Travel" u="1"/>
        <s v="Geschichte" u="1"/>
        <s v="Chūgoku bungaku-Meibo" u="1"/>
        <s v="Japan -- Fiction" u="1"/>
        <s v="Families" u="1"/>
        <s v="Hallucinations and illusions" u="1"/>
        <s v="Encyclopedias" u="1"/>
        <s v="Japan -- Bio-bibliography -- Dictionaries -- Japanese" u="1"/>
        <s v="Police" u="1"/>
        <s v="Labor" u="1"/>
        <s v="Philosophy, Japanese" u="1"/>
        <s v="Languages, Artificial" u="1"/>
        <s v="Manga" u="1"/>
        <s v="Industrial relations" u="1"/>
        <s v="Art objects, Korean  --  Japan  --  Catalogs" u="1"/>
        <s v="War victims -- Legal status, laws, etc. -- Korea" u="1"/>
        <s v="Dysfunctional families -- Fiction" u="1"/>
        <s v="Theatrical producers and directors" u="1"/>
        <s v="Murder -- Investigation" u="1"/>
        <s v="18.87 Japanese language and literature" u="1"/>
        <s v="Hayashi, Fumiko, 1904-1951" u="1"/>
        <s v="Chōsen -- Rekishi" u="1"/>
        <s v="Cinéma -- Esthétique" u="1"/>
        <s v="Early works" u="1"/>
        <s v="China -- Study and teaching -- Biography" u="1"/>
        <s v="Korea  --  History  --  Japanese Invasions, 1592-1598" u="1"/>
        <s v="Japanisch" u="1"/>
        <s v="Japanese drama" u="1"/>
        <s v="Roman coréen  --  20e siècle" u="1"/>
        <s v="Tropical fish -- Fiction" u="1"/>
        <s v="Materia medica" u="1"/>
        <s v="Bukkyō-Jiten" u="1"/>
        <s v="林, 芙美子, 1904-1951" u="1"/>
        <s v="Chinese literature" u="1"/>
        <s v="Sinologists -- Japan -- Bio-bibliography" u="1"/>
        <s v="Minjung theology" u="1"/>
        <s v="Komonjogaku" u="1"/>
        <s v="Collective memory" u="1"/>
        <s v="Philosophy, Japanese -- History -- Encyclopedias" u="1"/>
        <s v="Theater -- Japan -- Interviews" u="1"/>
        <s v="Manuscripts, Japanese" u="1"/>
        <s v="World War, 1939-1945 -- Women -- Korea" u="1"/>
        <s v="Japanese philology" u="1"/>
        <s v="Bukkyō -- Jisho" u="1"/>
        <s v="Music and transnationalism" u="1"/>
        <s v="Words, New" u="1"/>
        <s v="Guerre mondiale, 1939-1945  --  Travail obligatoire  --  Japon" u="1"/>
        <s v="Tokugawa (Famille)" u="1"/>
        <s v="Fortification  --  Russia (Federation)  --  Primorskiĭ kraĭ" u="1"/>
        <s v="Walking  --  Korea (South)  --  Seoul" u="1"/>
        <s v="Paleography, Japanese" u="1"/>
        <s v="Short stories, Japanese" u="1"/>
        <s v="Guliang zhuan (Guliang, Chi)" u="1"/>
        <s v="Kundoku" u="1"/>
        <s v="Biography" u="1"/>
        <s v="Painting, Japanese -- 20th century" u="1"/>
        <s v="Telecommunication" u="1"/>
        <s v="Japanese fiction -- 21st century" u="1"/>
        <s v="Podcasts" u="1"/>
        <s v="Japan -- Foreign relations -- Korea (South)" u="1"/>
        <s v="Corée  --  Relations extérieures" u="1"/>
        <s v="Buddhist priests" u="1"/>
        <s v="Bibliography -- Japan" u="1"/>
        <s v="Manshu -- Meibo" u="1"/>
        <s v="Japan -- historia -- lexikon" u="1"/>
        <s v="Names, Geographical" u="1"/>
        <s v="Podcasts -- Fiction" u="1"/>
        <s v="Chinese poetry -- Tang dynasty, 618-907 -- Dictionaries" u="1"/>
        <s v="2000-2099" u="1"/>
        <s v="Ōbaku (Sect)" u="1"/>
        <s v="World War, 1939-1945  --  Atrocities  --  Japan  --  Sources" u="1"/>
        <s v="Celebrities" u="1"/>
        <s v="Chosen -- Rekishi" u="1"/>
        <s v="Short stories, Korean" u="1"/>
        <s v="Publishers and publishing -- Japan -- History" u="1"/>
        <s v="Réconciliation  --  Aspect politique" u="1"/>
        <s v="Utamakura -- Dictionaries -- Japanese" u="1"/>
        <s v="Kojosŏn (Kingdom) -- Historiography" u="1"/>
        <s v="Cimetières  --  Corée du Sud  --  Pusan  --  Romans, nouvelles, etc. pour la jeunesse" u="1"/>
        <s v="Gongyang zhuan (Gongyang, Gao)" u="1"/>
        <s v="Bibliography -- China -- History" u="1"/>
        <s v="Daimyo -- Biography" u="1"/>
        <s v="Nihon-Rekishi-Edo jidai-Benran" u="1"/>
        <s v="Dictionary" u="1"/>
        <s v="Koguryŏ (Kingdom)  --  Antiquities" u="1"/>
        <s v="Bibliography" u="1"/>
        <s v="Chinese language -- Particles" u="1"/>
        <s v="Dramatists, Japanese -- 20th century -- Interviews" u="1"/>
        <s v="Poésie coréenne  --  Jusqu'à 1900  --  Histoire et critique" u="1"/>
        <s v="중국(국명)中國; 일본(국명)日本; 한국(국명)韓國" u="1"/>
        <s v="Ocean travel" u="1"/>
        <s v="Japan -- Intellectual life -- Encyclopedias" u="1"/>
        <s v="Motion pictures -- Japan -- History -- 20th century" u="1"/>
        <s v="Book industries and trade" u="1"/>
        <s v="618-907" u="1"/>
        <s v="Tropical fish" u="1"/>
        <s v="Pictorial works" u="1"/>
        <s v="Japan -- Social life and customs -- 1600-1868 -- Encyclopedias" u="1"/>
        <s v="Peintres  --  Corée  --  Biographies" u="1"/>
        <s v="Dysfunctional families" u="1"/>
        <s v="Chinese poetry" u="1"/>
        <s v="Satirical literature" u="1"/>
        <s v="Female friendship" u="1"/>
        <s v="Lieux historiques  --  Corée du Sud  --  Séoul" u="1"/>
        <s v="Women -- Fiction" u="1"/>
        <s v="Korea  --  Economic conditions  --  1910-1945" u="1"/>
        <s v="Korea -- Politics and government -- 1910-1945" u="1"/>
        <s v="Diplomatic and consular service -- Korea -- History" u="1"/>
        <s v="Literature, Medieval" u="1"/>
        <s v="Korean fiction  --  21st century" u="1"/>
        <s v="Mothers and sons -- Fiction" u="1"/>
        <s v="Diplomatics, Japanese" u="1"/>
        <s v="Utamakura" u="1"/>
        <s v="Japan -- History -- Tokugawa period, 1600-1868 -- Biography -- Dictionaries -- Japanese" u="1"/>
        <s v="Catalogs" u="1"/>
        <s v="Maruki, Toshi, 1912-2000" u="1"/>
        <s v="Korea -- History -- To 935" u="1"/>
        <s v="War crimes -- Japan -- History -- 20th century" u="1"/>
        <s v="Conversation and phrase books" u="1"/>
        <s v="Nihon -- Jinmeijiten" u="1"/>
        <s v="Nihon -- denki -- jisho" u="1"/>
        <s v="1939-1945" u="1"/>
        <s v="Nagai, Kafū, 1879-1959" u="1"/>
        <s v="Famous Persons" u="1"/>
        <s v="Words, New -- Japan" u="1"/>
        <s v="Cultural property  --  Protection  --  Korea (South)" u="1"/>
        <s v="Japan -- Biography -- Dictionaries -- Japanese" u="1"/>
        <s v="Buddhist priests -- Japan -- Biography -- Dictionaries -- Japanese" u="1"/>
        <s v="Dictionaries" u="1"/>
        <s v="Department stores -- Management" u="1"/>
        <s v="theater (discipline)" u="1"/>
        <s v="Tōkyō (Japon) -- Mœurs et coutumes -- 1600-1868" u="1"/>
        <s v="Boy bands  --  Korea (South)" u="1"/>
        <s v="Korea  --  Foreign relations  --  China" u="1"/>
        <s v="Kanshi-Jiten" u="1"/>
        <s v="Célébrités" u="1"/>
        <s v="Koreans -- Politics and government" u="1"/>
        <s v="Guerre mondiale, 1939-1945" u="1"/>
        <s v="Japanese language -- Edo period" u="1"/>
        <s v="Korea -- Foreign relations" u="1"/>
        <s v="Korean language -- To 935 -- Phonology" u="1"/>
        <s v="Maruki, Toshi, 1912-2000 -- Exhibitions" u="1"/>
        <s v="Rare books -- Expertising -- Japan" u="1"/>
        <s v="Coréen (Langue)  --  Manuels pour allophones" u="1"/>
        <s v="Authors, Japanese -- 20th century -- Biography" u="1"/>
        <s v="Television quiz shows" u="1"/>
        <s v="Young women -- Fiction" u="1"/>
        <s v="Japanese literature" u="1"/>
        <s v="Tokugawa period, Japan, 1600-1868" u="1"/>
        <s v="Paysages dans la littérature" u="1"/>
        <s v="Terayama, Shūji, 1936-1983" u="1"/>
        <s v="Japanese language -- Meiji period, 1868-1912 -- Dictionaries" u="1"/>
        <s v="Koguryŏ (Kingdom)  --  Civilization  --  Pictorial works" u="1"/>
        <s v="Bibliography -- Methodology" u="1"/>
        <s v="Nihon bungaku-Rekishi-Edo jidai" u="1"/>
        <s v="Ishikawa, Jun, 1899-1987 -- Criticism and interpretation" u="1"/>
        <s v="Japanese literature -- To 1868 -- History and criticism -- Dictionaries" u="1"/>
        <s v="Chun qiu (Confucius)" u="1"/>
        <s v="Materia medica -- Japan -- Bibliography" u="1"/>
        <s v="Painting  --  Korea  --  Catalogs" u="1"/>
        <s v="Chūgokugo -- Bunpō" u="1"/>
        <s v="Female friendship -- Fiction" u="1"/>
        <s v="Film criticism -- Japan -- History -- 20th century" u="1"/>
        <s v="Komonjo-Jiten" u="1"/>
        <s v="Chugokugaku -- Shomoku" u="1"/>
        <s v="Poissons tropicaux -- Romans, nouvelles, etc" u="1"/>
        <s v="Exhibition, pictorial works" u="1"/>
        <s v="Japanese literature -- Indexes" u="1"/>
        <s v="Tok Island (Korea) -- International status" u="1"/>
        <s v="Publishers and publishing" u="1"/>
        <s v="Guerre sino-japonaise, 1937-1945" u="1"/>
        <s v="Early printed books -- Japan" u="1"/>
        <s v="Bungaku chiri-Chūgoku" u="1"/>
        <s v="Korea (South) -- Relations -- Japan" u="1"/>
        <s v="Shamanism -- China -- Manchuria" u="1"/>
        <s v="Hiroshima-shi (Japan) -- In art -- Exhibitions" u="1"/>
        <s v="Scholars -- Japan -- Bio-bibliography" u="1"/>
        <s v="Handbooks and manuals" u="1"/>
        <s v="Chinese imprints" u="1"/>
        <s v="Psychological fiction" u="1"/>
        <s v="Ombudspersons" u="1"/>
        <s v="Romans familiaux" u="1"/>
        <s v="Klassisches Japanisch" u="1"/>
        <s v="Philologists -- Japan -- Biography" u="1"/>
        <s v="Philosophers -- Japan -- Biography" u="1"/>
        <s v="Buddhists" u="1"/>
        <s v="Thrillers (Fiction)" u="1"/>
        <s v="Korean fiction" u="1"/>
        <s v="Buddhism" u="1"/>
        <s v="Chūgokushisō -- Shomoku" u="1"/>
        <s v="Ishikawa, Jun, 1899-1987" u="1"/>
        <s v="Fantasy fiction" u="1"/>
        <s v="Kotowaza" u="1"/>
        <s v="Mori, Ōgai, 1862-1922" u="1"/>
        <s v="Nationalism" u="1"/>
        <s v="Discoveries in geography" u="1"/>
        <s v="Keisho" u="1"/>
        <s v="Nihongo -- Gairaigo -- Jisho" u="1"/>
        <s v="Kokusho sōmokuroku -- Dictionaries. Japanese" u="1"/>
        <s v="Early printed books -- Japan -- Dictionaries -- Japanese" u="1"/>
        <s v="Medicine, Chinese" u="1"/>
        <s v="Hiroshima-shi (Japan) -- History -- Bombardment, 1945 -- Pictorial works -- Exhibitions" u="1"/>
        <s v="Education  --  Korea  --  History" u="1"/>
        <s v="Comfort women" u="1"/>
        <s v="Tokyo (Japan) -- Social life and customs -- 1600-1868" u="1"/>
        <s v="Maruki, Iri, 1901-1995" u="1"/>
        <s v="Shoshigaku -- Jisho" u="1"/>
        <s v="Néologismes" u="1"/>
        <s v="Language arts (Elementary)  --  Korea (South)" u="1"/>
        <s v="Young women" u="1"/>
        <s v="Civilization -- Study and teaching" u="1"/>
        <s v="Fiefs -- Japan -- Dictionaries -- Japanese" u="1"/>
        <s v="Chinese imprints -- Japan -- Catalogs" u="1"/>
        <s v="Bibliographie" u="1"/>
        <s v="World War, 1939-1945  --  Women  --  East Asia  --  Sources" u="1"/>
        <s v="Kuge -- meibo" u="1"/>
        <s v="1500-1599" u="1"/>
        <s v="Shoshigaku" u="1"/>
        <s v="Ōbaku (Sect) -- Dictionaries -- Japanese" u="1"/>
        <s v="Japanese drama (Comedy)" u="1"/>
        <s v="Film criticism" u="1"/>
        <s v="Painting, Japanese -- 20th century -- Exhibitions" u="1"/>
        <s v="Japanese language -- Edo period, 1600-1868 -- Dictionaries" u="1"/>
        <s v="World War, 1939-1945 -- Women -- East Asia -- Sources" u="1"/>
        <s v="Chinese literature -- Adaptations" u="1"/>
        <s v="Territoire national  --  Japon" u="1"/>
        <s v="Scholars" u="1"/>
        <s v="Animals -- Juvenile fiction" u="1"/>
        <s v="Japanese language materials" u="1"/>
        <s v="Emperors -- Japan -- History -- Sources" u="1"/>
        <s v="Hyakkaten-Rekishi" u="1"/>
        <s v="Printing -- Japan -- Dictionaries -- Japanese" u="1"/>
        <s v="Korea" u="1"/>
        <s v="Murder -- Investigation -- Fiction" u="1"/>
        <s v="Korea  --  History  --  Japanese occupation, 1910-1945" u="1"/>
        <s v="Encyclopedias and dictionaries -- Japan -- History" u="1"/>
        <s v="1600-1868" u="1"/>
        <s v="Emperors" u="1"/>
        <s v="Nagasaki-shi (Japan) -- History -- Bombardment, 1945 -- Pictorial works" u="1"/>
        <s v="Kanshi" u="1"/>
        <s v="Tokugawa family" u="1"/>
        <s v="Civil service -- Japan" u="1"/>
        <s v="Guerre dans l'art" u="1"/>
        <s v="Dramatists, Japanese" u="1"/>
        <s v="Japan -- History -- Dictionaries -- Japanese" u="1"/>
        <s v="Japanese literature -- Chinese influences" u="1"/>
        <s v="Nengō" u="1"/>
        <s v="Bibliography -- Japan -- Dictionaries -- Japanese" u="1"/>
        <s v="Bibliographie -- Japon" u="1"/>
        <s v="Landscape architecture  --  Korea (South)  --  Seoul  --  Designs and plans" u="1"/>
        <s v="Factories -- Employees" u="1"/>
        <s v="Japanese drama -- 20th century -- History and criticism" u="1"/>
        <s v="Sea-power -- History -- 19th century" u="1"/>
        <s v="World War, 1939-1945" u="1"/>
        <s v="Peinture coréenne" u="1"/>
        <s v="Philologists" u="1"/>
        <s v="Exhibition catalogs" u="1"/>
        <s v="Peinture abstraite  --  Corée" u="1"/>
        <s v="Japanese literature -- Dictionaries" u="1"/>
        <s v="Japanologists -- Japan -- Biography -- Dictionaries" u="1"/>
        <s v="Japan -- History -- Bibliography" u="1"/>
        <s v="Hiroshima-shi (Japan) -- History -- Bombardment, 1945 -- Pictorial works" u="1"/>
        <s v="Middle class" u="1"/>
        <s v="Tōyō igaku-Shoshi" u="1"/>
        <s v="edo" u="1"/>
        <s v="Japanese language -- Meiji period" u="1"/>
        <s v="Japanese language -- Cursive writing -- Handbooks, manuals, etc" u="1"/>
        <s v="Labor -- Fiction" u="1"/>
        <s v="Shinagaku -- Shomoku" u="1"/>
        <s v="Popular music" u="1"/>
        <s v="Shinagaku -- Jisho" u="1"/>
        <s v="Shunjū kokuryōden" u="1"/>
        <s v="Bibliographie -- Méthodologie" u="1"/>
        <s v="Chūgoku -- Rekishi" u="1"/>
        <s v="Livres anciens -- Japon" u="1"/>
        <s v="Kojosŏn (Kingdom) -- Study and teaching" u="1"/>
        <s v="Japan -- History -- Tokugawa period, 1600-1868 -- Biography" u="1"/>
        <s v="Kangakusha" u="1"/>
        <s v="Régions frontalières -- Chine" u="1"/>
        <s v="Encyclopedias and dictionaries" u="1"/>
        <s v="Adaptations" u="1"/>
        <s v="Motion pictures -- Korea (South) -- History -- 20th century" u="1"/>
        <s v="Royal households" u="1"/>
        <s v="Theater" u="1"/>
        <s v="Collective memory -- Japan" u="1"/>
        <s v="Korea (South) -- Foreign relations -- Japan" u="1"/>
        <s v="Goddesses  --  Mythology" u="1"/>
        <s v="Shunjū" u="1"/>
        <s v="Nihon -- Rekishi -- Edo jidai -- Benran" u="1"/>
        <s v="Medicine, Chinese Traditional" u="1"/>
        <s v="Kokugaku" u="1"/>
        <s v="Korean poetry  --  1392-1894  --  History and criticism" u="1"/>
        <s v="Korean poetry  --  1894-1919  --  History and criticism" u="1"/>
        <s v="Young women  --  Fiction" u="1"/>
        <s v="Amnésie  --  Romans, nouvelles, etc" u="1"/>
        <s v="Translating and interpreting" u="1"/>
        <s v="1392-1637" u="1"/>
        <s v="Densetsu -- Nihon -- Jisho" u="1"/>
        <s v="Television quiz shows -- Fiction" u="1"/>
        <s v="Korea (South)" u="1"/>
        <s v="Japan" u="1"/>
        <s v="War victims  --  Korea (South)" u="1"/>
        <s v="Japan -- Politics and government -- 1600-1868" u="1"/>
        <s v="Japan -- Social life and customs -- 1600-1868" u="1"/>
        <s v="Kanbun" u="1"/>
        <s v="People with disabilities -- Fiction" u="1"/>
        <s v="Study skills" u="1"/>
        <s v="Japanese language -- Cursive writing" u="1"/>
        <s v="Japan -- Tokyo" u="1"/>
        <s v="Languages, Artificial -- Fiction" u="1"/>
        <s v="World War, 1939-1945 -- Japan -- Hiroshima-shi -- Art and the war -- Exhibitions" u="1"/>
        <s v="Japanese fiction" u="1"/>
        <s v="Interviews" u="1"/>
        <s v="Book industries and trade -- Japan -- History" u="1"/>
        <s v="Popular music -- Production and direction -- Korea (South)" u="1"/>
        <s v="China -- Study and teaching -- Japan" u="1"/>
        <s v="Buddhism -- Dictionaries" u="1"/>
        <s v="Popular music -- Korea (South) -- History and criticism" u="1"/>
        <s v="Romance fiction" u="1"/>
        <s v="Korean War, 1950-1953  --  History  --  Juvenile fiction" u="1"/>
        <s v="Actors -- Japan -- Interviews" u="1"/>
        <s v="Socialist realism in art  --  Korea (North)" u="1"/>
        <s v="Intellectual life" u="1"/>
        <s v="Korea -- Foreign relations -- History" u="1"/>
        <s v="Detective and mystery fiction" u="1"/>
        <s v="Nihon -- Rekishi -- Shoshi" u="1"/>
        <s v="Déesses" u="1"/>
        <s v="Popular music  --  Korea (South)" u="1"/>
        <s v="Takabatake, Ransen, 1838-1885 -- Criticism and interpretation" u="1"/>
        <s v="Indexes" u="1"/>
        <s v="Japan -- Imprints -- Catalogs" u="1"/>
        <s v="Honʼyaku iin shachū Japan" u="1"/>
        <s v="Factories -- Employees -- Fiction" u="1"/>
        <s v="Corée  --  Relations extérieures  --  Japon" u="1"/>
        <s v="Japanese literature -- 1600-1868 -- History and criticism" u="1"/>
        <s v="Nihongo-Bunpō" u="1"/>
        <s v="East Asia  --  History" u="1"/>
        <s v="Hiroshima-shi (Japan) -- In art" u="1"/>
        <s v="Sound recording industry" u="1"/>
        <s v="Korea  --  History  --  To 935" u="1"/>
        <s v="Relations entre hommes et femmes -- Romans, nouvelles, etc" u="1"/>
        <s v="Civil service" u="1"/>
        <s v="Illustrated works" u="1"/>
        <s v="Kōda, Rohan, 1867-1947 -- Criticism and interpretation" u="1"/>
        <s v="Bio-bibliography" u="1"/>
        <s v="Grammatik" u="1"/>
        <s v="Sinologists" u="1"/>
        <s v="Fujin -- Denki" u="1"/>
        <s v="Folklore" u="1"/>
        <s v="Korea  --  Foreign relations  --  History" u="1"/>
        <s v="Territoire national  --  Corée du Sud" u="1"/>
        <s v="Korea  --  History  --  To 935  --  Historiography" u="1"/>
        <s v="Chūgokugaku" u="1"/>
        <s v="Japanologists"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5156.508766319443" createdVersion="8" refreshedVersion="8" minRefreshableVersion="3" recordCount="7623" xr:uid="{E67D6D1D-4EBA-4152-A208-161898DD6E2B}">
  <cacheSource type="worksheet">
    <worksheetSource ref="N1:N7624" sheet="s-Subjects"/>
  </cacheSource>
  <cacheFields count="1">
    <cacheField name="Sub-Subjects" numFmtId="0">
      <sharedItems count="670">
        <s v="Diplomatic relations"/>
        <s v="Princes "/>
        <s v="Economic history"/>
        <s v="Koreans "/>
        <s v="Goddesses"/>
        <s v="Archival materials "/>
        <s v="Library materials "/>
        <s v="Colonization"/>
        <s v="History"/>
        <s v="International relations"/>
        <s v="Antiquities"/>
        <s v="Excavations (Archaeology) "/>
        <s v="Pottery "/>
        <s v="Nationalism "/>
        <s v="Korean fiction "/>
        <s v="Popular music "/>
        <s v="Amnesia "/>
        <s v="Historiography"/>
        <s v="Territory, National "/>
        <s v="Boundaries"/>
        <s v="Diplomatic and consular service, Korean "/>
        <s v="Fan clubs"/>
        <s v="Nature conservation "/>
        <s v="Shinto shrines "/>
        <s v="Shinto shrines"/>
        <s v="Reconciliation "/>
        <s v="Sepulchral monuments "/>
        <s v="Right-wing extremists "/>
        <s v="Landscapes in literature"/>
        <s v="Private schools "/>
        <s v="Korean poetry "/>
        <s v="Tang Dynasty (China)"/>
        <s v="Stone carving "/>
        <s v="Foreign workers, Korean "/>
        <s v="Territory, National"/>
        <s v="Modernism (Art) "/>
        <s v="Painting, Abstract "/>
        <s v="Korean reunification question (1945- ) "/>
        <s v="Painters "/>
        <s v="Kim Yu-jŏng Munhaksang"/>
        <s v="Department stores "/>
        <s v="Dreams "/>
        <s v="Historic sites "/>
        <s v="World War, 1939-1945 "/>
        <s v="Parks "/>
        <s v="Korean language "/>
        <s v="Names, Geographical "/>
        <s v="Tombs "/>
        <s v="Painting, Korean "/>
        <s v="Comfort women "/>
        <s v="Comfort women"/>
        <s v="Handicraft "/>
        <s v="Han Dynasty (China)"/>
        <s v="외교 관계外交關係"/>
        <s v="Korean resistance movements, 1905-1945"/>
        <s v="Education"/>
        <s v="Koreans"/>
        <s v="Travel"/>
        <s v="Employees"/>
        <s v="Ombudspersons"/>
        <s v="Documentary films"/>
        <s v="Korean War, 1950-1953"/>
        <s v="Diplomats"/>
        <s v="Korean language"/>
        <s v="Evenki (Asian people)"/>
        <s v="Telecommunication"/>
        <s v="Names, Geographical"/>
        <s v="National characteristics, Japanese"/>
        <s v="Tungusic peoples"/>
        <s v="Middle class"/>
        <s v="Clans"/>
        <s v="Nationalism"/>
        <s v="Navies"/>
        <s v="Borderlands"/>
        <s v="Consumer behavior"/>
        <s v="소련(국명)[蘇聯]; 북한(국명)北韓; 조선(국명)[朝鮮]"/>
        <s v="1900-1999"/>
        <s v="To 935"/>
        <s v="Goddesses in art"/>
        <s v="Manuscripts "/>
        <s v="Documents de bibliothèque "/>
        <s v="1910-1945"/>
        <s v="Sources"/>
        <s v="Civilization"/>
        <s v="Metal-work "/>
        <s v="Nationalisme "/>
        <s v="Korean language materials"/>
        <s v="Rap (Music) "/>
        <s v="Traffic accidents "/>
        <s v="International law"/>
        <s v="Service diplomatique et consulaire coréen "/>
        <s v="Popular music fans"/>
        <s v="Mountain ecology "/>
        <s v="Chosŏnjok"/>
        <s v="Politics and government"/>
        <s v="Shinto and politics "/>
        <s v="Shinto and politics"/>
        <s v="World politics"/>
        <s v="Cemeteries "/>
        <s v="Territoire national "/>
        <s v="Korean literature "/>
        <s v="Confucian shrines "/>
        <s v="Korea "/>
        <s v="Korea"/>
        <s v="Art, Korean "/>
        <s v="Painting, Korean"/>
        <s v="Church and state "/>
        <s v="Literary prizes "/>
        <s v="Rêves "/>
        <s v="Forced labor "/>
        <s v="Gazetteers"/>
        <s v="Ink painting, Korean "/>
        <s v="Ceramics "/>
        <s v="Qin Dynasty (China)"/>
        <s v="World War, 1939-1945"/>
        <s v="Qing Dynasty (China)"/>
        <s v="宋 周相, 1695-1752 Travel"/>
        <s v="Diaries"/>
        <s v="Manners and customs"/>
        <s v="Diplomates"/>
        <s v="Sino-Japanese War, 1937-1945"/>
        <s v="Treaties"/>
        <s v="Language and languages"/>
        <s v="Names"/>
        <s v="Tungus-Manchu languages"/>
        <s v="Nationalists"/>
        <s v="Geography"/>
        <s v="Translators"/>
        <s v="To 1392"/>
        <s v="Kings and rulers"/>
        <s v="Japan "/>
        <s v="Goddesses "/>
        <s v="Cultural property "/>
        <s v="Tok Island (Korea) "/>
        <s v="Pottery, Korean "/>
        <s v="Roman coréen "/>
        <s v="Boy bands "/>
        <s v="Amnésie "/>
        <s v="Korean reunification question (1945- )"/>
        <s v="Réconciliation "/>
        <s v="Korean War, 1950-1953 "/>
        <s v="Extrémistes de droite "/>
        <s v="Discoveries in geography"/>
        <s v="Education "/>
        <s v="618-907"/>
        <s v="Sino-Japanese War, 1937-1945 "/>
        <s v="Japan"/>
        <s v="Art, Modern "/>
        <s v="Peinture abstraite "/>
        <s v="Minjung theology"/>
        <s v="Peintres "/>
        <s v="Short stories, Korean"/>
        <s v="Walking "/>
        <s v="1500-1599"/>
        <s v="War victims "/>
        <s v="Recreation areas "/>
        <s v="Language arts (Elementary) "/>
        <s v="Kangwŏn-do (Korea : South) "/>
        <s v="Socialist realism in art "/>
        <s v="To 960"/>
        <s v="1392-1868"/>
        <s v="Painting "/>
        <s v="Kojosŏn (Kingdom)"/>
        <s v="Study skills"/>
        <s v="Song, Chu-sang, 1695-1752"/>
        <s v="Early works"/>
        <s v="Motion pictures"/>
        <s v="Women"/>
        <s v="Korea (South)"/>
        <s v="Service, Compulsory non-military"/>
        <s v="China"/>
        <s v="Song family"/>
        <s v="Sea-power"/>
        <s v="Régions frontalières"/>
        <s v="Diplomatic and consular service"/>
        <s v="渤海 (Kingdom)"/>
        <s v="Corée "/>
        <s v="Guerre sino-japonaise, 1937-1945"/>
        <s v="Déesses"/>
        <s v="Historic preservation "/>
        <s v="Koguryŏ (Kingdom) "/>
        <s v="Historic sites"/>
        <s v="Arts and society"/>
        <s v="Korean fiction"/>
        <s v="Folklore"/>
        <s v="Coréens "/>
        <s v="1392-1637"/>
        <s v="War victims"/>
        <s v="Politique mondiale"/>
        <s v="Cimetières "/>
        <s v="Paysages dans la littérature"/>
        <s v="Éducation "/>
        <s v="Poésie coréenne "/>
        <s v="East Asia "/>
        <s v="1368-1644"/>
        <s v="Fortification "/>
        <s v="Tok Island (Korea)"/>
        <s v="Art "/>
        <s v="Peinture coréenne"/>
        <s v="Self-reliance "/>
        <s v="Peinture coréenne "/>
        <s v="Nouvelles coréennes"/>
        <s v="Young women "/>
        <s v="Fantasy fiction"/>
        <s v="Lieux historiques "/>
        <s v="Guerre mondiale, 1939-1945 "/>
        <s v="Landscape architecture "/>
        <s v="Coréen (Langue) "/>
        <s v="Pukch'ŏng-gun (Korea) "/>
        <s v="Art objects, Korean "/>
        <s v="중국(국명)中國; 일본(국명)日本; 한국(국명)韓國"/>
        <s v="Diamond Mountains (Korea)"/>
        <s v="Local history"/>
        <s v="War crimes"/>
        <s v="揚雄, 53 BC-18 AD 方言"/>
        <s v="Shamanism"/>
        <s v="안 용복, active 1693-1696"/>
        <s v="Social conditions"/>
        <s v="2000-2099"/>
        <s v="Republicanism"/>
        <s v="Géographie"/>
        <s v="Bohai (Kingdom)"/>
        <s v="Déesses dans l'art"/>
        <s v="Documents d'archives "/>
        <s v="Kyujanggak (Korea)"/>
        <s v="Corée du Sud "/>
        <s v="Music videos "/>
        <s v="China "/>
        <s v="Rock musicians "/>
        <s v="Question de la réunification de la Corée (1945- )"/>
        <s v="Guerre de Corée, 1950-1953 "/>
        <s v="1800-1899"/>
        <s v="Littérature coréenne "/>
        <s v="Extrême-Orient "/>
        <s v="Japon "/>
        <s v="Fouilles (Archéologie) "/>
        <s v="Korea (South) "/>
        <s v="Modernisme (Art) "/>
        <s v="Yu, Yŏng-guk, 1916-"/>
        <s v="Socialism "/>
        <s v="Grands magasins "/>
        <s v="Travail forcé "/>
        <s v="Zones de loisirs "/>
        <s v="Bohai (Kingdom) "/>
        <s v="Pongsan-gun (Korea) "/>
        <s v="Femmes de réconfort "/>
        <s v="Atrocities"/>
        <s v="Artisanat "/>
        <s v="Korean resistance movements (1905-1945)"/>
        <s v="1644-1912"/>
        <s v="Korea (North)"/>
        <s v="1637-1864"/>
        <s v="경상도 (Korea); History, Local; Early works to 1800"/>
        <s v="War films"/>
        <s v="Waeber, C"/>
        <s v="1937-1945"/>
        <s v="Guerre mondiale, 1939-1945"/>
        <s v="Yang, Xiong, 53 BC-18 AD Fang yan"/>
        <s v="Japan, Sea of"/>
        <s v="An, Yong-bok, active 1693-1696"/>
        <s v="Japan. 囯会"/>
        <s v="Genealogy"/>
        <s v="East Asia"/>
        <s v="Imperialism"/>
        <s v="Social evolution"/>
        <s v="Déesses "/>
        <s v="Manuscrits "/>
        <s v="Liancourt, Rochers de "/>
        <s v="Céramique coréenne "/>
        <s v="Public opinion, Japanese"/>
        <s v="K-pop "/>
        <s v="Ullŭng Island (Korea) "/>
        <s v="Musique populaire "/>
        <s v="Paektu Mountain (Korea) "/>
        <s v="Yasukuni Jinja (Tokyo, Japan)"/>
        <s v="Ghosts"/>
        <s v="Abe, Shinzō, 1954-2022"/>
        <s v="Criticism, interpretation, etc"/>
        <s v="Kojosŏn (Kingdom) "/>
        <s v="Art coréen "/>
        <s v="Communism and Christianity"/>
        <s v="Victimes de guerre "/>
        <s v="Architecture du paysage "/>
        <s v="Arts du langage (Primaire) "/>
        <s v="Asia "/>
        <s v="Réalisme socialiste dans l'art "/>
        <s v="Objets d'art coréens "/>
        <s v="중국(국명)[中國]; 한국(국명)[韓國]"/>
        <s v="Independent films"/>
        <s v="Films étrangers"/>
        <s v="Biographies"/>
        <s v="Langues toungouses"/>
        <s v="Japan. Kokkai"/>
        <s v="1392-1910"/>
        <s v="Impérialisme"/>
        <s v="Social change"/>
        <s v="Préservation historique "/>
        <s v="Travail des métaux "/>
        <s v="Public opinion, Korean"/>
        <s v="Groupes de garçons (Musique) "/>
        <s v="Chine "/>
        <s v="K-pop"/>
        <s v="Yanbian Chaoxianzu Zizhizhou (China)"/>
        <s v="ghost stories"/>
        <s v="To 1919"/>
        <s v="Puyŏ (Ancient kingdom) "/>
        <s v="Han yuan (Zhang, Chujin)"/>
        <s v="Travailleurs étrangers coréens "/>
        <s v="Liancourt, Rochers de"/>
        <s v="Question de la réunification de la Corée (1945- ) "/>
        <s v="Seoul (Korea) "/>
        <s v="Architectural drawings"/>
        <s v="Ullŭng Island (Korea)"/>
        <s v="Nihon Mingeikan "/>
        <s v="1905-1945"/>
        <s v="Kyŏngsang-do (Korea)"/>
        <s v="Nonfiction films"/>
        <s v="고조선 (Kingdom); Languages"/>
        <s v="Pacific Ocean"/>
        <s v="백제 (Kingdom); History"/>
        <s v="Family histories"/>
        <s v="Cultural Evolution"/>
        <s v="International economic relations"/>
        <s v="Asia"/>
        <s v="1945-1989"/>
        <s v="Arts et société"/>
        <s v="Yanbian Chaoxianzu Zizhizhou (Chine)"/>
        <s v="靖国神社 (Tokyo, Japan)"/>
        <s v="Juvenile works"/>
        <s v="Guerre sino-japonaise, 1937-1945 "/>
        <s v="Église et État "/>
        <s v="Jeunes femmes "/>
        <s v="Textbooks "/>
        <s v="Art and state"/>
        <s v="Personal Narrative"/>
        <s v="1800-1917"/>
        <s v="Paekche (Kingdom)"/>
        <s v="Évolution sociale"/>
        <s v="Kungnip Kimhae Pangmulgwan "/>
        <s v="Vidéoclips "/>
        <s v="Musiciens rock "/>
        <s v="Histoires de fantômes"/>
        <s v="Exhibition catalogs"/>
        <s v="Confiance en soi "/>
        <s v="Problems and exercises"/>
        <s v="Art, Korean"/>
        <s v="Personal narratives"/>
        <s v="Feature films"/>
        <s v="War and motion pictures"/>
        <s v="Russia"/>
        <s v="Fang yan (Yang, Xiong)"/>
        <s v="Military relations"/>
        <s v="Influence (Literary, artistic, etc.)"/>
        <s v="Communisme et christianisme"/>
        <s v="Artists"/>
        <s v="1939-1945"/>
        <s v="1637-1910"/>
        <s v="Nihon shoki"/>
        <s v="Catalogues d'exposition"/>
        <s v="Hip-hop"/>
        <s v="Subculture"/>
        <s v="Malerei"/>
        <s v="Récits personnels"/>
        <s v="Foreign language films"/>
        <s v="Kaya (Confederation) "/>
        <s v="Music and globalization"/>
        <s v="BTS (Musical group) "/>
        <s v="Forced labor"/>
        <s v="Politische Kunst"/>
        <s v="Russie"/>
        <s v="Online social networks"/>
        <s v="Russia "/>
        <s v="War memorials"/>
        <s v="Politisches Plakat"/>
        <s v="Drama"/>
        <s v="1800-1999"/>
        <s v="Philosophy"/>
        <s v="Primorskiĭ kraĭ (Russia) "/>
        <s v="Documentaires"/>
        <s v="고구려 (Kingdom); Civilization"/>
        <s v="Nordkorea"/>
        <s v="Films autres que de fiction"/>
        <s v="Fiction films"/>
        <s v="Rap musicians"/>
        <s v="Koguryŏ (Kingdom)"/>
        <s v="Deleuze, Gilles, 1925-1995"/>
        <s v="Pacific Area"/>
        <s v="meibo"/>
        <s v="Indexes"/>
        <s v="Shakai"/>
        <s v="To 1868"/>
        <s v="Grammar, Classical"/>
        <s v="Handbooks, manuals, etc"/>
        <s v="Gairaigo"/>
        <s v="Tang dynasty, 618-907"/>
        <s v="Particles"/>
        <s v="Dictionaries"/>
        <s v="Jisho"/>
        <s v="Bunpō"/>
        <s v="1600-1868"/>
        <s v="nihon"/>
        <s v="Expertising"/>
        <s v="Shomoku"/>
        <s v="Edo period, 1600-1868"/>
        <s v="Meiji period, 1868-1912"/>
        <s v="Fiction"/>
        <s v="Investigation"/>
        <s v="21st century"/>
        <s v="Romans, nouvelles, etc"/>
        <s v="20th century"/>
        <s v="Study and teaching"/>
        <s v="Catalogues"/>
        <s v="denki"/>
        <s v="Rekishi"/>
        <s v="Cursive writing"/>
        <s v="Ci yu"/>
        <s v="Chinese influences"/>
        <s v="Benran"/>
        <s v="Conversation and phrase books"/>
        <s v="Aesthetics"/>
        <s v="Translations into English"/>
        <s v="Adaptations"/>
        <s v="Edo period"/>
        <s v="To 1600"/>
        <s v="Production and direction"/>
        <s v="Management"/>
        <s v="Jinmeijiten"/>
        <s v="Juvenile fiction"/>
        <s v="Esthétique"/>
        <s v="Exhibitions"/>
        <s v="Imprints"/>
        <s v="Social life and customs"/>
        <s v="Methodology"/>
        <s v="Personnel"/>
        <s v="Biography"/>
        <s v="Criticism and interpretation"/>
        <s v="Japon"/>
        <s v="Shoshi"/>
        <s v="Court and courtiers"/>
        <s v="Méthodologie"/>
        <s v="historia"/>
        <s v="Intellectual life"/>
        <s v="Meiji period"/>
        <s v="In art"/>
        <s v="Hiroshima-shi"/>
        <s v="Bio-bibliography"/>
        <s v="Mœurs et coutumes"/>
        <s v="Dictionaries. Japanese"/>
        <s v="Tokyo"/>
        <s v="Nagasaki-shi"/>
        <s v="Catalogs"/>
        <s v="Bibliography"/>
        <s v="Japanese"/>
        <s v="History and criticism"/>
        <s v="Encyclopedias"/>
        <s v="Interviews"/>
        <s v="Zhu shi"/>
        <s v="Lexicography"/>
        <s v="Tokugawa period, 1600-1868"/>
        <s v="Edo jidai"/>
        <s v="lexikon"/>
        <s v="Bombardment, 1945"/>
        <s v="Edojidai"/>
        <s v="Art and the war"/>
        <s v="Pictorial works"/>
        <s v=" Korea "/>
        <s v=" China "/>
        <s v=" Conservation and restoration "/>
        <s v=" China"/>
        <s v=" Kaya (Confederation) "/>
        <s v=" Japan "/>
        <s v=" 20th century"/>
        <s v=" Korea (South) "/>
        <s v=" Fiction"/>
        <s v=" Korea (South)"/>
        <s v=" Korea (North) "/>
        <s v=" Political aspects"/>
        <s v=" Japan"/>
        <s v=" Korea"/>
        <s v=" Translations into English "/>
        <s v=" East Asia "/>
        <s v=" Monuments "/>
        <s v=" Russia (Federation) "/>
        <s v=" Law and legislation "/>
        <s v="Law and legislation"/>
        <s v=" Philosophy"/>
        <s v=" Conscript labor "/>
        <s v=" Textbooks for foreign speakers"/>
        <s v=" Korea (North)"/>
        <s v=" Corée "/>
        <s v=" Conservation et restauration "/>
        <s v=" Japon "/>
        <s v=" Chine "/>
        <s v=" Corée"/>
        <s v=" 1392-1894 "/>
        <s v=" To 1900 "/>
        <s v=" Foreign relations "/>
        <s v="Foreign relations"/>
        <s v=" 20th century "/>
        <s v=" Romans, nouvelles, etc"/>
        <s v=" Problems, exercises, etc"/>
        <s v="Personal narratives, Korean"/>
        <s v="Motion pictures and the war"/>
        <s v=" Economic conditions "/>
        <s v=" Mythology"/>
        <s v=" Protection "/>
        <s v=" History "/>
        <s v=" Sources"/>
        <s v=" Catalogs"/>
        <s v=" 20e siècle"/>
        <s v=" Corée du Sud"/>
        <s v="Conscript labor"/>
        <s v=" Aspect politique"/>
        <s v=" Japon"/>
        <s v=" 1894-1919 "/>
        <s v=" 21st century"/>
        <s v=" Historical geography"/>
        <s v=" Women "/>
        <s v="Officials and employees"/>
        <s v="Social aspects"/>
        <s v=" Relations extérieures"/>
        <s v=" Histoire "/>
        <s v=" Relations "/>
        <s v=" Antiquities"/>
        <s v=" Legal status, laws, etc. "/>
        <s v="Legal status, laws, etc."/>
        <s v=" Corée du Sud "/>
        <s v=" Jusqu'à 1900 "/>
        <s v=" History"/>
        <s v=" Relations extérieures "/>
        <s v=" International status"/>
        <s v="International status"/>
        <s v=" Political aspects "/>
        <s v=" Travail obligatoire "/>
        <s v=" Manuels pour allophones"/>
        <s v=" Civilization "/>
        <s v=" Atrocities "/>
        <s v="Relations"/>
        <s v="Description and travel"/>
        <s v=" Kings and rulers "/>
        <s v=" Civilization"/>
        <s v=" Antiquités "/>
        <s v=" Politics and government "/>
        <s v=" Histoire"/>
        <s v=" Russie "/>
        <s v=" Problèmes et exercices"/>
        <s v=" Antiquities "/>
        <s v=" Corée du Nord"/>
        <s v=" Catalogues "/>
        <s v="Diamond Mountains"/>
        <s v="Atrocités"/>
        <s v="Name"/>
        <s v=" Biography"/>
        <s v=" Conditions économiques "/>
        <s v=" Politics and government"/>
        <s v=" Mythologie"/>
        <s v=" Expositions"/>
        <s v=" Histoire et critique"/>
        <s v=" Fans"/>
        <s v=" Historiography"/>
        <s v=" 20e siècle "/>
        <s v=" Bohai (Kingdom)"/>
        <s v=" Koguryŏ (Kingdom)"/>
        <s v=" Atrocités "/>
        <s v="Shanghai"/>
        <s v=" Civilisation "/>
        <s v="Legal status, laws, etc"/>
        <s v=" Statut international"/>
        <s v="Statut international"/>
        <s v=" Philosophie"/>
        <s v=" 21e siècle"/>
        <s v=" Description and travel"/>
        <s v=" Study and teaching (Primary)"/>
        <s v="Territories and possessions"/>
        <s v="History, Local"/>
        <s v="Sea of Japan"/>
        <s v=" Tok Island"/>
        <s v=" Ullŭng Island"/>
        <s v=" Aspect politique "/>
        <s v=" for foreign speakers"/>
        <s v="Languages"/>
        <s v=" Politique et gouvernement "/>
        <s v="Territoires et possessions"/>
        <s v="Korean"/>
        <s v="Kyŏngsang-do"/>
        <s v="Phonology"/>
        <s v="Tok Island"/>
        <s v=" Influence"/>
        <s v="Relations extérieures"/>
        <s v=" Foreign public opinion, Japanese"/>
        <s v="Ullŭng Island"/>
        <s v=" Kaya (Confederation)"/>
        <s v=" Foreign public opinion, Korean"/>
        <s v=" Social aspects"/>
        <s v="Manchuria"/>
        <s v=" History and criticism"/>
        <s v=" Paektu Mountain"/>
        <s v=" Yanbian Chaoxianzu Zizhizhou"/>
        <s v=" Tokyo"/>
        <s v=" Pusan "/>
        <s v=" Andong-gun"/>
        <s v=" Primorskiĭ kraĭ"/>
        <s v=" Exhibitions"/>
        <s v=" Seoul"/>
        <s v=" Kangwŏn-do "/>
        <s v=" Pukch'ŏng-gun"/>
        <s v=" Pongsan-gun "/>
        <s v="19th century"/>
        <s v=" Biographies"/>
        <s v=" Seoul "/>
        <s v="19e siècle"/>
        <s v=" 1910-1945"/>
        <s v=" Japanese occupation, 1910-1945"/>
        <s v=" Juvenile fiction"/>
        <s v="Independence movement, 1919"/>
        <s v=" 1910-1945 (Occupation japonaise)"/>
        <s v=" Pictorial works"/>
        <s v=" To 935 "/>
        <s v=" Séoul"/>
        <s v=" Japanese Invasions, 1592-1598"/>
        <s v=" To 935"/>
        <s v=" To 794"/>
        <s v=" Ouvrages illustrés"/>
        <s v=" 1392-1637"/>
        <s v=" Romans, nouvelles, etc. pour la jeunesse"/>
        <s v=" Primorski Kraj"/>
        <s v=" Séoul "/>
        <s v=" To 221 B.C"/>
        <s v="To 221 BC"/>
        <s v="Asie"/>
        <s v=" Jusqu'à 935 "/>
        <s v=" Chine"/>
        <s v=" 221 B.C.-960 A.D"/>
        <s v="221 BC-960 AD"/>
        <s v="Japanese occupation, 1910-1945"/>
        <s v=" Jusqu'à 935"/>
        <s v=" Errors, inventions, etc"/>
        <s v=" 1392-1637 "/>
        <s v=" 1600-1868"/>
        <s v="Qing dynasty, 1644-1912"/>
        <s v="Early works to 1800"/>
        <s v=" Manchu Invasions, 1627-1637"/>
        <s v=" Ming dynasty, 1368-1644 "/>
        <s v="Qin dynasty, 221-207 BC"/>
        <s v=" Jusqu'à 794"/>
        <s v=" 1945-1989"/>
        <s v=" Erreurs, inventions, etc"/>
        <s v=" 16th century"/>
        <s v="Han dynasty, 202 BC-220 AD"/>
        <s v=" 1945-1989 "/>
        <s v=" 1592-1598 (Invasions japonaises)"/>
        <s v=" Jusqu'à 221 av. J.-C"/>
        <s v=" 1627-1637 (Invasions mandchoues)"/>
        <s v=" 221 av. J.-C.-960"/>
        <s v="1801-1917"/>
        <s v=" Russia"/>
        <s v=" 1368-1644 (Dynastie des Ming) "/>
        <s v=" 16e siècle"/>
        <s v=" Russie"/>
        <s v=" Designs and plans"/>
        <s v=" Historiography "/>
        <s v=" Historiographie "/>
        <s v=" Dessins et plans"/>
        <s v=" Historiographie"/>
        <s v="Political aspects"/>
        <s v="Chine"/>
        <s v="Aspect politique"/>
        <s v="Foreign economic relations"/>
        <s v="Koryŏ period, 935-1392"/>
        <s v="1864-1910"/>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5156.513786921299" createdVersion="8" refreshedVersion="8" minRefreshableVersion="3" recordCount="205" xr:uid="{77BA0597-AA30-42CB-9BF5-346C978286C6}">
  <cacheSource type="worksheet">
    <worksheetSource ref="B1:B1048576" sheet="s-Series"/>
  </cacheSource>
  <cacheFields count="1">
    <cacheField name="Source - ST (RE)" numFmtId="0">
      <sharedItems containsBlank="1" containsMixedTypes="1" containsNumber="1" containsInteger="1" minValue="0" maxValue="0" count="24">
        <s v="Chŏpkyŏng inmunhak pŏnyŏk ch'ongsŏ"/>
        <s v="Chosŏn sidae kaein ilgi kugyŏk ch'ongsŏ"/>
        <s v="Chosŏn Sidae Kaein Ilgi Kugyŏ̆k ch'ongsŏk Ch'ongsŏ"/>
        <s v="History of Japan's intrusions into Korea"/>
        <s v="History of the Provisional Governmnt of the ROK, Research Series"/>
        <s v="Ilche ch'imt'alsa charyo ch'ongsŏ"/>
        <s v="Ilche ch'imt'alsa paro algi"/>
        <s v="Kim Yu-jŏng munhaksang susang chakp'umjip"/>
        <s v="Kkum kkunŭn kŭrimch'aek"/>
        <s v="Kugoe Han'guk munhwajae"/>
        <s v="Kukhak charyo simch'ŭng yŏn'gu ch'ongsŏ"/>
        <s v="Kungnip Chungang Tosogwŏn komunhŏn yŏn'gu ch'ongsŏ"/>
        <s v="Kyujanggak charyo ch'ongsŏ"/>
        <s v="Kyujanggak charyo chʿongsŏ"/>
        <s v="n/a"/>
        <s v="Taehan Min'guk Imsi Chŏngbusa yŏn'gu ch'ongsŏ"/>
        <s v="Tongbuga Yŏksa Chaedan kihoek yŏn'gu"/>
        <s v="Tongbuga Yŏksa Chaedan kyoyang ch'ongsŏ"/>
        <s v="Tongbuga Yŏksa Chaedan pŏnyŏk ch'ongsŏ"/>
        <s v="Tongbuga Yŏksa Chaedan yŏn'gu ch'ongsŏ"/>
        <s v="Tongbuga yŏksa charyo ch'ongsŏ"/>
        <s v="박 한남 ^ 박 찬승 ^ Korea (South). 국사 편찬 위원회, issuing body"/>
        <n v="0"/>
        <m/>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5156.513787152777" createdVersion="8" refreshedVersion="8" minRefreshableVersion="3" recordCount="192" xr:uid="{5B63C4C9-2D81-4C73-8DFC-ADCC6B0FB0FB}">
  <cacheSource type="worksheet">
    <worksheetSource ref="R1:R1048576" sheet="s-Series"/>
  </cacheSource>
  <cacheFields count="1">
    <cacheField name="Source - ST (N)" numFmtId="0">
      <sharedItems containsBlank="1" containsMixedTypes="1" containsNumber="1" containsInteger="1" minValue="0" maxValue="0" count="21">
        <s v="접경 인문학 번역 총서"/>
        <s v="조선 시대 개인 일기 국역 총서"/>
        <s v="n/a"/>
        <s v="일제 침탈사 자료 총서"/>
        <s v="일제 침탈사 바로 알기"/>
        <s v="김 유정 문학상 수상 작품집"/>
        <s v="꿈 꾸는 그림책"/>
        <s v="국외 한국 문화재"/>
        <s v="국학 자료 심층 연구 총서"/>
        <s v="국립 중앙 도서관 고문헌 연구 총서"/>
        <s v="奎章閣 資料 叢書. 系譜 篇"/>
        <s v="대한 민국 임시 정부사 연구 총서"/>
        <s v="동북아 역사 재단 기획 연구화 연구 ; 3"/>
        <s v="동북아 역사 재단 기획 연구화 연구 ; 4"/>
        <s v="동북아 역사 재단 교양 총서"/>
        <s v="동북아 역사 재단 번역 총서"/>
        <s v="동북아 역사 재단 연구 총서"/>
        <s v="동북아 역사 자료 총서"/>
        <s v="Haksul hoeŭi ch'ongsŏ (Korea (South)"/>
        <n v="0"/>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0">
  <r>
    <n v="1.1000000000000001"/>
    <m/>
    <m/>
    <m/>
    <m/>
    <m/>
    <m/>
    <s v="n/a"/>
    <x v="0"/>
    <n v="1"/>
    <n v="4"/>
    <s v="n"/>
    <s v="n"/>
    <s v="n"/>
    <n v="9788961874243"/>
    <n v="8961874241"/>
    <n v="1128654631"/>
    <s v="Korean"/>
    <s v="a catalogue of Japanese military 'Japanese Military Sexual Slavery' materials 1-4"/>
    <s v="Ilbongun 'Wianbu' jaryo mongnokjip"/>
    <s v="일본군'위안부' 자료 목록집. 1-4"/>
    <s v="Dongbuga Yeoksa Jaedan ^ Ilbongun 'Wianbu' Yeongu Senteo"/>
    <s v="동북아역사재단 ^ 일본군'위안부'연구센터"/>
    <s v="n/a"/>
    <s v="n/a"/>
    <x v="0"/>
    <x v="0"/>
    <x v="0"/>
    <s v="n/a"/>
    <s v="n/a"/>
    <s v="n/a"/>
    <s v="n/a"/>
    <s v="0"/>
    <m/>
    <m/>
  </r>
  <r>
    <n v="1.1000000000000001"/>
    <m/>
    <m/>
    <m/>
    <m/>
    <m/>
    <m/>
    <s v="n/a"/>
    <x v="1"/>
    <n v="1"/>
    <n v="4"/>
    <s v="n"/>
    <s v="n"/>
    <s v="n"/>
    <n v="9788961874243"/>
    <n v="8961874241"/>
    <n v="1128654631"/>
    <s v="Korean"/>
    <s v="a catalogue of Japanese military 'Japanese Military Sexual Slavery' materials 1-4"/>
    <s v="Ilbongun 'Wianbu' jaryo mongnokjip"/>
    <s v="일본군'위안부' 자료 목록집. 1-4"/>
    <s v="Dongbuga Yeoksa Jaedan ^ Ilbongun 'Wianbu' Yeongu Senteo"/>
    <s v="동북아역사재단 ^ 일본군'위안부'연구센터"/>
    <s v="n/a"/>
    <s v="n/a"/>
    <x v="0"/>
    <x v="0"/>
    <x v="0"/>
    <s v="n/a"/>
    <s v="n/a"/>
    <s v="n/a"/>
    <s v="n/a"/>
    <s v="0"/>
    <m/>
    <m/>
  </r>
  <r>
    <n v="1.2"/>
    <m/>
    <m/>
    <m/>
    <m/>
    <m/>
    <m/>
    <s v="n/a"/>
    <x v="0"/>
    <n v="2"/>
    <n v="4"/>
    <s v="n"/>
    <s v="n"/>
    <s v="n"/>
    <n v="9788961874250"/>
    <s v="896187425X"/>
    <n v="1128654631"/>
    <s v="Korean"/>
    <s v="a catalogue of Japanese military 'Japanese Military Sexual Slavery' materials 1-4"/>
    <s v="Ilbongun 'Wianbu' jaryo mongnokjip"/>
    <s v="일본군'위안부' 자료 목록집. 1-4"/>
    <s v="Dongbuga Yeoksa Jaedan ^ Ilbongun 'Wianbu' Yeongu Senteo"/>
    <s v="동북아역사재단 ^ 일본군'위안부'연구센터"/>
    <s v="n/a"/>
    <s v="n/a"/>
    <x v="0"/>
    <x v="0"/>
    <x v="0"/>
    <s v="n/a"/>
    <s v="n/a"/>
    <s v="n/a"/>
    <s v="n/a"/>
    <s v="0"/>
    <m/>
    <m/>
  </r>
  <r>
    <n v="1.2"/>
    <m/>
    <m/>
    <m/>
    <m/>
    <m/>
    <m/>
    <s v="n/a"/>
    <x v="1"/>
    <s v="2"/>
    <n v="4"/>
    <s v="n"/>
    <s v="n"/>
    <s v="n"/>
    <n v="9788961874250"/>
    <s v="896187425X"/>
    <n v="1128654631"/>
    <s v="Korean"/>
    <s v="a catalogue of Japanese military 'Japanese Military Sexual Slavery' materials 1-4"/>
    <s v="Ilbongun 'Wianbu' jaryo mongnokjip"/>
    <s v="일본군'위안부' 자료 목록집. 1-4"/>
    <s v="Dongbuga Yeoksa Jaedan ^ Ilbongun 'Wianbu' Yeongu Senteo"/>
    <s v="동북아역사재단 ^ 일본군'위안부'연구센터"/>
    <s v="n/a"/>
    <s v="n/a"/>
    <x v="0"/>
    <x v="0"/>
    <x v="0"/>
    <s v="n/a"/>
    <s v="n/a"/>
    <s v="n/a"/>
    <s v="n/a"/>
    <s v="0"/>
    <m/>
    <m/>
  </r>
  <r>
    <n v="1.3"/>
    <m/>
    <m/>
    <m/>
    <m/>
    <m/>
    <m/>
    <s v="n/a"/>
    <x v="0"/>
    <s v="3"/>
    <n v="4"/>
    <s v="n"/>
    <s v="n"/>
    <s v="n"/>
    <n v="9788961874267"/>
    <n v="8961874268"/>
    <n v="1128654631"/>
    <s v="Korean"/>
    <s v="a catalogue of Japanese military 'Japanese Military Sexual Slavery' materials 1-4"/>
    <s v="Ilbongun 'Wianbu' jaryo mongnokjip"/>
    <s v="일본군'위안부' 자료 목록집. 1-4"/>
    <s v="Dongbuga Yeoksa Jaedan ^ Ilbongun 'Wianbu' Yeongu Senteo"/>
    <s v="동북아역사재단 ^ 일본군'위안부'연구센터"/>
    <s v="n/a"/>
    <s v="n/a"/>
    <x v="0"/>
    <x v="0"/>
    <x v="0"/>
    <s v="n/a"/>
    <s v="n/a"/>
    <s v="n/a"/>
    <s v="n/a"/>
    <s v="0"/>
    <m/>
    <m/>
  </r>
  <r>
    <n v="1.3"/>
    <m/>
    <m/>
    <m/>
    <m/>
    <m/>
    <m/>
    <s v="n/a"/>
    <x v="1"/>
    <s v="3"/>
    <n v="4"/>
    <s v="n"/>
    <s v="n"/>
    <s v="n"/>
    <n v="9788961874267"/>
    <n v="8961874268"/>
    <n v="1128654631"/>
    <s v="Korean"/>
    <s v="a catalogue of Japanese military 'Japanese Military Sexual Slavery' materials 1-4"/>
    <s v="Ilbongun 'Wianbu' jaryo mongnokjip"/>
    <s v="일본군'위안부' 자료 목록집. 1-4"/>
    <s v="Dongbuga Yeoksa Jaedan ^ Ilbongun 'Wianbu' Yeongu Senteo"/>
    <s v="동북아역사재단 ^ 일본군'위안부'연구센터"/>
    <s v="n/a"/>
    <s v="n/a"/>
    <x v="0"/>
    <x v="0"/>
    <x v="0"/>
    <s v="n/a"/>
    <s v="n/a"/>
    <s v="n/a"/>
    <s v="n/a"/>
    <s v="0"/>
    <m/>
    <m/>
  </r>
  <r>
    <n v="1.4"/>
    <m/>
    <m/>
    <m/>
    <m/>
    <m/>
    <m/>
    <s v="n/a"/>
    <x v="0"/>
    <n v="4"/>
    <n v="4"/>
    <s v="n"/>
    <s v="n"/>
    <s v="n"/>
    <n v="9788961874274"/>
    <n v="8961874276"/>
    <n v="1128654631"/>
    <s v="Korean"/>
    <s v="a catalogue of Japanese military 'Japanese Military Sexual Slavery' materials 1-4"/>
    <s v="Ilbongun 'Wianbu' jaryo mongnokjip"/>
    <s v="일본군'위안부' 자료 목록집. 1-4"/>
    <s v="Dongbuga Yeoksa Jaedan ^ Ilbongun 'Wianbu' Yeongu Senteo"/>
    <s v="동북아역사재단 ^ 일본군'위안부'연구센터"/>
    <s v="n/a"/>
    <s v="n/a"/>
    <x v="0"/>
    <x v="0"/>
    <x v="0"/>
    <s v="n/a"/>
    <s v="n/a"/>
    <s v="n/a"/>
    <s v="n/a"/>
    <s v="0"/>
    <m/>
    <m/>
  </r>
  <r>
    <n v="1.4"/>
    <m/>
    <m/>
    <m/>
    <m/>
    <m/>
    <m/>
    <s v="n/a"/>
    <x v="1"/>
    <n v="4"/>
    <n v="4"/>
    <s v="n"/>
    <s v="n"/>
    <s v="n"/>
    <n v="9788961874274"/>
    <n v="8961874276"/>
    <n v="1128654631"/>
    <s v="Korean"/>
    <s v="a catalogue of Japanese military 'Japanese Military Sexual Slavery' materials 1-4"/>
    <s v="Ilbongun 'Wianbu' jaryo mongnokjip"/>
    <s v="일본군'위안부' 자료 목록집. 1-4"/>
    <s v="Dongbuga Yeoksa Jaedan ^ Ilbongun 'Wianbu' Yeongu Senteo"/>
    <s v="동북아역사재단 ^ 일본군'위안부'연구센터"/>
    <s v="n/a"/>
    <s v="n/a"/>
    <x v="0"/>
    <x v="0"/>
    <x v="0"/>
    <s v="n/a"/>
    <s v="n/a"/>
    <s v="n/a"/>
    <s v="n/a"/>
    <s v="0"/>
    <m/>
    <m/>
  </r>
  <r>
    <n v="2.0699999999999998"/>
    <m/>
    <m/>
    <m/>
    <m/>
    <m/>
    <s v="confusing volume information"/>
    <s v="n/a"/>
    <x v="1"/>
    <s v="77"/>
    <s v="5"/>
    <s v="n"/>
    <s v="n"/>
    <s v="n"/>
    <n v="9788961875127"/>
    <s v="8961875124"/>
    <n v="1091629135"/>
    <s v="Korean"/>
    <s v="n/a"/>
    <s v="Han'guk ŭi taeoe kwan'gye wa oegyosa"/>
    <s v="한국 의 대외 관계 와 외교사"/>
    <s v="Tongbuga Yŏksa Chaedan (Korea).; Han'guk Oegyosa P'yŏnch'an Wiwŏnhoe"/>
    <s v="동북아 역사 재단 (Korea). 한국 외교사 편찬 위원회"/>
    <s v="Tongbuga Yŏksa Chaedan yŏn'gu ch'ongsŏ ; 77"/>
    <s v="동북아 역사 재단 연구 총서 ; 77"/>
    <x v="1"/>
    <x v="1"/>
    <x v="1"/>
    <s v="n/a"/>
    <s v="Ch'op'an"/>
    <s v="초판"/>
    <s v="Diplomatic relations ^ History ^ Korea -- Foreign relations -- History ^ Korea -- Foreign relations ^ Korea"/>
    <s v="0"/>
    <m/>
    <m/>
  </r>
  <r>
    <n v="2.0699999999999998"/>
    <m/>
    <m/>
    <m/>
    <m/>
    <m/>
    <s v="confusing volume information"/>
    <s v="n/a"/>
    <x v="1"/>
    <s v="7"/>
    <s v="7"/>
    <s v="n"/>
    <s v="n"/>
    <s v="n"/>
    <n v="9788961875127"/>
    <s v="8961875124"/>
    <n v="1091629135"/>
    <s v="Korean"/>
    <s v="Korea's Foreign Relations and Diplomatic History - ChatGPT translation"/>
    <s v="Han'guk ŭi taeoe kwan'gye wa oegyosa"/>
    <s v="한국 의 대외 관계 와 외교사"/>
    <s v="Tongbuga Yŏksa Chaedan (Korea).; Han'guk Oegyosa P'yŏnch'an Wiwŏnhoe"/>
    <s v="동북아 역사 재단 (Korea). 한국 외교사 편찬 위원회"/>
    <s v="Tongbuga Yŏksa Chaedan yŏn'gu ch'ongsŏ ; 77"/>
    <s v="동북아 역사 재단 연구 총서 ; 77"/>
    <x v="1"/>
    <x v="1"/>
    <x v="1"/>
    <s v="n/a"/>
    <s v="Ch'op'an"/>
    <s v="초판"/>
    <s v="Diplomatic relations ^ History ^ Korea -- Foreign relations -- History ^ Korea -- Foreign relations ^ Korea"/>
    <s v="0"/>
    <m/>
    <m/>
  </r>
  <r>
    <n v="2.0699999999999998"/>
    <m/>
    <m/>
    <m/>
    <m/>
    <m/>
    <m/>
    <s v="https://www.amazon.com/dp/8961874136"/>
    <x v="1"/>
    <s v="77"/>
    <s v="5"/>
    <s v="n"/>
    <s v="n"/>
    <s v="n"/>
    <n v="9788961874137"/>
    <s v="8961874136"/>
    <n v="1091629135"/>
    <s v="Korean"/>
    <s v="n/a"/>
    <s v="Han'guk ŭi taeoe kwan'gye wa oegyosa"/>
    <s v="한국 의 대외 관계 와 외교사"/>
    <s v="Tongbuga Yŏksa Chaedan (Korea).; Han'guk Oegyosa P'yŏnch'an Wiwŏnhoe"/>
    <s v="동북아 역사 재단 (Korea). 한국 외교사 편찬 위원회"/>
    <s v="Tongbuga Yŏksa Chaedan yŏn'gu ch'ongsŏ ; 77"/>
    <s v="동북아 역사 재단 연구 총서 ; 77"/>
    <x v="1"/>
    <x v="1"/>
    <x v="1"/>
    <s v="n/a"/>
    <s v="Ch'op'an"/>
    <s v="초판"/>
    <s v="Diplomatic relations ^ History ^ Korea -- Foreign relations -- History ^ Korea -- Foreign relations ^ Korea"/>
    <s v="0"/>
    <m/>
    <m/>
  </r>
  <r>
    <n v="2.1"/>
    <m/>
    <m/>
    <m/>
    <m/>
    <m/>
    <m/>
    <s v="n/a"/>
    <x v="0"/>
    <n v="1"/>
    <n v="7"/>
    <s v="n"/>
    <s v="n"/>
    <s v="n"/>
    <n v="9788961874090"/>
    <n v="8961874098"/>
    <n v="1091629135"/>
    <s v="Korean"/>
    <s v="Foreign relations and diplomatic history of Korea"/>
    <s v="Han'guk ŭi taeoe kwan'gye wa oegyosa"/>
    <s v="한국 의 대외 관계 와 외교사"/>
    <s v="Tongbuga Yŏksa Chaedan (Korea) ^ Han'guk Oegyosa P'yŏnch'an Wiwŏnhoe,"/>
    <s v="동북아 역사 재단 (Korea) ^ 한국 외교사 편찬 위원회, editor"/>
    <s v="Tongbuga Yŏksa Chaedan yŏn'gu ch'ongsŏ ; 77"/>
    <s v="동북아 역사 재단 연구 총서 ; 77"/>
    <x v="1"/>
    <x v="1"/>
    <x v="1"/>
    <s v="n/a"/>
    <s v="n/a"/>
    <s v="n/a"/>
    <s v="Diplomatic relations ^ History ^ Korea  --  Foreign relations  --  History ^ Corée  --  Relations extérieures"/>
    <s v="0"/>
    <m/>
    <m/>
  </r>
  <r>
    <n v="2.2000000000000002"/>
    <m/>
    <m/>
    <m/>
    <m/>
    <m/>
    <m/>
    <s v="n/a"/>
    <x v="0"/>
    <n v="2"/>
    <n v="7"/>
    <s v="n"/>
    <s v="n"/>
    <s v="n"/>
    <n v="9788961874106"/>
    <n v="8961874101"/>
    <n v="1091629135"/>
    <s v="Korean"/>
    <s v="Foreign relations and diplomatic history of Korea"/>
    <s v="Han'guk ŭi taeoe kwan'gye wa oegyosa"/>
    <s v="한국 의 대외 관계 와 외교사"/>
    <s v="Tongbuga Yŏksa Chaedan (Korea) ^ Han'guk Oegyosa P'yŏnch'an Wiwŏnhoe,"/>
    <s v="동북아 역사 재단 (Korea) ^ 한국 외교사 편찬 위원회, editor"/>
    <s v="Tongbuga Yŏksa Chaedan yŏn'gu ch'ongsŏ ; 77"/>
    <s v="동북아 역사 재단 연구 총서 ; 77"/>
    <x v="1"/>
    <x v="1"/>
    <x v="1"/>
    <s v="n/a"/>
    <s v="n/a"/>
    <s v="n/a"/>
    <s v="Diplomatic relations ^ History ^ Korea  --  Foreign relations  --  History ^ Corée  --  Relations extérieures"/>
    <s v="0"/>
    <m/>
    <m/>
  </r>
  <r>
    <n v="2.2999999999999998"/>
    <m/>
    <m/>
    <m/>
    <m/>
    <m/>
    <m/>
    <s v="n/a"/>
    <x v="0"/>
    <n v="3"/>
    <n v="7"/>
    <s v="n"/>
    <s v="n"/>
    <s v="n"/>
    <n v="9788961874113"/>
    <s v="896187411X"/>
    <n v="1091629135"/>
    <s v="Korean"/>
    <s v="Foreign relations and diplomatic history of Korea"/>
    <s v="Han'guk ŭi taeoe kwan'gye wa oegyosa"/>
    <s v="한국 의 대외 관계 와 외교사"/>
    <s v="Tongbuga Yŏksa Chaedan (Korea) ^ Han'guk Oegyosa P'yŏnch'an Wiwŏnhoe,"/>
    <s v="동북아 역사 재단 (Korea) ^ 한국 외교사 편찬 위원회, editor"/>
    <s v="Tongbuga Yŏksa Chaedan yŏn'gu ch'ongsŏ ; 77"/>
    <s v="동북아 역사 재단 연구 총서 ; 77"/>
    <x v="1"/>
    <x v="1"/>
    <x v="1"/>
    <s v="n/a"/>
    <s v="n/a"/>
    <s v="n/a"/>
    <s v="Diplomatic relations ^ History ^ Korea  --  Foreign relations  --  History ^ Corée  --  Relations extérieures"/>
    <s v="0"/>
    <m/>
    <m/>
  </r>
  <r>
    <n v="2.4"/>
    <m/>
    <m/>
    <m/>
    <m/>
    <m/>
    <m/>
    <s v="n/a"/>
    <x v="0"/>
    <n v="4"/>
    <n v="7"/>
    <s v="n"/>
    <s v="n"/>
    <s v="n"/>
    <n v="9788961874120"/>
    <n v="8961874128"/>
    <n v="1091629135"/>
    <s v="Korean"/>
    <s v="Foreign relations and diplomatic history of Korea"/>
    <s v="Han'guk ŭi taeoe kwan'gye wa oegyosa"/>
    <s v="한국 의 대외 관계 와 외교사"/>
    <s v="Tongbuga Yŏksa Chaedan (Korea) ^ Han'guk Oegyosa P'yŏnch'an Wiwŏnhoe,"/>
    <s v="동북아 역사 재단 (Korea) ^ 한국 외교사 편찬 위원회, editor"/>
    <s v="Tongbuga Yŏksa Chaedan yŏn'gu ch'ongsŏ ; 77"/>
    <s v="동북아 역사 재단 연구 총서 ; 77"/>
    <x v="1"/>
    <x v="1"/>
    <x v="1"/>
    <s v="n/a"/>
    <s v="n/a"/>
    <s v="n/a"/>
    <s v="Diplomatic relations ^ History ^ Korea  --  Foreign relations  --  History ^ Corée  --  Relations extérieures"/>
    <s v="0"/>
    <m/>
    <m/>
  </r>
  <r>
    <n v="2.4"/>
    <m/>
    <m/>
    <m/>
    <m/>
    <m/>
    <m/>
    <s v="n/a"/>
    <x v="1"/>
    <s v="4 / 77"/>
    <n v="7"/>
    <s v="n"/>
    <s v="n"/>
    <s v="n"/>
    <n v="9788961874120"/>
    <n v="8961874128"/>
    <n v="1091629135"/>
    <s v="Korean"/>
    <s v="Foreign relations and diplomatic history of Korea"/>
    <s v="Han'guk ŭi taeoe kwan'gye wa oegyosa"/>
    <s v="한국 의 대외 관계 와 외교사"/>
    <s v="Tongbuga Yŏksa Chaedan (Korea) ^ Han'guk Oegyosa P'yŏnch'an Wiwŏnhoe,"/>
    <s v="동북아 역사 재단 (Korea) ^ 한국 외교사 편찬 위원회, editor"/>
    <s v="Tongbuga Yŏksa Chaedan yŏn'gu ch'ongsŏ ; 77"/>
    <s v="동북아 역사 재단 연구 총서 ; 77"/>
    <x v="1"/>
    <x v="1"/>
    <x v="1"/>
    <s v="n/a"/>
    <s v="n/a"/>
    <s v="n/a"/>
    <s v="Diplomatic relations ^ History ^ Korea  --  Foreign relations  --  History ^ Corée  --  Relations extérieures"/>
    <s v="0"/>
    <m/>
    <m/>
  </r>
  <r>
    <n v="2.5"/>
    <m/>
    <m/>
    <m/>
    <m/>
    <m/>
    <m/>
    <s v="n/a"/>
    <x v="0"/>
    <n v="5"/>
    <n v="7"/>
    <s v="n"/>
    <s v="n"/>
    <s v="n"/>
    <n v="9788961874137"/>
    <n v="8961874136"/>
    <n v="1091629135"/>
    <s v="Korean"/>
    <s v="Foreign relations and diplomatic history of Korea"/>
    <s v="Han'guk ŭi taeoe kwan'gye wa oegyosa"/>
    <s v="한국 의 대외 관계 와 외교사"/>
    <s v="Tongbuga Yŏksa Chaedan (Korea) ^ Han'guk Oegyosa P'yŏnch'an Wiwŏnhoe,"/>
    <s v="동북아 역사 재단 (Korea) ^ 한국 외교사 편찬 위원회, editor"/>
    <s v="Tongbuga Yŏksa Chaedan yŏn'gu ch'ongsŏ ; 77"/>
    <s v="동북아 역사 재단 연구 총서 ; 77"/>
    <x v="1"/>
    <x v="1"/>
    <x v="1"/>
    <s v="n/a"/>
    <s v="n/a"/>
    <s v="n/a"/>
    <s v="Diplomatic relations ^ History ^ Korea  --  Foreign relations  --  History ^ Corée  --  Relations extérieures"/>
    <s v="0"/>
    <m/>
    <m/>
  </r>
  <r>
    <n v="2.6"/>
    <m/>
    <m/>
    <m/>
    <m/>
    <m/>
    <m/>
    <s v="n/a"/>
    <x v="0"/>
    <n v="6"/>
    <n v="7"/>
    <s v="n"/>
    <s v="n"/>
    <s v="n"/>
    <n v="9788961875110"/>
    <n v="8961875108"/>
    <n v="1091629135"/>
    <s v="Korean"/>
    <s v="Foreign relations and diplomatic history of Korea"/>
    <s v="Han'guk ŭi taeoe kwan'gye wa oegyosa"/>
    <s v="한국 의 대외 관계 와 외교사"/>
    <s v="Tongbuga Yŏksa Chaedan (Korea) ^ Han'guk Oegyosa P'yŏnch'an Wiwŏnhoe,"/>
    <s v="동북아 역사 재단 (Korea) ^ 한국 외교사 편찬 위원회, editor"/>
    <s v="Tongbuga Yŏksa Chaedan yŏn'gu ch'ongsŏ ; 77"/>
    <s v="동북아 역사 재단 연구 총서 ; 77"/>
    <x v="1"/>
    <x v="1"/>
    <x v="1"/>
    <s v="n/a"/>
    <s v="n/a"/>
    <s v="n/a"/>
    <s v="Diplomatic relations ^ History ^ Korea  --  Foreign relations  --  History ^ Corée  --  Relations extérieures"/>
    <s v="0"/>
    <m/>
    <m/>
  </r>
  <r>
    <n v="2.6"/>
    <m/>
    <m/>
    <m/>
    <m/>
    <m/>
    <m/>
    <s v="n/a"/>
    <x v="1"/>
    <n v="6"/>
    <n v="7"/>
    <s v="n"/>
    <s v="n"/>
    <s v="n"/>
    <n v="9788961875110"/>
    <n v="8961875108"/>
    <n v="1091629135"/>
    <s v="Korean"/>
    <s v="Foreign relations and diplomatic history of Korea"/>
    <s v="Han'guk ŭi taeoe kwan'gye wa oegyosa"/>
    <s v="한국 의 대외 관계 와 외교사"/>
    <s v="Tongbuga Yŏksa Chaedan (Korea) ^ Han'guk Oegyosa P'yŏnch'an Wiwŏnhoe,"/>
    <s v="동북아 역사 재단 (Korea) ^ 한국 외교사 편찬 위원회, editor"/>
    <s v="Tongbuga Yŏksa Chaedan yŏn'gu ch'ongsŏ ; 77"/>
    <s v="동북아 역사 재단 연구 총서 ; 77"/>
    <x v="1"/>
    <x v="1"/>
    <x v="1"/>
    <s v="n/a"/>
    <s v="n/a"/>
    <s v="n/a"/>
    <s v="Diplomatic relations ^ History ^ Korea  --  Foreign relations  --  History ^ Corée  --  Relations extérieures"/>
    <s v="0"/>
    <m/>
    <m/>
  </r>
  <r>
    <n v="2.7"/>
    <m/>
    <m/>
    <m/>
    <m/>
    <m/>
    <m/>
    <s v="n/a"/>
    <x v="0"/>
    <n v="7"/>
    <n v="7"/>
    <s v="n"/>
    <s v="n"/>
    <s v="n"/>
    <n v="9788961875127"/>
    <n v="8961875124"/>
    <n v="1091629135"/>
    <s v="Korean"/>
    <s v="Foreign relations and diplomatic history of Korea"/>
    <s v="Han'guk ŭi taeoe kwan'gye wa oegyosa"/>
    <s v="한국 의 대외 관계 와 외교사"/>
    <s v="Tongbuga Yŏksa Chaedan (Korea) ^ Han'guk Oegyosa P'yŏnch'an Wiwŏnhoe,"/>
    <s v="동북아 역사 재단 (Korea) ^ 한국 외교사 편찬 위원회, editor"/>
    <s v="Tongbuga Yŏksa Chaedan yŏn'gu ch'ongsŏ ; 77"/>
    <s v="동북아 역사 재단 연구 총서 ; 77"/>
    <x v="1"/>
    <x v="1"/>
    <x v="1"/>
    <s v="n/a"/>
    <s v="n/a"/>
    <s v="n/a"/>
    <s v="Diplomatic relations ^ History ^ Korea  --  Foreign relations  --  History ^ Corée  --  Relations extérieures"/>
    <s v="0"/>
    <m/>
    <m/>
  </r>
  <r>
    <n v="2.7"/>
    <m/>
    <m/>
    <m/>
    <m/>
    <m/>
    <m/>
    <s v="n/a"/>
    <x v="1"/>
    <s v="7 / 77"/>
    <n v="7"/>
    <s v="n"/>
    <s v="n"/>
    <s v="n"/>
    <n v="9788961875127"/>
    <n v="8961875124"/>
    <n v="1091629135"/>
    <s v="Korean"/>
    <s v="Foreign relations and diplomatic history of Korea"/>
    <s v="Han'guk ŭi taeoe kwan'gye wa oegyosa"/>
    <s v="한국 의 대외 관계 와 외교사"/>
    <s v="Tongbuga Yŏksa Chaedan (Korea) ^ Han'guk Oegyosa P'yŏnch'an Wiwŏnhoe,"/>
    <s v="동북아 역사 재단 (Korea) ^ 한국 외교사 편찬 위원회, editor"/>
    <s v="Tongbuga Yŏksa Chaedan yŏn'gu ch'ongsŏ ; 77"/>
    <s v="동북아 역사 재단 연구 총서 ; 77"/>
    <x v="1"/>
    <x v="1"/>
    <x v="1"/>
    <s v="n/a"/>
    <s v="n/a"/>
    <s v="n/a"/>
    <s v="Diplomatic relations ^ History ^ Korea  --  Foreign relations  --  History ^ Corée  --  Relations extérieures"/>
    <s v="0"/>
    <m/>
    <m/>
  </r>
  <r>
    <n v="3.07"/>
    <m/>
    <m/>
    <m/>
    <m/>
    <m/>
    <m/>
    <s v="n/a"/>
    <x v="2"/>
    <s v="7"/>
    <m/>
    <s v="n"/>
    <s v="n"/>
    <s v="n"/>
    <n v="9788961874922"/>
    <n v="8961874926"/>
    <n v="1153936634"/>
    <s v="Korean"/>
    <s v="descendants of heaven, kings and princes of Goguryeo"/>
    <s v="Hanŭl ŭi chason, Koguryŏ ŭi wang kwa wangjadŭl"/>
    <s v="하늘 의 자손, 고구려 의 왕 과 왕자들"/>
    <s v="Kim, Hyŏn-suk"/>
    <s v="김 ^ 현숙"/>
    <s v="Tongbuga yŏksa chaedan kyoyang ch'ongsŏ ; 7"/>
    <s v="동북아 역사 재단 교양 총서 ; 7"/>
    <x v="1"/>
    <x v="1"/>
    <x v="2"/>
    <s v="n/a"/>
    <s v="n/a"/>
    <s v="n/a"/>
    <s v="Princes  --  Korea  --  Biography ^ Princes  --  Corée  --  Biographies ^ Kings and rulers ^ History ^ Korea  --  Kings and rulers  --  Biography ^ Koguryŏ (Kingdom)  --  Biography ^ Asia  --  Koguryŏ (Kingdom)"/>
    <s v="0"/>
    <m/>
    <m/>
  </r>
  <r>
    <n v="3.14"/>
    <m/>
    <m/>
    <m/>
    <m/>
    <m/>
    <m/>
    <s v="n/a"/>
    <x v="0"/>
    <n v="14"/>
    <m/>
    <s v="n"/>
    <s v="n"/>
    <s v="n"/>
    <n v="9788961874809"/>
    <n v="8961874802"/>
    <n v="1128894081"/>
    <s v="Korean"/>
    <s v="Decommissioning Modernism for Peace: Re-questioning Colonial 'Economic Growth' on the 100th Anniversary of the March 1st Movement"/>
    <s v="P'yŏnghwa rŭl hyanghan kŭndaejuŭi haech'e: 3.1 Undong 100-chunyŏn e singminji 'kyŏngje sŏngjang' ŭl tasi mutta"/>
    <s v="평화 를 향한 근대주의 해체: 3・1 운동 100주년 에 식민지 '경제 성장' 을 다시 묻다"/>
    <s v="Chŏng"/>
    <s v="정 ^ 태헌"/>
    <s v="Tongbuga Yŏksa Chaedan kyoyang ch'ongsŏ ; 14"/>
    <s v="동북아 역사 재단 교양 총서 ; 14"/>
    <x v="1"/>
    <x v="1"/>
    <x v="2"/>
    <s v="n/a"/>
    <s v="n/a"/>
    <s v="n/a"/>
    <s v="Economic history ^ 1900-1999 ^ Korea  --  Economic conditions  --  1910-1945 ^ Korea  --  History  --  Japanese occupation, 1910-1945 ^ Korea  --  History  --  20th century ^ Corée  --  Conditions économiques  --  1910-1945 ^ Corée  --  Histoire  --  1910-1945 (Occupation japonaise)"/>
    <s v="0"/>
    <m/>
    <m/>
  </r>
  <r>
    <n v="3.14"/>
    <m/>
    <m/>
    <m/>
    <m/>
    <m/>
    <m/>
    <s v="n/a"/>
    <x v="1"/>
    <s v="14"/>
    <m/>
    <s v="n"/>
    <s v="n"/>
    <s v="n"/>
    <n v="9788961874809"/>
    <n v="8961874802"/>
    <n v="1128894081"/>
    <s v="Korean"/>
    <s v="Decommissioning Modernism for Peace: Re-questioning Colonial 'Economic Growth' on the 100th Anniversary of the March 1st Movement"/>
    <s v="P'yŏnghwa rŭl hyanghan kŭndaejuŭi haech'e: 3.1 Undong 100-chunyŏn e singminji 'kyŏngje sŏngjang' ŭl tasi mutta"/>
    <s v="평화 를 향한 근대주의 해체: 3・1 운동 100주년 에 식민지 '경제 성장' 을 다시 묻다"/>
    <s v="Chŏng"/>
    <s v="정 ^ 태헌"/>
    <s v="Tongbuga Yŏksa Chaedan kyoyang ch'ongsŏ ; 14"/>
    <s v="동북아 역사 재단 교양 총서 ; 14"/>
    <x v="1"/>
    <x v="1"/>
    <x v="2"/>
    <s v="n/a"/>
    <s v="n/a"/>
    <s v="n/a"/>
    <s v="Economic history ^ 1900-1999 ^ Korea  --  Economic conditions  --  1910-1945 ^ Korea  --  History  --  Japanese occupation, 1910-1945 ^ Korea  --  History  --  20th century ^ Corée  --  Conditions économiques  --  1910-1945 ^ Corée  --  Histoire  --  1910-1945 (Occupation japonaise)"/>
    <s v="0"/>
    <m/>
    <m/>
  </r>
  <r>
    <n v="3.15"/>
    <m/>
    <m/>
    <m/>
    <m/>
    <m/>
    <m/>
    <s v="n/a"/>
    <x v="2"/>
    <n v="15"/>
    <m/>
    <s v="n"/>
    <s v="n"/>
    <s v="n"/>
    <n v="9788961874915"/>
    <n v="8961874918"/>
    <n v="1152158814"/>
    <s v="Korean"/>
    <s v="Relations between Korea and Japan in ancient times and 'Japanese scribes': the illusion and reality of 'Japanese scribes'"/>
    <s v="Kodae Han-Il kwan'gye wa 'Ilbon sŏgi': 'Ilbon sŏgi' ŭi hŏsang kwa silsang"/>
    <s v="고대 한일 관계 와 '일본 서기': '일본 서기' 의 허상 과 실상"/>
    <s v="Yi"/>
    <s v="이 ^ 재석"/>
    <s v="Tongbuga Yŏksa Chaedan kyoyang ch'ongsŏ ; 15"/>
    <s v="동북아 역사 재단 교양 총서 ; 15"/>
    <x v="1"/>
    <x v="1"/>
    <x v="2"/>
    <s v="n/a"/>
    <s v="n/a"/>
    <s v="n/a"/>
    <s v="Diplomatic relations ^ To 935 ^ Japan  --  Foreign relations  --  Korea ^ Korea  --  Foreign relations  --  Japan ^ Japan  --  Foreign relations  --  To 794 ^ Korea  --  Foreign relations  --  To 935 ^ Japon  --  Relations extérieures  --  Corée ^ Corée  --  Relations extérieures  --  Japon ^ Japon  --  Relations extérieures  --  Jusqu'à 794 ^ Corée  --  Relations extérieures  --  Jusqu'à 935 ^ Nihon shoki"/>
    <s v="0"/>
    <m/>
    <m/>
  </r>
  <r>
    <n v="3.17"/>
    <m/>
    <m/>
    <m/>
    <m/>
    <m/>
    <m/>
    <s v="n/a"/>
    <x v="1"/>
    <s v="17"/>
    <m/>
    <s v="n"/>
    <s v="n"/>
    <s v="n"/>
    <n v="9788961875059"/>
    <n v="8961875051"/>
    <n v="1152529002"/>
    <s v="Korean"/>
    <s v="History and Site of Korea-China Anti-Japanese Solidarity in China"/>
    <s v="Chungguk nae Han-Chung hangil yŏndae ŭi yŏksa wa hyŏnjang"/>
    <s v="중국 내 한중 항일 연대 의 역사 와 현장"/>
    <s v="Kim, Chŏng-hyŏn (Researcher in history)"/>
    <s v="김 ^ 정현 ^ (Researcher ^ in ^ history), "/>
    <s v="Tongbuga Yŏksa Chaedan kyoyang ch'ongsŏ ; 17"/>
    <s v="동북아 역사 재단 교양 총서 ; 17"/>
    <x v="1"/>
    <x v="1"/>
    <x v="2"/>
    <s v="n/a"/>
    <s v="n/a"/>
    <s v="n/a"/>
    <s v="Koreans  --  China  --  Politics and government ^ Korean resistance movements, 1905-1945 ^ Sino-Japanese War, 1937-1945 ^ Guerre sino-japonaise, 1937-1945 ^ Diplomatic relations ^ Koreans  --  Politics and government ^ Korean resistance movements (1905-1945) ^ Korea  --  Foreign relations  --  China ^ China  --  Foreign relations  --  Korea ^ Corée  --  Relations extérieures  --  Chine ^ Chine  --  Relations extérieures  --  Corée"/>
    <s v="0"/>
    <m/>
    <m/>
  </r>
  <r>
    <n v="3.17"/>
    <m/>
    <m/>
    <m/>
    <m/>
    <m/>
    <m/>
    <s v="n/a"/>
    <x v="2"/>
    <n v="17"/>
    <m/>
    <s v="n"/>
    <s v="n"/>
    <s v="n"/>
    <n v="9788961875059"/>
    <n v="8961875051"/>
    <n v="1152529002"/>
    <s v="Korean"/>
    <s v="History and Site of Korea-China Anti-Japanese Solidarity in China"/>
    <s v="Chungguk nae Han-Chung hangil yŏndae ŭi yŏksa wa hyŏnjang"/>
    <s v="중국 내 한중 항일 연대 의 역사 와 현장"/>
    <s v="Kim, Chŏng-hyŏn (Researcher in history)"/>
    <s v="김 ^ 정현 ^ (Researcher ^ in ^ history), "/>
    <s v="Tongbuga Yŏksa Chaedan kyoyang ch'ongsŏ ; 17"/>
    <s v="동북아 역사 재단 교양 총서 ; 17"/>
    <x v="1"/>
    <x v="1"/>
    <x v="2"/>
    <s v="n/a"/>
    <s v="n/a"/>
    <s v="n/a"/>
    <s v="Koreans  --  China  --  Politics and government ^ Korean resistance movements, 1905-1945 ^ Sino-Japanese War, 1937-1945 ^ Guerre sino-japonaise, 1937-1945 ^ Diplomatic relations ^ Koreans  --  Politics and government ^ Korean resistance movements (1905-1945) ^ Korea  --  Foreign relations  --  China ^ China  --  Foreign relations  --  Korea ^ Corée  --  Relations extérieures  --  Chine ^ Chine  --  Relations extérieures  --  Corée"/>
    <s v="0"/>
    <m/>
    <m/>
  </r>
  <r>
    <n v="3.18"/>
    <m/>
    <m/>
    <m/>
    <m/>
    <m/>
    <m/>
    <s v="n/a"/>
    <x v="2"/>
    <n v="18"/>
    <m/>
    <s v="n"/>
    <s v="n"/>
    <s v="n"/>
    <n v="9788961875202"/>
    <n v="8961875205"/>
    <n v="1202270655"/>
    <s v="Korean"/>
    <s v="The Goddess and Its Image: On archetypes and Metamorphoses"/>
    <s v="Yŏsin kwa kŭ imiji: wŏnhyŏng kwa pyŏnhyŏng e taehayŏ"/>
    <s v="여신 과 그 이미지: 원형 과 변형 에 대하여"/>
    <s v="Chang1961-"/>
    <s v="張 ^ 錫浩"/>
    <s v="Tongbuga Yŏksa Chaedan yŏn'gu ch'ongsŏ ; 18"/>
    <s v="동북아 역사 재단 교양 총서 ; 18"/>
    <x v="1"/>
    <x v="1"/>
    <x v="3"/>
    <s v="n/a"/>
    <s v="n/a"/>
    <s v="n/a"/>
    <s v="Goddesses ^ Goddesses in art ^ Goddesses  --  Mythology ^ Déesses ^ Déesses dans l'art ^ Déesses  --  Mythologie"/>
    <s v="0"/>
    <m/>
    <m/>
  </r>
  <r>
    <n v="4.0999999999999996"/>
    <m/>
    <m/>
    <m/>
    <m/>
    <m/>
    <m/>
    <s v="n/a"/>
    <x v="3"/>
    <n v="1"/>
    <n v="5"/>
    <s v="n"/>
    <s v="n"/>
    <s v="n"/>
    <n v="9791187507406"/>
    <s v="n/a"/>
    <n v="1252731987"/>
    <s v="Korean"/>
    <s v="Report on the 2018 Gyujanggak Cultural Heritage Preservation and Repair Project. Conservation"/>
    <s v="2018 Kyujanggak munhwajae pojon suri saŏp pogosŏ: 1, Suri pogwon̆, pojon ch'ŏri = Conservation"/>
    <s v="2018 규장각 문화재 보존 수리 사업 보고서. 1, 修理 復原, 保存 處理 = Conservation"/>
    <s v="Kyujanggak Han'gukhak Yŏn'guwŏn,"/>
    <s v="규장각 한국학 연구원, organizer"/>
    <s v="n/a"/>
    <s v="n/a"/>
    <x v="2"/>
    <x v="1"/>
    <x v="0"/>
    <s v="n/a"/>
    <s v="n/a"/>
    <s v="n/a"/>
    <s v="Archival materials  --  Conservation and restoration  --  Korea (South) ^ Manuscripts  --  Conservation and restoration  --  Korea (South) ^ Cultural property  --  Protection  --  Korea (South) ^ Historic preservation  --  Korea (South) ^ Documents d'archives  --  Conservation et restauration  --  Corée du Sud ^ Manuscrits  --  Conservation et restauration  --  Corée du Sud ^ Préservation historique  --  Corée du Sud ^ Kyujanggak (Korea)"/>
    <s v="0"/>
    <m/>
    <m/>
  </r>
  <r>
    <n v="4.2"/>
    <m/>
    <m/>
    <m/>
    <m/>
    <m/>
    <m/>
    <s v="n/a"/>
    <x v="3"/>
    <n v="2"/>
    <n v="5"/>
    <s v="n"/>
    <s v="n"/>
    <s v="n"/>
    <n v="9791187507413"/>
    <s v="n/a"/>
    <n v="1252731987"/>
    <s v="Korean"/>
    <s v="Report on the 2018 Gyujanggak Cultural Heritage Preservation and Repair Project. Replica of Books"/>
    <s v="2018 Kyujanggak munhwajae pojon suri saŏp pogosŏ: 2, Taech'ebon = Replica of books"/>
    <s v="2018 규장각 문화재 보존 수리 사업 보고서. 2, 代替本 = Replica of books"/>
    <s v="Kyujanggak Han'gukhak Yŏn'guwŏn,"/>
    <s v="규장각 한국학 연구원, organizer"/>
    <s v="n/a"/>
    <s v="n/a"/>
    <x v="2"/>
    <x v="1"/>
    <x v="0"/>
    <s v="n/a"/>
    <s v="n/a"/>
    <s v="n/a"/>
    <s v="Archival materials  --  Conservation and restoration  --  Korea (South) ^ Manuscripts  --  Conservation and restoration  --  Korea (South) ^ Cultural property  --  Protection  --  Korea (South) ^ Historic preservation  --  Korea (South) ^ Documents d'archives  --  Conservation et restauration  --  Corée du Sud ^ Manuscrits  --  Conservation et restauration  --  Corée du Sud ^ Préservation historique  --  Corée du Sud ^ Kyujanggak (Korea)"/>
    <s v="0"/>
    <m/>
    <m/>
  </r>
  <r>
    <n v="4.3"/>
    <m/>
    <m/>
    <m/>
    <m/>
    <m/>
    <m/>
    <s v="n/a"/>
    <x v="3"/>
    <n v="3"/>
    <n v="5"/>
    <s v="n"/>
    <s v="n"/>
    <s v="n"/>
    <n v="9791187507420"/>
    <s v="n/a"/>
    <n v="1252731987"/>
    <s v="Korean"/>
    <s v="Report on the 2018 Gyujanggak Cultural Heritage Preservation and Repair Project. Replica"/>
    <s v="2018 Kyujanggak munhwajae pojon suri saŏp pogosŏ: 3, Mosabon = Replica"/>
    <s v="2018 규장각 문화재 보존 수리 사업 보고서. 3, 模寫本 = Replica"/>
    <s v="Kyujanggak Han'gukhak Yŏn'guwŏn,"/>
    <s v="규장각 한국학 연구원, organizer"/>
    <s v="n/a"/>
    <s v="n/a"/>
    <x v="2"/>
    <x v="1"/>
    <x v="0"/>
    <s v="n/a"/>
    <s v="n/a"/>
    <s v="n/a"/>
    <s v="Archival materials  --  Conservation and restoration  --  Korea (South) ^ Manuscripts  --  Conservation and restoration  --  Korea (South) ^ Cultural property  --  Protection  --  Korea (South) ^ Historic preservation  --  Korea (South) ^ Documents d'archives  --  Conservation et restauration  --  Corée du Sud ^ Manuscrits  --  Conservation et restauration  --  Corée du Sud ^ Préservation historique  --  Corée du Sud ^ Kyujanggak (Korea)"/>
    <s v="0"/>
    <m/>
    <m/>
  </r>
  <r>
    <n v="4.3"/>
    <m/>
    <m/>
    <m/>
    <m/>
    <m/>
    <m/>
    <s v="n/a"/>
    <x v="1"/>
    <s v="3"/>
    <n v="5"/>
    <s v="n"/>
    <s v="n"/>
    <s v="n"/>
    <n v="9791187507420"/>
    <s v="n/a"/>
    <n v="1252731987"/>
    <s v="Korean"/>
    <s v="Report on the 2018 Gyujanggak Cultural Heritage Preservation and Repair Project. Replica"/>
    <s v="2018 Kyujanggak munhwajae pojon suri saŏp pogosŏ"/>
    <s v="2018 규장각 문화재 보존 수리 사업 보고서"/>
    <s v="Kyujanggak Han'gukhak Yŏn'guwŏn,"/>
    <s v="규장각 한국학 연구원, issuing body"/>
    <s v="n/a"/>
    <s v="n/a"/>
    <x v="2"/>
    <x v="1"/>
    <x v="0"/>
    <s v="n/a"/>
    <s v="n/a"/>
    <s v="n/a"/>
    <s v="Library materials  --  Conservation and restoration  --  Korea (South) ^ Documents de bibliothèque  --  Conservation et restauration  --  Corée du Sud"/>
    <s v="0"/>
    <m/>
    <m/>
  </r>
  <r>
    <n v="4.4000000000000004"/>
    <m/>
    <m/>
    <m/>
    <m/>
    <m/>
    <m/>
    <s v="n/a"/>
    <x v="3"/>
    <n v="4"/>
    <n v="5"/>
    <s v="n"/>
    <s v="n"/>
    <s v="n"/>
    <n v="9791187507437"/>
    <s v="n/a"/>
    <n v="1252731987"/>
    <s v="Korean"/>
    <s v="Report on the 2018 Gyujanggak Cultural Heritage Preservation and Repair Project. Storage environment"/>
    <s v="2018 Kyujanggak munhwajae pojon suri saŏp pogosŏ: 1, Pojon hwan'gyŏng cheŏ = Storage environment"/>
    <s v="2018 규장각 문화재 보존 수리 사업 보고서. 1, 保存 環境 制御 = Storage environment"/>
    <s v="Kyujanggak Han'gukhak Yŏn'guwŏn,"/>
    <s v="규장각 한국학 연구원, organizer"/>
    <s v="n/a"/>
    <s v="n/a"/>
    <x v="2"/>
    <x v="1"/>
    <x v="0"/>
    <s v="n/a"/>
    <s v="n/a"/>
    <s v="n/a"/>
    <s v="Archival materials  --  Conservation and restoration  --  Korea (South) ^ Manuscripts  --  Conservation and restoration  --  Korea (South) ^ Cultural property  --  Protection  --  Korea (South) ^ Historic preservation  --  Korea (South) ^ Documents d'archives  --  Conservation et restauration  --  Corée du Sud ^ Manuscrits  --  Conservation et restauration  --  Corée du Sud ^ Préservation historique  --  Corée du Sud ^ Kyujanggak (Korea)"/>
    <s v="0"/>
    <m/>
    <m/>
  </r>
  <r>
    <n v="4.5"/>
    <m/>
    <m/>
    <m/>
    <m/>
    <m/>
    <m/>
    <s v="n/a"/>
    <x v="3"/>
    <n v="5"/>
    <n v="5"/>
    <s v="n"/>
    <s v="n"/>
    <s v="n"/>
    <n v="9791187507444"/>
    <s v="n/a"/>
    <n v="1252731987"/>
    <s v="Korean"/>
    <s v="Report on the 2018 Gyujanggak Cultural Heritage Preservation and Repair Project. Preservation studies"/>
    <s v="2018 Kyujanggak munhwajae pojon suri saŏp pogosŏ: 5, Pojon yŏn'gu = Preservation studies"/>
    <s v="2018 규장각 문화재 보존 수리 사업 보고서. 5, 保存 硏究 = Preservation studies"/>
    <s v="Kyujanggak Han'gukhak Yŏn'guwŏn,"/>
    <s v="규장각 한국학 연구원, organizer"/>
    <s v="n/a"/>
    <s v="n/a"/>
    <x v="2"/>
    <x v="1"/>
    <x v="0"/>
    <s v="n/a"/>
    <s v="n/a"/>
    <s v="n/a"/>
    <s v="Archival materials  --  Conservation and restoration  --  Korea (South) ^ Manuscripts  --  Conservation and restoration  --  Korea (South) ^ Cultural property  --  Protection  --  Korea (South) ^ Historic preservation  --  Korea (South) ^ Kyujanggak (Korea)"/>
    <s v="0"/>
    <m/>
    <m/>
  </r>
  <r>
    <n v="5"/>
    <m/>
    <m/>
    <m/>
    <m/>
    <m/>
    <m/>
    <s v="n/a"/>
    <x v="3"/>
    <m/>
    <m/>
    <s v="n"/>
    <s v="n"/>
    <s v="n"/>
    <n v="9788961874847"/>
    <n v="8961874845"/>
    <n v="1197783004"/>
    <s v="Korean"/>
    <s v="n/a"/>
    <s v="Ilche ch'imt'al 30 changmyŏn"/>
    <s v="일제 침탈 30 장면"/>
    <s v="Tongbuga Yŏksa Chaedan (Korea),"/>
    <s v="동북아 역사 재단 (Korea), editor"/>
    <s v="Ilche ch'imt'alsa paro algi ; 02"/>
    <s v="일제 침탈사 바로 알기 ; 02"/>
    <x v="1"/>
    <x v="1"/>
    <x v="2"/>
    <s v="n/a"/>
    <s v="n/a"/>
    <s v="n/a"/>
    <s v="Colonization ^ History ^ Sources ^ 1910-1945 ^ 1900-1999 ^ Korea  --  History  --  Japanese occupation, 1910-1945 ^ Corée  --  Histoire  --  1910-1945 (Occupation japonaise)"/>
    <s v="0"/>
    <m/>
    <m/>
  </r>
  <r>
    <n v="6"/>
    <m/>
    <m/>
    <m/>
    <m/>
    <m/>
    <m/>
    <s v="https://www.amazon.jp/dp/8961875744"/>
    <x v="3"/>
    <m/>
    <m/>
    <s v="n"/>
    <s v="n"/>
    <s v="n"/>
    <n v="9788961875745"/>
    <n v="8961875744"/>
    <n v="1268553702"/>
    <s v="Korean"/>
    <s v="n/a"/>
    <s v="Thirty images and documents on Japan's invasion of Korea: history of Japan's instrusions into Korea"/>
    <s v="n/a"/>
    <s v="Tongbuga Yŏksa Chaedan (Korea),"/>
    <s v="동북아 역사 재단 (Korea), editor"/>
    <s v="n/a"/>
    <s v="n/a"/>
    <x v="3"/>
    <x v="1"/>
    <x v="4"/>
    <s v="n/a"/>
    <s v="n/a"/>
    <s v="n/a"/>
    <s v="History ^ 1910-1945 ^ Korea  --  History  --  Japanese occupation, 1910-1945 ^ Corée  --  Histoire  --  1910-1945 (Occupation japonaise)"/>
    <s v="0"/>
    <m/>
    <m/>
  </r>
  <r>
    <n v="7"/>
    <m/>
    <m/>
    <m/>
    <m/>
    <m/>
    <m/>
    <s v="https://www.amazon.jp/dp/8961875639"/>
    <x v="3"/>
    <m/>
    <m/>
    <s v="n"/>
    <s v="n"/>
    <s v="n"/>
    <n v="9788961875639"/>
    <n v="8961875639"/>
    <n v="1255419517"/>
    <s v="Korean"/>
    <s v="n/a"/>
    <s v="Seeing Dokdo through 30 images and historical documents"/>
    <s v="n/a"/>
    <s v="Tokto Yŏn'guso (Tongbuga Yŏksa Chaedan (Korea)),"/>
    <s v="독도 연구소 (Tongbuga Yŏksa Chaedan (Korea)), editor"/>
    <s v="History of Japan's intrusions into Korea"/>
    <s v="n/a"/>
    <x v="3"/>
    <x v="1"/>
    <x v="4"/>
    <s v="n/a"/>
    <s v="n/a"/>
    <s v="n/a"/>
    <s v="International relations ^ Sources ^ Tok Island (Korea)  --  Sources ^ Korea  --  Relations  --  Japan  --  Sources ^ Japan  --  Relations  --  Korea  --  Sources ^ Liancourt, Rochers de  --  Sources ^ Corée  --  Relations  --  Japon  --  Sources ^ Korea (South)  --  Tok Island"/>
    <s v="0"/>
    <m/>
    <m/>
  </r>
  <r>
    <n v="8"/>
    <m/>
    <m/>
    <m/>
    <m/>
    <m/>
    <m/>
    <s v="n/a"/>
    <x v="3"/>
    <m/>
    <m/>
    <s v="n"/>
    <s v="n"/>
    <s v="n"/>
    <n v="9788961875615"/>
    <n v="8961875612"/>
    <n v="1250379412"/>
    <s v="Korean"/>
    <s v="30 scenes of Dokdo in our country."/>
    <s v="Charyo ro ponŭn uri ttang Tokto 30-changmyŏn"/>
    <s v="자료 로 보는 우리 땅 독도 30장면"/>
    <s v="Tokto Yŏn'guso (Tongbuga Yŏksa Chaedan (Korea)),"/>
    <s v="독도 연구소 (Tongbuga Yŏksa Chaedan (Korea)), editor"/>
    <s v="Ilche ch'imt'alsa paro algi ; 03"/>
    <s v="일제 침탈사 바로 알기 ; 03"/>
    <x v="1"/>
    <x v="1"/>
    <x v="4"/>
    <s v="n/a"/>
    <s v="n/a"/>
    <s v="n/a"/>
    <s v="International relations ^ Sources ^ Tok Island (Korea)  --  Sources ^ Korea  --  Relations  --  Japan  --  Sources ^ Japan  --  Relations  --  Korea  --  Sources ^ Liancourt, Rochers de  --  Sources ^ Corée  --  Relations  --  Japon  --  Sources ^ Korea (South)  --  Tok Island"/>
    <s v="0"/>
    <m/>
    <m/>
  </r>
  <r>
    <n v="9.0500000000000007"/>
    <m/>
    <m/>
    <m/>
    <m/>
    <m/>
    <m/>
    <s v="n/a"/>
    <x v="0"/>
    <s v="5"/>
    <m/>
    <s v="n"/>
    <s v="n"/>
    <s v="n"/>
    <n v="9788961875196"/>
    <n v="8961875191"/>
    <n v="1239331388"/>
    <s v="Korean"/>
    <s v="A relic of Koguryo in the Japan location"/>
    <s v="Ilbon sojae Koguryŏ yumul: V, Ilche kangjŏmgi Koguryŏ yujŏk chosa, yŏngu chaegŏmt'o = A relic of Koguryo in the Japan location"/>
    <s v="일본 소재 고구려 유물. V, 일제 강점기 고구려 유적 조사, 연구 재검토"/>
    <s v="Tongbuga Yŏksa Chaedan (Korea),"/>
    <s v="동북아 역사 재단 (Korea), editor"/>
    <s v="n/a"/>
    <s v="n/a"/>
    <x v="1"/>
    <x v="1"/>
    <x v="2"/>
    <s v="n/a"/>
    <s v="n/a"/>
    <s v="n/a"/>
    <s v="Antiquities ^ Civilization ^ History ^ Koguryŏ (Kingdom)  --  Antiquities ^ Korea  --  Civilization  --  To 935 ^ Korea  --  History  --  Japanese occupation, 1910-1945 ^ Corée  --  Civilisation  --  Jusqu'à 935 ^ Corée  --  Histoire  --  1910-1945 (Occupation japonaise) ^ Asia  --  Koguryŏ (Kingdom)"/>
    <s v="0"/>
    <m/>
    <m/>
  </r>
  <r>
    <n v="9.0500000000000007"/>
    <m/>
    <m/>
    <m/>
    <m/>
    <m/>
    <m/>
    <s v="n/a"/>
    <x v="1"/>
    <s v="5"/>
    <m/>
    <s v="n"/>
    <s v="n"/>
    <s v="n"/>
    <n v="9788961875196"/>
    <n v="8961875191"/>
    <n v="1239331388"/>
    <s v="Korean"/>
    <s v="A relic of Koguryo in the Japan location"/>
    <s v="Ilbon sojae Koguryŏ yumul: V, Ilche kangjŏmgi Koguryŏ yujŏk chosa, yŏngu chaegŏmt'o"/>
    <s v="일본 소재 고구려 유물. V, 일제 강점기 고구려 유적 조사, 연구 재검토 = A relic of Koguryo in the Japan location"/>
    <s v="Tongbuga Yŏksa Chaedan (Korea),"/>
    <s v="동북아 역사 재단 (Korea), editor"/>
    <s v="n/a"/>
    <s v="n/a"/>
    <x v="1"/>
    <x v="1"/>
    <x v="2"/>
    <s v="n/a"/>
    <s v="n/a"/>
    <s v="n/a"/>
    <s v="Antiquities ^ Civilization ^ History ^ Koguryŏ (Kingdom)  --  Antiquities ^ Korea  --  Civilization  --  To 935 ^ Korea  --  History  --  Japanese occupation, 1910-1945 ^ Corée  --  Civilisation  --  Jusqu'à 935 ^ Corée  --  Histoire  --  1910-1945 (Occupation japonaise) ^ Asia  --  Koguryŏ (Kingdom)"/>
    <s v="0"/>
    <m/>
    <m/>
  </r>
  <r>
    <n v="9.07"/>
    <m/>
    <m/>
    <m/>
    <m/>
    <m/>
    <s v="Have volumes in Asian Stacks, Oversize"/>
    <s v="n/a"/>
    <x v="0"/>
    <n v="7"/>
    <n v="10"/>
    <s v="n"/>
    <s v="n"/>
    <s v="n"/>
    <n v="9788961875455"/>
    <n v="8961875450"/>
    <n v="1239331388"/>
    <s v="Korean"/>
    <s v="Liaoning Peninsula - Prince Haru"/>
    <s v="Yodong pando-T'aejaha yuyŏk"/>
    <s v="요동 반도 - 태자하 유"/>
    <s v="Yŏ, Ho-gyu ^ Tongbuga Yŏksa Chaedan (Korea),"/>
    <s v="여 ^ 호규,  ^ 동북아 역사 재단 (Korea), issuing body"/>
    <s v="n/a"/>
    <s v="n/a"/>
    <x v="1"/>
    <x v="1"/>
    <x v="5"/>
    <s v="n/a"/>
    <s v="n/a"/>
    <s v="n/a"/>
    <s v="Excavations (Archaeology)  --  China ^ Antiquities ^ Civilization ^ Historic sites ^ Koguryŏ (Kingdom)  --  Civilization ^ Korea  --  Antiquities ^ Korea  --  Civilization  --  To 935 ^ Corée  --  Civilisation  --  Jusqu'à 935 ^ Asia  --  Koguryŏ (Kingdom)"/>
    <s v="0"/>
    <m/>
    <m/>
  </r>
  <r>
    <n v="9.07"/>
    <m/>
    <m/>
    <m/>
    <m/>
    <m/>
    <m/>
    <s v="n/a"/>
    <x v="1"/>
    <s v="7"/>
    <n v="10"/>
    <s v="https://libcat.colorado.edu/Record/b12135434"/>
    <s v="https://libcat.colorado.edu/Record/b12135434"/>
    <s v="y"/>
    <n v="9788961875455"/>
    <n v="8961875450"/>
    <n v="1239331388"/>
    <s v="Korean"/>
    <s v="n/a"/>
    <s v="Chungguk sojae Koguryŏ yujŏk kwa yumul = The Kingdom of Koguryo ruins and artifacts in China"/>
    <s v="중국 소재 고구려 유적 과 유물 The Kingdom of Koguryo ruins and artifacts in China"/>
    <s v="Yŏ, Ho-gyu ^ Tongbuga Yŏksa Chaedan (Korea),"/>
    <s v="여 ^ 호규,  ^ 동북아 역사 재단 (Korea), issuing body"/>
    <s v="n/a"/>
    <s v="n/a"/>
    <x v="1"/>
    <x v="1"/>
    <x v="5"/>
    <s v="n/a"/>
    <s v="n/a"/>
    <s v="n/a"/>
    <s v="Excavations (Archaeology)  --  China ^ Antiquities ^ Civilization ^ Historic sites ^ Koguryŏ (Kingdom)  --  Civilization ^ Korea  --  Antiquities ^ Korea  --  Civilization  --  To 935 ^ Corée  --  Civilisation  --  Jusqu'à 935 ^ Asia  --  Koguryŏ (Kingdom)"/>
    <s v="0"/>
    <m/>
    <m/>
  </r>
  <r>
    <n v="9.08"/>
    <m/>
    <m/>
    <m/>
    <m/>
    <m/>
    <s v="Have volumes in Asian Stacks, Oversize"/>
    <s v="n/a"/>
    <x v="0"/>
    <n v="8"/>
    <n v="10"/>
    <s v="n"/>
    <s v="n"/>
    <s v="n"/>
    <n v="9788961875448"/>
    <n v="8961875442"/>
    <n v="1239331388"/>
    <s v="Korean"/>
    <s v="Honha - Upper and Lower Yoha Currents"/>
    <s v="Honha-Yoha chungsangnyu"/>
    <s v="혼하 - 요하 중상류"/>
    <s v="Yŏ, Ho-gyu ^ Tongbuga Yŏksa Chaedan (Korea),"/>
    <s v="여 ^ 호규,  ^ 동북아 역사 재단 (Korea), issuing body"/>
    <s v="n/a"/>
    <s v="n/a"/>
    <x v="1"/>
    <x v="1"/>
    <x v="5"/>
    <s v="n/a"/>
    <s v="n/a"/>
    <s v="n/a"/>
    <s v="Excavations (Archaeology)  --  China ^ Antiquities ^ Civilization ^ Historic sites ^ Koguryŏ (Kingdom)  --  Civilization ^ Korea  --  Antiquities ^ Korea  --  Civilization  --  To 935 ^ Corée  --  Civilisation  --  Jusqu'à 935 ^ Asia  --  Koguryŏ (Kingdom)"/>
    <s v="0"/>
    <m/>
    <m/>
  </r>
  <r>
    <n v="9.08"/>
    <m/>
    <m/>
    <m/>
    <m/>
    <m/>
    <m/>
    <s v="n/a"/>
    <x v="1"/>
    <s v="8"/>
    <n v="10"/>
    <s v="https://libcat.colorado.edu/Record/b12135434"/>
    <s v="https://libcat.colorado.edu/Record/b12135434"/>
    <s v="y"/>
    <n v="9788961875448"/>
    <n v="8961875442"/>
    <n v="1239331388"/>
    <s v="Korean"/>
    <s v="n/a"/>
    <s v="Chungguk sojae Koguryŏ yujŏk kwa yumul = The Kingdom of Koguryo ruins and artifacts in China"/>
    <s v="중국 소재 고구려 유적 과 유물 The Kingdom of Koguryo ruins and artifacts in China"/>
    <s v="Yŏ, Ho-gyu ^ Tongbuga Yŏksa Chaedan (Korea),"/>
    <s v="여 ^ 호규,  ^ 동북아 역사 재단 (Korea), issuing body"/>
    <s v="n/a"/>
    <s v="n/a"/>
    <x v="1"/>
    <x v="1"/>
    <x v="5"/>
    <s v="n/a"/>
    <s v="n/a"/>
    <s v="n/a"/>
    <s v="Excavations (Archaeology)  --  China ^ Antiquities ^ Civilization ^ Historic sites ^ Koguryŏ (Kingdom)  --  Civilization ^ Korea  --  Antiquities ^ Korea  --  Civilization  --  To 935 ^ Corée  --  Civilisation  --  Jusqu'à 935 ^ Asia  --  Koguryŏ (Kingdom)"/>
    <s v="0"/>
    <m/>
    <m/>
  </r>
  <r>
    <n v="9.09"/>
    <m/>
    <m/>
    <m/>
    <m/>
    <m/>
    <s v="Have volumes in Asian Stacks, Oversize"/>
    <s v="n/a"/>
    <x v="0"/>
    <n v="9"/>
    <n v="10"/>
    <s v="n"/>
    <s v="n"/>
    <s v="n"/>
    <n v="9788961875462"/>
    <n v="8961875469"/>
    <n v="1239331388"/>
    <s v="Korean"/>
    <s v="Shenyang Seokdaejasanseong Fortress"/>
    <s v="Simyang sŏktaeja sansŏng"/>
    <s v="심양 석대자 산성"/>
    <s v="Yŏ, Ho-gyu ^ Tongbuga Yŏksa Chaedan (Korea),"/>
    <s v="여 ^ 호규,  ^ 동북아 역사 재단 (Korea), issuing body"/>
    <s v="n/a"/>
    <s v="n/a"/>
    <x v="1"/>
    <x v="1"/>
    <x v="5"/>
    <s v="n/a"/>
    <s v="n/a"/>
    <s v="n/a"/>
    <s v="Excavations (Archaeology)  --  China ^ Antiquities ^ Civilization ^ Historic sites ^ Koguryŏ (Kingdom)  --  Civilization ^ Korea  --  Antiquities ^ Korea  --  Civilization  --  To 935 ^ Corée  --  Civilisation  --  Jusqu'à 935 ^ Asia  --  Koguryŏ (Kingdom)"/>
    <s v="0"/>
    <m/>
    <m/>
  </r>
  <r>
    <n v="9.09"/>
    <m/>
    <m/>
    <m/>
    <m/>
    <m/>
    <m/>
    <s v="n/a"/>
    <x v="1"/>
    <s v="9"/>
    <n v="10"/>
    <s v="https://libcat.colorado.edu/Record/b12135434"/>
    <s v="https://libcat.colorado.edu/Record/b12135434"/>
    <s v="y"/>
    <n v="9788961875462"/>
    <n v="8961875469"/>
    <n v="1239331388"/>
    <s v="Korean"/>
    <s v="n/a"/>
    <s v="Chungguk sojae Koguryŏ yujŏk kwa yumul = The Kingdom of Koguryo ruins and artifacts in China"/>
    <s v="중국 소재 고구려 유적 과 유물 The Kingdom of Koguryo ruins and artifacts in China"/>
    <s v="Yŏ, Ho-gyu ^ Tongbuga Yŏksa Chaedan (Korea),"/>
    <s v="여 ^ 호규,  ^ 동북아 역사 재단 (Korea), issuing body"/>
    <s v="n/a"/>
    <s v="n/a"/>
    <x v="1"/>
    <x v="1"/>
    <x v="5"/>
    <s v="n/a"/>
    <s v="n/a"/>
    <s v="n/a"/>
    <s v="Excavations (Archaeology)  --  China ^ Antiquities ^ Civilization ^ Historic sites ^ Koguryŏ (Kingdom)  --  Civilization ^ Korea  --  Antiquities ^ Korea  --  Civilization  --  To 935 ^ Corée  --  Civilisation  --  Jusqu'à 935 ^ Asia  --  Koguryŏ (Kingdom)"/>
    <s v="0"/>
    <m/>
    <m/>
  </r>
  <r>
    <n v="9.1"/>
    <m/>
    <m/>
    <m/>
    <m/>
    <m/>
    <s v="Have volumes in Asian Stacks, Oversize"/>
    <s v="n/a"/>
    <x v="0"/>
    <n v="10"/>
    <n v="10"/>
    <s v="https://libcat.colorado.edu/Record/b12135434"/>
    <s v="https://libcat.colorado.edu/Record/b12135434"/>
    <s v="y"/>
    <n v="9788961875479"/>
    <n v="8961875477"/>
    <n v="1239331388"/>
    <s v="Korean"/>
    <s v="Report on the 2018 Gyujanggak Cultural Heritage Preservation and Repair Project. 5, 保存 硏究 = Preservation studies"/>
    <s v="Chungguk sojae Koguryŏ yujŏk kwa yumul = The Kingdom of Koguryo ruins and artifacts in China"/>
    <s v="중국 소재 고구려 유적 과 유물 The Kingdom of Koguryo ruins and artifacts in China"/>
    <s v="Yŏ, Ho-gyu ^ Tongbuga Yŏksa Chaedan (Korea),"/>
    <s v="여 ^ 호규,  ^ 동북아 역사 재단 (Korea), issuing body"/>
    <s v="n/a"/>
    <s v="n/a"/>
    <x v="1"/>
    <x v="1"/>
    <x v="5"/>
    <s v="n/a"/>
    <s v="n/a"/>
    <s v="n/a"/>
    <s v="Excavations (Archaeology)  --  China ^ Antiquities ^ Civilization ^ Historic sites ^ Koguryŏ (Kingdom)  --  Civilization ^ Korea  --  Antiquities ^ Korea  --  Civilization  --  To 935 ^ Corée  --  Civilisation  --  Jusqu'à 935 ^ Asia  --  Koguryŏ (Kingdom)"/>
    <s v="0"/>
    <m/>
    <m/>
  </r>
  <r>
    <n v="9.1"/>
    <m/>
    <m/>
    <m/>
    <m/>
    <m/>
    <m/>
    <s v="n/a"/>
    <x v="1"/>
    <s v="10"/>
    <n v="10"/>
    <s v="https://libcat.colorado.edu/Record/b12135434"/>
    <s v="https://libcat.colorado.edu/Record/b12135434"/>
    <s v="y"/>
    <n v="9788961875479"/>
    <n v="8961875477"/>
    <n v="1239331388"/>
    <s v="Korean"/>
    <s v="n/a"/>
    <s v="Chungguk sojae Koguryŏ yujŏk kwa yumul = The Kingdom of Koguryo ruins and artifacts in China"/>
    <s v="중국 소재 고구려 유적 과 유물 The Kingdom of Koguryo ruins and artifacts in China"/>
    <s v="Yŏ, Ho-gyu ^ Tongbuga Yŏksa Chaedan (Korea),"/>
    <s v="여 ^ 호규,  ^ 동북아 역사 재단 (Korea), issuing body"/>
    <s v="n/a"/>
    <s v="n/a"/>
    <x v="1"/>
    <x v="1"/>
    <x v="5"/>
    <s v="n/a"/>
    <s v="n/a"/>
    <s v="n/a"/>
    <s v="Excavations (Archaeology)  --  China ^ Antiquities ^ Civilization ^ Historic sites ^ Koguryŏ (Kingdom)  --  Civilization ^ Korea  --  Antiquities ^ Korea  --  Civilization  --  To 935 ^ Corée  --  Civilisation  --  Jusqu'à 935 ^ Asia  --  Koguryŏ (Kingdom)"/>
    <s v="0"/>
    <m/>
    <m/>
  </r>
  <r>
    <n v="10"/>
    <m/>
    <m/>
    <m/>
    <m/>
    <m/>
    <s v="accepting because it is the permanent exhibition"/>
    <s v="n/a"/>
    <x v="2"/>
    <m/>
    <m/>
    <s v="n"/>
    <s v="n"/>
    <s v="n"/>
    <n v="9791189043100"/>
    <s v="n/a"/>
    <n v="1246586352"/>
    <s v="Korean"/>
    <s v="n/a"/>
    <s v="Gimhae National Museum: the permanent exhibition"/>
    <s v="n/a"/>
    <s v="Yi, Chŏng-gŭn ^ Kim, Hyŏk-chung ^ Kungnip Kimhae Pangmulgwan,"/>
    <s v="이 ^ 정근 ^ 국립 김해 박물관, issuing body"/>
    <s v="n/a"/>
    <s v="n/a"/>
    <x v="4"/>
    <x v="1"/>
    <x v="6"/>
    <s v="n/a"/>
    <s v="n/a"/>
    <s v="n/a"/>
    <s v="Pottery  --  Kaya (Confederation)  --  Catalogs ^ Metal-work  --  Kaya (Confederation)  --  Catalogs ^ Pottery, Korean  --  Catalogs ^ Metal-work  --  Korea  --  Pictorial works ^ Corée du Sud  --  Antiquités  --  Ouvrages illustrés ^ Céramique coréenne  --  Expositions ^ Travail des métaux  --  Corée  --  Ouvrages illustrés ^ Antiquities ^ Kungnip Kimhae Pangmulgwan  --  Catalogs ^ exhibition catalogs ^ Catalogues d'exposition ^ Kaya (Confederation)  --  Civilization  --  Catalogs ^ Korea (South)  --  Antiquities  --  Catalogs ^ Asia  --  Kaya (Confederation)"/>
    <s v="0"/>
    <m/>
    <m/>
  </r>
  <r>
    <n v="11.1"/>
    <m/>
    <m/>
    <m/>
    <m/>
    <m/>
    <s v="if in English, would have added to children's literature collection"/>
    <s v="n/a"/>
    <x v="3"/>
    <m/>
    <n v="4"/>
    <s v="n"/>
    <s v="n"/>
    <s v="n"/>
    <n v="9788984285804"/>
    <n v="8984285803"/>
    <s v="n/a"/>
    <s v="n/a"/>
    <s v="n/a"/>
    <s v="n/a"/>
    <s v="n/a"/>
    <s v="n/a"/>
    <s v="n/a"/>
    <s v="n/a"/>
    <s v="n/a"/>
    <x v="5"/>
    <x v="1"/>
    <x v="7"/>
    <s v="n/a"/>
    <s v="n/a"/>
    <s v="n/a"/>
    <s v="n/a"/>
    <s v="0"/>
    <m/>
    <m/>
  </r>
  <r>
    <n v="11.2"/>
    <m/>
    <m/>
    <m/>
    <m/>
    <m/>
    <s v="if in English, would have added to children's literature collection"/>
    <s v="n/a"/>
    <x v="3"/>
    <m/>
    <n v="4"/>
    <s v="n"/>
    <s v="n"/>
    <s v="n"/>
    <n v="9788984285804"/>
    <n v="8984285803"/>
    <s v="n/a"/>
    <s v="n/a"/>
    <s v="n/a"/>
    <s v="n/a"/>
    <s v="n/a"/>
    <s v="n/a"/>
    <s v="n/a"/>
    <s v="n/a"/>
    <s v="n/a"/>
    <x v="5"/>
    <x v="1"/>
    <x v="7"/>
    <s v="n/a"/>
    <s v="n/a"/>
    <s v="n/a"/>
    <s v="n/a"/>
    <s v="0"/>
    <m/>
    <m/>
  </r>
  <r>
    <n v="11.3"/>
    <m/>
    <m/>
    <m/>
    <m/>
    <m/>
    <s v="if in English, would have added to children's literature collection"/>
    <s v="n/a"/>
    <x v="3"/>
    <m/>
    <n v="4"/>
    <s v="n"/>
    <s v="n"/>
    <s v="n"/>
    <n v="9788984285804"/>
    <n v="8984285803"/>
    <s v="n/a"/>
    <s v="n/a"/>
    <s v="n/a"/>
    <s v="n/a"/>
    <s v="n/a"/>
    <s v="n/a"/>
    <s v="n/a"/>
    <s v="n/a"/>
    <s v="n/a"/>
    <x v="5"/>
    <x v="1"/>
    <x v="7"/>
    <s v="n/a"/>
    <s v="n/a"/>
    <s v="n/a"/>
    <s v="n/a"/>
    <s v="0"/>
    <m/>
    <m/>
  </r>
  <r>
    <n v="11.4"/>
    <m/>
    <m/>
    <m/>
    <m/>
    <m/>
    <s v="if in English, would have added to children's literature collection"/>
    <s v="n/a"/>
    <x v="3"/>
    <m/>
    <n v="4"/>
    <s v="n"/>
    <s v="n"/>
    <s v="n"/>
    <n v="9788984285804"/>
    <n v="8984285803"/>
    <s v="n/a"/>
    <s v="n/a"/>
    <s v="n/a"/>
    <s v="n/a"/>
    <s v="n/a"/>
    <s v="n/a"/>
    <s v="n/a"/>
    <s v="n/a"/>
    <s v="n/a"/>
    <x v="5"/>
    <x v="1"/>
    <x v="7"/>
    <s v="n/a"/>
    <s v="n/a"/>
    <s v="n/a"/>
    <s v="n/a"/>
    <s v="0"/>
    <m/>
    <m/>
  </r>
  <r>
    <n v="12"/>
    <m/>
    <m/>
    <m/>
    <m/>
    <m/>
    <m/>
    <s v="n/a"/>
    <x v="0"/>
    <m/>
    <m/>
    <s v="n"/>
    <s v="n"/>
    <s v="n"/>
    <n v="9788961875622"/>
    <n v="8961875620"/>
    <n v="1237641861"/>
    <s v="Korean"/>
    <s v="Korea-Japan Mutual Recognition and Origin of Historical Problems (1945-1979) Web Translator Document Translator for APAGO PC Small Window Translator Favorite Settings User Link"/>
    <s v="Han-Il sangho insik kwa yŏksa munje ŭi kiwŏn (1945-1979)"/>
    <s v="한일 상호 인식 과 역사 문제 의 기원 (1945-1979)"/>
    <s v="Yi963- ^ Ch'oe, Un-do ^ Chŏnhu Ilbon kyŏngje taegukhwa ŭi wŏnchŏm : chŏmnyŏng ŭi kaehyŏk chŏngch'i vs. yŏkk'osŭ chŏngch'aek"/>
    <s v="이 ^ 원우 ^ 최 ^ 운도 ^ 전후 ^ 일본 ^ 경제 ^ 대국화 ^ 의 ^ 원점 ^ : ^ 점령 ^ 개혁 ^ 정치 ^ vs ^ 역코스 ^ 정책"/>
    <s v="Tongbuga Yŏksa Chaedan yŏn'gu ch'ongsŏ ; 111"/>
    <s v="동북아 역사 재단 연구 총서 ; 111"/>
    <x v="1"/>
    <x v="1"/>
    <x v="4"/>
    <s v="n/a"/>
    <s v="n/a"/>
    <s v="n/a"/>
    <s v="Nationalism  --  Japan  --  History ^ Nationalisme  --  Japon  --  Histoire ^ Historiography ^ Diplomatic relations ^ Politics and government ^ Public opinion, Japanese ^ Public opinion, Korean ^ 1945-1989 ^ Japan  --  Politics and government  --  1945-1989 ^ Japan  --  History  --  1945-1989  --  Historiography ^ Korea (South)  --  Foreign relations  --  Japan ^ Japan  --  Foreign relations  --  Korea (South) ^ Korea (South)  --  Foreign public opinion, Japanese ^ Japan  --  Foreign public opinion, Korean ^ Japon  --  Politique et gouvernement  --  1945-1989 ^ Japon  --  Histoire  --  1945-1989  --  Historiographie ^ Corée du Sud  --  Relations extérieures  --  Japon ^ Japon  --  Relations extérieures  --  Corée du Sud"/>
    <s v="0"/>
    <m/>
    <m/>
  </r>
  <r>
    <n v="13"/>
    <m/>
    <m/>
    <m/>
    <m/>
    <m/>
    <m/>
    <s v="n/a"/>
    <x v="0"/>
    <m/>
    <m/>
    <s v="n"/>
    <s v="n"/>
    <s v="n"/>
    <n v="9788954638241"/>
    <n v="8954638244"/>
    <n v="930003389"/>
    <s v="Korean"/>
    <s v="at dusk"/>
    <s v="Hae chil muryŏp"/>
    <s v="해 질 무렵"/>
    <s v="Hwangg"/>
    <s v="황 ^ 석영"/>
    <s v="n/a"/>
    <s v="n/a"/>
    <x v="6"/>
    <x v="1"/>
    <x v="8"/>
    <s v="n/a"/>
    <s v="n/a"/>
    <s v="n/a"/>
    <s v="Korean fiction  --  20th century ^ Korean language materials ^ Roman coréen  --  20e siècle ^ 1900-1999"/>
    <s v="0"/>
    <m/>
    <m/>
  </r>
  <r>
    <n v="14"/>
    <m/>
    <m/>
    <m/>
    <m/>
    <m/>
    <m/>
    <s v="https://www.amazon.jp/dp/"/>
    <x v="4"/>
    <m/>
    <m/>
    <s v="n"/>
    <s v="n"/>
    <s v="n"/>
    <n v="9791196356927"/>
    <s v="n/a"/>
    <n v="1126211036"/>
    <s v="Emglish"/>
    <s v="BTS, art revolution: BTS meets Deleuze"/>
    <s v="BTS, art revolution: BTS meets Deleuze"/>
    <s v="n/a"/>
    <s v="Ying ^ Kim, Stella"/>
    <s v="n/a"/>
    <s v="n/a"/>
    <s v="n/a"/>
    <x v="7"/>
    <x v="1"/>
    <x v="2"/>
    <s v="n/a"/>
    <s v="n/a"/>
    <s v="n/a"/>
    <s v="Popular music  --  Korea (South)  --  History and criticism ^ Rap (Music)  --  Korea (South)  --  History and criticism ^ Boy bands  --  Korea (South) ^ Arts and society ^ Music videos  --  Korea (South)  --  History and criticism ^ K-pop  --  Histoire et critique ^ Groupes de garçons (Musique)  --  Corée du Sud ^ Arts et société ^ Vidéoclips  --  Corée du Sud  --  Histoire et critique ^ Influence (Literary, artistic, etc.) ^ Hip-hop ^ Music and globalization ^ Online social networks ^ Philosophy ^ Popular music  --  Social aspects ^ Rap musicians ^ Deleuze, Gilles, 1925-1995 ^ BTS (Musical group)  --  Influence ^ Criticism, interpretation, etc"/>
    <s v="0"/>
    <m/>
    <m/>
  </r>
  <r>
    <n v="15"/>
    <m/>
    <m/>
    <m/>
    <m/>
    <m/>
    <m/>
    <s v="n/a"/>
    <x v="1"/>
    <m/>
    <m/>
    <s v="https://libcat.colorado.edu/Record/b10162522"/>
    <s v="https://libcat.colorado.edu/Record/b10162522"/>
    <s v="y"/>
    <n v="9788932028477"/>
    <n v="8932028478"/>
    <n v="951431317"/>
    <s v="Korean"/>
    <s v="The hole"/>
    <s v="Hol: P'yŏn Hye-yŏng changp'yŏn sosŏl = The hole"/>
    <s v="홀: 편 혜영 장편 소설 = The hole"/>
    <s v="P'yŏnng"/>
    <s v="편 ^ 혜영"/>
    <s v="n/a"/>
    <s v="n/a"/>
    <x v="8"/>
    <x v="1"/>
    <x v="9"/>
    <s v="n/a"/>
    <s v="n/a"/>
    <s v="n/a"/>
    <s v="Amnesia  --  Fiction ^ Traffic accidents  --  Fiction ^ Amnésie  --  Romans, nouvelles, etc ^ Korean fiction"/>
    <s v="0"/>
    <m/>
    <m/>
  </r>
  <r>
    <n v="16"/>
    <m/>
    <m/>
    <m/>
    <m/>
    <m/>
    <m/>
    <s v="n/a"/>
    <x v="0"/>
    <m/>
    <m/>
    <s v="n"/>
    <s v="n"/>
    <s v="n"/>
    <n v="9791189044138"/>
    <s v="n/a"/>
    <n v="1226075236"/>
    <s v="Korean"/>
    <s v="Long blue hair"/>
    <s v="P'urŭn kae Changbal"/>
    <s v="푸른 개 장발"/>
    <s v="Hwang1963-"/>
    <s v="황 ^ 선미"/>
    <s v="n/a"/>
    <s v="n/a"/>
    <x v="9"/>
    <x v="1"/>
    <x v="2"/>
    <s v="n/a"/>
    <s v="n/a"/>
    <s v="n/a"/>
    <s v="n/a"/>
    <s v="0"/>
    <m/>
    <m/>
  </r>
  <r>
    <n v="17.010000000000002"/>
    <m/>
    <m/>
    <m/>
    <m/>
    <m/>
    <m/>
    <s v="n/a"/>
    <x v="0"/>
    <s v="1"/>
    <n v="2"/>
    <s v="n"/>
    <s v="n"/>
    <s v="n"/>
    <n v="9788961874779"/>
    <n v="8961874772"/>
    <n v="1144012296"/>
    <s v="Korean"/>
    <s v="Recognition of the Succession of Korean Ancient History"/>
    <s v="Han'guk kodaesa kyesŭng insik"/>
    <s v="한국 고대사 계승 인식"/>
    <s v="Im ^ Tongbuga Yŏksa Chaedan (Korea),"/>
    <s v="임 ^ 상선,  ^ 동북아 역사 재단 (Korea), issuing body"/>
    <s v="Tongbuga Yŏksa Chaedan yŏn'gu ch'ongsŏ ; 89"/>
    <s v="동북아 역사 재단 연구 총서 ; 89"/>
    <x v="1"/>
    <x v="1"/>
    <x v="10"/>
    <s v="n/a"/>
    <s v="n/a"/>
    <s v="n/a"/>
    <s v="Historiography ^ History ^ Sources ^ To 935 ^ Korea  --  History  --  To 935  --  Historiography  --  Sources ^ Corée  --  Histoire  --  Jusqu'à 935  --  Historiographie  --  Sources"/>
    <s v="0"/>
    <m/>
    <m/>
  </r>
  <r>
    <n v="17.010000000000002"/>
    <m/>
    <m/>
    <m/>
    <m/>
    <m/>
    <m/>
    <s v="n/a"/>
    <x v="1"/>
    <s v="1 / 89"/>
    <n v="2"/>
    <s v="n"/>
    <s v="n"/>
    <s v="n"/>
    <n v="9788961874779"/>
    <n v="8961874772"/>
    <n v="1144012296"/>
    <s v="Korean"/>
    <s v="Recognition of the Succession of Korean Ancient History"/>
    <s v="Han'guk kodaesa kyesŭng insik"/>
    <s v="한국 고대사 계승 인식"/>
    <s v="Im ^ Tongbuga Yŏksa Chaedan (Korea),"/>
    <s v="임 ^ 상선,  ^ 동북아 역사 재단 (Korea), issuing body"/>
    <s v="Tongbuga Yŏksa Chaedan yŏn'gu ch'ongsŏ ; 89"/>
    <s v="동북아 역사 재단 연구 총서 ; 89"/>
    <x v="1"/>
    <x v="1"/>
    <x v="10"/>
    <s v="n/a"/>
    <s v="n/a"/>
    <s v="n/a"/>
    <s v="Historiography ^ History ^ Sources ^ To 935 ^ Korea  --  History  --  To 935  --  Historiography  --  Sources ^ Corée  --  Histoire  --  Jusqu'à 935  --  Historiographie  --  Sources"/>
    <s v="0"/>
    <m/>
    <m/>
  </r>
  <r>
    <n v="17.02"/>
    <m/>
    <m/>
    <m/>
    <m/>
    <m/>
    <m/>
    <s v="n/a"/>
    <x v="5"/>
    <s v="2 / 89"/>
    <n v="2"/>
    <s v="n"/>
    <s v="n"/>
    <s v="n"/>
    <n v="9788961875141"/>
    <n v="8961875140"/>
    <n v="1144012296"/>
    <s v="Korean"/>
    <s v="Recognition of the Succession of Korean Ancient History"/>
    <s v="Han'guk kodaesa kyesŭng insik"/>
    <s v="한국 고대사 계승 인식"/>
    <s v="Im ^ Tongbuga Yŏksa Chaedan (Korea),"/>
    <s v="임 ^ 상선,  ^ 동북아 역사 재단 (Korea), issuing body"/>
    <s v="Tongbuga Yŏksa Chaedan yŏn'gu ch'ongsŏ ; 89"/>
    <s v="동북아 역사 재단 연구 총서 ; 89"/>
    <x v="1"/>
    <x v="1"/>
    <x v="10"/>
    <s v="n/a"/>
    <s v="n/a"/>
    <s v="n/a"/>
    <s v="Historiography ^ History ^ Sources ^ To 935 ^ Korea  --  History  --  To 935  --  Historiography  --  Sources ^ Corée  --  Histoire  --  Jusqu'à 935  --  Historiographie  --  Sources"/>
    <s v="0"/>
    <m/>
    <m/>
  </r>
  <r>
    <n v="18"/>
    <m/>
    <m/>
    <m/>
    <m/>
    <m/>
    <m/>
    <s v="n/a"/>
    <x v="1"/>
    <m/>
    <m/>
    <s v="n"/>
    <s v="n"/>
    <s v="n"/>
    <n v="9788961874052"/>
    <n v="8961874055"/>
    <n v="1097361356"/>
    <s v="Korean"/>
    <s v="Nilibonu, you're leaving the country, but I'm out of the way of the gulls."/>
    <s v="Ilbon ŭi Tokto yŏngyukwŏn chujang ŭi hŏsang"/>
    <s v="일본 의 독도 영유권 주장 의 허상"/>
    <s v="To, Si-hwan ^ Han'guk yŏngt'o chukwŏn ŭi sangjing in Tokto chukwŏn yŏn'gu ^ Tokto Yŏn'guso (Tongbuga Yŏksa Chaedan (Korea)),"/>
    <s v="도 ^ 시환 ^ 한국 ^ 영토 ^ 주권 ^ 의 ^ 상징 ^ 인 ^ 독도 ^ 연구 ^ 독도 연구소 (동북아 역사 재단 (Korea)), editor"/>
    <s v="Tongbuga Yŏksa Chaedan yŏn'gu ch'ongsŏ ; 75"/>
    <s v="동북아 역사 재단 연구 총서 ; 75"/>
    <x v="1"/>
    <x v="1"/>
    <x v="0"/>
    <s v="n/a"/>
    <s v="n/a"/>
    <s v="n/a"/>
    <s v="Territory, National  --  Korea (South) ^ Territory, National  --  Japan ^ Territoire national  --  Corée du Sud ^ Territoire national  --  Japon ^ International law ^ History ^ Tok Island (Korea)  --  History  --  Errors, inventions, etc ^ Tok Island (Korea)  --  International status ^ Liancourt, Rochers de  --  Histoire  --  Erreurs, inventions, etc ^ Liancourt, Rochers de  --  Statut international ^ Korea (South)  --  Tok Island"/>
    <s v="0"/>
    <m/>
    <m/>
  </r>
  <r>
    <n v="18"/>
    <m/>
    <m/>
    <m/>
    <m/>
    <m/>
    <m/>
    <s v="n/a"/>
    <x v="2"/>
    <m/>
    <m/>
    <s v="n"/>
    <s v="n"/>
    <s v="n"/>
    <n v="9788961874052"/>
    <n v="8961874055"/>
    <n v="1097361356"/>
    <s v="Korean"/>
    <s v="Nilibonu, you're leaving the country, but I'm out of the way of the gulls."/>
    <s v="Ilbon ŭi Tokto yŏngyukwŏn chujang ŭi hŏsang"/>
    <s v="일본 의 독도 영유권 주장 의 허상"/>
    <s v="To, Si-hwan ^ Han'guk yŏngt'o chukwŏn ŭi sangjing in Tokto chukwŏn yŏn'gu ^ Tokto Yŏn'guso (Tongbuga Yŏksa Chaedan (Korea)),"/>
    <s v="도 ^ 시환 ^ 한국 ^ 영토 ^ 주권 ^ 의 ^ 상징 ^ 인 ^ 독도 ^ 연구 ^ 독도 연구소 (동북아 역사 재단 (Korea)), editor"/>
    <s v="Tongbuga Yŏksa Chaedan yŏn'gu ch'ongsŏ ; 75"/>
    <s v="동북아 역사 재단 연구 총서 ; 75"/>
    <x v="1"/>
    <x v="1"/>
    <x v="0"/>
    <s v="n/a"/>
    <s v="n/a"/>
    <s v="n/a"/>
    <s v="Territory, National  --  Korea (South) ^ Territory, National  --  Japan ^ Territoire national  --  Corée du Sud ^ Territoire national  --  Japon ^ International law ^ History ^ Tok Island (Korea)  --  History  --  Errors, inventions, etc ^ Tok Island (Korea)  --  International status ^ Liancourt, Rochers de  --  Histoire  --  Erreurs, inventions, etc ^ Liancourt, Rochers de  --  Statut international ^ Korea (South)  --  Tok Island"/>
    <s v="0"/>
    <m/>
    <m/>
  </r>
  <r>
    <n v="19"/>
    <m/>
    <m/>
    <m/>
    <m/>
    <m/>
    <m/>
    <s v="n/a"/>
    <x v="0"/>
    <s v="/ 79"/>
    <m/>
    <s v="n"/>
    <s v="n"/>
    <s v="n"/>
    <n v="9788961874151"/>
    <n v="8961874152"/>
    <n v="1101101953"/>
    <s v="Korean"/>
    <s v="Dokdo, our land viewed by strangers"/>
    <s v="Ibangin i parabon uri ttang Tokto"/>
    <s v="이방인 이 바라본 우리 땅 독도"/>
    <s v="Yi ^ Kwako ^ Ilbon i chujang hanŭn Tokto yŏngyukwŏn ŭi silch'e wa han'gye ^ Tongbuga Yŏksa Chaedan (Korea),"/>
    <s v="이 ^ 상균 ^ 곽 ^ 진오 ^ 일본 ^ 주장 ^ 하는 ^ 독도 ^ 영유권 ^ 의 ^ 실체 ^ 와 ^ 한계 ^ 동북아 역사 재단 (Korea), issuing body"/>
    <s v="Tongbuga Yŏksa Chaedan yŏn'gu ch'ongsŏ ; 79"/>
    <s v="동북아 역사 재단 연구 총서 ; 79"/>
    <x v="1"/>
    <x v="1"/>
    <x v="0"/>
    <s v="n/a"/>
    <s v="n/a"/>
    <s v="n/a"/>
    <s v="Boundaries ^ International law ^ Territory, National ^ History ^ Tok Island (Korea)  --  History ^ Ullŭng Island (Korea)  --  History ^ Liancourt, Rochers de  --  Histoire ^ Korea (South)  --  Ullŭng Island ^ Japan ^ Korea (South)  --  Tok Island"/>
    <s v="0"/>
    <m/>
    <m/>
  </r>
  <r>
    <n v="20"/>
    <m/>
    <m/>
    <m/>
    <m/>
    <m/>
    <m/>
    <s v="n/a"/>
    <x v="0"/>
    <s v="/ 85"/>
    <m/>
    <s v="n"/>
    <s v="n"/>
    <s v="n"/>
    <n v="9788961874212"/>
    <n v="8961874217"/>
    <n v="1091629568"/>
    <s v="Korean"/>
    <s v="History of Korea-China Relations during the Joseon Dynasty"/>
    <s v="Chosŏn sidae Han-Chung kwan'gyesa"/>
    <s v="조선 시대 한중 관계사"/>
    <s v="Tongbuga Yŏksa Chaedan (Korea) ^ Han'guk Oegyosa P'yŏnch'an Wiwŏnhoe,"/>
    <s v="동북아 역사 재단 (Korea) ^ 한국 외교사 편찬 위원회, editor"/>
    <s v="Tongbuga Yŏksa Chaedan yŏn'gu ch'ongsŏ ; 85"/>
    <s v="동북아 역사 재단 연구 총서 ; 85"/>
    <x v="1"/>
    <x v="1"/>
    <x v="0"/>
    <s v="n/a"/>
    <s v="n/a"/>
    <s v="n/a"/>
    <s v="Diplomatic and consular service, Korean  --  China  --  History ^ Service diplomatique et consulaire coréen  --  Chine  --  Histoire ^ Diplomatic relations ^ Korea  --  Foreign relations  --  China ^ China  --  Foreign relations  --  Korea ^ Corée  --  Relations extérieures  --  Chine ^ Chine  --  Relations extérieures  --  Corée"/>
    <s v="0"/>
    <m/>
    <m/>
  </r>
  <r>
    <n v="20"/>
    <m/>
    <m/>
    <m/>
    <m/>
    <m/>
    <m/>
    <s v="n/a"/>
    <x v="1"/>
    <s v="/ 85"/>
    <m/>
    <s v="n"/>
    <s v="n"/>
    <s v="n"/>
    <n v="9788961874212"/>
    <n v="8961874217"/>
    <n v="1091629568"/>
    <s v="Korean"/>
    <s v="History of Korea-China Relations during the Joseon Dynasty"/>
    <s v="Chosŏn sidae Han-Chung kwan'gyesa"/>
    <s v="조선 시대 한중 관계사"/>
    <s v="Tongbuga Yŏksa Chaedan (Korea) ^ Han'guk Oegyosa P'yŏnch'an Wiwŏnhoe,"/>
    <s v="동북아 역사 재단 (Korea) ^ 한국 외교사 편찬 위원회, editor"/>
    <s v="Tongbuga Yŏksa Chaedan yŏn'gu ch'ongsŏ ; 85"/>
    <s v="동북아 역사 재단 연구 총서 ; 85"/>
    <x v="1"/>
    <x v="1"/>
    <x v="0"/>
    <s v="n/a"/>
    <s v="n/a"/>
    <s v="n/a"/>
    <s v="Diplomatic and consular service, Korean  --  China  --  History ^ Service diplomatique et consulaire coréen  --  Chine  --  Histoire ^ Diplomatic relations ^ Korea  --  Foreign relations  --  China ^ China  --  Foreign relations  --  Korea ^ Corée  --  Relations extérieures  --  Chine ^ Chine  --  Relations extérieures  --  Corée"/>
    <s v="0"/>
    <m/>
    <m/>
  </r>
  <r>
    <n v="21"/>
    <m/>
    <m/>
    <m/>
    <m/>
    <m/>
    <m/>
    <s v="n/a"/>
    <x v="0"/>
    <m/>
    <m/>
    <s v="https://libcat.colorado.edu/Record/b10840568"/>
    <s v="n"/>
    <s v="n"/>
    <n v="9791128814303"/>
    <s v="n/a"/>
    <n v="1138947257"/>
    <s v="Korean"/>
    <s v="BTS and ARMY Culture"/>
    <s v="BTS wa Ami k'ŏlch'ŏ"/>
    <s v="BTS 와 아미 컬처"/>
    <s v="Ying"/>
    <s v="이 ^ 지행, "/>
    <s v="n/a"/>
    <s v="n/a"/>
    <x v="10"/>
    <x v="1"/>
    <x v="2"/>
    <s v="n/a"/>
    <s v="n/a"/>
    <s v="n/a"/>
    <s v="Fan clubs ^ Popular music fans ^ Popular music  --  Korea (South) ^ Boy bands  --  Korea (South) ^ Rock musicians  --  Korea (South) ^ Musique populaire  --  Fans ^ K-pop ^ Groupes de garçons (Musique)  --  Corée du Sud ^ Musiciens rock  --  Corée du Sud ^ Influence (Literary, artistic, etc.) ^ Subculture ^ BTS (Musical group)  --  Influence"/>
    <s v="0"/>
    <m/>
    <m/>
  </r>
  <r>
    <n v="22"/>
    <m/>
    <m/>
    <m/>
    <m/>
    <m/>
    <m/>
    <s v="n/a"/>
    <x v="2"/>
    <s v="  / 16 "/>
    <m/>
    <s v="n"/>
    <s v="n"/>
    <s v="n"/>
    <n v="9788961875042"/>
    <n v="8961875043"/>
    <n v="1153264620"/>
    <s v="Korean"/>
    <s v="Mt. Baekdu: Nature and History Live and Breathe"/>
    <s v="Paektusan: chayŏn kwa yŏksa ka sara sum shwida"/>
    <s v="백두산: 자연 과 역사 가 살아 숨 쉬다"/>
    <s v="Kang"/>
    <s v="강 ^ 석화, "/>
    <s v="Tongbuga Yŏksa Chaedan kyoyang ch'ongsŏ ; 16"/>
    <s v="동북아 역사 재단 교양 총서 ; 16"/>
    <x v="1"/>
    <x v="1"/>
    <x v="2"/>
    <s v="n/a"/>
    <s v="n/a"/>
    <s v="n/a"/>
    <s v="Nature conservation  --  Korea (North)  --  Paektu Mountain ^ Mountain ecology  --  Korea (North)  --  Paektu Mountain ^ Travel ^ Folklore ^ History ^ Paektu Mountain (Korea)  --  History"/>
    <s v="0"/>
    <m/>
    <m/>
  </r>
  <r>
    <n v="23"/>
    <m/>
    <m/>
    <m/>
    <m/>
    <m/>
    <m/>
    <s v="n/a"/>
    <x v="2"/>
    <s v="/ 04"/>
    <m/>
    <s v="n"/>
    <s v="n"/>
    <s v="n"/>
    <n v="9788961874281"/>
    <n v="8961874284"/>
    <n v="1100471910"/>
    <s v="Korean"/>
    <s v="Yanbian Korean Society and Peaceful Reunification of the Korean Peninsula"/>
    <s v="Yŏnbyŏn Chosŏnjok sahoe wa Hanbando p'yŏnghwa t'ongil"/>
    <s v="연변 조선족 사회 와 한반도 평화 통일"/>
    <s v="Hong, Myŏn-gi"/>
    <s v="홍 ^ 면기"/>
    <s v="Tongbuga Yŏksa Chaedan kyoyang ch'ongsŏ ; 04"/>
    <s v="동북아 역사 재단 교양 총서 ; 04"/>
    <x v="1"/>
    <x v="1"/>
    <x v="0"/>
    <s v="n/a"/>
    <s v="n/a"/>
    <s v="n/a"/>
    <s v="Koreans  --  China  --  Yanbian Chaoxianzu Zizhizhou ^ Chosŏnjok ^ Korean reunification question (1945- ) ^ Coréens  --  Chine  --  Yanbian Chaoxianzu Zizhizhou ^ Question de la réunification de la Corée (1945- ) ^ International relations ^ Yanbian Chaoxianzu Zizhizhou (China) ^ Yanbian Chaoxianzu Zizhizhou (Chine) ^ Korea (South)"/>
    <s v="0"/>
    <m/>
    <m/>
  </r>
  <r>
    <n v="24"/>
    <m/>
    <m/>
    <m/>
    <m/>
    <m/>
    <m/>
    <s v="n/a"/>
    <x v="0"/>
    <s v="/ 09"/>
    <m/>
    <s v="n"/>
    <s v="n"/>
    <s v="n"/>
    <n v="9788961875387"/>
    <n v="8961875388"/>
    <n v="1202609979"/>
    <s v="Korean"/>
    <s v="Unwanted Encounters and Wars with Orangutans: Joe, Cheng Relations and the Sick Horan"/>
    <s v="Wŏnch'i anŭn orangk'ae waŭi mannam kwa chŏnjaeng: Cho, Ch'ŏng kwan'gye wa Pyŏngja Horan"/>
    <s v="원치 않은 오랑캐 와의 만남 과 전쟁: 조, 청 관계 와 병자 호란"/>
    <s v="Han, Myŏng-gi"/>
    <s v="한 ^ 명기"/>
    <s v="Tongbuga Yŏksa Chaedan kyoyang ch'ongsŏ ; 09"/>
    <s v="동북아 역사 재단 교양 총서 ; 09"/>
    <x v="1"/>
    <x v="1"/>
    <x v="4"/>
    <s v="n/a"/>
    <s v="n/a"/>
    <s v="n/a"/>
    <s v="Diplomatic relations ^ Politics and government ^ History ^ 1392-1637 ^ Korea  --  Politics and government  --  1392-1637 ^ Korea  --  Foreign relations  --  China ^ China  --  Foreign relations  --  Korea ^ Korea  --  History  --  Manchu Invasions, 1627-1637 ^ Corée  --  Relations extérieures  --  Chine ^ Chine  --  Relations extérieures  --  Corée ^ Corée  --  Histoire  --  1627-1637 (Invasions mandchoues)"/>
    <s v="0"/>
    <m/>
    <m/>
  </r>
  <r>
    <n v="25.03"/>
    <m/>
    <m/>
    <m/>
    <m/>
    <m/>
    <m/>
    <s v="https://www.amazon.jp/dp/8973750054"/>
    <x v="4"/>
    <s v="3"/>
    <s v="3?"/>
    <s v="n"/>
    <s v="n"/>
    <s v="n"/>
    <n v="9788973750054"/>
    <n v="8973750054"/>
    <n v="1089710650"/>
    <s v="Korean"/>
    <s v="Selected speeches 3 May 10, 2019-May 10, 2020 / Moon, Jae-in, President of the Republic of Korea"/>
    <s v="Selected speeches 3 May 10, 2019-May 10, 2020 / Moon, Jae-in, President of the Republic of Korea"/>
    <s v="n/a"/>
    <s v="Moon1953- ^ VerfasserIn. (Author)"/>
    <s v="n/a"/>
    <s v="n/a"/>
    <s v="n/a"/>
    <x v="5"/>
    <x v="1"/>
    <x v="4"/>
    <s v="n/a"/>
    <s v="n/a"/>
    <s v="n/a"/>
    <s v="n/a"/>
    <s v="0"/>
    <m/>
    <m/>
  </r>
  <r>
    <n v="25.03"/>
    <m/>
    <m/>
    <m/>
    <m/>
    <m/>
    <m/>
    <m/>
    <x v="1"/>
    <s v="3"/>
    <s v="3?"/>
    <s v="n"/>
    <s v="n"/>
    <m/>
    <n v="9788973750054"/>
    <n v="8973750054"/>
    <n v="1089710650"/>
    <s v="Korean"/>
    <s v="n/a"/>
    <s v="Selected speeches 3 May 10, 2019-May 10, 2020 / Moon, Jae-in, President of the Republic of Korea"/>
    <s v="n/a"/>
    <s v="Moon1953- ^ VerfasserIn. (Author)"/>
    <s v="n/a"/>
    <s v="n/a"/>
    <s v="n/a"/>
    <x v="5"/>
    <x v="1"/>
    <x v="4"/>
    <s v="n/a"/>
    <s v="n/a"/>
    <s v="n/a"/>
    <s v="n/a"/>
    <s v="0"/>
    <m/>
    <m/>
  </r>
  <r>
    <n v="25.03"/>
    <m/>
    <m/>
    <m/>
    <m/>
    <m/>
    <m/>
    <s v="https://www.amazon.jp/dp/8973750054"/>
    <x v="1"/>
    <s v="3"/>
    <s v="3?"/>
    <s v="n"/>
    <s v="n"/>
    <s v="n"/>
    <n v="9788973750054"/>
    <n v="8973750054"/>
    <n v="1089710650"/>
    <s v="Korean"/>
    <s v="Selected speeches 3 May 10, 2019-May 10, 2020 / Moon, Jae-in, President of the Republic of Korea"/>
    <s v="Selected speeches 3 May 10, 2019-May 10, 2020 / Moon, Jae-in, President of the Republic of Korea"/>
    <s v="n/a"/>
    <s v="Moon1953- ^ VerfasserIn. (Author)"/>
    <s v="n/a"/>
    <s v="n/a"/>
    <s v="n/a"/>
    <x v="5"/>
    <x v="1"/>
    <x v="4"/>
    <s v="n/a"/>
    <s v="n/a"/>
    <s v="n/a"/>
    <s v="n/a"/>
    <s v="0"/>
    <m/>
    <m/>
  </r>
  <r>
    <n v="26"/>
    <m/>
    <m/>
    <m/>
    <m/>
    <m/>
    <m/>
    <s v="n/a"/>
    <x v="0"/>
    <s v="/ 91"/>
    <m/>
    <s v="n"/>
    <s v="n"/>
    <s v="n"/>
    <n v="9788961874861"/>
    <n v="8961874861"/>
    <n v="1153937766"/>
    <s v="Korean"/>
    <s v="Colonial Liquidation and Yasukuni"/>
    <s v="Singmin ch'ŏngsan kwa Yasŭk'uni"/>
    <s v="식민 청산 과 야스쿠니"/>
    <s v="Nam1968- ^ Pak956- ^ ; Kŭndae ch'ŏnhwangje ideollogi wa kukka sindo, Yasŭk'uni Sinsa"/>
    <s v="남 ^ 상구 ^ 박 ^ 진우 ^ 근대 ^ 천황제 ^ 이데올로기 ^ 와 ^ 국가 ^ 신도, 야스쿠니 ^ 신사"/>
    <s v="Tongbuga Yŏksa Chaedan yŏn'gu ch'ongsŏ ; 91"/>
    <s v="동북아 역사 재단 연구 총서 ; 91"/>
    <x v="1"/>
    <x v="1"/>
    <x v="2"/>
    <s v="n/a"/>
    <s v="n/a"/>
    <s v="n/a"/>
    <s v="Shinto shrines  --  Japan  --  Tokyo ^ Shinto and politics  --  Japan  --  History ^ World War, 1939-1945  --  Conscript labor  --  Japan ^ War victims  --  Legal status, laws, etc.  --  Korea ^ Guerre mondiale, 1939-1945  --  Travail obligatoire  --  Japon ^ Yasukuni Jinja (Tokyo, Japan) ^ 1910-1945 ^ Korea  --  History  --  Japanese occupation, 1910-1945 ^ Corée  --  Histoire  --  1910-1945 (Occupation japonaise)"/>
    <s v="0"/>
    <m/>
    <m/>
  </r>
  <r>
    <n v="26"/>
    <m/>
    <m/>
    <m/>
    <m/>
    <m/>
    <m/>
    <s v="n/a"/>
    <x v="1"/>
    <s v="91"/>
    <s v="n/a"/>
    <s v="n"/>
    <s v="n"/>
    <s v="n"/>
    <n v="9788961874861"/>
    <s v="8961874861"/>
    <n v="1153937766"/>
    <s v="Korean"/>
    <s v="Citizens' Movement and Yasukuni"/>
    <s v="Singmin ch'ŏngsan kwa Yasŭk'uni"/>
    <s v="식민 청산 과 야스쿠니"/>
    <s v="Nam, Sang-gu ^ Pak, Chin-u"/>
    <s v="남 상구 ^ 박 진우 ^ 근대 천황제 이데올로기 와 국가 신도, 야스쿠니 신사"/>
    <s v="Tongbuga Yŏksa Chaedan yŏn'gu ch'ongsŏ ; 91"/>
    <s v="동북아 역사 재단 연구 총서 ; 91"/>
    <x v="1"/>
    <x v="1"/>
    <x v="3"/>
    <s v="n/a"/>
    <s v="Ch'op'an"/>
    <s v="초판"/>
    <s v="Shinto shrines -- Japan -- Tokyo ^ Shinto and politics -- Japan -- History ^ World War, 1939-1945 -- Conscript labor -- Japan ^ War victims -- Legal status, laws, etc. -- Korea ^ Shinto and politics ^ Shinto shrines ^ War victims -- Legal status, laws, etc ^ 靖国神社 (Tokyo, Japan) ^ Yasukuni Jinja (Tokyo, Japan) ^ Yasukuni Jinja (Tokyo, Japan) ^ History ^ 1910-1945 ^ Korea -- History -- Japanese occupation, 1910-1945 ^ Japan ^ Japan -- Tokyo ^ Korea"/>
    <s v="0"/>
    <m/>
    <m/>
  </r>
  <r>
    <n v="27"/>
    <m/>
    <m/>
    <m/>
    <m/>
    <m/>
    <m/>
    <s v="n/a"/>
    <x v="0"/>
    <s v="1 / 107"/>
    <n v="2"/>
    <s v="n"/>
    <s v="n"/>
    <s v="n"/>
    <n v="9788961875349"/>
    <n v="8961875345"/>
    <n v="1237790744"/>
    <s v="Korean"/>
    <s v="a landmark of historical reconciliation. 1, Find the theoretical basis"/>
    <s v="Yŏksa hwahae ŭi ijongp'yo: 1, Ironjŏk kich'o rŭl ch'ajasŏ"/>
    <s v="역사 화해 의 이정표. 1, 이론적 기초 를 찾아서"/>
    <s v="Sin, Ch'ŏr-hŭi ^ Mak'iabelli &quot;P'irench'esa&quot; e nat'anan kongdongch'e ŭi kaltŭng kwa hwahae ŭi munje.Yi, Pyŏng-t'aek"/>
    <s v="신 ^ 철희 ^ 마키아벨리 ^ &quot;피렌체사&quot; ^ 에 ^ 나타난 ^ 공동체 ^ 의 ^ 갈등 ^ 과 ^ 화해 ^ 문제 ^ 이 ^ 병택, "/>
    <s v="Tongbuga Yŏksa Chaedan yŏn'gu ch'ongsŏ ; 107"/>
    <s v="동북아 역사 재단 연구 총서 ; 107"/>
    <x v="1"/>
    <x v="1"/>
    <x v="4"/>
    <s v="n/a"/>
    <s v="n/a"/>
    <s v="n/a"/>
    <s v="Reconciliation  --  Political aspects ^ World politics ^ Réconciliation  --  Aspect politique ^ Politique mondiale ^ Diplomatic relations ^ International relations ^ History ^ East Asia  --  History ^ Extrême-Orient  --  Histoire"/>
    <s v="0"/>
    <m/>
    <m/>
  </r>
  <r>
    <n v="28"/>
    <m/>
    <m/>
    <m/>
    <m/>
    <m/>
    <m/>
    <s v="n/a"/>
    <x v="3"/>
    <s v="/ 05"/>
    <m/>
    <s v="n"/>
    <s v="n"/>
    <s v="n"/>
    <n v="9791185928111"/>
    <s v="n/a"/>
    <n v="1120052711"/>
    <s v="Korean"/>
    <s v="Ghosts live in my grandfather's house"/>
    <s v="Harabŏji chip enŭn kwisin i sanda"/>
    <s v="할아버지 집 에는 귀신 이 산다"/>
    <s v="Yi, Yŏng-a ^ , illustrator"/>
    <s v="이 ^ 영아, , illustrator"/>
    <s v="Kkum kkunŭn kŭrimch'aek ; 5"/>
    <s v="꿈 꾸는 그림책 ; 5"/>
    <x v="11"/>
    <x v="1"/>
    <x v="11"/>
    <s v="n/a"/>
    <s v="n/a"/>
    <s v="n/a"/>
    <s v="Sepulchral monuments  --  Korea (South)  --  Pusan  --  History  --  Juvenile fiction ^ Cemeteries  --  Korea (South)  --  Pusan  --  Juvenile fiction ^ Korean War, 1950-1953  --  History  --  Juvenile fiction ^ Cimetières  --  Corée du Sud  --  Pusan  --  Romans, nouvelles, etc. pour la jeunesse ^ Guerre de Corée, 1950-1953  --  Histoire  --  Romans, nouvelles, etc. pour la jeunesse ^ Ghosts ^ ghost stories ^ Juvenile works ^ Histoires de fantômes"/>
    <s v="0"/>
    <m/>
    <m/>
  </r>
  <r>
    <n v="29"/>
    <m/>
    <m/>
    <m/>
    <m/>
    <m/>
    <m/>
    <s v="n/a"/>
    <x v="0"/>
    <s v="/84"/>
    <m/>
    <s v="n"/>
    <s v="n"/>
    <s v="n"/>
    <n v="9788961874205"/>
    <n v="8961874209"/>
    <n v="1101121051"/>
    <s v="Korean"/>
    <s v="Japan Conference and the Abe administration's rightward shift"/>
    <s v="'Ilbon Hoeŭi' wa Abe chŏngkwŏn ŭi ugyŏnghwa"/>
    <s v="'일본 회의' 와 아베 정권 의 우경화"/>
    <s v="Chogu ^ Ilbon Hoeŭi ŭi yŏksa insik kwa kyoyukkwan : Murayama tamhwa chŏngsin e taehan tojŏn.Yi, Myŏng-ch'an ^ Yi, Ki-tʻae ^ Kim̆n ^ Tongbuga Yŏksa Chaedan (Korea),"/>
    <s v="조 ^ 진구 ^ 일본 ^ 회의 ^ 역사 ^ 인식 ^ 과 ^ 교육관 ^ : ^ 무라야마 ^ 담화 ^ 정신 ^ 에 ^ 대한 ^ 도전 ^ 이 ^ 명찬,  ^ 진구,  ^ 기태,  ^ 김 ^ 숙현,  ^ 동북아 역사 재단 (Korea), issuing body"/>
    <s v="Tongbuga Yŏksa Chaedan yŏn'gu ch'ongsŏ ; 84"/>
    <s v="동북아 역사 재단 연구 총서 ; 84"/>
    <x v="1"/>
    <x v="1"/>
    <x v="0"/>
    <s v="n/a"/>
    <s v="n/a"/>
    <s v="n/a"/>
    <s v="Right-wing extremists  --  Japan ^ Nationalism  --  Japan ^ Extrémistes de droite  --  Japon ^ Nationalisme  --  Japon ^ Politics and government ^ Abe, Shinzō, 1954-2022 ^ 2000-2099 ^ Japan  --  Politics and government  --  21st century ^ Japon  --  Politique et gouvernement  --  21e siècle"/>
    <s v="0"/>
    <m/>
    <m/>
  </r>
  <r>
    <n v="30"/>
    <m/>
    <m/>
    <m/>
    <m/>
    <m/>
    <m/>
    <s v="n/a"/>
    <x v="2"/>
    <s v="/88"/>
    <m/>
    <s v="n"/>
    <s v="n"/>
    <s v="n"/>
    <n v="9788961874755"/>
    <n v="8961874756"/>
    <n v="1129296320"/>
    <s v="Korean"/>
    <s v="Imperial Duality: Korea, Japan, and Russia surrounding modern Dokdo"/>
    <s v="Cheguk ŭi ijungsŏng: kŭndae Tokto rŭl tullŏssan Han'guk, Ilbon, Rŏsia"/>
    <s v="제국 의 이중성: 근대 독도 를 둘러싼 한국, 일본, 러시아"/>
    <s v="Kim, Yŏng-su (Professor of history)"/>
    <s v="김 ^ 영수 ^ (Professor ^ history), "/>
    <s v="Tongbuga yŏksa chaedan yŏn'gu ch'ongsŏ ; 88"/>
    <s v="동북아 역사 재단 연구 총서 ; 88"/>
    <x v="1"/>
    <x v="1"/>
    <x v="2"/>
    <s v="n/a"/>
    <s v="n/a"/>
    <s v="n/a"/>
    <s v="Territory, National  --  Korea ^ Territoire national  --  Corée ^ Discoveries in geography ^ History ^ 1800-1899 ^ Tok Island (Korea)  --  History ^ Ullŭng Island (Korea)  --  History ^ Tok Island (Korea)  --  International status ^ East Asia  --  Foreign relations  --  20th century ^ Korea  --  Foreign relations  --  Japan ^ Japan  --  Foreign relations  --  Korea ^ Korea  --  Foreign relations  --  Russia ^ Russia  --  Foreign relations  --  Korea ^ Liancourt, Rochers de  --  Histoire ^ Liancourt, Rochers de  --  Statut international ^ Corée  --  Relations extérieures  --  Japon ^ Japon  --  Relations extérieures  --  Corée ^ Corée  --  Relations extérieures  --  Russie ^ Korea (South)  --  Tok Island"/>
    <s v="0"/>
    <m/>
    <m/>
  </r>
  <r>
    <n v="31"/>
    <m/>
    <m/>
    <m/>
    <m/>
    <m/>
    <m/>
    <s v="n/a"/>
    <x v="0"/>
    <m/>
    <m/>
    <s v="n"/>
    <s v="n"/>
    <s v="n"/>
    <n v="9788973166596"/>
    <s v="897316659X"/>
    <n v="1202667456"/>
    <s v="Korean"/>
    <s v="Joseon Dynasty and Landscape Literature"/>
    <s v="Chosŏnjo sarim kwa sansu munhak"/>
    <s v="조선조 士林 과 산수 문학"/>
    <s v="Son, O-gyu"/>
    <s v="손 ^ 오규, "/>
    <s v="n/a"/>
    <s v="n/a"/>
    <x v="12"/>
    <x v="1"/>
    <x v="4"/>
    <s v="n/a"/>
    <s v="n/a"/>
    <s v="n/a"/>
    <s v="Landscapes in literature ^ Korean literature  --  1392-1894  --  History and criticism ^ Korean poetry  --  1392-1894  --  History and criticism ^ Paysages dans la littérature ^ Littérature coréenne  --  1392-1894  --  Histoire et critique ^ Poésie coréenne  --  1392-1894  --  Histoire et critique ^ Criticism, interpretation, etc"/>
    <s v="0"/>
    <m/>
    <m/>
  </r>
  <r>
    <n v="32"/>
    <m/>
    <m/>
    <m/>
    <m/>
    <m/>
    <m/>
    <s v="n/a"/>
    <x v="0"/>
    <s v="/ 44"/>
    <m/>
    <s v="n"/>
    <s v="n"/>
    <s v="n"/>
    <n v="9788955594218"/>
    <n v="8955594216"/>
    <n v="1098012325"/>
    <s v="Korean"/>
    <s v="The Wisdom of Social Education in Seodang in Joseon: Distribution and Change of Seodang in Andong in the 16th Century"/>
    <s v="Chosŏn ŭi sŏdang esŏ paeunŭn sahoejŏk kyoyuk ŭi chihye: 16-segi Andong chiyŏk sŏdang punp'o wa pyŏnhwa yangsang"/>
    <s v="조선 의 서당 에서 배우는 사회적 교육 의 지혜: 16세기 안동 지역 서당 분포 와 변화 양상"/>
    <s v="Yi, Pyŏng-hun ^ ; 16-segi Andong chiyŏk chaeji sajok ŭi sŏngjang kwa sŏdang kŏllip hwaltong"/>
    <s v="이 ^ 병훈 ^ 16세기 ^ 안동 ^ 지역 ^ 재지 ^ 사족 ^ 의 ^ 성장 ^ 과 ^ 서당 ^ 건립 ^ 활동"/>
    <s v="Kukhak charyo simch'ŭng yŏn'gu ch'ongsŏ ; 14"/>
    <s v="국학 자료 심층 연구 총서 ; 14"/>
    <x v="13"/>
    <x v="1"/>
    <x v="0"/>
    <s v="n/a"/>
    <s v="n/a"/>
    <s v="n/a"/>
    <s v="Private schools  --  Korea (South)  --  Andong-gun ^ Confucian shrines  --  Korea (South)  --  Andong-gun ^ Education  --  Korea  --  History ^ Éducation  --  Corée  --  Histoire"/>
    <s v="0"/>
    <m/>
    <m/>
  </r>
  <r>
    <n v="33"/>
    <m/>
    <m/>
    <m/>
    <m/>
    <m/>
    <m/>
    <s v="n/a"/>
    <x v="0"/>
    <m/>
    <m/>
    <s v="n"/>
    <s v="n"/>
    <s v="n"/>
    <n v="9788966377282"/>
    <n v="8966377289"/>
    <n v="1143693726"/>
    <s v="Korean"/>
    <s v="The investigation and perception of pure Korean poetry by westerners in the early modern times"/>
    <s v="Kŭndae ch'ogi sŏyangin ŭi sunsu Han'guk siga t'amsaek kwa insik = The investigation and perception of pure Korean poetry by westerners in the early modern times"/>
    <s v="근대 초기 서양인 의 순수 한국 시가 탐색 과 인식"/>
    <s v="Song"/>
    <s v="송 ^ 민규, "/>
    <s v="n/a"/>
    <s v="n/a"/>
    <x v="14"/>
    <x v="1"/>
    <x v="2"/>
    <s v="n/a"/>
    <s v="n/a"/>
    <s v="n/a"/>
    <s v="Korean poetry  --  Translations into English  --  History and criticism ^ Korean poetry  --  To 1900  --  History and criticism ^ Korean poetry  --  1894-1919  --  History and criticism ^ Poésie coréenne  --  Jusqu'à 1900  --  Histoire et critique ^ Poésie coréenne  --  1894-1919  --  Histoire et critique ^ Criticism, interpretation, etc ^ To 1919"/>
    <s v="0"/>
    <m/>
    <m/>
  </r>
  <r>
    <n v="34.01"/>
    <m/>
    <m/>
    <m/>
    <m/>
    <m/>
    <m/>
    <s v="n/a"/>
    <x v="0"/>
    <s v="1 / 55"/>
    <n v="3"/>
    <s v="n"/>
    <s v="n"/>
    <s v="n"/>
    <n v="9788961875172"/>
    <n v="8961875175"/>
    <n v="1152529350"/>
    <s v="Korean"/>
    <s v="a collection of ancient Korean history. Gojoseon, Buyeo, and"/>
    <s v="Han'guk kodaesa charyojip: Kojosŏn, Puyŏ p'yŏn"/>
    <s v="한국 고대사 자료집. 고조선, 부여 편"/>
    <s v="Tongbuga Yŏksa Chaedan (Korea) ^ Han'guk Kojungsesa Yŏn'guso,"/>
    <s v="동북아 역사 재단 (Korea) ^ 한국 고중세사 연구소, issuing body"/>
    <s v="Tongbuga yŏksa charyo ch'ongsŏ ; 55"/>
    <s v="동북아 역사 자료 총서 ; 55"/>
    <x v="1"/>
    <x v="1"/>
    <x v="10"/>
    <s v="n/a"/>
    <s v="n/a"/>
    <s v="n/a"/>
    <s v="Historiography ^ History ^ Sources ^ Korea  --  History  --  To 935  --  Historiography ^ Korea  --  History  --  To 935  --  Sources ^ Kojosŏn (Kingdom)  --  Historiography ^ Puyŏ (Ancient kingdom)  --  Historiography ^ Corée  --  Histoire  --  Jusqu'à 935  --  Historiographie ^ Corée  --  Histoire  --  Jusqu'à 935  --  Sources"/>
    <s v="0"/>
    <m/>
    <m/>
  </r>
  <r>
    <n v="34.020000000000003"/>
    <m/>
    <m/>
    <m/>
    <m/>
    <m/>
    <m/>
    <s v="n/a"/>
    <x v="0"/>
    <s v="2 / 55"/>
    <n v="3"/>
    <s v="n"/>
    <s v="n"/>
    <s v="n"/>
    <n v="9788961875585"/>
    <n v="8961875582"/>
    <n v="1152529350"/>
    <s v="Korean"/>
    <s v="a collection of ancient Korean history. Gojoseon, Buyeo, and"/>
    <s v="Han'guk kodaesa charyojip: Kojosŏn, Puyŏ p'yŏn"/>
    <s v="한국 고대사 자료집. 고조선, 부여 편"/>
    <s v="Tongbuga Yŏksa Chaedan (Korea) ^ Han'guk Kojungsesa Yŏn'guso,"/>
    <s v="동북아 역사 재단 (Korea) ^ 한국 고중세사 연구소, issuing body"/>
    <s v="Tongbuga yŏksa charyo ch'ongsŏ ; 55"/>
    <s v="동북아 역사 자료 총서 ; 55"/>
    <x v="1"/>
    <x v="1"/>
    <x v="10"/>
    <s v="n/a"/>
    <s v="n/a"/>
    <s v="n/a"/>
    <s v="Historiography ^ History ^ Sources ^ Korea  --  History  --  To 935  --  Historiography ^ Korea  --  History  --  To 935  --  Sources ^ Kojosŏn (Kingdom)  --  Historiography ^ Puyŏ (Ancient kingdom)  --  Historiography ^ Corée  --  Histoire  --  Jusqu'à 935  --  Historiographie ^ Corée  --  Histoire  --  Jusqu'à 935  --  Sources"/>
    <s v="0"/>
    <m/>
    <m/>
  </r>
  <r>
    <n v="35"/>
    <m/>
    <m/>
    <m/>
    <m/>
    <m/>
    <m/>
    <s v="n/a"/>
    <x v="0"/>
    <m/>
    <m/>
    <s v="n"/>
    <s v="n"/>
    <s v="n"/>
    <n v="9788961874359"/>
    <n v="8961874357"/>
    <n v="1201290035"/>
    <s v="Korean"/>
    <s v="The Compilation of Hanwon(翰苑) and Foreign Countries"/>
    <s v="Yŏkchu Hanwŏn"/>
    <s v="譯註 翰苑"/>
    <s v="Zhang, Chujin, active 7th century ^ Tongbuga Yŏksa Chaedan (Korea) ^ Han'guk Kojungsesa Yŏn'guso,"/>
    <s v="張楚金, active ^ 7th ^ century,  ^ 동북아 역사 재단 (Korea) ^ 한국 고중세사 연구소, editor"/>
    <s v="Tongbuga yŏksa charyo ch'ongsŏ ; 52"/>
    <s v="동북아 역사 자료 총서 ; 52"/>
    <x v="1"/>
    <x v="1"/>
    <x v="0"/>
    <s v="n/a"/>
    <s v="n/a"/>
    <s v="n/a"/>
    <s v="Tang Dynasty (China) ^ History ^ 618-907 ^ East Asia  --  History ^ Extrême-Orient  --  Histoire ^ Korea ^ Han yuan (Zhang, Chujin)"/>
    <s v="0"/>
    <m/>
    <m/>
  </r>
  <r>
    <n v="36"/>
    <m/>
    <m/>
    <m/>
    <m/>
    <m/>
    <m/>
    <s v="n/a"/>
    <x v="2"/>
    <s v="/ 51"/>
    <n v="2"/>
    <s v="n"/>
    <s v="n"/>
    <s v="n"/>
    <n v="9788961874311"/>
    <n v="8961874314"/>
    <n v="1119739486"/>
    <s v="Korean"/>
    <s v="A Study on the Ancient East Asian Stone Sculpture Data"/>
    <s v="Kodae Tong Asia sŏkkak charyo yŏn'gu"/>
    <s v="고대 동 아시아 석각 자료 연구"/>
    <s v="Yi, Sŏng-je"/>
    <s v="이 ^ 성제"/>
    <s v="Tongbuga yŏksa charyo ch'ongsŏ ; 51"/>
    <s v="동북아 역사 자료 총서 ; 51"/>
    <x v="1"/>
    <x v="1"/>
    <x v="0"/>
    <s v="n/a"/>
    <s v="n/a"/>
    <s v="n/a"/>
    <s v="Stone carving  --  East Asia  --  History"/>
    <s v="0"/>
    <m/>
    <m/>
  </r>
  <r>
    <n v="37"/>
    <m/>
    <m/>
    <m/>
    <m/>
    <m/>
    <m/>
    <s v="n/a"/>
    <x v="0"/>
    <s v="/ 53"/>
    <s v="3?"/>
    <s v="n"/>
    <s v="n"/>
    <s v="n"/>
    <n v="9788961875233"/>
    <s v="896187523X"/>
    <n v="1200747426"/>
    <s v="Korean"/>
    <s v="n/a"/>
    <s v="P'yŏnyŏk Sadae mun'gwe"/>
    <s v="편역 事大 文軌"/>
    <s v="Yi, Chŏng-il ^ ; compiler.Kim ^ ; writer of added commentary.Kim, Kyŏng-t'ae; 1979 September 16- ^ ; writer of added commentary.Chang, Chŏng-su"/>
    <s v="이 ^ 정일 ^ compiler ^ 김 ^ 한신 ^ , writer ^ of ^ added ^ commentary ^ 경태, 1979 ^ September ^ 16- ^ 장 ^ 정수"/>
    <s v="Tongbuga yŏksa charyo ch'ongsŏ ; 53, etc"/>
    <s v="동북아 역사 자료 총서 ; 53, etc"/>
    <x v="1"/>
    <x v="1"/>
    <x v="12"/>
    <s v="n/a"/>
    <s v="n/a"/>
    <s v="n/a"/>
    <s v="Diplomatic relations ^ History ^ Sources ^ 1368-1644 ^ Korea  --  Foreign relations  --  China  --  Sources ^ China  --  Foreign relations  --  Korea  --  Sources ^ Korea  --  History  --  1392-1637  --  Sources ^ China  --  History  --  Ming dynasty, 1368-1644  --  Sources ^ Corée  --  Relations extérieures  --  Chine  --  Sources ^ Chine  --  Relations extérieures  --  Corée  --  Sources ^ Corée  --  Histoire  --  1392-1637  --  Sources ^ Chine  --  Histoire  --  1368-1644 (Dynastie des Ming)  --  Sources"/>
    <s v="0"/>
    <m/>
    <m/>
  </r>
  <r>
    <n v="38"/>
    <m/>
    <m/>
    <m/>
    <m/>
    <m/>
    <m/>
    <s v="n/a"/>
    <x v="0"/>
    <m/>
    <m/>
    <s v="n"/>
    <s v="n"/>
    <s v="n"/>
    <n v="9788961874892"/>
    <n v="8961874896"/>
    <n v="1149088109"/>
    <s v="Korean"/>
    <s v="Memorial Monument to the Victims of Korean Residents in Japan: The Truth of History is Deeply Engraved"/>
    <s v="Ilbon chiyŏk Chosŏnin hŭisaengja ch'udobi: yŏksa ŭi chinsil ŭl kasŭm kip'i saegida"/>
    <s v="일본 지역 조선인 희생자 추도비: 역사 의 진실 을 가슴 깊이 새기다"/>
    <s v="Chosŏnin Kangje Yŏnhaeng Chinsang Chosadan,"/>
    <s v="조선인 강제 연행 진상 조사단, editor"/>
    <s v="n/a"/>
    <s v="n/a"/>
    <x v="1"/>
    <x v="1"/>
    <x v="2"/>
    <s v="n/a"/>
    <s v="n/a"/>
    <s v="n/a"/>
    <s v="Foreign workers, Korean  --  Monuments  --  Japan ^ Koreans  --  Monuments  --  Japan ^ Sino-Japanese War, 1937-1945  --  Conscript labor  --  Japan ^ War victims  --  Monuments  --  Japan ^ World War, 1939-1945  --  Conscript labor  --  Japan ^ World War, 1939-1945  --  Atrocities  --  Japan ^ Travailleurs étrangers coréens  --  Monuments  --  Japon ^ Guerre sino-japonaise, 1937-1945  --  Travail obligatoire  --  Japon ^ Guerre mondiale, 1939-1945  --  Travail obligatoire  --  Japon ^ Guerre mondiale, 1939-1945  --  Atrocités  --  Japon ^ Diplomatic relations ^ Forced labor ^ War memorials ^ 1900-1999"/>
    <s v="0"/>
    <m/>
    <m/>
  </r>
  <r>
    <n v="39"/>
    <m/>
    <m/>
    <m/>
    <m/>
    <m/>
    <m/>
    <s v="n/a"/>
    <x v="1"/>
    <m/>
    <m/>
    <s v="https://libcat.colorado.edu/Record/b11901832"/>
    <s v="https://libcat.colorado.edu/Record/b11901832"/>
    <s v="y"/>
    <n v="9788961874403"/>
    <n v="8961874403"/>
    <n v="1240263770"/>
    <s v="Korean"/>
    <s v="History Issues between Korea and Japan on 20 Topics"/>
    <s v="20-kae chuje ro pon Han-Il yŏksa chaengchŏm"/>
    <s v="20개 주제 로 본 한일 역사 쟁점"/>
    <s v="Nam1968- ^ Yŏnsu ^ Waegok toen yŏksasang i mandŭrŏnaen Imna Ilbonbu.Nam1968-"/>
    <s v="남 ^ 상구 ^ 연 ^ 민수 ^ 왜곡 ^ 된 ^ 역사상 ^ 이 ^ 만들어낸 ^ 임나 ^ 일본부"/>
    <s v="n/a"/>
    <s v="n/a"/>
    <x v="1"/>
    <x v="1"/>
    <x v="2"/>
    <s v="n/a"/>
    <s v="n/a"/>
    <s v="n/a"/>
    <s v="Diplomatic relations ^ Korea  --  Foreign relations  --  Japan ^ Japan  --  Foreign relations  --  Korea ^ Corée  --  Relations extérieures  --  Japon ^ Japon  --  Relations extérieures  --  Corée"/>
    <s v="0"/>
    <m/>
    <m/>
  </r>
  <r>
    <n v="39"/>
    <m/>
    <m/>
    <m/>
    <m/>
    <m/>
    <m/>
    <s v="n/a"/>
    <x v="1"/>
    <s v="n/a"/>
    <s v="n/a"/>
    <s v="https://libcat.colorado.edu/Record/b11901832"/>
    <s v="https://libcat.colorado.edu/Record/b11901832"/>
    <s v="y"/>
    <n v="9788961874403"/>
    <s v="8961874403"/>
    <n v="1240263770"/>
    <s v="Korean"/>
    <s v="Exploring Korean History through 20 Key Moments"/>
    <s v="20-kae chuje ro pon Han-Il yŏksa chaengchŏm"/>
    <s v="20개 주제 로 본 한일 역사 쟁점"/>
    <s v="Nam, Sang-gu ^ Yŏn, Min-su ^ Nam, Sang-gu"/>
    <s v="남 상구 ^ 연 민수 ^ 왜곡 된 역사상 이 만들어낸 임나 일본부 ^ 남 상구"/>
    <s v="n/a"/>
    <s v="n/a"/>
    <x v="1"/>
    <x v="1"/>
    <x v="3"/>
    <s v="n/a"/>
    <s v="Ch'op'an"/>
    <s v="초판"/>
    <s v="Diplomatic relations ^ Korea -- Foreign relations -- Japan ^ Japan -- Foreign relations -- Korea ^ Japan ^ Korea"/>
    <s v="0"/>
    <m/>
    <m/>
  </r>
  <r>
    <n v="40"/>
    <m/>
    <m/>
    <m/>
    <m/>
    <m/>
    <m/>
    <s v="n/a"/>
    <x v="3"/>
    <m/>
    <m/>
    <s v="https://libcat.colorado.edu/Record/b12063879"/>
    <s v="n"/>
    <s v="y"/>
    <n v="9788961874878"/>
    <s v="896187487X"/>
    <n v="1226504775"/>
    <s v="Korean"/>
    <s v="2017년 러시아 연해주 크라스노야르스크 정착지에 대한 고고학적 연구"/>
    <s v="Yŏnhaeju K'ŭrasŭk'ino Parhaesŏng 2017-yŏndo palgul chosa = Archeologičeskie issledovanija na kraskinskom gorodišče v primorskom krae rossii v 2017 godu"/>
    <s v="연해주 크라스키노 발해성 2017년도 발굴 조사"/>
    <s v="Institut istorii, arkheologii i ėtnografii narodov Dalʹnego Vostoka (Rossiĭskai︠a︡ akademii︠a︡ nauk),"/>
    <s v="동북아 역사 재단 (Korea) ^ 한국 고중세사 연구소, editor ^ Институт истории, археологии и этнографии народов Дальнего Востока (Российская академия наук), editor"/>
    <s v="n/a"/>
    <s v="n/a"/>
    <x v="1"/>
    <x v="1"/>
    <x v="2"/>
    <s v="n/a"/>
    <s v="n/a"/>
    <s v="n/a"/>
    <s v="Excavations (Archaeology)  --  Russia (Federation)  --  Primorskiĭ kraĭ ^ Historic sites  --  Russia (Federation)  --  Primorskiĭ kraĭ ^ Historic sites  --  Korea (North) ^ Fortification  --  Russia (Federation)  --  Primorskiĭ kraĭ ^ Fouilles (Archéologie)  --  Russie  --  Primorski Kraj ^ Lieux historiques  --  Russie  --  Primorski Kraj ^ Lieux historiques  --  Corée du Nord ^ Antiquities ^ Civilization ^ To 935 ^ Bohai (Kingdom)  --  Antiquities ^ Bohai (Kingdom)  --  Civilization ^ Korea  --  Civilization  --  To 935 ^ Primorskiĭ kraĭ (Russia)  --  Antiquities ^ Corée  --  Civilisation  --  Jusqu'à 935 ^ Asia  --  Bohai (Kingdom)"/>
    <s v="0"/>
    <m/>
    <m/>
  </r>
  <r>
    <n v="40"/>
    <m/>
    <m/>
    <m/>
    <m/>
    <m/>
    <m/>
    <s v="n/a"/>
    <x v="1"/>
    <m/>
    <m/>
    <s v="https://libcat.colorado.edu/Record/b12063879"/>
    <s v="n"/>
    <s v="y"/>
    <n v="9788961874878"/>
    <s v="896187487X"/>
    <n v="1226504775"/>
    <s v="Korean"/>
    <s v="2017 Excavation Survey of Kraskino Balhae Castle in Primorsky Krai"/>
    <s v="Yŏnhaeju K'ŭrasŭk'ino Parhaesŏng 2017-yŏndo palgul chosa = Archeologičeskie issledovanija na kraskinskom gorodišče v primorskom krae rossii v 2017 godu"/>
    <s v="연해주 크라스키노 발해성 2017년도 발굴 조사"/>
    <s v="Institut istorii, arkheologii i ėtnografii narodov Dalʹnego Vostoka (Rossiĭskai︠a︡ akademii︠a︡ nauk),"/>
    <s v="동북아 역사 재단 (Korea) ^ 한국 고중세사 연구소, editor ^ Институт истории, археологии и этнографии народов Дальнего Востока (Российская академия наук), editor"/>
    <s v="n/a"/>
    <s v="n/a"/>
    <x v="1"/>
    <x v="1"/>
    <x v="2"/>
    <s v="n/a"/>
    <s v="n/a"/>
    <s v="n/a"/>
    <s v="Excavations (Archaeology)  --  Russia (Federation)  --  Primorskiĭ kraĭ ^ Historic sites  --  Russia (Federation)  --  Primorskiĭ kraĭ ^ Historic sites  --  Korea (North) ^ Fortification  --  Russia (Federation)  --  Primorskiĭ kraĭ ^ Fouilles (Archéologie)  --  Russie  --  Primorski Kraj ^ Lieux historiques  --  Russie  --  Primorski Kraj ^ Lieux historiques  --  Corée du Nord ^ Antiquities ^ Civilization ^ To 935 ^ Bohai (Kingdom)  --  Antiquities ^ Bohai (Kingdom)  --  Civilization ^ Korea  --  Civilization  --  To 935 ^ Primorskiĭ kraĭ (Russia)  --  Antiquities ^ Corée  --  Civilisation  --  Jusqu'à 935 ^ Asia  --  Bohai (Kingdom)"/>
    <s v="0"/>
    <m/>
    <m/>
  </r>
  <r>
    <n v="41"/>
    <m/>
    <m/>
    <m/>
    <m/>
    <m/>
    <m/>
    <s v="n/a"/>
    <x v="3"/>
    <m/>
    <m/>
    <s v="n"/>
    <s v="n"/>
    <s v="n"/>
    <n v="9788961874229"/>
    <n v="8961874225"/>
    <n v="1119727904"/>
    <s v="Korean"/>
    <s v="2015 Excavation Survey of Kraskino Balhae Castle in Primorsky Krai"/>
    <s v="Yŏnhaeju K'ŭrasŭk'ino Parhaesŏng 2015-yŏndo palgul chosa = Archeologičeskie issledovanija na kraskinskom gorodišče v primorskom krae rossii v 2015 godu"/>
    <s v="연해주 크라스키노 발해성 2015년도 발굴 조사"/>
    <s v="Institut istorii, arkheologii i ėtnografii narodov Dalʹnego Vostoka (Rossiĭskai︠a︡ akademii︠a︡ nauk),"/>
    <s v="동북아 역사 재단 (Korea) ^ 한국 고중세사 연구소, editor ^ Институт истории, археологии и этнографии народов Дальнего Востока (Российская академия наук), editor"/>
    <s v="n/a"/>
    <s v="n/a"/>
    <x v="1"/>
    <x v="1"/>
    <x v="0"/>
    <s v="n/a"/>
    <s v="n/a"/>
    <s v="n/a"/>
    <s v="Excavations (Archaeology)  --  Russia (Federation)  --  Primorskiĭ kraĭ ^ Historic sites  --  Russia (Federation)  --  Primorskiĭ kraĭ ^ Historic sites  --  Korea (North) ^ Fortification  --  Russia (Federation)  --  Primorskiĭ kraĭ ^ Fouilles (Archéologie)  --  Russie  --  Primorski Kraj ^ Lieux historiques  --  Russie  --  Primorski Kraj ^ Lieux historiques  --  Corée du Nord ^ Antiquities ^ Civilization ^ To 935 ^ Bohai (Kingdom)  --  Antiquities ^ Bohai (Kingdom)  --  Civilization ^ Korea  --  Civilization  --  To 935 ^ Primorskiĭ kraĭ (Russia)  --  Antiquities ^ Corée  --  Civilisation  --  Jusqu'à 935 ^ Asia  --  Bohai (Kingdom)"/>
    <s v="0"/>
    <m/>
    <m/>
  </r>
  <r>
    <n v="41"/>
    <m/>
    <m/>
    <m/>
    <m/>
    <m/>
    <m/>
    <s v="n/a"/>
    <x v="1"/>
    <m/>
    <m/>
    <s v="n"/>
    <s v="n"/>
    <s v="n"/>
    <n v="9788961874229"/>
    <n v="8961874225"/>
    <n v="1119727904"/>
    <s v="Korean"/>
    <s v="2015 Excavation Survey of Kraskino Balhae Castle in Primorsky Krai"/>
    <s v="Yŏnhaeju K'ŭrasŭk'ino Parhaesŏng 2015-yŏndo palgul chosa = Archeologičeskie issledovanija na kraskinskom gorodišče v primorskom krae rossii v 2015 godu"/>
    <s v="연해주 크라스키노 발해성 2015년도 발굴 조사"/>
    <s v="Institut istorii, arkheologii i ėtnografii narodov Dalʹnego Vostoka (Rossiĭskai︠a︡ akademii︠a︡ nauk),"/>
    <s v="동북아 역사 재단 (Korea) ^ 한국 고중세사 연구소, editor ^ Институт истории, археологии и этнографии народов Дальнего Востока (Российская академия наук), editor"/>
    <s v="n/a"/>
    <s v="n/a"/>
    <x v="1"/>
    <x v="1"/>
    <x v="0"/>
    <s v="n/a"/>
    <s v="n/a"/>
    <s v="n/a"/>
    <s v="Excavations (Archaeology)  --  Russia (Federation)  --  Primorskiĭ kraĭ ^ Historic sites  --  Russia (Federation)  --  Primorskiĭ kraĭ ^ Historic sites  --  Korea (North) ^ Fortification  --  Russia (Federation)  --  Primorskiĭ kraĭ ^ Fouilles (Archéologie)  --  Russie  --  Primorski Kraj ^ Lieux historiques  --  Russie  --  Primorski Kraj ^ Lieux historiques  --  Corée du Nord ^ Antiquities ^ Civilization ^ To 935 ^ Bohai (Kingdom)  --  Antiquities ^ Bohai (Kingdom)  --  Civilization ^ Korea  --  Civilization  --  To 935 ^ Primorskiĭ kraĭ (Russia)  --  Antiquities ^ Corée  --  Civilisation  --  Jusqu'à 935 ^ Asia  --  Bohai (Kingdom)"/>
    <s v="0"/>
    <m/>
    <m/>
  </r>
  <r>
    <n v="42"/>
    <m/>
    <m/>
    <m/>
    <m/>
    <m/>
    <m/>
    <s v="n/a"/>
    <x v="3"/>
    <m/>
    <m/>
    <s v="n"/>
    <s v="n"/>
    <s v="n"/>
    <n v="9788961875073"/>
    <n v="8961875078"/>
    <n v="1226514374"/>
    <s v="Korean"/>
    <s v="2018 Excavation Survey of Kraskino Balhae Castle in Primorsky Krai"/>
    <s v="Yŏnhaeju K'ŭrasŭk'ino Parhaesŏng 2018-yŏndo palgul chosa = Archeologičeskie issledovanija na kraskinskom gorodišče v primorskom krae rossii v 2018 godu"/>
    <s v="연해주 크라스키노 발해성 2018년도 발굴 조사"/>
    <s v="Institut istorii, arkheologii i ėtnografii narodov Dalʹnego Vostoka (Rossiĭskai︠a︡ akademii︠a︡ nauk),"/>
    <s v="동북아 역사 재단 (Korea) ^ 한국 고중세사 연구소, editor ^ Институт истории, археологии и этнографии народов Дальнего Востока (Российская академия наук), editor"/>
    <s v="n/a"/>
    <s v="n/a"/>
    <x v="1"/>
    <x v="1"/>
    <x v="2"/>
    <s v="n/a"/>
    <s v="n/a"/>
    <s v="n/a"/>
    <s v="Excavations (Archaeology)  --  Russia (Federation)  --  Primorskiĭ kraĭ ^ Historic sites  --  Russia (Federation)  --  Primorskiĭ kraĭ ^ Historic sites  --  Korea (North) ^ Fortification  --  Russia (Federation)  --  Primorskiĭ kraĭ ^ Fouilles (Archéologie)  --  Russie  --  Primorski Kraj ^ Lieux historiques  --  Russie  --  Primorski Kraj ^ Lieux historiques  --  Corée du Nord ^ Antiquities ^ Civilization ^ To 935 ^ Bohai (Kingdom)  --  Antiquities ^ Bohai (Kingdom)  --  Civilization ^ Korea  --  Civilization  --  To 935 ^ Primorskiĭ kraĭ (Russia)  --  Antiquities ^ Corée  --  Civilisation  --  Jusqu'à 935 ^ Asia  --  Bohai (Kingdom)"/>
    <s v="0"/>
    <m/>
    <m/>
  </r>
  <r>
    <n v="42"/>
    <m/>
    <m/>
    <m/>
    <m/>
    <m/>
    <m/>
    <s v="n/a"/>
    <x v="1"/>
    <m/>
    <m/>
    <s v="n"/>
    <s v="n"/>
    <s v="n"/>
    <n v="9788961875073"/>
    <n v="8961875078"/>
    <n v="1226514374"/>
    <s v="Korean"/>
    <s v="2018 Excavation Survey of Kraskino Balhae Castle in Primorsky Krai"/>
    <s v="Yŏnhaeju K'ŭrasŭk'ino Parhaesŏng 2018-yŏndo palgul chosa = Archeologičeskie issledovanija na kraskinskom gorodišče v primorskom krae rossii v 2018 godu"/>
    <s v="연해주 크라스키노 발해성 2018년도 발굴 조사"/>
    <s v="Institut istorii, arkheologii i ėtnografii narodov Dalʹnego Vostoka (Rossiĭskai︠a︡ akademii︠a︡ nauk),"/>
    <s v="동북아 역사 재단 (Korea) ^ 한국 고중세사 연구소, editor ^ Институт истории, археологии и этнографии народов Дальнего Востока (Российская академия наук), editor"/>
    <s v="n/a"/>
    <s v="n/a"/>
    <x v="1"/>
    <x v="1"/>
    <x v="2"/>
    <s v="n/a"/>
    <s v="n/a"/>
    <s v="n/a"/>
    <s v="Excavations (Archaeology)  --  Russia (Federation)  --  Primorskiĭ kraĭ ^ Historic sites  --  Russia (Federation)  --  Primorskiĭ kraĭ ^ Historic sites  --  Korea (North) ^ Fortification  --  Russia (Federation)  --  Primorskiĭ kraĭ ^ Fouilles (Archéologie)  --  Russie  --  Primorski Kraj ^ Lieux historiques  --  Russie  --  Primorski Kraj ^ Lieux historiques  --  Corée du Nord ^ Antiquities ^ Civilization ^ To 935 ^ Bohai (Kingdom)  --  Antiquities ^ Bohai (Kingdom)  --  Civilization ^ Korea  --  Civilization  --  To 935 ^ Primorskiĭ kraĭ (Russia)  --  Antiquities ^ Corée  --  Civilisation  --  Jusqu'à 935 ^ Asia  --  Bohai (Kingdom)"/>
    <s v="0"/>
    <m/>
    <m/>
  </r>
  <r>
    <n v="43"/>
    <m/>
    <m/>
    <m/>
    <m/>
    <m/>
    <m/>
    <s v="n/a"/>
    <x v="2"/>
    <s v="/100"/>
    <m/>
    <s v="n"/>
    <s v="n"/>
    <s v="n"/>
    <n v="9788961874977"/>
    <n v="8961874977"/>
    <n v="1236897212"/>
    <s v="Korean"/>
    <s v="Dokdo Territorial Sovereignty and International Legal Rights"/>
    <s v="Tokto yŏngt'o chukwŏn kwa kukchepŏpchŏk kwŏnwŏn"/>
    <s v="독도 영토 주권 과 국제법적 권원"/>
    <s v="To, Si-hwan ^ ; compiler ^ Tongbuga Yŏksa Chaedan (Korea),"/>
    <s v="도 ^ 시환, compiler ^ 동북아 역사 재단 (Korea), issuing body"/>
    <s v="Tongbuga Yŏksa Chaedan yŏn'gu ch'ongsŏ ; 100"/>
    <s v="동북아 역사 재단 연구 총서 ; 100"/>
    <x v="1"/>
    <x v="1"/>
    <x v="2"/>
    <s v="n/a"/>
    <s v="n/a"/>
    <s v="n/a"/>
    <s v="Territory, National  --  Law and legislation  --  Korea (South) ^ Diplomatic relations ^ International law ^ Tok Island (Korea)  --  International status ^ Korea (South)  --  Foreign relations  --  Japan ^ Japan  --  Foreign relations  --  Korea (South) ^ Liancourt, Rochers de  --  Statut international ^ Corée du Sud  --  Relations extérieures  --  Japon ^ Japon  --  Relations extérieures  --  Corée du Sud ^ Korea (South)  --  Tok Island"/>
    <s v="0"/>
    <m/>
    <m/>
  </r>
  <r>
    <n v="43"/>
    <m/>
    <m/>
    <m/>
    <m/>
    <m/>
    <m/>
    <s v="n/a"/>
    <x v="1"/>
    <s v="100"/>
    <s v="n/a"/>
    <m/>
    <m/>
    <s v="n"/>
    <n v="9788961874977"/>
    <s v="8961874977"/>
    <n v="1236897212"/>
    <s v="Korean"/>
    <s v="n/a"/>
    <s v="Tokto yŏngt'o chukwŏn kwa kukchepŏpchŏk kwŏnwŏn"/>
    <s v="독도 영토 주권 과 국제법적 권원"/>
    <s v="To, Si-hwan ^ Tongbuga Yŏksa Chaedan (Korea)"/>
    <s v="도 시환, compiler ^ 동북아 역사 재단 (Korea), issuing body"/>
    <s v="Tongbuga Yŏksa Chaedan yŏn'gu ch'ongsŏ ; 100"/>
    <s v="동북아 역사 재단 연구 총서 ; 100"/>
    <x v="1"/>
    <x v="1"/>
    <x v="3"/>
    <s v="n/a"/>
    <s v="Ch'op'an"/>
    <s v="초판"/>
    <s v="Territory, National -- Law and legislation -- Korea (South) ^ Diplomatic relations ^ International law ^ Tok Island (Korea) -- International status ^ Korea (South) -- Foreign relations -- Japan ^ Japan -- Foreign relations -- Korea (South) ^ Liancourt, Rochers de -- Statut international ^ Japan ^ Korea (South) ^ Korea (South) -- Tok Island"/>
    <s v="0"/>
    <m/>
    <m/>
  </r>
  <r>
    <n v="44"/>
    <m/>
    <m/>
    <m/>
    <m/>
    <m/>
    <m/>
    <s v="n/a"/>
    <x v="6"/>
    <m/>
    <m/>
    <s v="n"/>
    <s v="n"/>
    <s v="n"/>
    <n v="9788992214049"/>
    <n v="8992214049"/>
    <n v="753562601"/>
    <s v="Korean"/>
    <s v="Modernity and the Politics of Memory"/>
    <s v="Modŏnit'i wa kiŏk ŭi chŏngch'i"/>
    <s v="모더니티 와 기억 의 정치"/>
    <s v="Moon, Young Min ^ Kang, Su-mi"/>
    <s v="문 ^ 영민,  ^ 강 ^ 수미, "/>
    <s v="n/a"/>
    <s v="n/a"/>
    <x v="15"/>
    <x v="1"/>
    <x v="13"/>
    <s v="n/a"/>
    <s v="n/a"/>
    <s v="n/a"/>
    <s v="Modernism (Art)  --  Korea (South)  --  Exhibitions ^ Art, Korean  --  20th century  --  Exhibitions ^ Art, Modern  --  20th century  --  Exhibitions ^ Art  --  Political aspects  --  Korea (South) ^ Modernisme (Art)  --  Corée du Sud  --  Expositions ^ Art coréen  --  20e siècle  --  Expositions ^ Art  --  20e siècle  --  Expositions ^ Art  --  Aspect politique  --  Corée du Sud ^ Exhibition catalogs ^ 1900-1999"/>
    <s v="0"/>
    <m/>
    <m/>
  </r>
  <r>
    <n v="45"/>
    <m/>
    <m/>
    <m/>
    <m/>
    <m/>
    <m/>
    <s v="https://www.amazon.jp/dp/"/>
    <x v="6"/>
    <m/>
    <m/>
    <s v="n"/>
    <s v="n"/>
    <s v="n"/>
    <n v="9791196446314"/>
    <s v="n/a"/>
    <n v="1140382654"/>
    <s v="English"/>
    <s v="n/a"/>
    <s v="Anthology, Yoo Youngkuk"/>
    <s v="n/a"/>
    <s v="Yi, In-bŏm ^ Yu, Yŏng-guk"/>
    <s v="n/a"/>
    <s v="n/a"/>
    <s v="n/a"/>
    <x v="16"/>
    <x v="1"/>
    <x v="0"/>
    <s v="n/a"/>
    <s v="n/a"/>
    <s v="n/a"/>
    <s v="Painting, Abstract  --  Korea ^ Painting, Korean ^ Peinture abstraite  --  Corée ^ Peinture coréenne ^ Yu, Yŏng-guk, 1916-"/>
    <s v="0"/>
    <m/>
    <m/>
  </r>
  <r>
    <n v="46"/>
    <m/>
    <m/>
    <m/>
    <m/>
    <m/>
    <m/>
    <s v="n/a"/>
    <x v="0"/>
    <m/>
    <m/>
    <s v="n"/>
    <s v="n"/>
    <s v="n"/>
    <n v="9788968496493"/>
    <n v="8968496498"/>
    <n v="1237649872"/>
    <s v="Korean"/>
    <s v="minjung theology, marxism, juchae philosophy for reconciliation and peace unification on Korean peninsula"/>
    <s v="Hanbando hwahae wa p'yŏnghwa t'ongil ŭl wihan Minjung Sinhak, Marŭk'ŭsijŭm, Chuch'e sasang kan ŭi taehwa = The dialogue between Minjung theology, Marxism, Juchae philosophy for reconciliation and peace unification on Korean peninsula"/>
    <s v="한반도 화해 와 평화 통일 을 위한 민중 신학, 마르크시즘, 주체 사상 간 의 대화 = The dialogue between minjung theology, marxism, juchae philosophy for reconciliation and peace unification on Korean peninsula"/>
    <s v="Kim, Pyŏng-gyun"/>
    <s v="김 ^ 병균"/>
    <s v="n/a"/>
    <s v="n/a"/>
    <x v="17"/>
    <x v="1"/>
    <x v="2"/>
    <s v="n/a"/>
    <s v="n/a"/>
    <s v="n/a"/>
    <s v="Korean reunification question (1945- )  --  Philosophy ^ Church and state  --  Korea (South) ^ Minjung theology ^ Self-reliance  --  Korea (North) ^ Socialism  --  Korea (North) ^ Communism and Christianity ^ Question de la réunification de la Corée (1945- )  --  Philosophie ^ Église et État  --  Corée du Sud ^ Confiance en soi  --  Corée du Nord ^ Communisme et christianisme"/>
    <s v="0"/>
    <m/>
    <m/>
  </r>
  <r>
    <n v="47"/>
    <m/>
    <m/>
    <m/>
    <m/>
    <m/>
    <m/>
    <s v="n/a"/>
    <x v="0"/>
    <m/>
    <m/>
    <s v="n"/>
    <s v="n"/>
    <s v="n"/>
    <n v="9791189074203"/>
    <s v="n/a"/>
    <n v="1235895185"/>
    <s v="Korean"/>
    <s v="Remaining Paintings: The Works and Lives of 37 Korean Modern and Contemporary Artists Who Live in a Blue Era"/>
    <s v="Sara namŭn kŭrimdŭl: p'aran ŭi sidae rŭl san Han'guk kŭnhyŏndae hwaga 37-in ŭi chakp'um kwa sam"/>
    <s v="살아 남은 그림들: 파란 의 시대 를 산 한국 근현대 화가 37인 의 작품 과 삶"/>
    <s v="Choin ^ auhtor"/>
    <s v="조 ^ 상인, "/>
    <s v="n/a"/>
    <s v="n/a"/>
    <x v="18"/>
    <x v="1"/>
    <x v="4"/>
    <s v="n/a"/>
    <s v="n/a"/>
    <s v="n/a"/>
    <s v="Painters  --  Korea  --  Biography ^ Painting, Korean  --  20th century ^ Peintres  --  Corée  --  Biographies ^ Peinture coréenne  --  20e siècle ^ History ^ 1900-1999"/>
    <s v="0"/>
    <m/>
    <m/>
  </r>
  <r>
    <n v="48"/>
    <m/>
    <m/>
    <m/>
    <m/>
    <m/>
    <m/>
    <s v="n/a"/>
    <x v="0"/>
    <m/>
    <m/>
    <s v="n"/>
    <s v="n"/>
    <s v="n"/>
    <n v="9791189982614"/>
    <s v="n/a"/>
    <n v="1135894204"/>
    <s v="Korean"/>
    <s v="Hotel Window: The 13th winning collection of the 2019 Kim Yoo-jung Literature Award"/>
    <s v="Hot'el ch'angmun: 2019 Kim Yu-jŏng Munhaksang che13-hoe susang chakp'umjip"/>
    <s v="호텔 창문: 2019 김 유정 문학상 제13회 수상 작품집"/>
    <s v="P'yŏnng ^ Kim ^ Kim, Sa-gwa ^ Yi ^ Choju"/>
    <s v="편 ^ 혜영 ^ 김 ^ 금희 ^ 사과,  ^ 혜진 ^ 이 ^ 주란 ^ 조 ^ 남주"/>
    <s v="Kim Yu-jŏng munhaksang susang chakp'umjip ; che 13-hoe (2019)"/>
    <s v="김 유정 문학상 수상 작품집 ; 13"/>
    <x v="19"/>
    <x v="1"/>
    <x v="2"/>
    <s v="n/a"/>
    <s v="n/a"/>
    <s v="n/a"/>
    <s v="Kim Yu-jŏng Munhaksang ^ Literary prizes  --  Korea (South) ^ Short stories, Korean ^ Nouvelles coréennes"/>
    <s v="0"/>
    <m/>
    <m/>
  </r>
  <r>
    <n v="49.01"/>
    <m/>
    <m/>
    <m/>
    <m/>
    <m/>
    <m/>
    <s v="n/a"/>
    <x v="0"/>
    <s v="2"/>
    <n v="2"/>
    <s v="n"/>
    <s v="n"/>
    <s v="n"/>
    <n v="9791165343729"/>
    <n v="9791165343"/>
    <n v="1313483177"/>
    <s v="Korean"/>
    <s v="Dollar Gut Dream Department Store. 2, I'm looking for a regular customer"/>
    <s v="Tallŏgut'ŭ Kkum Paekhwajŏm: 2, Tan'gol sonnim ŭl ch'atsŭmnida"/>
    <s v="달러구트 꿈 백화점. 2, 단골 손님 을 찾습니다"/>
    <s v="Yi, Mi-ye"/>
    <s v="이 ^ 미예, "/>
    <s v="n/a"/>
    <s v="n/a"/>
    <x v="20"/>
    <x v="1"/>
    <x v="14"/>
    <s v="n/a"/>
    <s v="n/a"/>
    <s v="n/a"/>
    <s v="Department stores  --  Fiction ^ Dreams  --  Fiction ^ Korean fiction  --  21st century ^ Young women  --  Fiction ^ Grands magasins  --  Romans, nouvelles, etc ^ Rêves  --  Romans, nouvelles, etc ^ Roman coréen  --  21e siècle ^ Jeunes femmes  --  Romans, nouvelles, etc ^ Fantasy fiction ^ 2000-2099"/>
    <s v="0"/>
    <m/>
    <m/>
  </r>
  <r>
    <n v="49.02"/>
    <m/>
    <m/>
    <m/>
    <m/>
    <m/>
    <m/>
    <s v="n/a"/>
    <x v="0"/>
    <s v="1"/>
    <n v="2"/>
    <s v="n"/>
    <s v="n"/>
    <s v="n"/>
    <n v="9791165341909"/>
    <s v="n/a"/>
    <n v="1193576068"/>
    <s v="Korean"/>
    <s v="Dollar Gut Dream Department Store: Your Dream Is Sold Out: This Artistic Featured Novel"/>
    <s v="Tallŏgut'ŭ kkum paekhwajŏm: chumun hasin kkum ŭn maejin imnida: Yi Mi-ye changp'yŏn sosŏl"/>
    <s v="달러구트 꿈 백화점: 주문 하신 꿈 은 매진 입니다: 이 미예 장편소설"/>
    <s v="Yi, Mi-ye"/>
    <s v="이 ^ 미예, "/>
    <s v="n/a"/>
    <s v="n/a"/>
    <x v="20"/>
    <x v="1"/>
    <x v="4"/>
    <s v="n/a"/>
    <s v="n/a"/>
    <s v="n/a"/>
    <s v="Dreams  --  Fiction ^ Rêves  --  Romans, nouvelles, etc ^ Korean language materials ^ Fantasy fiction"/>
    <s v="0"/>
    <m/>
    <m/>
  </r>
  <r>
    <n v="50"/>
    <m/>
    <m/>
    <m/>
    <m/>
    <m/>
    <m/>
    <s v="n/a"/>
    <x v="0"/>
    <m/>
    <m/>
    <s v="n"/>
    <s v="n"/>
    <s v="n"/>
    <n v="9791186358665"/>
    <s v="n/a"/>
    <n v="1142887973"/>
    <s v="Korean"/>
    <s v="A Painting of Old Seoul: Walking Along History in Seoul Alleyway"/>
    <s v="Oraedoen Sŏul ŭl kŭrida: yŏksa ttara kŏnnŭn Sŏul kolmokkil sanch'aek"/>
    <s v="오래된 서울 을 그리다: 역사 따라 걷는 서울 골목길 산책"/>
    <s v="Chŏng, Myŏng-sŏp ^ Kiman"/>
    <s v="정 ^ 명섭 ^ 김 ^ 효찬"/>
    <s v="n/a"/>
    <s v="n/a"/>
    <x v="21"/>
    <x v="1"/>
    <x v="2"/>
    <s v="n/a"/>
    <s v="n/a"/>
    <s v="n/a"/>
    <s v="Historic sites  --  Korea (South)  --  Seoul ^ Historic sites  --  Korea (South)  --  Seoul  --  Pictorial works ^ Walking  --  Korea (South)  --  Seoul ^ Lieux historiques  --  Corée du Sud  --  Séoul ^ Lieux historiques  --  Corée du Sud  --  Séoul  --  Ouvrages illustrés ^ Travel ^ Seoul (Korea)  --  Description and travel"/>
    <s v="0"/>
    <m/>
    <m/>
  </r>
  <r>
    <n v="51"/>
    <m/>
    <m/>
    <m/>
    <m/>
    <m/>
    <m/>
    <s v="n/a"/>
    <x v="0"/>
    <s v="/ 11"/>
    <s v="?"/>
    <s v="n"/>
    <s v="n"/>
    <s v="n"/>
    <n v="9788961874724"/>
    <n v="8961874721"/>
    <n v="1126346636"/>
    <s v="Korean"/>
    <s v="Bluff and Compromise: Negotiations between the Three Kingdoms over the Imjin War"/>
    <s v="Hŏse wa t'ahyŏp: Imjin Waeran ŭl tullŏssan samguk ŭi hyŏpsang"/>
    <s v="허세 와 타협: 임진 왜란 을 둘러싼 삼국 의 협상"/>
    <s v="Kim, Kyŏng-t'ae, 1979 September 16-"/>
    <s v="김 ^ 경태, 1979 ^ September ^ 16-"/>
    <s v="Tongbuga yŏksa chaedan kyoyang ch'ongsŏ ; 11"/>
    <s v="동북아 역사 재단 교양 총서 ; 11"/>
    <x v="1"/>
    <x v="1"/>
    <x v="2"/>
    <s v="n/a"/>
    <s v="n/a"/>
    <s v="n/a"/>
    <s v="Diplomatic relations ^ History ^ 1500-1599 ^ Korea  --  History  --  Japanese Invasions, 1592-1598 ^ Korea  --  Foreign relations  --  China ^ China  --  Foreign relations  --  Korea ^ Korea  --  Foreign relations  --  Japan ^ Japan  --  Foreign relations  --  Korea ^ East Asia  --  History  --  16th century ^ Corée  --  Histoire  --  1592-1598 (Invasions japonaises) ^ Corée  --  Relations extérieures  --  Chine ^ Chine  --  Relations extérieures  --  Corée ^ Corée  --  Relations extérieures  --  Japon ^ Japon  --  Relations extérieures  --  Corée ^ Extrême-Orient  --  Histoire  --  16e siècle"/>
    <s v="0"/>
    <m/>
    <m/>
  </r>
  <r>
    <n v="52"/>
    <m/>
    <m/>
    <m/>
    <m/>
    <m/>
    <m/>
    <s v="n/a"/>
    <x v="1"/>
    <m/>
    <m/>
    <s v="https://libcat.colorado.edu/Record/b11902066"/>
    <s v="https://libcat.colorado.edu/Record/b11902066"/>
    <s v="y"/>
    <n v="9788961874748"/>
    <n v="8961874748"/>
    <n v="1227820139"/>
    <s v="Korean"/>
    <s v="Japan's Asia-Pacific War and Forceful Mobilization of Koreans: The Universal Values of Humanity We Must Protect"/>
    <s v="Ilbon ŭi Asia T'aep'yŏngyang chŏnjaeng kwa Chosŏnin kangje tongwŏn: uri ka chik'yŏya hal illyu pop'yŏn ŭi kach'i!"/>
    <s v="일본 의 아시아 태평양 전쟁 과 조선인 강제 동원: 우리 가 지켜야 할 인류 보편 의 가치!"/>
    <s v="Chŏnğng"/>
    <s v="정 ^ 혜경"/>
    <s v="Tongbuga Yŏksa Chaedan kyoyang ch'ongsŏ ; 12"/>
    <s v="동북아 역사 재단 교양 총서 ; 12"/>
    <x v="1"/>
    <x v="1"/>
    <x v="2"/>
    <s v="n/a"/>
    <s v="n/a"/>
    <s v="n/a"/>
    <s v="World War, 1939-1945  --  Conscript labor  --  Japan ^ Forced labor  --  Japan  --  History  --  20th century ^ War victims  --  Korea (South) ^ Guerre mondiale, 1939-1945  --  Travail obligatoire  --  Japon ^ Travail forcé  --  Japon  --  Histoire  --  20e siècle ^ Victimes de guerre  --  Corée du Sud ^ Diplomatic relations ^ 1900-1999 ^ Japan  --  Foreign relations  --  Korea ^ Korea  --  Foreign relations  --  Japan ^ Japon  --  Relations extérieures  --  Corée ^ Corée  --  Relations extérieures  --  Japon"/>
    <s v="0"/>
    <m/>
    <m/>
  </r>
  <r>
    <n v="53"/>
    <m/>
    <m/>
    <m/>
    <m/>
    <m/>
    <m/>
    <s v="n/a"/>
    <x v="6"/>
    <m/>
    <m/>
    <s v="n"/>
    <s v="n"/>
    <s v="n"/>
    <n v="9791161618043"/>
    <s v="n/a"/>
    <n v="1201539314"/>
    <s v="Korean"/>
    <s v="Landscape architecture of Seoul"/>
    <s v="Sŏul ŭi chogyŏng: Landscape architecture of Seoul"/>
    <s v="서울 의 조경: Landscape architecture of Seoul"/>
    <s v="Seoul metropolitan government,"/>
    <s v="n/a"/>
    <s v="n/a"/>
    <s v="n/a"/>
    <x v="22"/>
    <x v="1"/>
    <x v="4"/>
    <s v="n/a"/>
    <s v="n/a"/>
    <s v="n/a"/>
    <s v="Parks  --  Korea (South)  --  Seoul ^ Parks  --  Korea (South)  --  Seoul  --  Designs and plans ^ Recreation areas  --  Korea (South)  --  Seoul ^ Landscape architecture  --  Korea (South)  --  Seoul  --  Designs and plans ^ Zones de loisirs  --  Corée du Sud  --  Séoul ^ Architecture du paysage  --  Corée du Sud  --  Séoul  --  Dessins et plans ^ Architectural drawings"/>
    <s v="0"/>
    <m/>
    <m/>
  </r>
  <r>
    <n v="54.01"/>
    <m/>
    <m/>
    <m/>
    <m/>
    <m/>
    <m/>
    <s v="n/a"/>
    <x v="3"/>
    <s v="1"/>
    <n v="4"/>
    <s v="n"/>
    <s v="n"/>
    <s v="n"/>
    <n v="9788994011080"/>
    <n v="8994011080"/>
    <n v="1108756467"/>
    <s v="Korean"/>
    <s v="Standard Korean for elementary school students. Senior Communication"/>
    <s v="Ch'odŭng haksaeng ŭl wihan p'yojun Han'gugŏ: Ko hangnyŏn ŭisa sot'ong"/>
    <s v="초등 학생 을 위한 표준 한국어. 고 학년 의사 소통"/>
    <s v="Yi, Pyŏng-gyu ^ Kungnip Kugŏwŏn (Korea),"/>
    <s v="이 ^ 병규,  ^ 국립 국어원 (Korea), organizer"/>
    <s v="n/a"/>
    <s v="n/a"/>
    <x v="23"/>
    <x v="1"/>
    <x v="2"/>
    <s v="n/a"/>
    <s v="n/a"/>
    <s v="n/a"/>
    <s v="Korean language  --  Textbooks for foreign speakers ^ Korean language  --  Problems, exercises, etc ^ Language arts (Elementary)  --  Korea (South) ^ Coréen (Langue)  --  Manuels pour allophones ^ Coréen (Langue)  --  Problèmes et exercices ^ Arts du langage (Primaire)  --  Corée du Sud ^ Korean language  --  Study and teaching (Primary) ^ Textbooks  --  for foreign speakers ^ Problems and exercises"/>
    <s v="0"/>
    <m/>
    <m/>
  </r>
  <r>
    <n v="54.02"/>
    <m/>
    <m/>
    <m/>
    <m/>
    <m/>
    <m/>
    <s v="n/a"/>
    <x v="3"/>
    <s v="2"/>
    <n v="4"/>
    <s v="n"/>
    <s v="n"/>
    <s v="n"/>
    <n v="9788994011097"/>
    <n v="8994011099"/>
    <n v="1108756467"/>
    <s v="Korean"/>
    <s v="Standard Korean for elementary school students. Senior Communication"/>
    <s v="Ch'odŭng haksaeng ŭl wihan p'yojun Han'gugŏ: Ko hangnyŏn ŭisa sot'ong"/>
    <s v="초등 학생 을 위한 표준 한국어. 고 학년 의사 소통"/>
    <s v="Yi, Pyŏng-gyu ^ Kungnip Kugŏwŏn (Korea),"/>
    <s v="이 ^ 병규,  ^ 국립 국어원 (Korea), organizer"/>
    <s v="n/a"/>
    <s v="n/a"/>
    <x v="23"/>
    <x v="1"/>
    <x v="2"/>
    <s v="n/a"/>
    <s v="n/a"/>
    <s v="n/a"/>
    <s v="Korean language  --  Textbooks for foreign speakers ^ Korean language  --  Problems, exercises, etc ^ Language arts (Elementary)  --  Korea (South) ^ Coréen (Langue)  --  Manuels pour allophones ^ Coréen (Langue)  --  Problèmes et exercices ^ Arts du langage (Primaire)  --  Corée du Sud ^ Korean language  --  Study and teaching (Primary) ^ Textbooks  --  for foreign speakers ^ Problems and exercises"/>
    <s v="0"/>
    <m/>
    <m/>
  </r>
  <r>
    <n v="54.04"/>
    <m/>
    <m/>
    <m/>
    <m/>
    <m/>
    <m/>
    <s v="n/a"/>
    <x v="3"/>
    <s v="4"/>
    <n v="4"/>
    <s v="n"/>
    <s v="n"/>
    <s v="n"/>
    <n v="9791189943011"/>
    <n v="9791189943"/>
    <n v="1108756467"/>
    <s v="Korean"/>
    <s v="Standard Korean for elementary school students. Senior Communication"/>
    <s v="Ch'odŭng haksaeng ŭl wihan p'yojun Han'gugŏ: Ko hangnyŏn ŭisa sot'ong"/>
    <s v="초등 학생 을 위한 표준 한국어. 고 학년 의사 소통"/>
    <s v="Yi, Pyŏng-gyu ^ Kungnip Kugŏwŏn (Korea),"/>
    <s v="이 ^ 병규,  ^ 국립 국어원 (Korea), organizer"/>
    <s v="n/a"/>
    <s v="n/a"/>
    <x v="23"/>
    <x v="1"/>
    <x v="2"/>
    <s v="n/a"/>
    <s v="n/a"/>
    <s v="n/a"/>
    <s v="Korean language  --  Textbooks for foreign speakers ^ Korean language  --  Problems, exercises, etc ^ Language arts (Elementary)  --  Korea (South) ^ Coréen (Langue)  --  Manuels pour allophones ^ Coréen (Langue)  --  Problèmes et exercices ^ Arts du langage (Primaire)  --  Corée du Sud ^ Korean language  --  Study and teaching (Primary) ^ Textbooks  --  for foreign speakers ^ Problems and exercises"/>
    <s v="0"/>
    <m/>
    <m/>
  </r>
  <r>
    <n v="55"/>
    <m/>
    <m/>
    <m/>
    <m/>
    <m/>
    <m/>
    <s v="n/a"/>
    <x v="0"/>
    <s v="9?"/>
    <s v="?"/>
    <s v="n"/>
    <s v="n"/>
    <s v="n"/>
    <n v="9791189585808"/>
    <s v="n/a"/>
    <n v="1240174324"/>
    <s v="Korean"/>
    <s v="Study on place names in Gangwon-do, through the old maps of the National Library of Korea"/>
    <s v="Kojido rŭl t'onghae pon Kangwŏn chimyŏng yŏn'gu = Study on place names in Gangwon-do, through the old maps of the National Library of Korea"/>
    <s v="고지도 를 통해 본 강원 지명 연구 = Study on place names in Gangwon-do, through the old maps of the National Library of Korea"/>
    <s v="Yi, Ki-bong ^ Kungnip Chungang Tosŏgwan (Seoul, Korea) ^ Komunhŏnkwa,"/>
    <s v="이 ^ 기봉 ^ 국립 중앙 도서관 (Seoul, Korea) ^ 고문헌과, editor"/>
    <s v="Kungnip Chungang Tosogwŏn komunhŏn yŏn'gu ch'ongsŏ ; 9"/>
    <s v="국립 중앙 도서관 고문헌 연구 총서 ; 9"/>
    <x v="24"/>
    <x v="1"/>
    <x v="2"/>
    <s v="n/a"/>
    <s v="n/a"/>
    <s v="n/a"/>
    <s v="Names, Geographical  --  Korea (South)  --  Kangwŏn-do  --  History ^ Gazetteers ^ Kangwŏn-do (Korea : South)  --  Historical geography"/>
    <s v="0"/>
    <m/>
    <m/>
  </r>
  <r>
    <n v="56"/>
    <m/>
    <m/>
    <m/>
    <m/>
    <m/>
    <m/>
    <s v="n/a"/>
    <x v="3"/>
    <m/>
    <m/>
    <s v="n"/>
    <s v="n"/>
    <s v="n"/>
    <n v="9788961875363"/>
    <n v="8961875361"/>
    <n v="1200758022"/>
    <s v="Korean"/>
    <s v="Balhae Ruins in Bukcheong: 2014-2015 Excavation Survey Report"/>
    <s v="Pukch'ŏng iltae ŭi Parhae yujŏk: 2014-2015-yŏn palgul chosa pogosŏ"/>
    <s v="북청 일대 의 발해 유적: 2014-2015년 발굴 조사 보고서"/>
    <s v="Kim ^ ; compiler ^ Tongbuga Yŏksa Chaedan (Korea),"/>
    <s v="김 ^ 은국, compiler ^ 동북아 역사 재단 (Korea), issuing body"/>
    <s v="n/a"/>
    <s v="n/a"/>
    <x v="1"/>
    <x v="1"/>
    <x v="4"/>
    <s v="n/a"/>
    <s v="n/a"/>
    <s v="n/a"/>
    <s v="Excavations (Archaeology)  --  Korea (North)  --  Pukch'ŏng-gun ^ Civilization ^ Antiquities ^ Pukch'ŏng-gun (Korea)  --  Antiquities ^ Bohai (Kingdom)  --  Civilization ^ Asia  --  Bohai (Kingdom)"/>
    <s v="0"/>
    <m/>
    <m/>
  </r>
  <r>
    <n v="57"/>
    <m/>
    <m/>
    <m/>
    <m/>
    <m/>
    <m/>
    <s v="n/a"/>
    <x v="3"/>
    <m/>
    <m/>
    <s v="n"/>
    <s v="n"/>
    <s v="n"/>
    <n v="9788961875080"/>
    <n v="8961875086"/>
    <n v="1200736707"/>
    <s v="Korean"/>
    <s v="Koguryo tombs in Sindae-dong Cheondeok-ri, Bongsan-gun, Hwanghaebuk-do"/>
    <s v="Hwanghae-bukto Pongsan-gun Ch'ŏndŏng-ni Sindae-dong Koguryŏ mudŏm = Koguryo tombs in Sindae-dong Cheondeok-ri, Bongsan-gun, Hwanghaebuk-do"/>
    <s v="황해북도 봉산군 천덕리 신대동 고구려 무덤 = Koguryo tombs in Sindae-dong Cheondeok-ri, Bongsan-gun, Hwanghaebuk-do"/>
    <s v="Ko, Kwang-ŭi ^ Tongbuga Yŏksa Chaedan (Korea),"/>
    <s v="고 ^ 광의,  ^ 동북아 역사 재단 (Korea), issuing body"/>
    <s v="n/a"/>
    <s v="n/a"/>
    <x v="1"/>
    <x v="1"/>
    <x v="2"/>
    <s v="n/a"/>
    <s v="n/a"/>
    <s v="n/a"/>
    <s v="Tombs  --  Korea (North)  --  Pongsan-gun  --  Pictorial works ^ Antiquities ^ Civilization ^ Koguryŏ (Kingdom)  --  Civilization  --  Pictorial works ^ Pongsan-gun (Korea)  --  Antiquities  --  Pictorial works ^ Asia  --  Koguryŏ (Kingdom)"/>
    <s v="0"/>
    <m/>
    <m/>
  </r>
  <r>
    <n v="58"/>
    <m/>
    <m/>
    <m/>
    <m/>
    <m/>
    <m/>
    <s v="https://www.amazon.jp/dp/1624121276"/>
    <x v="6"/>
    <m/>
    <m/>
    <s v="n"/>
    <s v="n"/>
    <s v="n"/>
    <n v="9781624121272"/>
    <n v="1624121276"/>
    <n v="1135867239"/>
    <s v="English"/>
    <s v="n/a"/>
    <s v="North Korean art: the enigmatic world of Chosonhwa"/>
    <s v="n/a"/>
    <s v="Muhn, BG"/>
    <s v="n/a"/>
    <s v="n/a"/>
    <s v="n/a"/>
    <x v="25"/>
    <x v="1"/>
    <x v="2"/>
    <s v="n/a"/>
    <s v="n/a"/>
    <s v="n/a"/>
    <s v="Painting, Korean  --  Korea (North) ^ Ink painting, Korean  --  Korea (North) ^ Socialist realism in art  --  Korea (North) ^ Painters  --  Korea (North) ^ Peinture coréenne  --  Corée du Nord ^ Réalisme socialiste dans l'art  --  Corée du Nord ^ Peintres  --  Corée du Nord ^ Art and state ^ Art, Korean ^ Artists ^ Malerei ^ Politische Kunst ^ Politisches Plakat ^ 1900-1999 ^ Nordkorea"/>
    <s v="0"/>
    <m/>
    <m/>
  </r>
  <r>
    <n v="59"/>
    <m/>
    <m/>
    <m/>
    <m/>
    <m/>
    <s v="have other issues in series, hence WC dupe"/>
    <s v="n/a"/>
    <x v="2"/>
    <s v="3"/>
    <s v="?"/>
    <s v="n"/>
    <s v="n"/>
    <s v="y"/>
    <n v="9788961875509"/>
    <n v="8961873229"/>
    <n v="856031447"/>
    <s v="Korean"/>
    <s v="Japanese historical records on Ulleungdo Island and Dokdo Island"/>
    <s v="Ullŭngdo Tokto Ilbon saryojip"/>
    <s v="울릉도 독도 일본 사료집"/>
    <s v="Kim(Historian) ^ Yun, Yu-suk ^ Tongbuga Yŏksa Chaedan (Korea),"/>
    <s v="김 ^ 강일 ^ (Historian),  ^ 윤 ^ 유숙,  ^ 동북아 역사 재단 (Korea), issuing body, copyright holder"/>
    <s v="Tongbuga yŏksa charyo ch'ongsŏ ; 42"/>
    <s v="동북아 역사 자료 총서 ; 42"/>
    <x v="1"/>
    <x v="1"/>
    <x v="15"/>
    <s v="n/a"/>
    <s v="n/a"/>
    <s v="n/a"/>
    <s v="Territory, National  --  Japan ^ Territory, National  --  Korea ^ Territoire national  --  Japon ^ Territoire national  --  Corée ^ International relations ^ Sources ^ Ullŭng Island (Korea) ^ Tok Island (Korea) ^ Japan  --  Relations  --  Korea  --  Sources ^ Korea  --  Relations  --  Japan  --  Sources ^ Liancourt, Rochers de ^ Corée  --  Relations  --  Japon  --  Sources ^ Korea (South)  --  Tok Island ^ Korea (South)  --  Ullŭng Island"/>
    <s v="0"/>
    <m/>
    <m/>
  </r>
  <r>
    <n v="60.01"/>
    <m/>
    <m/>
    <m/>
    <m/>
    <m/>
    <m/>
    <s v="n/a"/>
    <x v="2"/>
    <s v="1"/>
    <n v="4"/>
    <s v="n"/>
    <s v="n"/>
    <s v="n"/>
    <n v="9788961875295"/>
    <n v="8961875299"/>
    <n v="1260291126"/>
    <s v="Korean"/>
    <s v="Translation and Annotation: Records of the Historian on the Eastern Barbarians in China"/>
    <s v="Yŏkchu Chungguk chŏngsa tongijŏn"/>
    <s v="譯註 中國 正史 東夷傳"/>
    <s v="Tongbuga Yŏksa Chaedan (Korea) ^ Han'guk Kojungsesa Yŏn'guso,"/>
    <s v="동북아 역사 재단 (Korea) ^ 한국 고중세사 연구소, editor"/>
    <s v="Tongbuga yŏksa charyo ch'ongsŏ ; 37-40"/>
    <s v="동북아 역사 자료 총서 ; 37-40"/>
    <x v="1"/>
    <x v="1"/>
    <x v="4"/>
    <s v="n/a"/>
    <s v="n/a"/>
    <s v="n/a"/>
    <s v="Diplomatic relations ^ History ^ To 960 ^ Korea  --  History  --  To 935 ^ China  --  History  --  To 221 B.C ^ China  --  History  --  221 B.C.-960 A.D ^ Korea  --  Foreign relations  --  China ^ China  --  Foreign relations  --  Korea ^ Corée  --  Histoire  --  Jusqu'à 935 ^ Chine  --  Histoire  --  Jusqu'à 221 av. J.-C ^ Chine  --  Histoire  --  221 av. J.-C.-960 ^ Corée  --  Relations extérieures  --  Chine ^ Chine  --  Relations extérieures  --  Corée"/>
    <s v="0"/>
    <m/>
    <m/>
  </r>
  <r>
    <n v="60.01"/>
    <m/>
    <m/>
    <m/>
    <m/>
    <m/>
    <m/>
    <s v="n/a"/>
    <x v="1"/>
    <s v="1"/>
    <n v="4"/>
    <s v="n"/>
    <s v="n"/>
    <s v="n"/>
    <n v="9788961875295"/>
    <n v="8961875299"/>
    <n v="1260291126"/>
    <s v="Korean"/>
    <s v="Translation and Annotation: Records of the Historian on the Eastern Barbarians in China"/>
    <s v="Yŏkchu Chungguk chŏngsa tongijŏn"/>
    <s v="譯註 中國 正史 東夷傳"/>
    <s v="Tongbuga Yŏksa Chaedan (Korea) ^ Han'guk Kojungsesa Yŏn'guso,"/>
    <s v="동북아 역사 재단 (Korea) ^ 한국 고중세사 연구소, editor"/>
    <s v="Tongbuga yŏksa charyo ch'ongsŏ ; 37-40"/>
    <s v="동북아 역사 자료 총서 ; 37-40"/>
    <x v="1"/>
    <x v="1"/>
    <x v="4"/>
    <s v="n/a"/>
    <s v="n/a"/>
    <s v="n/a"/>
    <s v="Diplomatic relations ^ History ^ To 960 ^ Korea  --  History  --  To 935 ^ China  --  History  --  To 221 B.C ^ China  --  History  --  221 B.C.-960 A.D ^ Korea  --  Foreign relations  --  China ^ China  --  Foreign relations  --  Korea ^ Corée  --  Histoire  --  Jusqu'à 935 ^ Chine  --  Histoire  --  Jusqu'à 221 av. J.-C ^ Chine  --  Histoire  --  221 av. J.-C.-960 ^ Corée  --  Relations extérieures  --  Chine ^ Chine  --  Relations extérieures  --  Corée"/>
    <s v="0"/>
    <m/>
    <m/>
  </r>
  <r>
    <n v="60.03"/>
    <m/>
    <m/>
    <m/>
    <m/>
    <m/>
    <s v="Issue 39 in book series"/>
    <s v="n/a"/>
    <x v="2"/>
    <s v="3"/>
    <s v="4"/>
    <s v="n"/>
    <s v="n"/>
    <s v="n"/>
    <n v="9788961875592"/>
    <n v="8961875590"/>
    <n v="1260291126"/>
    <s v="Korean"/>
    <s v="Translation and Annotation: Records of the Historian on the Eastern Barbarians in China"/>
    <s v="Yŏkchu Chungguk chŏngsa tongijŏn"/>
    <s v="譯註 中國 正史 東夷傳"/>
    <s v="Tongbuga Yŏksa Chaedan (Korea).; Han'guk Kojungsesa Yŏn'guso"/>
    <s v="동북아 역사 재단 (Korea). 한국 고중세사 연구소"/>
    <s v="Tongbuga yŏksa charyo ch'ongsŏ ; 37-40"/>
    <s v="동북아 역사 자료 총서 ; 37-40"/>
    <x v="1"/>
    <x v="1"/>
    <x v="4"/>
    <s v="n/a"/>
    <s v="Ch'op'an"/>
    <s v="초판"/>
    <s v="Diplomatic relations ^ History ^ To 960 ^ Korea -- History -- To 935 ^ China -- History -- To 221 BC ^ China -- History -- 221 BC-960 AD ^ Korea -- Foreign relations -- China ^ China -- Foreign relations -- Korea ^ China ^ Korea"/>
    <s v="0"/>
    <m/>
    <m/>
  </r>
  <r>
    <n v="61"/>
    <m/>
    <m/>
    <m/>
    <m/>
    <m/>
    <m/>
    <s v="n/a"/>
    <x v="2"/>
    <s v="2"/>
    <s v="?"/>
    <s v="n"/>
    <s v="n"/>
    <s v="n"/>
    <n v="9788961874342"/>
    <n v="8961874349"/>
    <n v="1099523661"/>
    <s v="Korean"/>
    <s v="a collection of historical sources of modern Korea-Japan relations. 2, Sakuma Jinpachi Report, Jukdo Mundam"/>
    <s v="Kŭnse Han-Il kwan'gye saryojip: 2, Sak'uma Chinp'ach'i pogosŏ, Chukto mundam"/>
    <s v="근세 한일 관계 사료집. 2, 사쿠마 진파치 보고서, 죽도 문담"/>
    <s v="Yun, Yu-suk"/>
    <s v="윤 ^ 유숙, "/>
    <s v="Tongbuga yŏksa charyo ch'ongsŏ ; 45"/>
    <s v="동북아 역사 자료 총서 ; 45"/>
    <x v="1"/>
    <x v="1"/>
    <x v="0"/>
    <s v="n/a"/>
    <s v="n/a"/>
    <s v="n/a"/>
    <s v="Diplomatic relations ^ International relations ^ 1392-1868 ^ Korea  --  Relations  --  Japan ^ Japan  --  Relations  --  Korea ^ Korea  --  Foreign relations  --  1392-1637 ^ Japan  --  Foreign relations  --  1600-1868 ^ Corée  --  Relations  --  Japon ^ Corée  --  Relations extérieures  --  1392-1637 ^ Japon  --  Relations extérieures  --  1600-1868"/>
    <s v="0"/>
    <m/>
    <m/>
  </r>
  <r>
    <n v="62.01"/>
    <m/>
    <m/>
    <m/>
    <m/>
    <m/>
    <s v="issue 92"/>
    <s v="n/a"/>
    <x v="0"/>
    <s v="1"/>
    <n v="2"/>
    <s v="n"/>
    <s v="n"/>
    <s v="n"/>
    <n v="9788961875400"/>
    <s v="896187540X"/>
    <n v="1226409803"/>
    <s v="Korean"/>
    <s v="A Collection of Japanese Military 'Japanese Military Sexual Slavery' Issues"/>
    <s v="Ilbon'gun 'wianbu' munje charyojip"/>
    <s v="일본군 '위안부' 문제 자료집"/>
    <s v="Cho (Researcher in international relations) ^ Tongbuga Yŏksa Chaedan (Korea),"/>
    <s v="조 ^ 윤수 ^ (Researcher ^ in ^ international ^ relations),  ^ 동북아 역사 재단 (Korea), editor, issuing body"/>
    <s v="Ilche ch'imt'alsa charyo ch'ongsŏ ; 91-92"/>
    <s v="일제 침탈사 자료 총서 ; 91-92"/>
    <x v="1"/>
    <x v="1"/>
    <x v="4"/>
    <s v="n/a"/>
    <s v="n/a"/>
    <s v="n/a"/>
    <s v="Comfort women  --  East Asia  --  History  --  Sources ^ Comfort women  --  Korea  --  History  --  Sources ^ World War, 1939-1945  --  Women  --  East Asia  --  Sources ^ World War, 1939-1945  --  Atrocities  --  Japan  --  Sources ^ Femmes de réconfort  --  Corée  --  Histoire  --  Sources ^ Guerre mondiale, 1939-1945  --  Atrocités  --  Japon  --  Sources"/>
    <s v="0"/>
    <m/>
    <m/>
  </r>
  <r>
    <n v="62.01"/>
    <m/>
    <m/>
    <m/>
    <m/>
    <m/>
    <s v="issue 92"/>
    <s v="n/a"/>
    <x v="1"/>
    <s v="1"/>
    <n v="2"/>
    <s v="n"/>
    <s v="n"/>
    <s v="n"/>
    <n v="9788961875400"/>
    <s v="896187540X"/>
    <n v="1226409803"/>
    <s v="Korean"/>
    <s v="A Collection of Japanese Military 'Japanese Military Sexual Slavery' Issues"/>
    <s v="Ilbon'gun 'wianbu' munje charyojip"/>
    <s v="일본군 '위안부' 문제 자료집"/>
    <s v="Cho (Researcher in international relations) ^ Tongbuga Yŏksa Chaedan (Korea),"/>
    <s v="조 ^ 윤수 ^ (Researcher ^ in ^ international ^ relations),  ^ 동북아 역사 재단 (Korea), editor, issuing body"/>
    <s v="Ilche ch'imt'alsa charyo ch'ongsŏ ; 91-92"/>
    <s v="일제 침탈사 자료 총서 ; 91-92"/>
    <x v="1"/>
    <x v="1"/>
    <x v="4"/>
    <s v="n/a"/>
    <s v="n/a"/>
    <s v="n/a"/>
    <s v="Comfort women  --  East Asia  --  History  --  Sources ^ Comfort women  --  Korea  --  History  --  Sources ^ World War, 1939-1945  --  Women  --  East Asia  --  Sources ^ World War, 1939-1945  --  Atrocities  --  Japan  --  Sources ^ Femmes de réconfort  --  Corée  --  Histoire  --  Sources ^ Guerre mondiale, 1939-1945  --  Atrocités  --  Japon  --  Sources"/>
    <s v="0"/>
    <m/>
    <m/>
  </r>
  <r>
    <n v="62.01"/>
    <m/>
    <m/>
    <m/>
    <m/>
    <m/>
    <s v="issue 92"/>
    <s v="n/a"/>
    <x v="1"/>
    <s v="1"/>
    <s v="2"/>
    <s v="n"/>
    <s v="n"/>
    <s v="n"/>
    <n v="9788961875400"/>
    <s v="896187540X"/>
    <n v="1226409803"/>
    <s v="Korean"/>
    <s v="Japanese Military's &quot;Comfort Women&quot; Issue Research Collection"/>
    <s v="Ilbon'gun 'wianbu' munje charyojip"/>
    <s v="일본군 '위안부' 문제 자료집"/>
    <s v="Cho, Yun-su; (Researcher in international relations) ^ Tongbuga Yŏksa Chaedan (Korea)"/>
    <s v="조 윤수 (Researcher in international relations) ^ 동북아 역사 재단 (Korea)"/>
    <s v="Ilche ch'imt'alsa charyo ch'ongsŏ ; 91-92"/>
    <s v="일제 침탈사 자료 총서 ; 91-92"/>
    <x v="1"/>
    <x v="1"/>
    <x v="4"/>
    <s v="n/a"/>
    <s v="Ch'op'an"/>
    <s v="초판"/>
    <s v="Comfort women -- East Asia -- History -- Sources ^ Comfort women -- Korea -- History -- Sources ^ World War, 1939-1945 -- Women -- East Asia -- Sources ^ World War, 1939-1945 -- Atrocities -- Japan -- Sources ^ Atrocities ^ Comfort women ^ Women ^ History ^ Sources ^ 1939-1945 ^ East Asia ^ Japan ^ Korea"/>
    <s v="0"/>
    <m/>
    <m/>
  </r>
  <r>
    <n v="62.02"/>
    <m/>
    <m/>
    <m/>
    <m/>
    <m/>
    <s v="issue 93"/>
    <s v="n/a"/>
    <x v="0"/>
    <s v="2"/>
    <s v="2"/>
    <s v="n"/>
    <s v="n"/>
    <s v="n"/>
    <n v="9788961875417"/>
    <n v="8961875418"/>
    <n v="1226409803"/>
    <s v="Korean"/>
    <s v="Japanese Military's &quot;Comfort Women&quot; Issue Research Collection"/>
    <s v="Ilbon'gun 'wianbu' munje charyojip"/>
    <s v="일본군 '위안부' 문제 자료집"/>
    <s v="Cho, Yun-su; (Researcher in international relations) ^ Tongbuga Yŏksa Chaedan (Korea)"/>
    <s v="조 윤수 (Researcher in international relations) ^ 동북아 역사 재단 (Korea)"/>
    <s v="Ilche ch'imt'alsa charyo ch'ongsŏ ; 91-92"/>
    <s v="일제 침탈사 자료 총서 ; 91-92"/>
    <x v="1"/>
    <x v="1"/>
    <x v="4"/>
    <s v="n/a"/>
    <s v="Ch'op'an"/>
    <s v="초판"/>
    <s v="Comfort women -- East Asia -- History -- Sources ^ Comfort women -- Korea -- History -- Sources ^ World War, 1939-1945 -- Women -- East Asia -- Sources ^ World War, 1939-1945 -- Atrocities -- Japan -- Sources ^ Atrocities ^ Comfort women ^ Women ^ History ^ Sources ^ 1939-1945 ^ East Asia ^ Japan ^ Korea"/>
    <s v="0"/>
    <m/>
    <m/>
  </r>
  <r>
    <n v="62.02"/>
    <m/>
    <m/>
    <m/>
    <m/>
    <m/>
    <s v="issue 93"/>
    <s v="n/a"/>
    <x v="1"/>
    <s v="2"/>
    <s v="2"/>
    <s v="n"/>
    <s v="n"/>
    <s v="n"/>
    <n v="9788961875417"/>
    <n v="8961875418"/>
    <n v="1226409803"/>
    <s v="Korean"/>
    <s v="Japanese Military's &quot;Comfort Women&quot; Issue Research Collection"/>
    <s v="Ilbon'gun 'wianbu' munje charyojip"/>
    <s v="일본군 '위안부' 문제 자료집"/>
    <s v="Cho, Yun-su; (Researcher in international relations) ^ Tongbuga Yŏksa Chaedan (Korea)"/>
    <s v="조 윤수 (Researcher in international relations) ^ 동북아 역사 재단 (Korea)"/>
    <s v="Ilche ch'imt'alsa charyo ch'ongsŏ ; 91-92"/>
    <s v="일제 침탈사 자료 총서 ; 91-92"/>
    <x v="1"/>
    <x v="1"/>
    <x v="4"/>
    <s v="n/a"/>
    <s v="Ch'op'an"/>
    <s v="초판"/>
    <s v="Comfort women -- East Asia -- History -- Sources ^ Comfort women -- Korea -- History -- Sources ^ World War, 1939-1945 -- Women -- East Asia -- Sources ^ World War, 1939-1945 -- Atrocities -- Japan -- Sources ^ Atrocities ^ Comfort women ^ Women ^ History ^ Sources ^ 1939-1945 ^ East Asia ^ Japan ^ Korea"/>
    <s v="0"/>
    <m/>
    <m/>
  </r>
  <r>
    <n v="63"/>
    <m/>
    <m/>
    <m/>
    <m/>
    <m/>
    <m/>
    <s v="n/a"/>
    <x v="2"/>
    <s v="1"/>
    <s v="2?"/>
    <s v="n"/>
    <s v="n"/>
    <s v="n"/>
    <n v="9791186625064"/>
    <s v="n/a"/>
    <n v="1325614862"/>
    <s v="Korean"/>
    <s v="Korean collection of the Japan Folk Crafts Museum"/>
    <s v="Ilbon Minyegwan sojang Han'guk munhwajae = Korean collection of the Japan Folk Crafts Museum"/>
    <s v="일본 민예관 소장 한국 문화재 = Korean collection of the Japan Folk Crafts Museum"/>
    <s v="Kugoe Sojae Munhwajae Chaedan,"/>
    <s v="국외 소재 문화재 재단, issuing body"/>
    <s v="Kugoe Han'guk munhwajae ; 9, 12"/>
    <s v="국외 한국 문화재 ; 9, 12"/>
    <x v="26"/>
    <x v="1"/>
    <x v="16"/>
    <s v="n/a"/>
    <s v="n/a"/>
    <s v="n/a"/>
    <s v="Handicraft  --  Korea  --  Catalogs ^ Ceramics  --  Korea  --  Catalogs ^ Painting  --  Korea  --  Catalogs ^ Art objects, Korean  --  Japan  --  Catalogs ^ Artisanat  --  Catalogues  --  Corée ^ Objets d'art coréens  --  Catalogues  --  Japon ^ Nihon Mingeikan  --  Catalogs"/>
    <s v="0"/>
    <m/>
    <m/>
  </r>
  <r>
    <n v="64"/>
    <m/>
    <m/>
    <m/>
    <m/>
    <m/>
    <m/>
    <s v="n/a"/>
    <x v="2"/>
    <s v="36"/>
    <s v="n/a"/>
    <s v="n"/>
    <s v="n"/>
    <s v="n"/>
    <n v="9788961874328"/>
    <n v="8961874322"/>
    <n v="1119740156"/>
    <s v="Chinese"/>
    <s v="Textual Criticism of the Records of the Historian on the Eastern Barbarians in China"/>
    <s v="Chungguk chŏngsa Tongijŏn kyogam"/>
    <s v="中國 正史 東夷傳 校勘"/>
    <s v="n/a"/>
    <s v="n/a"/>
    <s v="Tongbuga yŏksa charyo ch'ongsŏ ; 36"/>
    <s v="동북아 역사 자료 총서 ; 36"/>
    <x v="1"/>
    <x v="1"/>
    <x v="0"/>
    <s v="n/a"/>
    <s v="Ch'op'an"/>
    <s v="초판"/>
    <s v="Han Dynasty (China) ^ Qin Dynasty (China) ^ History ^ To 935 ^ China -- Relations -- Korea -- History ^ Korea -- Relations -- China -- History ^ China -- History -- To 221 BC ^ China -- History -- Qin dynasty, 221-207 BC ^ China -- History -- Han dynasty, 202 BC-220 AD ^ Korea -- History -- To 935 ^ China ^ Korea"/>
    <s v="0"/>
    <m/>
    <m/>
  </r>
  <r>
    <n v="65.040000000000006"/>
    <m/>
    <m/>
    <m/>
    <m/>
    <m/>
    <s v="issue 41"/>
    <s v="n/a"/>
    <x v="0"/>
    <s v="4"/>
    <s v="5"/>
    <s v="n"/>
    <s v="https://libcat.colorado.edu/Record/b7681369"/>
    <s v="y"/>
    <n v="9788961874014"/>
    <n v="8961874012"/>
    <n v="828834530"/>
    <s v="Korean"/>
    <s v="A Study on the Relationship between the Korean and Chinese during the Sui and Tang Dynasties"/>
    <s v="Kugyŏk &quot;Ch'ŏnggye Chung-Il-Han kwan'gye saryo&quot;"/>
    <s v="국역 &quot;淸季 中日韓 關係 史料&quot;"/>
    <s v="Kim, Hyŏng-jong"/>
    <s v="김 형종, translator"/>
    <s v="Tongbuga yŏksa charyo ch'ongsŏ ; 41"/>
    <s v="동북아 역사 자료 총서 ; 41"/>
    <x v="1"/>
    <x v="1"/>
    <x v="15"/>
    <s v="n/a"/>
    <s v="Ch'op'an"/>
    <s v="초판"/>
    <s v="외교 관계外交關係 ^ Diplomatic relations ^ Sources ^ 중국(국명)中國; 일본(국명)日本; 한국(국명)韓國 ^ China -- Foreign relations -- Korea -- Sources ^ Korea -- Foreign relations -- China -- Sources ^ China -- Foreign relations -- Japan -- Sources ^ Japan -- Foreign relations -- China -- Sources ^ China ^ Japan ^ Korea"/>
    <s v="0"/>
    <m/>
    <m/>
  </r>
  <r>
    <n v="65.040000000000006"/>
    <m/>
    <m/>
    <m/>
    <m/>
    <m/>
    <s v="issue 41"/>
    <s v="n/a"/>
    <x v="1"/>
    <s v="4"/>
    <s v="5"/>
    <s v="n"/>
    <s v="https://libcat.colorado.edu/Record/b7681369"/>
    <s v="y"/>
    <n v="9788961874014"/>
    <n v="8961874012"/>
    <n v="828834530"/>
    <s v="Korean"/>
    <s v="A Study on the Relationship between the Korean and Chinese during the Sui and Tang Dynasties"/>
    <s v="Kugyŏk &quot;Ch'ŏnggye Chung-Il-Han kwan'gye saryo&quot;"/>
    <s v="국역 &quot;淸季 中日韓 關係 史料&quot;"/>
    <s v="Kim, Hyŏng-jong"/>
    <s v="김 형종, translator"/>
    <s v="Tongbuga yŏksa charyo ch'ongsŏ ; 41"/>
    <s v="동북아 역사 자료 총서 ; 41"/>
    <x v="1"/>
    <x v="1"/>
    <x v="15"/>
    <s v="n/a"/>
    <s v="Ch'op'an"/>
    <s v="초판"/>
    <s v="외교 관계外交關係 ^ Diplomatic relations ^ Sources ^ 중국(국명)中國; 일본(국명)日本; 한국(국명)韓國 ^ China -- Foreign relations -- Korea -- Sources ^ Korea -- Foreign relations -- China -- Sources ^ China -- Foreign relations -- Japan -- Sources ^ Japan -- Foreign relations -- China -- Sources ^ China ^ Japan ^ Korea"/>
    <s v="0"/>
    <m/>
    <m/>
  </r>
  <r>
    <n v="65.05"/>
    <m/>
    <m/>
    <m/>
    <m/>
    <m/>
    <s v="issue 41"/>
    <s v="n/a"/>
    <x v="0"/>
    <s v="5"/>
    <s v="5"/>
    <s v="n"/>
    <s v="n"/>
    <s v="y"/>
    <n v="9788961875370"/>
    <s v="896187537X"/>
    <n v="828834530"/>
    <s v="Korean"/>
    <s v="A Study on the Relationship between the Korean and Chinese during the Sui and Tang Dynasties"/>
    <s v="Kugyŏk &quot;Ch'ŏnggye Chung-Il-Han kwan'gye saryo&quot;"/>
    <s v="국역 &quot;淸季 中日韓 關係 史料&quot;"/>
    <s v="Kim, Hyŏng-jong"/>
    <s v="김 형종, translator"/>
    <s v="Tongbuga yŏksa charyo ch'ongsŏ ; 41"/>
    <s v="동북아 역사 자료 총서 ; 41"/>
    <x v="1"/>
    <x v="1"/>
    <x v="15"/>
    <s v="n/a"/>
    <s v="Ch'op'an"/>
    <s v="초판"/>
    <s v="외교 관계外交關係 ^ Diplomatic relations ^ Sources ^ 중국(국명)中國; 일본(국명)日本; 한국(국명)韓國 ^ China -- Foreign relations -- Korea -- Sources ^ Korea -- Foreign relations -- China -- Sources ^ China -- Foreign relations -- Japan -- Sources ^ Japan -- Foreign relations -- China -- Sources ^ China ^ Japan ^ Korea"/>
    <s v="0"/>
    <m/>
    <m/>
  </r>
  <r>
    <n v="66.010000000000005"/>
    <m/>
    <m/>
    <m/>
    <m/>
    <m/>
    <s v="issue 131"/>
    <s v="n/a"/>
    <x v="2"/>
    <s v="1 上"/>
    <s v="3"/>
    <s v="n"/>
    <s v="n"/>
    <s v="n"/>
    <n v="9788961875707"/>
    <n v="8961875701"/>
    <n v="1252784597"/>
    <s v="Korean"/>
    <s v="A study and verification of territorial sovereignty over Dokdo"/>
    <s v="Tokto yŏngt'o chukwŏn ŭi silchŭngjŏk yŏn'gu"/>
    <s v="독도 영토 주권 의 실증적 연구"/>
    <s v="Sin, Yong-ha"/>
    <s v="신 용하"/>
    <s v="Tongbuga Yŏksa Chaedan yŏn'gu ch'ongsŏ ; 113"/>
    <s v="동북아 역사 재단 연구 총서 ; 113"/>
    <x v="1"/>
    <x v="1"/>
    <x v="4"/>
    <s v="n/a"/>
    <s v="Ch'op'an"/>
    <s v="초판"/>
    <s v="Territory, National -- Korea (South) ^ Territory, National -- Japan ^ International law ^ Territory, National ^ History ^ Tok Island (Korea) -- History ^ Tok Island (Korea) -- Territories and possessions ^ Tok Island (Korea) -- International status ^ Liancourt, Rochers de -- Territoires et possessions ^ Liancourt, Rochers de -- Statut international ^ Japan ^ Korea (South) ^ Korea (South) -- Tok Island"/>
    <s v="0"/>
    <m/>
    <m/>
  </r>
  <r>
    <n v="66.02"/>
    <m/>
    <m/>
    <m/>
    <m/>
    <m/>
    <s v="issue 131"/>
    <s v="n/a"/>
    <x v="2"/>
    <s v="2 中"/>
    <s v="3"/>
    <s v="n"/>
    <s v="n"/>
    <s v="n"/>
    <n v="9788961875714"/>
    <s v="896187571X"/>
    <n v="1252784597"/>
    <s v="Korean"/>
    <s v="A study and verification of territorial sovereignty over Dokdo"/>
    <s v="Tokto yŏngt'o chukwŏn ŭi silchŭngjŏk yŏn'gu"/>
    <s v="독도 영토 주권 의 실증적 연구"/>
    <s v="Sin, Yong-ha"/>
    <s v="신 용하"/>
    <s v="Tongbuga Yŏksa Chaedan yŏn'gu ch'ongsŏ ; 113"/>
    <s v="동북아 역사 재단 연구 총서 ; 113"/>
    <x v="1"/>
    <x v="1"/>
    <x v="4"/>
    <s v="n/a"/>
    <s v="Ch'op'an"/>
    <s v="초판"/>
    <s v="Territory, National -- Korea (South) ^ Territory, National -- Japan ^ International law ^ Territory, National ^ History ^ Tok Island (Korea) -- History ^ Tok Island (Korea) -- Territories and possessions ^ Tok Island (Korea) -- International status ^ Liancourt, Rochers de -- Territoires et possessions ^ Liancourt, Rochers de -- Statut international ^ Japan ^ Korea (South) ^ Korea (South) -- Tok Island"/>
    <s v="0"/>
    <m/>
    <m/>
  </r>
  <r>
    <n v="66.03"/>
    <m/>
    <m/>
    <m/>
    <m/>
    <m/>
    <s v="issue 131"/>
    <s v="n/a"/>
    <x v="2"/>
    <s v="3 下"/>
    <s v="3"/>
    <s v="n"/>
    <s v="n"/>
    <s v="n"/>
    <n v="9788961875721"/>
    <n v="8961875728"/>
    <n v="1252784597"/>
    <s v="Korean"/>
    <s v="A study and verification of territorial sovereignty over Dokdo"/>
    <s v="Tokto yŏngt'o chukwŏn ŭi silchŭngjŏk yŏn'gu"/>
    <s v="독도 영토 주권 의 실증적 연구"/>
    <s v="Sin, Yong-ha"/>
    <s v="신 용하"/>
    <s v="Tongbuga Yŏksa Chaedan yŏn'gu ch'ongsŏ ; 113"/>
    <s v="동북아 역사 재단 연구 총서 ; 113"/>
    <x v="1"/>
    <x v="1"/>
    <x v="4"/>
    <s v="n/a"/>
    <s v="Ch'op'an"/>
    <s v="초판"/>
    <s v="Territory, National -- Korea (South) ^ Territory, National -- Japan ^ International law ^ Territory, National ^ History ^ Tok Island (Korea) -- History ^ Tok Island (Korea) -- Territories and possessions ^ Tok Island (Korea) -- International status ^ Liancourt, Rochers de -- Territoires et possessions ^ Liancourt, Rochers de -- Statut international ^ Japan ^ Korea (South) ^ Korea (South) -- Tok Island"/>
    <s v="0"/>
    <m/>
    <m/>
  </r>
  <r>
    <n v="67.010000000000005"/>
    <m/>
    <m/>
    <m/>
    <m/>
    <m/>
    <m/>
    <s v="n/a"/>
    <x v="4"/>
    <s v="1"/>
    <s v="n/a"/>
    <s v="n"/>
    <s v="n"/>
    <s v="n"/>
    <n v="9791197913945"/>
    <s v="n/a"/>
    <n v="1373915516"/>
    <s v="English"/>
    <s v="n/a"/>
    <s v="Provisional Government of the Reublic of Korea: the root of the Republic of Korea"/>
    <s v="n/a"/>
    <s v="Han, Si-jun ^ Kim, Ki-sŭng ^ Kim, Hŭi-gon ^ PTNLAB"/>
    <s v="韓, 詩俊 ^ 金, 基承 ^ 金, 喜坤"/>
    <s v="History of the Provisional Governmnt of the ROK, Research Series ; 1"/>
    <s v="n/a"/>
    <x v="27"/>
    <x v="1"/>
    <x v="17"/>
    <s v="n/a"/>
    <s v="n/a"/>
    <s v="English version"/>
    <s v="Korean resistance movements, 1905-1945 ^ Koreans -- China -- Politics and government ^ Korea -- History -- Independence movement, 1919 ^ Korea -- Politics and government -- 1910-1945"/>
    <s v="0"/>
    <m/>
    <m/>
  </r>
  <r>
    <n v="68"/>
    <m/>
    <m/>
    <m/>
    <m/>
    <m/>
    <m/>
    <s v="n/a"/>
    <x v="0"/>
    <s v="n/a"/>
    <s v="n/a"/>
    <s v="n"/>
    <s v="n"/>
    <s v="n"/>
    <n v="9788961874816"/>
    <n v="8961874810"/>
    <n v="1223009717"/>
    <s v="Korean"/>
    <s v="Korean History Lecture: Japanese Colonial Rule and National Liberation"/>
    <s v="Han-Il yŏksa chaengchŏm: Ilche singmin chibae wa kŭkpok"/>
    <s v="한일 역사 쟁점: 일제 식민 지배 와 극복"/>
    <s v="Cho, Chae-gon ^ Tongbuga Yŏksa Chaedan (Korea).; Han-Il Yŏksa Munje Yŏn'guso"/>
    <s v="조 재곤 ^ 러일 전쟁 과 한반도 ^ 동북아 역사 재단 (Korea). 한일 역사 문제 연구소"/>
    <s v="n/a"/>
    <s v="n/a"/>
    <x v="1"/>
    <x v="1"/>
    <x v="2"/>
    <s v="n/a"/>
    <s v="Ch'op'an"/>
    <s v="초판"/>
    <s v="International relations ^ History ^ 1910-1945 ^ Korea (South) -- Relations -- Japan ^ Japan -- Relations -- Korea (South) ^ Korea -- History -- Japanese occupation, 1910-1945 ^ Japan ^ Korea ^ Korea (South)"/>
    <s v="0"/>
    <m/>
    <m/>
  </r>
  <r>
    <n v="68"/>
    <m/>
    <m/>
    <m/>
    <m/>
    <m/>
    <m/>
    <s v="n/a"/>
    <x v="1"/>
    <s v="n/a"/>
    <s v="n/a"/>
    <s v="n"/>
    <s v="n"/>
    <s v="n"/>
    <n v="9788961874816"/>
    <n v="8961874810"/>
    <n v="1223009717"/>
    <s v="Korean"/>
    <s v="Korean History Lecture: Japanese Colonial Rule and National Liberation"/>
    <s v="Han-Il yŏksa chaengchŏm: Ilche singmin chibae wa kŭkpok"/>
    <s v="한일 역사 쟁점: 일제 식민 지배 와 극복"/>
    <s v="Cho, Chae-gon ^ Tongbuga Yŏksa Chaedan (Korea).; Han-Il Yŏksa Munje Yŏn'guso"/>
    <s v="조 재곤 ^ 러일 전쟁 과 한반도 ^ 동북아 역사 재단 (Korea). 한일 역사 문제 연구소"/>
    <s v="n/a"/>
    <s v="n/a"/>
    <x v="1"/>
    <x v="1"/>
    <x v="2"/>
    <s v="n/a"/>
    <s v="Ch'op'an"/>
    <s v="초판"/>
    <s v="International relations ^ History ^ 1910-1945 ^ Korea (South) -- Relations -- Japan ^ Japan -- Relations -- Korea (South) ^ Korea -- History -- Japanese occupation, 1910-1945 ^ Japan ^ Korea ^ Korea (South)"/>
    <s v="0"/>
    <m/>
    <m/>
  </r>
  <r>
    <n v="69"/>
    <m/>
    <m/>
    <m/>
    <m/>
    <m/>
    <s v="issue 71"/>
    <s v="n/a"/>
    <x v="1"/>
    <s v="71"/>
    <s v="n/a"/>
    <s v="https://libcat.colorado.edu/Record/b12104616"/>
    <s v="https://libcat.colorado.edu/Record/b12104616"/>
    <s v="y"/>
    <n v="9788961874038"/>
    <n v="8961874039"/>
    <n v="1059633850"/>
    <s v="Korean"/>
    <s v="Research Trends in Ancient Korean History: Achievements and Prospects for the Past 2000 Years of National Development"/>
    <s v="Kojosŏnsa yŏn'gu tonghyang: 2000-yŏn ihu kukkabyŏl chaengjŏm kwa chŏnmang"/>
    <s v="고조선사 연구 동향: 2000년 이후 국가별 쟁점 과 전망"/>
    <s v="Pak, Sŏn-mi ^ Han-Chung Kwan'gye Yŏn'guso"/>
    <s v="박 선미 ^ 고조선사 연구 에서 제기 되는 몇 가지 과제 ^ 동북아 역사 재단 (Korea), issuing body. 한중 관계 연구소"/>
    <s v="Tongbuga Yŏksa Chaedan yŏn'gu ch'ongsŏ ; 71"/>
    <s v="동북아 역사 재단 연구 총서 ; 71"/>
    <x v="1"/>
    <x v="1"/>
    <x v="0"/>
    <s v="n/a"/>
    <s v="Ch'op'an"/>
    <s v="초판"/>
    <s v="Education ^ Historiography ^ Kojosŏn (Kingdom) -- Study and teaching ^ Kojosŏn (Kingdom) -- Historiography"/>
    <s v="0"/>
    <m/>
    <m/>
  </r>
  <r>
    <n v="70.040000000000006"/>
    <m/>
    <m/>
    <m/>
    <m/>
    <m/>
    <m/>
    <s v="n/a"/>
    <x v="2"/>
    <s v="04"/>
    <s v="n/a"/>
    <s v="n"/>
    <s v="n"/>
    <s v="n"/>
    <n v="9788961875608"/>
    <n v="8961875604"/>
    <n v="1238134582"/>
    <s v="Korean"/>
    <s v="The History of Comfort Women with Japan"/>
    <s v="Hamkke ssŭnŭn yŏksa Ilbon'gun 'wianbu'"/>
    <s v="함께 쓰는 역사 일본군 '위안부'"/>
    <s v="Pak, Chŏng-ae"/>
    <s v="박 정애"/>
    <s v="Ilche ch'imt'alsa paro algi ; 04"/>
    <s v="일제 침탈사 바로 알기 ; 04"/>
    <x v="1"/>
    <x v="1"/>
    <x v="4"/>
    <s v="n/a"/>
    <s v="Ch'op'an"/>
    <s v="초판"/>
    <s v="Comfort women -- Korea ^ World War, 1939-1945 -- Personal narratives, Korean ^ World War, 1939-1945 -- Women -- Korea ^ World War, 1939-1945 -- Atrocities -- Japan ^ Atrocities ^ Comfort women ^ Women ^ Personal Narrative ^ Personal narratives -- Korean ^ Personal narratives ^ Récits personnels ^ 1939-1945 ^ Japan ^ Korea"/>
    <s v="0"/>
    <m/>
    <m/>
  </r>
  <r>
    <n v="71"/>
    <m/>
    <m/>
    <m/>
    <m/>
    <m/>
    <s v="We have a copy of this in English."/>
    <s v="n/a"/>
    <x v="3"/>
    <s v="1"/>
    <s v="n/a"/>
    <s v="n"/>
    <s v="n"/>
    <s v="n"/>
    <n v="9791197913938"/>
    <s v="n/a"/>
    <n v="1358761106"/>
    <s v="Korean"/>
    <s v="Roots of the Republic of Korea: Provisional Government of the Republic of Korea"/>
    <s v="Taehan Min'guk ŭi ppuri: Taehan Min'guk Imsi Chŏngbu"/>
    <s v="대한 민국 의 뿌리: 대한 민국 임시 정부"/>
    <s v="Han, Si-jun ^ Kim, Ki-sŭng ^ Kim, Hŭi-gon ^ Chang, Sŏk-hong; (History professor) ^ Ch'oe, Ki-yŏng ^ Kungnip Taehan Min'guk Imsi Chŏngbu Kinyŏmgwan"/>
    <s v="한 시준 ^ 김 기승 ^ 김 희곤 ^ 장 석홍 (History professor) ^ 최 기영 ^ 국립 대한 민국 임시 정부 기념관, issuing body"/>
    <s v="Taehan Min'guk Imsi Chŏngbusa yŏn'gu ch'ongsŏ ; 1"/>
    <s v="대한 민국 임시 정부사 연구 총서 ; 1"/>
    <x v="28"/>
    <x v="1"/>
    <x v="18"/>
    <s v="n/a"/>
    <s v="n/a"/>
    <s v="n/a"/>
    <s v="Koreans -- China -- Politics and government ^ Korean resistance movements, 1905-1945 ^ Koreans -- Politics and government ^ Politics and government ^ Korean resistance movements (1905-1945) ^ History ^ 1905-1945 ^ Korea -- Politics and government -- 1910-1945 ^ Korea -- History -- Japanese occupation, 1910-1945 ^ China ^ Korea"/>
    <s v="0"/>
    <m/>
    <m/>
  </r>
  <r>
    <n v="71.02"/>
    <m/>
    <m/>
    <m/>
    <m/>
    <m/>
    <m/>
    <s v="n/a"/>
    <x v="1"/>
    <s v="89"/>
    <s v="2"/>
    <s v="n"/>
    <s v="n"/>
    <s v="n"/>
    <n v="9788961875141"/>
    <s v="8961875140"/>
    <n v="1144012296"/>
    <s v="Korean"/>
    <s v="Understanding Korean Traditional Music"/>
    <s v="Han'guk kodaesa kyesŭng insik"/>
    <s v="한국 고대사 계승 인식"/>
    <s v="Im, Sang-sŏn ^ Tongbuga Yŏksa Chaedan (Korea)"/>
    <s v="임 상선 ^ 동북아 역사 재단 (Korea), issuing body"/>
    <s v="Tongbuga Yŏksa Chaedan yŏn'gu ch'ongsŏ ; 89"/>
    <s v="동북아 역사 재단 연구 총서 ; 89"/>
    <x v="1"/>
    <x v="1"/>
    <x v="10"/>
    <s v="n/a"/>
    <s v="n/a"/>
    <s v="n/a"/>
    <s v="Historiography ^ History ^ Sources ^ To 935 ^ Korea -- History -- To 935 -- Historiography -- Sources ^ Korea"/>
    <s v="0"/>
    <m/>
    <m/>
  </r>
  <r>
    <n v="72"/>
    <m/>
    <m/>
    <m/>
    <m/>
    <m/>
    <s v="issue 49"/>
    <s v="n/a"/>
    <x v="1"/>
    <s v="49"/>
    <s v="n/a"/>
    <s v="https://libcat.colorado.edu/Record/b5676470"/>
    <s v="n"/>
    <s v="y"/>
    <n v="9788961871426"/>
    <n v="8961871420"/>
    <n v="503481196"/>
    <s v="Korean"/>
    <s v="Trends in Chinese Historical Studies: Focusing on the Field of Korea-related Research"/>
    <s v="Chungguk yŏksa hakkye ŭi Ch'ŏngsa yŏn'gu tonghyang: Han'guk kwallyŏn punya rŭl chungsim ŭro"/>
    <s v="중국 역사 학계 의 청사 연구 동향: 한국 관련 분야 를 중심 으로"/>
    <s v="Yu, Chang-gŭn"/>
    <s v="유 장근"/>
    <s v="Tongbuga Yŏksa Chaedan yŏn'gu ch'ongsŏ ; 49"/>
    <s v="동북아 역사 재단 연구 총서 ; 49"/>
    <x v="1"/>
    <x v="1"/>
    <x v="19"/>
    <s v="n/a"/>
    <s v="Ch'op'an"/>
    <s v="초판"/>
    <s v="International relations ^ Qing Dynasty (China) ^ Study skills ^ History ^ 1644-1912 ^ 중국(국명)[中國]; 한국(국명)[韓國] ^ China -- History -- Qing dynasty, 1644-1912 -- Study and teaching ^ China -- Relations -- Korea ^ Korea -- Relations -- China ^ China ^ Korea"/>
    <s v="0"/>
    <m/>
    <m/>
  </r>
  <r>
    <n v="73"/>
    <m/>
    <m/>
    <m/>
    <m/>
    <m/>
    <m/>
    <s v="n/a"/>
    <x v="5"/>
    <s v="n/a"/>
    <s v="n/a"/>
    <s v="n"/>
    <s v="n"/>
    <s v="n"/>
    <n v="9788929916206"/>
    <n v="8929916201"/>
    <n v="1250434371"/>
    <s v="Korean"/>
    <s v="Dongyu Diary"/>
    <s v="Tongyu ilgi"/>
    <s v="동유 일기"/>
    <s v="Song, Chu-sang ^ Chŏng, Sŏk-t'ae"/>
    <s v="宋 周相 ^ 정 석태, translator"/>
    <s v="Chosŏn sidae kaein ilgi kugyŏk ch'ongsŏ"/>
    <s v="조선 시대 개인 일기 국역 총서"/>
    <x v="29"/>
    <x v="1"/>
    <x v="2"/>
    <s v="n/a"/>
    <s v="n/a"/>
    <s v="n/a"/>
    <s v="Travel ^ 宋 周相, 1695-1752 Travel ^ Song, Chu-sang, 1695-1752 -- Travel ^ Diamond Mountains (Korea) -- Description and travel ^ Korea (North) -- Diamond Mountains"/>
    <s v="0"/>
    <m/>
    <m/>
  </r>
  <r>
    <n v="74"/>
    <m/>
    <m/>
    <m/>
    <m/>
    <m/>
    <m/>
    <s v="n/a"/>
    <x v="5"/>
    <s v="n/a"/>
    <s v="n/a"/>
    <s v="n"/>
    <s v="n"/>
    <s v="n"/>
    <n v="9788929916176"/>
    <n v="8929916171"/>
    <n v="1251737506"/>
    <s v="Korean"/>
    <s v="Jeonggongong Diary"/>
    <s v="Chŏnggan'gong ilgi"/>
    <s v="정간공 일기"/>
    <s v="Chŏng, Tʻak ^ Ch'oe, Yŏn-suk"/>
    <s v="정 탁 ^ 최 연숙, translator"/>
    <s v="Chosŏn sidae kaein ilgi kugyŏk ch'ongsŏ"/>
    <s v="조선 시대 개인 일기 국역 총서"/>
    <x v="29"/>
    <x v="1"/>
    <x v="2"/>
    <s v="n/a"/>
    <s v="n/a"/>
    <s v="n/a"/>
    <s v="Employees ^ Diaries ^ History ^ Sources ^ 1392-1637 ^ Korea -- Officials and employees -- Diaries ^ Korea -- History -- 1392-1637 -- Sources ^ Korea"/>
    <s v="0"/>
    <m/>
    <m/>
  </r>
  <r>
    <n v="75"/>
    <m/>
    <m/>
    <m/>
    <m/>
    <m/>
    <m/>
    <s v="n/a"/>
    <x v="5"/>
    <s v="n/a"/>
    <s v="n/a"/>
    <s v="n"/>
    <s v="n"/>
    <s v="n"/>
    <n v="9788929916190"/>
    <n v="8929916198"/>
    <n v="1250429240"/>
    <s v="Korean"/>
    <s v="Gwandong Annals"/>
    <s v="Kwandong illok"/>
    <s v="관동 일록"/>
    <s v="Chŏng, Chin-yŏng"/>
    <s v="정 진영 ^ translator"/>
    <s v="Chosŏn sidae kaein ilgi kugyŏk ch'ongsŏ"/>
    <s v="조선 시대 개인 일기 국역 총서"/>
    <x v="29"/>
    <x v="1"/>
    <x v="2"/>
    <s v="n/a"/>
    <s v="n/a"/>
    <s v="n/a"/>
    <s v="Employees ^ Travel ^ Diaries ^ Early works ^ History ^ 1637-1864 ^ Korea -- Description and travel -- Early works to 1800 ^ Korea -- Officials and employees -- Diaries ^ Korea -- History -- 1637-1864 ^ Korea"/>
    <s v="0"/>
    <m/>
    <m/>
  </r>
  <r>
    <n v="76"/>
    <m/>
    <m/>
    <m/>
    <m/>
    <m/>
    <m/>
    <s v="n/a"/>
    <x v="5"/>
    <s v="n/a"/>
    <s v="n/a"/>
    <s v="n"/>
    <s v="n"/>
    <s v="n"/>
    <n v="9788929916237"/>
    <n v="8929916236"/>
    <n v="1250436129"/>
    <s v="Korean"/>
    <s v="Gibaekjae Diary"/>
    <s v="Kibaekchae ilgi"/>
    <s v="기백재 일기"/>
    <s v="Kim, Pok-hyu ^ Han, Min-sŏp"/>
    <s v="金 福休 ^ 한 민섭, translator"/>
    <s v="Chosŏn sidae kaein ilgi kugyŏk ch'ongsŏ"/>
    <s v="조선 시대 개인 일기 국역 총서"/>
    <x v="29"/>
    <x v="1"/>
    <x v="2"/>
    <s v="n/a"/>
    <s v="n/a"/>
    <s v="n/a"/>
    <s v="Employees ^ Diaries ^ Korea -- Officials and employees -- Diaries ^ Korea"/>
    <s v="0"/>
    <m/>
    <m/>
  </r>
  <r>
    <n v="77"/>
    <m/>
    <m/>
    <m/>
    <m/>
    <m/>
    <m/>
    <s v="n/a"/>
    <x v="5"/>
    <s v="n/a"/>
    <s v="n/a"/>
    <s v="n"/>
    <s v="n"/>
    <s v="n"/>
    <n v="9788929916213"/>
    <n v="8929916155"/>
    <n v="1251741641"/>
    <s v="Korean"/>
    <s v="On-gye Seonsaeng's Travel Records"/>
    <s v="On'gye Sŏnsaeng pukhaengnok"/>
    <s v="온계 선생 북행록"/>
    <s v="Yi, Hae ^ Han, Min-sŏp"/>
    <s v="李 瀣 ^ 한 민섭, translator"/>
    <s v="Chosŏn sidae kaein ilgi kugyŏk ch'ongsŏ"/>
    <s v="조선 시대 개인 일기 국역 총서"/>
    <x v="29"/>
    <x v="1"/>
    <x v="2"/>
    <s v="n/a"/>
    <s v="n/a"/>
    <s v="n/a"/>
    <s v="Ombudspersons -- Korea -- Diaries ^ Employees ^ Ombudspersons ^ Diaries ^ History ^ Sources ^ 1392-1637 ^ Korea -- Officials and employees -- Diaries ^ Korea -- History -- 1392-1637 -- Sources ^ Korea"/>
    <s v="0"/>
    <m/>
    <m/>
  </r>
  <r>
    <n v="78"/>
    <m/>
    <m/>
    <m/>
    <m/>
    <m/>
    <m/>
    <s v="n/a"/>
    <x v="5"/>
    <s v="n/a"/>
    <s v="n/a"/>
    <s v="n"/>
    <s v="n"/>
    <s v="n"/>
    <n v="9788929916169"/>
    <n v="8929916155"/>
    <n v="1251739247"/>
    <s v="Korean"/>
    <s v="Haewolheon Gaemi Diary"/>
    <s v="Haewŏrhŏn Kyemi ilgi"/>
    <s v="해월헌 계미 일기"/>
    <s v="Hwang, Yŏ-il ^ Ch'oe, Yŏn-suk"/>
    <s v="黃 汝一 ^ 최 연숙, translator"/>
    <s v="Chosŏn Sidae Kaein Ilgi Kugyŏ̆k ch'ongsŏk Ch'ongsŏ"/>
    <s v="조선 시대 개인 일기 국역 총서"/>
    <x v="29"/>
    <x v="1"/>
    <x v="2"/>
    <s v="n/a"/>
    <s v="n/a"/>
    <s v="n/a"/>
    <s v="Employees ^ Diaries ^ History ^ Sources ^ 1392-1637 ^ Korea -- Officials and employees -- Diaries ^ Korea -- History -- 1392-1637 -- Sources ^ Korea"/>
    <s v="0"/>
    <m/>
    <m/>
  </r>
  <r>
    <n v="79"/>
    <m/>
    <m/>
    <m/>
    <m/>
    <m/>
    <m/>
    <s v="n/a"/>
    <x v="5"/>
    <s v="n/a"/>
    <s v="n/a"/>
    <s v="n"/>
    <s v="n"/>
    <s v="n"/>
    <n v="9788929916220"/>
    <n v="8929916155"/>
    <n v="1251737238"/>
    <s v="Korean"/>
    <s v="Northward Travel Diary"/>
    <s v="Pukhaeng ilgi"/>
    <s v="북행 일기"/>
    <s v="Sŏ, Chong-tʻae ^ Chang, Yu-sŭng"/>
    <s v="장 유승, Translator"/>
    <s v="Chosŏn Sidae Kaein Ilgi Kugyŏk Ch'ongsŏ"/>
    <s v="조선 시대 개인 일기 국역 총서"/>
    <x v="29"/>
    <x v="1"/>
    <x v="2"/>
    <s v="n/a"/>
    <s v="n/a"/>
    <s v="n/a"/>
    <s v="Employees ^ Diaries ^ History ^ Sources ^ 1637-1864 ^ Korea -- Officials and employees -- Diaries ^ Korea -- History -- 1637-1864 -- Sources ^ Korea"/>
    <s v="0"/>
    <m/>
    <m/>
  </r>
  <r>
    <n v="80"/>
    <m/>
    <m/>
    <m/>
    <m/>
    <m/>
    <m/>
    <s v="n/a"/>
    <x v="5"/>
    <s v="n/a"/>
    <s v="n/a"/>
    <s v="n"/>
    <s v="n"/>
    <s v="n"/>
    <n v="9788929916183"/>
    <n v="8929916155"/>
    <n v="1250431101"/>
    <s v="Korean"/>
    <s v="Kyongsang Province Tourism Guide"/>
    <s v="Kyŏngsang-do Hayang-hyŏn illok"/>
    <s v="경상도 하양현 일록"/>
    <s v="Kim, Kyŏng-ch'ŏl ^ Kim, Hyŏk"/>
    <s v="金 景澈 ^ 김 혁, translator"/>
    <s v="Chosŏn sidae kaein ilgi kugyŏk ch'ongsŏ"/>
    <s v="조선 시대 개인 일기 국역 총서"/>
    <x v="29"/>
    <x v="1"/>
    <x v="2"/>
    <s v="n/a"/>
    <s v="n/a"/>
    <s v="n/a"/>
    <s v="Employees ^ Diaries ^ Early works ^ Local history ^ 경상도 (Korea); History, Local; Early works to 1800 ^ Korea -- Officials and employees -- Diaries ^ Kyŏngsang-do (Korea) -- History, Local -- Early works to 1800 ^ Korea ^ Korea (South) -- Kyŏngsang-do"/>
    <s v="0"/>
    <m/>
    <m/>
  </r>
  <r>
    <n v="81.02"/>
    <m/>
    <m/>
    <m/>
    <m/>
    <m/>
    <s v="Includes book, 4 DVDs"/>
    <s v="n/a"/>
    <x v="7"/>
    <s v="n/a"/>
    <s v="n/a"/>
    <s v="n/a"/>
    <s v="n"/>
    <s v="n"/>
    <s v="n/a"/>
    <s v="n/a"/>
    <n v="1142235386"/>
    <s v="Korean"/>
    <s v="Movements on Screen 2"/>
    <s v="2, Tongnip yŏnghwa ro ponŭn Han'guk sahoe"/>
    <s v="영화 와 운동. 2, 독립 영화 로 보는 한국 사회"/>
    <s v="Kim, Ŭng-su ^ Kim, Mi-rye ^ Kim, Il-lan ^ Hong, Chi-yu; (Film director) ^ Yi, Yŏng; (Film director) ^ Sin, Ŭn-sil ^ Pyŏn, Sŏng-ch'an ^ Han'guk Yŏngsang Charyowŏn (Seoul, Korea)"/>
    <s v="김 응수 ^ film director ^ 김 미례, film director ^ 김 일란 ^ film director ^ 홍 지유 (Film director), film director ^ 이 영 (Film director), film director ^ 신 은실 ^ 변 성찬 ^ 한국 영상 자료원 (Seoul, Korea)"/>
    <s v="n/a"/>
    <s v="n/a"/>
    <x v="30"/>
    <x v="1"/>
    <x v="3"/>
    <s v="n/a"/>
    <s v="Ch'op'an"/>
    <s v="초판"/>
    <s v="Documentary films -- Korea (South) ^ Manners and customs ^ Documentary films ^ Civilization ^ Social conditions ^ Independent films ^ Nonfiction films ^ Documentary films ^ Feature films ^ Documentary films ^ Nonfiction films ^ Feature films ^ Independent films ^ Documentaires ^ Films autres que de fiction ^ 1900-1999 ^ Korea (South) -- Social conditions -- 20th century ^ Korea (South) -- Social life and customs -- 20th century ^ Korea (South) -- Civilization -- 20th century ^ Korea (South)"/>
    <s v="0"/>
    <m/>
    <m/>
  </r>
  <r>
    <n v="82"/>
    <m/>
    <m/>
    <m/>
    <m/>
    <m/>
    <s v="Includes book, 4 DVDs"/>
    <s v="n/a"/>
    <x v="7"/>
    <s v="n/a"/>
    <s v="n/a"/>
    <s v="n/a"/>
    <s v="n"/>
    <s v="n"/>
    <s v="n/a"/>
    <s v="n/a"/>
    <n v="1245233514"/>
    <s v="Korean"/>
    <s v="Korean War on Screen"/>
    <s v="Yŏnghwa wa Han'guk chŏnjaeng: yŏnghwa ro ponŭn Han'guk chŏnjaeng"/>
    <s v="영화 와 한국 전쟁: 영화 로 보는 한국 전쟁"/>
    <s v="Han'guk Yŏngsang Charyowŏn (Seoul, Korea)"/>
    <s v="한국 영상 자료원 (Seoul, Korea)"/>
    <s v="n/a"/>
    <s v="n/a"/>
    <x v="31"/>
    <x v="1"/>
    <x v="6"/>
    <s v="n/a"/>
    <s v="n/a"/>
    <s v="n/a"/>
    <s v="Korean War, 1950-1953 -- Drama ^ Korean War, 1950-1953 -- Motion pictures and the war ^ Motion pictures -- Social aspects -- Korea (South) ^ Motion pictures -- Korea (South) -- History -- 20th century ^ War films -- Korea (South) -- History and criticism ^ Films étrangers ^ Motion pictures ^ Motion pictures -- Social aspects ^ War and motion pictures ^ War films ^ Foreign language films -- Korean ^ Criticism, interpretation, etc ^ Drama ^ Feature films ^ Fiction films ^ History ^ War films ^ War films ^ Fiction films ^ Feature films ^ 1900-1999 ^ Korea (South)"/>
    <s v="0"/>
    <m/>
    <m/>
  </r>
  <r>
    <n v="83"/>
    <m/>
    <m/>
    <m/>
    <m/>
    <m/>
    <m/>
    <s v="n/a"/>
    <x v="2"/>
    <s v="39"/>
    <s v="n/a"/>
    <s v="n"/>
    <s v="n"/>
    <s v="n"/>
    <n v="9788961875424"/>
    <s v="8961875426"/>
    <n v="1198924938"/>
    <s v="Korean"/>
    <s v="Russian Embassy Paper and Joseon"/>
    <s v="Rŏsia oegyogwan Peberŭ wa Chosŏn"/>
    <s v="러시아 외교관 베베르 와 조선"/>
    <s v="Pak, B. B ^ Ch'oe, Tŏk-kyu ^ Kim, Chong-hŏn; (Researcher in Russian history and politics)"/>
    <s v="Пак, Б ^ Б ^ 최 덕규 ^ translator ^ 김 종헌 (Researcher in Russian history and politics), translator"/>
    <s v="Tongbuga Yŏksa Chaedan pŏnyŏk ch'ongsŏ ; 39"/>
    <s v="동북아 역사 재단 번역 총서 ; 39"/>
    <x v="1"/>
    <x v="1"/>
    <x v="6"/>
    <s v="n/a"/>
    <s v="Ch'op'an"/>
    <s v="초판"/>
    <s v="Diplomats -- Russia -- 19th century -- Biography ^ Diplomates -- Russie -- 19e siècle -- Biographies ^ Diplomatic relations ^ Diplomats ^ Waeber, C ^ Biographies ^ Biographies ^ 1800-1917 ^ Russia -- Foreign relations -- Korea ^ Korea -- Foreign relations -- Russia ^ Russia -- Foreign relations -- 1801-1917 ^ Russie -- Relations extérieures -- 1801-1917 ^ Korea ^ Russia"/>
    <s v="0"/>
    <m/>
    <m/>
  </r>
  <r>
    <n v="84"/>
    <m/>
    <m/>
    <m/>
    <m/>
    <m/>
    <m/>
    <s v="n/a"/>
    <x v="0"/>
    <s v="38"/>
    <s v="n/a"/>
    <s v="n"/>
    <s v="n"/>
    <s v="n"/>
    <n v="9788961874854"/>
    <s v="8961874853"/>
    <n v="1153937861"/>
    <s v="Korean"/>
    <s v="Comfort Stations of the Japanese Army in the Shanghai Area"/>
    <s v="Comfort Stations of the Japanese Army in the Shanghai Area"/>
    <s v="already in Korean and does not need translation."/>
    <s v="Su, Zhiliang ^ Chen, Lifei ^ Yao, Fei ^ Son, Yŏm-hong"/>
    <s v="苏智良 ^ 陈丽菲 ^ 姚霏 ^ 손 염홍 ^ translator"/>
    <s v="Tongbuga Yŏksa Chaedan pŏnyŏk ch'ongsŏ ; 38"/>
    <s v="동북아 역사 재단 번역 총서 ; 38"/>
    <x v="1"/>
    <x v="1"/>
    <x v="3"/>
    <s v="n/a"/>
    <s v="Ch'op'an"/>
    <s v="초판"/>
    <s v="Comfort women -- China -- Shanghai ^ Sino-Japanese War, 1937-1945 -- Women ^ Women ^ Comfort women ^ 1937-1945 ^ China -- Shanghai"/>
    <s v="0"/>
    <m/>
    <m/>
  </r>
  <r>
    <n v="84"/>
    <m/>
    <m/>
    <m/>
    <m/>
    <m/>
    <m/>
    <s v="n/a"/>
    <x v="1"/>
    <s v="38"/>
    <s v="n/a"/>
    <s v="n"/>
    <s v="n"/>
    <s v="n"/>
    <n v="9788961874854"/>
    <s v="8961874853"/>
    <n v="1153937861"/>
    <s v="Korean"/>
    <s v="Comfort Stations of the Japanese Army in the Shanghai Area"/>
    <s v="Comfort Stations of the Japanese Army in the Shanghai Area"/>
    <s v="already in Korean and does not need translation."/>
    <s v="Su, Zhiliang ^ Chen, Lifei ^ Yao, Fei ^ Son, Yŏm-hong"/>
    <s v="苏智良 ^ 陈丽菲 ^ 姚霏 ^ 손 염홍 ^ translator"/>
    <s v="Tongbuga Yŏksa Chaedan pŏnyŏk ch'ongsŏ ; 38"/>
    <s v="동북아 역사 재단 번역 총서 ; 38"/>
    <x v="1"/>
    <x v="1"/>
    <x v="3"/>
    <s v="n/a"/>
    <s v="Ch'op'an"/>
    <s v="초판"/>
    <s v="Comfort women -- China -- Shanghai ^ Sino-Japanese War, 1937-1945 -- Women ^ Women ^ Comfort women ^ 1937-1945 ^ China -- Shanghai"/>
    <s v="0"/>
    <m/>
    <m/>
  </r>
  <r>
    <n v="84"/>
    <m/>
    <m/>
    <m/>
    <m/>
    <m/>
    <m/>
    <s v="n/a"/>
    <x v="1"/>
    <s v="38"/>
    <s v="n/a"/>
    <s v="n"/>
    <s v="n"/>
    <s v="n"/>
    <n v="9788961874854"/>
    <s v="8961874853"/>
    <n v="1153937861"/>
    <s v="Korean"/>
    <s v="Comfort Stations of the Japanese Army in the Shanghai Area"/>
    <s v="Sanghai chiyŏk Ilbon'gun wianso"/>
    <s v="상하이 지역 일본군 위안소"/>
    <s v="Su, Zhiliang ^ Chen, Lifei ^ Yao, Fei ^ Son, Yŏm-hong"/>
    <s v="苏智良 ^ 陈丽菲 ^ 姚霏 ^ 손 염홍 ^ translator"/>
    <s v="Tongbuga Yŏksa Chaedan pŏnyŏk ch'ongsŏ ; 38"/>
    <s v="동북아 역사 재단 번역 총서 ; 38"/>
    <x v="1"/>
    <x v="1"/>
    <x v="3"/>
    <s v="n/a"/>
    <s v="Ch'op'an"/>
    <s v="초판"/>
    <s v="Comfort women -- China -- Shanghai ^ Sino-Japanese War, 1937-1945 -- Women ^ Women ^ Comfort women ^ 1937-1945 ^ China -- Shanghai"/>
    <s v="0"/>
    <m/>
    <m/>
  </r>
  <r>
    <n v="85"/>
    <m/>
    <m/>
    <m/>
    <m/>
    <m/>
    <m/>
    <s v="n/a"/>
    <x v="2"/>
    <s v="102"/>
    <s v="n/a"/>
    <s v="n"/>
    <s v="n"/>
    <s v="n"/>
    <n v="9788961875035"/>
    <s v="8961875035"/>
    <n v="1224007446"/>
    <s v="Korean"/>
    <s v="Korea-China Relations and Korea-China Diplomacy: National Security Issues from 1965"/>
    <s v="Han-Il hyŏpchŏng kwa Han-Il kwan'gye: 1965-yŏn ch'eje nŭn kŭkpok kanŭng han'ga?"/>
    <s v="한일 협정 과 한일 관계: 1965년 체제 는 극복 가능 한가?"/>
    <s v="Cho, Yun-su; (Researcher in international relations) ^ Kim, Sung-bae ^ Tongbuga Yŏksa Chaedan (Korea).; Han-Il Yŏksa Munje Yŏn'guso"/>
    <s v="조 윤수 (Researcher in international relations) ^ 김 숭배 ^ 한일 관계 와 존 포스터 덜레스 의 신념 체계 ^ 동북아 역사 재단 (Korea). 한일 역사 문제 연구소, issuing body"/>
    <s v="Tongbuga Yŏksa Chaedan yŏn'gu ch'ongsŏ ; 102"/>
    <s v="동북아 역사 재단 연구 총서 ; 102"/>
    <x v="1"/>
    <x v="1"/>
    <x v="3"/>
    <s v="n/a"/>
    <s v="Ch'op'an"/>
    <s v="초판"/>
    <s v="Diplomatic relations ^ Treaties ^ Korea (South) -- Foreign relations -- Japan ^ Japan -- Foreign relations -- Korea (South) ^ Korea (South) -- Foreign relations -- Japan -- Treaties ^ Japan ^ Korea (South)"/>
    <s v="0"/>
    <m/>
    <m/>
  </r>
  <r>
    <n v="86"/>
    <m/>
    <m/>
    <m/>
    <m/>
    <m/>
    <m/>
    <s v="n/a"/>
    <x v="1"/>
    <s v="3"/>
    <s v="?"/>
    <s v="https://libcat.colorado.edu/Record/b12104613"/>
    <s v="n"/>
    <s v="y"/>
    <n v="9788961875271"/>
    <s v="8961875272"/>
    <n v="1237716287"/>
    <s v="Korean"/>
    <s v="Issues and Policies Regarding Japanese Military &quot;Comfort Women&quot;"/>
    <s v="Ilbon'gun 'wianbu' munje wa kwaj"/>
    <s v="일본군 '위안부' 문제 와 과제&lt;/div&gt;&lt;br&gt;Ilbon'gun 'wianbu' munje wa kwaje&lt;/b&gt;&lt;/font&gt;&lt;/font&gt;"/>
    <s v="To, Si-hwan"/>
    <s v="도 시환"/>
    <s v="Tongbuga Yŏksa Chaedan yŏn'gu ch'ongsŏ ; 103"/>
    <s v="동북아 역사 재단 연구 총서 ; 103"/>
    <x v="1"/>
    <x v="1"/>
    <x v="12"/>
    <s v="n/a"/>
    <s v="Ch'op'an"/>
    <s v="초판"/>
    <s v="Comfort women -- Korea ^ World War, 1939-1945 -- Atrocities -- Asia ^ Service, Compulsory non-military -- Japan ^ War crimes -- Japan -- History -- 20th century ^ Guerre mondiale, 1939-1945 -- Atrocités -- Asie ^ Atrocities ^ Comfort women ^ Diplomatic relations ^ Service, Compulsory non-military ^ War crimes ^ History ^ 1900-1999 ^ Asia ^ Japan ^ Korea ^ Korea (South)"/>
    <s v="0"/>
    <m/>
    <m/>
  </r>
  <r>
    <n v="86.02"/>
    <m/>
    <m/>
    <m/>
    <m/>
    <m/>
    <s v="vol 2"/>
    <s v="n/a"/>
    <x v="5"/>
    <s v="2 / 103"/>
    <s v="n/a"/>
    <m/>
    <m/>
    <s v="y"/>
    <n v="9788961875257"/>
    <s v="8961875256"/>
    <n v="1237716287"/>
    <s v="Korean"/>
    <s v="n/a"/>
    <s v="Ilbon'gun 'wianbu' munje wa kwaj"/>
    <s v="일본군 '위안부' 문제 와 과제&lt;/div&gt;&lt;br&gt;Ilbon'gun 'wianbu' munje wa kwaje&lt;/b&gt;&lt;/font&gt;&lt;/font&gt;"/>
    <s v="To, Si-hwan"/>
    <s v="도 시환"/>
    <s v="Tongbuga Yŏksa Chaedan yŏn'gu ch'ongsŏ ; 103"/>
    <s v="동북아 역사 재단 연구 총서 ; 103"/>
    <x v="1"/>
    <x v="1"/>
    <x v="12"/>
    <s v="n/a"/>
    <s v="Ch'op'an"/>
    <s v="초판"/>
    <s v="Comfort women -- Korea ^ World War, 1939-1945 -- Atrocities -- Asia ^ Service, Compulsory non-military -- Japan ^ War crimes -- Japan -- History -- 20th century ^ Guerre mondiale, 1939-1945 -- Atrocités -- Asie ^ Atrocities ^ Comfort women ^ Diplomatic relations ^ Service, Compulsory non-military ^ War crimes ^ History ^ 1900-1999 ^ Asia ^ Japan ^ Korea ^ Korea (South)"/>
    <s v="0"/>
    <m/>
    <m/>
  </r>
  <r>
    <n v="87"/>
    <m/>
    <m/>
    <m/>
    <m/>
    <m/>
    <m/>
    <s v="n/a"/>
    <x v="0"/>
    <s v="74"/>
    <s v="n/a"/>
    <s v="n"/>
    <s v="n"/>
    <s v="n"/>
    <n v="9788961874021"/>
    <s v="8961874020"/>
    <n v="1097585968"/>
    <s v="Korean"/>
    <s v="Research on the Unique Features of Ancient Korea: A Study on Yang Ung's &quot;pangŏn&quot; as an Important Reference for Ancient Korea"/>
    <s v="Kojosŏn ŭi ŏnŏ kyet'ong yŏn'gu: Yang Ung ŭi &quot;pangŏn&quot; surok Kojosŏnŏ punsŏk"/>
    <s v="고조선 의 언어 계통 연구: 양 웅 의 &quot;방언&quot; 수록 고조선어 분석"/>
    <s v="Tongbuga Yŏksa Chaedan (Korea).; Pukpangsa Yŏn'guso"/>
    <s v="동북아 역사 재단 (Korea). 북방사 연구소"/>
    <s v="Tongbuga Yŏksa Chaedan yŏn'gu ch'ongsŏ ; 74"/>
    <s v="동북아 역사 재단 연구 총서 ; 74"/>
    <x v="1"/>
    <x v="1"/>
    <x v="20"/>
    <s v="n/a"/>
    <s v="Ch'op'an"/>
    <s v="초판"/>
    <s v="Korean language -- To 935 ^ Language and languages ^ Korean language ^ 揚雄, 53 BC-18 AD 方言 ^ Yang, Xiong, 53 BC-18 AD Fang yan ^ To 935 ^ 고조선 (Kingdom); Languages ^ Kojosŏn (Kingdom) -- Languages ^ Fang yan (Yang, Xiong)"/>
    <s v="0"/>
    <m/>
    <m/>
  </r>
  <r>
    <n v="88"/>
    <m/>
    <m/>
    <m/>
    <m/>
    <m/>
    <m/>
    <s v="n/a"/>
    <x v="1"/>
    <s v="72"/>
    <s v="n/a"/>
    <s v="https://libcat.colorado.edu/Record/b10454520"/>
    <s v="https://libcat.colorado.edu/Record/b10454520"/>
    <s v="y"/>
    <n v="9788961874045"/>
    <s v="8961874047"/>
    <n v="1119724971"/>
    <s v="Korean"/>
    <s v="n/a"/>
    <s v="Ŏwŏnk'ŏjok: sup sok ŭi saramdŭl"/>
    <s v="어원커족: 숲 속 의 사람들"/>
    <s v="Tongbuga Yŏksa Chaedan (Korea).; Pukpangsa Yŏn'guso"/>
    <s v="동북아 역사 재단 (Korea). 북방사 연구소"/>
    <s v="Tongbuga Yŏksa Chaedan kihoek yŏn'gu ; 72"/>
    <s v="동북아 역사 재단 기획 연구 ; 72. 중국 동북 지역 민족 문화 연구 ; 3"/>
    <x v="1"/>
    <x v="1"/>
    <x v="20"/>
    <s v="n/a"/>
    <s v="Ch'op'an"/>
    <s v="초판"/>
    <s v="Evenki (Asian people) -- China -- Social life and customs ^ Evenki (Asian people) -- Social life and customs ^ China"/>
    <s v="0"/>
    <m/>
    <m/>
  </r>
  <r>
    <n v="89"/>
    <m/>
    <m/>
    <m/>
    <m/>
    <m/>
    <m/>
    <s v="n/a"/>
    <x v="0"/>
    <s v="99"/>
    <s v="n/a"/>
    <s v="n"/>
    <s v="n"/>
    <s v="n"/>
    <n v="9788961875004"/>
    <s v="8961875000"/>
    <n v="1152198965"/>
    <s v="Korean"/>
    <s v="19th Century East Asian Communication Network and International Politics - ChatGPT translation"/>
    <s v="19-segi Tong Asia t'ongsin net'ŭwŏk'ŭ wa kukche chŏngch'i"/>
    <s v="19세기 동 아시아 통신 네트워크 와 국제 정치"/>
    <s v="Yun, Sang-gil"/>
    <s v="윤 상길"/>
    <s v="Tongbuga Yŏksa Chaedan yŏn'gu ch'ongsŏ ; 99"/>
    <s v="동북아 역사 재단 연구 총서 ; 99"/>
    <x v="1"/>
    <x v="1"/>
    <x v="3"/>
    <s v="n/a"/>
    <s v="Ch'op'an"/>
    <s v="초판"/>
    <s v="Telecommunication -- East Asia -- History -- 19th century ^ Diplomatic relations ^ Telecommunication ^ History ^ 1800-1899 ^ East Asia -- Foreign relations ^ East Asia"/>
    <s v="0"/>
    <m/>
    <m/>
  </r>
  <r>
    <n v="89"/>
    <m/>
    <m/>
    <m/>
    <m/>
    <m/>
    <m/>
    <s v="n/a"/>
    <x v="1"/>
    <s v="99"/>
    <s v="n/a"/>
    <s v="n"/>
    <s v="n"/>
    <s v="n"/>
    <n v="9788961875004"/>
    <s v="8961875000"/>
    <n v="1152198965"/>
    <s v="Korean"/>
    <s v="19th Century East Asian Communication Network and International Politics - ChatGPT translation"/>
    <s v="19-segi Tong Asia t'ongsin net'ŭwŏk'ŭ wa kukche chŏngch'i"/>
    <s v="19세기 동 아시아 통신 네트워크 와 국제 정치"/>
    <s v="Yun, Sang-gil"/>
    <s v="윤 상길"/>
    <s v="Tongbuga Yŏksa Chaedan yŏn'gu ch'ongsŏ ; 99"/>
    <s v="동북아 역사 재단 연구 총서 ; 99"/>
    <x v="1"/>
    <x v="1"/>
    <x v="3"/>
    <s v="n/a"/>
    <s v="Ch'op'an"/>
    <s v="초판"/>
    <s v="Telecommunication -- East Asia -- History -- 19th century ^ Diplomatic relations ^ Telecommunication ^ History ^ 1800-1899 ^ East Asia -- Foreign relations ^ East Asia"/>
    <s v="0"/>
    <m/>
    <m/>
  </r>
  <r>
    <n v="90"/>
    <m/>
    <m/>
    <m/>
    <m/>
    <m/>
    <m/>
    <s v="n/a"/>
    <x v="0"/>
    <s v="80"/>
    <s v="n/a"/>
    <s v="n"/>
    <s v="n"/>
    <s v="n"/>
    <n v="9788961874168"/>
    <s v="8961874160"/>
    <n v="1101120667"/>
    <s v="Korean"/>
    <s v="Perception of 'The East Sea' in Overseas Media - ChatGPT translation"/>
    <s v="Haeoe ŏllon ŭi 'Tonghae' insik"/>
    <s v="해외 언론 의 '동해' 인식"/>
    <s v="Yi, Sang-gyun ^ Tongbuga Yŏksa Chaedan (Korea)"/>
    <s v="이 상균 ^ 동북아 역사 재단 (Korea), issuing body"/>
    <s v="Tongbuga Yŏksa Chaedan yŏn'gu ch'ongsŏ ; 80"/>
    <s v="동북아 역사 재단 연구 총서 ; 80"/>
    <x v="1"/>
    <x v="1"/>
    <x v="20"/>
    <s v="n/a"/>
    <s v="Ch'op'an"/>
    <s v="초판"/>
    <s v="Names, Geographical -- Japan, Sea of ^ Names ^ Names, Geographical ^ History ^ Japan, Sea of -- Name ^ Japan, Sea of -- History ^ Pacific Ocean -- Sea of Japan"/>
    <s v="0"/>
    <m/>
    <m/>
  </r>
  <r>
    <n v="91"/>
    <m/>
    <m/>
    <m/>
    <m/>
    <m/>
    <m/>
    <s v="n/a"/>
    <x v="0"/>
    <s v="82"/>
    <s v="n/a"/>
    <s v="n"/>
    <s v="n"/>
    <s v="n"/>
    <n v="9788961874182"/>
    <s v="8961874187"/>
    <n v="1118693485"/>
    <s v="Korean"/>
    <s v="The Issue of Early Baekje History - ChatGPT translation"/>
    <s v="Ch'ogi Paekchesa ŭi che munje"/>
    <s v="초기 백제사 의 제 문제"/>
    <s v="Yun, Yong-gu ^ Tongbuga Yŏksa Chaedan (Korea).; Han'guk Kojungsesa Yŏn'guso"/>
    <s v="윤 용구 ^ 부여 구태 와 마한 진왕 : 백제 가 표방 한 두 개 의 출자관 ^ 동북아 역사 재단 (Korea). 한국 고중세사 연구소"/>
    <s v="Tongbuga Yŏksa Chaedan yŏn'gu ch'ongsŏ ; 82"/>
    <s v="동북아 역사 재단 연구 총서 ; 82"/>
    <x v="1"/>
    <x v="1"/>
    <x v="20"/>
    <s v="n/a"/>
    <s v="Ch'op'an"/>
    <s v="초판"/>
    <s v="Diplomatic relations ^ Civilization ^ Politics and government ^ Sources ^ History ^ To 935 ^ 백제 (Kingdom); History ^ Paekche (Kingdom) -- History ^ Korea -- History -- To 935 ^ Asia -- Paekche (Kingdom) ^ Korea"/>
    <s v="0"/>
    <m/>
    <m/>
  </r>
  <r>
    <n v="92"/>
    <m/>
    <m/>
    <m/>
    <m/>
    <m/>
    <m/>
    <s v="n/a"/>
    <x v="0"/>
    <s v="93"/>
    <s v="n/a"/>
    <s v="n"/>
    <s v="n"/>
    <s v="n"/>
    <n v="9788961874946"/>
    <s v="8961874942"/>
    <n v="1153262426"/>
    <s v="Korean"/>
    <s v="Japan's National Identity and Northeast Asian International Relations - ChatGPT translation"/>
    <s v="Ilbon ŭi kukka chŏngch'esŏng kwa Tongbuga kukche kwan'gye"/>
    <s v="일본 의 국가 정체성 과 동북아 국제 관계"/>
    <s v="Yi, Myŏng-ch'an ^ Kim, Sang-jun ^ Kim, Sang-jun ^ Tongbuga Yŏksa Chaedan (Korea).; Han-Il Yŏksa Munje Yŏn'guso"/>
    <s v="이 명찬 ^ 김 상준 ^ 국가 정체성 과 국제 관계 ^ 김 상준 ^ 동북아 역사 재단 (Korea). 한일 역사 문제 연구소"/>
    <s v="Tongbuga Yŏksa Chaedan yŏn'gu ch'ongsŏ ; 93"/>
    <s v="동북아 역사 재단 연구 총서 ; 93"/>
    <x v="1"/>
    <x v="1"/>
    <x v="3"/>
    <s v="n/a"/>
    <s v="Ch'op'an"/>
    <s v="초판"/>
    <s v="National characteristics, Japanese ^ Nationalism -- Japan ^ Diplomatic relations ^ National characteristics, Japanese ^ Nationalism ^ Japan -- Foreign relations -- Korea (South) ^ Korea (South) -- Foreign relations -- Japan ^ Japan -- Foreign relations -- East Asia ^ East Asia -- Foreign relations -- Japan ^ East Asia ^ Japan ^ Korea (South)"/>
    <s v="0"/>
    <m/>
    <m/>
  </r>
  <r>
    <n v="93"/>
    <m/>
    <m/>
    <m/>
    <m/>
    <m/>
    <m/>
    <s v="n/a"/>
    <x v="5"/>
    <s v="73"/>
    <s v="n/a"/>
    <s v="n"/>
    <m/>
    <s v="n"/>
    <n v="9788961874885"/>
    <s v="8961874888"/>
    <n v="1153938005"/>
    <s v="Korean"/>
    <s v="Korean Ethnic Culture and the Tungusic People - ChatGPT translation"/>
    <s v="Hanminjok munhwa wa T'unggusŭjok"/>
    <s v="한민족 문화 와 퉁구스족"/>
    <s v="Kim, In-hŭi ^ Tongbuga Yŏksa Chaedan (Korea).; Pukpangsa Yŏn'guso"/>
    <s v="김 인희,  ^ 과 퉁구스족 의 관계 ^ 동북아 역사 재단 (Korea). 북방사 연구소"/>
    <s v="Tongbuga Yŏksa Chaedan kihoek yŏn'gu ; 73"/>
    <s v="동북아 역사 재단 기획 연구 ; 73. 중국 동북 지역 민족 문화 연구 ; 4"/>
    <x v="1"/>
    <x v="1"/>
    <x v="3"/>
    <s v="n/a"/>
    <s v="Ch'op'an"/>
    <s v="초판"/>
    <s v="Tungusic peoples -- Social life and customs ^ Tungus-Manchu languages ^ Korean language -- To 935 -- Phonology ^ Shamanism -- China -- Manchuria ^ Shamanism -- Korea ^ Langues toungouses ^ Civilization ^ International relations ^ Korean language -- Phonology ^ Manners and customs ^ Shamanism ^ Tungus-Manchu languages ^ To 935 ^ 고구려 (Kingdom); Civilization ^ Korea -- Social life and customs ^ Koguryŏ (Kingdom) -- Civilization ^ China -- Relations -- Korea ^ Korea -- Relations -- China ^ Asia -- Koguryŏ (Kingdom) ^ China ^ China -- Manchuria ^ Korea"/>
    <s v="0"/>
    <m/>
    <m/>
  </r>
  <r>
    <n v="94"/>
    <m/>
    <m/>
    <m/>
    <m/>
    <m/>
    <m/>
    <s v="n/a"/>
    <x v="5"/>
    <s v="106"/>
    <s v="n/a"/>
    <s v="https://libcat.colorado.edu/Record/b12104617"/>
    <s v="https://libcat.colorado.edu/Record/b12104617"/>
    <s v="y"/>
    <n v="9788961875356"/>
    <s v="8961875353"/>
    <n v="1226409517"/>
    <s v="Korean"/>
    <s v="A New Verification of Ahn Yong-bok's Testimony - ChatGPT translation"/>
    <s v="An Yong-bok 'chinsul' e taehan saeroun kŏmjŭng"/>
    <s v="안 용복 '진술' 에 대한 새로운 검증"/>
    <s v="Chŏng, Yŏng-mi"/>
    <s v="정 영미"/>
    <s v="Tongbuga Yŏksa Chaedan yŏn'gu ch'ongsŏ ; 106"/>
    <s v="동북아 역사 재단 연구 총서 ; 106"/>
    <x v="1"/>
    <x v="1"/>
    <x v="6"/>
    <s v="n/a"/>
    <s v="Ch'op'an"/>
    <s v="초판"/>
    <s v="Territory, National -- Korea ^ Territory, National -- Japan ^ Territory, National ^ 안 용복, active 1693-1696 ^ An, Yong-bok, active 1693-1696 ^ An, Yong-bok, active 1693-1696 ^ History ^ Ullŭng Island (Korea) -- History ^ Tok Island (Korea) -- History ^ Japan ^ Korea ^ Korea (South) -- Tok Island ^ Korea (South) -- Ullŭng Island"/>
    <s v="0"/>
    <m/>
    <m/>
  </r>
  <r>
    <n v="95"/>
    <m/>
    <m/>
    <m/>
    <m/>
    <m/>
    <m/>
    <s v="n/a"/>
    <x v="5"/>
    <s v="94"/>
    <s v="n/a"/>
    <s v="n"/>
    <s v="n"/>
    <s v="n"/>
    <n v="9788961874953"/>
    <s v="8961874950"/>
    <n v="1195524229"/>
    <s v="Korean"/>
    <s v="Why Does Japan Obsess over Dokdo: Focusing on the Proceedings of the Japanese National Diet - ChatGPT translation"/>
    <s v="Ilbon ŭn wae Tokto e chipch'ak halkka: Ilbon kukhoe ŭisarok ŭl chungsim ŭro"/>
    <s v="일본 은 왜 독도 에 집착 할까: 일본 국회 의사록 을 중심 으로"/>
    <s v="Kwak, Chin-o ^ Yi, Chin-wŏn"/>
    <s v="곽 진오 ^ 이 진원 ^ 일본 국회 의 독도관"/>
    <s v="Tongbuga Yŏksa Chaedan yŏn'gu ch'ongsŏ ; 94"/>
    <s v="동북아 역사 재단 연구 총서 ; 94"/>
    <x v="1"/>
    <x v="1"/>
    <x v="3"/>
    <s v="n/a"/>
    <s v="Ch'op'an"/>
    <s v="초판"/>
    <s v="Territory, National -- Korea (South) -- Sources ^ Territory, National -- Japan -- Sources ^ International law ^ Territory, National ^ Japan. 囯会 ^ Japan. Kokkai ^ Japan. Kokkai ^ History ^ Sources ^ Tok Island (Korea) -- History -- Sources ^ Tok Island (Korea) -- International status -- History ^ Japan ^ Korea (South) ^ Korea (South) -- Tok Island"/>
    <s v="0"/>
    <m/>
    <m/>
  </r>
  <r>
    <n v="96"/>
    <m/>
    <m/>
    <m/>
    <m/>
    <m/>
    <m/>
    <s v="n/a"/>
    <x v="5"/>
    <s v="n/a"/>
    <s v="n/a"/>
    <s v="n"/>
    <s v="https://libcat.colorado.edu/Record/b11964673"/>
    <s v="n"/>
    <n v="9791187507345"/>
    <s v="n/a"/>
    <n v="1312654724"/>
    <s v="Korean"/>
    <s v="Genealogy of Medical Interpreters, Eighth Generation - ChatGPT translation"/>
    <s v="Ŭiyŏkchu p'alsebo"/>
    <s v="醫譯籌 八世譜"/>
    <s v="Kyujanggak Han'gukhak Yŏn'guwŏn"/>
    <s v="奎章閣 韓國學 硏究院, issuing body"/>
    <s v="Kyujanggak charyo ch'ongsŏ"/>
    <s v="奎章閣 資料 叢書. 系譜 篇"/>
    <x v="2"/>
    <x v="1"/>
    <x v="3"/>
    <s v="n/a"/>
    <s v="n/a"/>
    <s v="n/a"/>
    <s v="Middle class -- Korea -- History ^ Middle class -- Korea -- Genealogy ^ Middle class ^ Social conditions ^ History ^ 1392-1910 ^ Korea -- Social conditions -- 1392-1910 ^ Korea"/>
    <s v="0"/>
    <m/>
    <m/>
  </r>
  <r>
    <n v="97"/>
    <m/>
    <m/>
    <m/>
    <m/>
    <m/>
    <m/>
    <s v="n/a"/>
    <x v="5"/>
    <s v="n/a"/>
    <s v="n/a"/>
    <s v="n"/>
    <s v="n"/>
    <s v="n"/>
    <n v="9791187507338"/>
    <s v="n/a"/>
    <n v="1244566581"/>
    <s v="Korean"/>
    <s v="A New Verification of Ahn Yong-bok's Testimony - ChatGPT translation"/>
    <s v="Yŏsan Song Ssi sib-i segye P'anyun Nam Kong sŏn'gye Yang Munyanggong oeyebo Modang naeoesollo"/>
    <s v="礪山 宋 氏 十二 世系 ; 判尹 南 公 先系 ; 梁 文襄公 外裔譜 ; 慕堂 內外孫錄"/>
    <s v="Kyujanggak Han'gukhak Yŏn'guwŏn"/>
    <s v="규장각 한국학 연구원, issuing body"/>
    <s v="Kyujanggak charyo chʿongsŏ"/>
    <s v="奎章閣 資料 叢書. 系譜 篇"/>
    <x v="2"/>
    <x v="1"/>
    <x v="3"/>
    <s v="n/a"/>
    <s v="n/a"/>
    <s v="n/a"/>
    <s v="Clans -- Korea -- History ^ Clans ^ Song family ^ Song family ^ Genealogy ^ History ^ Family histories ^ Korea -- Genealogy ^ Korea"/>
    <s v="0"/>
    <m/>
    <m/>
  </r>
  <r>
    <n v="98"/>
    <m/>
    <m/>
    <m/>
    <m/>
    <m/>
    <m/>
    <s v="n/a"/>
    <x v="5"/>
    <s v="56"/>
    <s v="n/a"/>
    <s v="n"/>
    <s v="n"/>
    <s v="n"/>
    <n v="9791187507352"/>
    <s v="n/a"/>
    <n v="1243561147"/>
    <s v="Korean"/>
    <s v="Why Does Japan Obsess over Dokdo: A Focus on the Proceedings of the Japanese National Diet - ChatGPT translation"/>
    <s v="Komunsŏ: Sŏul Taehakkyo Kyujang'gak Han'gukhak yŏn'guwŏn sojang. 56, Sain munsŏ, T'oji mun'gi, Kyŏnggi"/>
    <m/>
    <s v="Kyujanggak Han'gukhak Yŏn'guwŏn"/>
    <s v="n/a"/>
    <s v="n/a"/>
    <s v="n/a"/>
    <x v="32"/>
    <x v="1"/>
    <x v="3"/>
    <s v="n/a"/>
    <s v="n/a"/>
    <s v="n/a"/>
    <s v="n/a"/>
    <s v="0"/>
    <m/>
    <m/>
  </r>
  <r>
    <n v="100"/>
    <m/>
    <m/>
    <m/>
    <m/>
    <m/>
    <m/>
    <s v="n/a"/>
    <x v="0"/>
    <s v="n/a"/>
    <s v="n/a"/>
    <s v="n"/>
    <s v="n"/>
    <s v="n"/>
    <n v="9781624121319"/>
    <s v="1624121314"/>
    <n v="1190520755"/>
    <s v="English"/>
    <s v="Genealogy of Medical Interpreters, Eighth Generation - ChatGPT translation"/>
    <s v="Dokdo: its history and facts"/>
    <s v="n/a"/>
    <s v="Kim, Hak-chun"/>
    <s v="n/a"/>
    <s v="n/a"/>
    <s v="n/a"/>
    <x v="3"/>
    <x v="1"/>
    <x v="3"/>
    <s v="n/a"/>
    <s v="n/a"/>
    <s v="n/a"/>
    <s v="Territory, National -- Korea (South) ^ International law ^ Territory, National ^ History ^ Tok Island (Korea) -- Territories and possessions ^ Tok Island (Korea) -- History ^ Tok Island (Korea) -- International status -- History ^ Liancourt, Rochers de -- Territoires et possessions ^ Japan ^ Korea (South) ^ Korea (South) -- Tok Island"/>
    <s v="0"/>
    <m/>
    <m/>
  </r>
  <r>
    <n v="100"/>
    <m/>
    <m/>
    <m/>
    <m/>
    <m/>
    <s v="printed upside down"/>
    <s v="n/a"/>
    <x v="0"/>
    <s v="n/a"/>
    <s v="n/a"/>
    <s v="n"/>
    <s v="n"/>
    <s v="n"/>
    <n v="9781624121319"/>
    <s v="1624121314"/>
    <n v="1190520755"/>
    <s v="English"/>
    <s v="Twelve Generations of the Ryusan Song Clan; The Ancestral Line of Judge Nam Gong-seon; The Lineage of Mu-tang's Inner and Outer Grandchildren - ChatGPT translation"/>
    <s v="Dokdo: its history and facts"/>
    <s v="n/a"/>
    <s v="Kim, Hak-chun"/>
    <s v="n/a"/>
    <s v="n/a"/>
    <s v="n/a"/>
    <x v="3"/>
    <x v="1"/>
    <x v="3"/>
    <s v="n/a"/>
    <s v="n/a"/>
    <s v="n/a"/>
    <s v="Territory, National -- Korea (South) ^ International law ^ Territory, National ^ History ^ Tok Island (Korea) -- Territories and possessions ^ Tok Island (Korea) -- History ^ Tok Island (Korea) -- International status -- History ^ Liancourt, Rochers de -- Territoires et possessions ^ Japan ^ Korea (South) ^ Korea (South) -- Tok Island"/>
    <s v="0"/>
    <m/>
    <m/>
  </r>
  <r>
    <n v="101"/>
    <m/>
    <m/>
    <m/>
    <m/>
    <m/>
    <m/>
    <s v="n/a"/>
    <x v="2"/>
    <s v="76"/>
    <s v="n/a"/>
    <s v="n"/>
    <s v="n"/>
    <s v="n"/>
    <n v="9788961874083"/>
    <s v="896187408X"/>
    <n v="1104148520"/>
    <s v="Korean"/>
    <s v="Post-Cold War Era: Ethnic Nationalism Conflicts and Resolution in East Asia - ChatGPT translation"/>
    <s v="T'al naengjŏn'gi Tong Asia ŭi minjokchuŭi kaltŭng kwa haegyŏl"/>
    <s v="탈 냉전기 동 아시아 의 민족주의 갈등 과 해결"/>
    <s v="Tongbuga Yŏksa Chaedan (Korea).; Han-Il Yŏksa Munje Yŏn'guso"/>
    <s v="동북아 역사 재단 (Korea). 한일 역사 문제 연구소"/>
    <s v="Tongbuga Yŏksa Chaedan yŏn'gu ch'ongsŏ ; 76"/>
    <s v="동북아 역사 재단 연구 총서 ; 76"/>
    <x v="1"/>
    <x v="1"/>
    <x v="20"/>
    <s v="n/a"/>
    <s v="Ch'op'an"/>
    <s v="초판"/>
    <s v="Nationalism -- East Asia -- 21st century ^ Diplomatic relations ^ Nationalism ^ 2000-2099 ^ East Asia -- Foreign relations -- 21st century ^ East Asia"/>
    <s v="0"/>
    <m/>
    <m/>
  </r>
  <r>
    <n v="102"/>
    <m/>
    <m/>
    <m/>
    <m/>
    <m/>
    <m/>
    <s v="https://www.amazon.com/dp/8961874179"/>
    <x v="2"/>
    <s v="81"/>
    <s v="n/a"/>
    <s v="n"/>
    <s v="n"/>
    <s v="n"/>
    <n v="9788961874175"/>
    <s v="8961874179"/>
    <n v="1117452109"/>
    <s v="Korean"/>
    <s v="Navies of imperial powers and East Asia"/>
    <s v="Chegukchuŭi yŏlgang ŭi haegun kwa Tong Asia"/>
    <s v="제국주의 열강 의 해군 과 동 아시아"/>
    <s v="Ch'oe, Tŏk-kyu ^ Kim, Wŏn-su"/>
    <s v="최 덕규 ^ 김 원수 ^ 영국 의 해양 패권 과 동 아시아 해양 전략"/>
    <s v="Tongbuga Yŏksa Chaedan yŏn'gu ch'ongsŏ ; 81"/>
    <s v="동북아 역사 재단 연구 총서 ; 81"/>
    <x v="1"/>
    <x v="1"/>
    <x v="20"/>
    <s v="n/a"/>
    <s v="Ch'op'an"/>
    <s v="초판"/>
    <s v="Navies -- History -- 19th century ^ Navies -- History -- 20th century ^ Sea-power -- History -- 19th century ^ Sea-power -- History -- 20th century ^ Imperialism ^ Impérialisme ^ Diplomatic relations ^ Imperialism ^ Military relations ^ Navies ^ Sea-power ^ History ^ 1800-1999 ^ East Asia -- Military relations ^ East Asia -- Foreign relations ^ East Asia ^ Pacific Area"/>
    <s v="0"/>
    <m/>
    <m/>
  </r>
  <r>
    <n v="103"/>
    <m/>
    <m/>
    <m/>
    <m/>
    <m/>
    <m/>
    <s v="https://www.amazon.com/dp/8961874381"/>
    <x v="0"/>
    <s v="1 / 86"/>
    <s v="n/a"/>
    <s v="n"/>
    <s v="n"/>
    <s v="n"/>
    <n v="9788961874380"/>
    <s v="8961874381"/>
    <n v="1110021388"/>
    <s v="Korean"/>
    <s v="Reexamination of the March 1st Movement and the Provisional Government of the Republic of Korea - ChatGPT translation"/>
    <s v="3.1 Undong kwa Taehan Min'guk Imsi Chŏngbu ŭi chaejomyŏng"/>
    <s v="3.1 운동 과 대한 민국 임시 정부 의 재조명"/>
    <s v="Kim, Hyŏn-ch'ŏl"/>
    <s v="김 현철"/>
    <s v="Tongbuga Yŏksa Chaedan yŏn'gu ch'ongsŏ ; 86"/>
    <s v="동북아 역사 재단 연구 총서 ; 86"/>
    <x v="1"/>
    <x v="1"/>
    <x v="10"/>
    <s v="n/a"/>
    <s v="Ch'op'an"/>
    <s v="초판"/>
    <s v="Korean resistance movements, 1905-1945 ^ Nationalists -- Korea -- 20th century ^ Nationalism -- Korea -- History -- 20th century ^ Republicanism -- Korea -- History -- 20th century ^ Social evolution ^ Social change -- Korea -- 20th century ^ Cultural Evolution ^ Évolution sociale ^ Civilization ^ Nationalism ^ Nationalists ^ Politics and government ^ Republicanism ^ Social change ^ Social evolution ^ Korean resistance movements (1905-1945) ^ History ^ 1900-1999 ^ Korea -- Politics and government -- 1910-1945 -- Philosophy ^ Korea -- Civilization -- 20th century ^ Korea"/>
    <s v="0"/>
    <m/>
    <m/>
  </r>
  <r>
    <n v="104"/>
    <m/>
    <m/>
    <m/>
    <m/>
    <m/>
    <m/>
    <s v="https://www.amazon.com/dp/8961875019"/>
    <x v="0"/>
    <s v="2 / 95"/>
    <s v="n/a"/>
    <s v="n"/>
    <s v="n"/>
    <s v="n"/>
    <n v="9788961875011"/>
    <s v="8961875019"/>
    <n v="1223004015"/>
    <s v="Korean"/>
    <s v="Study of China's Changes. 2, Border and Territorial Changes in the Southern Region in the Early 20th Century - ChatGPT translation"/>
    <s v="2, 20-segi chŏnban'gi sŏnambu ŭi kukkyŏng kwa pyŏn'gyŏng"/>
    <s v="중국 의 변경 연구. 2, 20세기 전반기 서남부 의 국경 과 변경"/>
    <s v="Pak, Chang-bae; (Historian) ^ Kim, Kwangmin ^ Tongbuga Yŏksa Chaedan (Korea)"/>
    <s v="박 장배, (Historian) ^ Kim, Kwangmin ^ 淸末 民國 時期 新疆 의 국경 형성 ^ 동북아 역사 재단 (Korea), issuing body"/>
    <s v="Tongbuga Yŏksa Chaedan yŏn'gu ch'ongsŏ ; 95"/>
    <s v="동북아 역사 재단 연구 총서 ; 95"/>
    <x v="1"/>
    <x v="1"/>
    <x v="3"/>
    <s v="n/a"/>
    <s v="Ch'op'an"/>
    <s v="초판"/>
    <s v="Borderlands -- China ^ Geography -- Political aspects -- China ^ Régions frontalières -- Chine ^ Géographie -- Aspect politique -- Chine ^ Boundaries ^ Borderlands ^ History ^ 1900-1999 ^ China -- Boundaries -- History -- 20th century ^ China"/>
    <s v="0"/>
    <m/>
    <m/>
  </r>
  <r>
    <n v="105"/>
    <m/>
    <m/>
    <m/>
    <m/>
    <m/>
    <m/>
    <s v="https://www.amazon.com/dp/8961874144"/>
    <x v="0"/>
    <s v="78"/>
    <s v="n/a"/>
    <s v="n"/>
    <s v="n"/>
    <s v="n"/>
    <n v="9788961874144"/>
    <s v="8961874144"/>
    <n v="1098009726"/>
    <s v="Korean"/>
    <s v="The Late Joseon Era Diplomatic Relations with Japan and the Study of Japanese Scholarship - ChatGPT translation"/>
    <s v="Chosŏn hugi waegwan kwa waehak yŏkkwan"/>
    <s v="조선 후기 왜관 과 왜학 역관"/>
    <s v="Yun, Yu-suk"/>
    <s v="윤 유숙, compiler"/>
    <s v="Tongbuga Yŏksa Chaedan yŏn'gu ch'ongsŏ ; 78"/>
    <s v="동북아 역사 재단 연구 총서 ; 78"/>
    <x v="1"/>
    <x v="1"/>
    <x v="20"/>
    <s v="n/a"/>
    <s v="Ch'op'an"/>
    <s v="초판"/>
    <s v="Diplomats -- Korea -- History ^ Translators -- Korea -- History ^ Diplomatic and consular service -- Korea -- History ^ Diplomatic and consular service ^ Diplomatic relations ^ Diplomats ^ International economic relations ^ Translators ^ History ^ 1637-1910 ^ Korea -- Foreign relations -- Japan ^ Japan -- Foreign relations -- Korea ^ Korea -- Foreign economic relations -- Japan ^ Japan -- Foreign economic relations -- Korea ^ Korea -- Foreign relations -- 1637-1864 ^ Korea -- Foreign relations -- 1864-1910 ^ Japan ^ Korea"/>
    <s v="0"/>
    <m/>
    <m/>
  </r>
  <r>
    <n v="106"/>
    <m/>
    <m/>
    <m/>
    <m/>
    <m/>
    <m/>
    <s v="https://www.amazon.com/dp/8982366776"/>
    <x v="0"/>
    <s v="2"/>
    <s v="n/a"/>
    <s v="n"/>
    <s v="n"/>
    <s v="n"/>
    <n v="9788982366772"/>
    <s v="8982366776"/>
    <n v="1001251454"/>
    <s v="Korean"/>
    <s v="70 Years of Liberation: Achievements and Challenges in the Study of Independence Movements - ChatGPT translation"/>
    <s v="Kwangbok 70-yŏn, tongnip undongsa yŏn'gu ŭi sŏngkwa wa kwaje"/>
    <s v="광복 70년, 독립 운동사 연구 의 성과 와 과제"/>
    <s v="Pak, Han-nam ^ Pak, Ch'an-sŭng ^ "/>
    <s v="국사 편찬 위원회"/>
    <s v="박 한남 ^ 박 찬승 ^ Korea (South). 국사 편찬 위원회, issuing body"/>
    <s v="Haksul hoeŭi ch'ongsŏ (Korea (South)"/>
    <x v="33"/>
    <x v="2"/>
    <x v="7"/>
    <s v="2016"/>
    <s v="n/a"/>
    <s v="n/a"/>
    <s v="n/a"/>
    <s v="Korean resistance movements, 1905-1945 -- Congresses ^ Korean resistance movements (1905-1945) ^ Conference papers and proceedings ^ 1905-1945"/>
    <m/>
    <m/>
  </r>
  <r>
    <n v="107"/>
    <m/>
    <m/>
    <m/>
    <m/>
    <m/>
    <m/>
    <s v="https://www.amazon.com/dp/8961874780"/>
    <x v="2"/>
    <s v="90"/>
    <s v="n/a"/>
    <s v="n"/>
    <s v="n"/>
    <s v="n"/>
    <n v="9788961874786"/>
    <s v="8961874780"/>
    <n v="1125273335"/>
    <s v="Korean"/>
    <s v="New Perspectives on Balhae Emigration History: Stories of Resilient People, Balhae Emigrants - ChatGPT translation"/>
    <s v="Saeropke pon Parhae yuminsa: pulgul ŭi saramdŭl, Parhae yumin iyagi"/>
    <s v="새롭게 본 발해 유민사: 불굴 의 사람들, 발해 유민 이야기"/>
    <s v="Im, Sang-sŏn ^ Kim, Ŭn-guk ^ Kim, Ŭn-guk"/>
    <s v="임 상선 ^ 김 은국 ^ 김 은국 ^ 발해 유민 연구 동향"/>
    <s v="Tongbuga Yŏksa Chaedan yŏn'gu ch'ongsŏ ; 90"/>
    <s v="동북아 역사 재단 연구 총서 ; 90"/>
    <x v="1"/>
    <x v="1"/>
    <x v="3"/>
    <s v="n/a"/>
    <s v="Ch'op'an"/>
    <s v="초판"/>
    <s v="History ^ To 1392 ^ 渤海 (Kingdom) ^ Bohai (Kingdom) ^ Korea -- History -- To 935 ^ Korea -- History -- Koryŏ period, 935-1392 ^ Asia -- Bohai (Kingdom) ^ Korea"/>
    <s v="0"/>
    <m/>
    <m/>
  </r>
  <r>
    <n v="108"/>
    <m/>
    <m/>
    <m/>
    <m/>
    <m/>
    <m/>
    <s v="n/a"/>
    <x v="0"/>
    <s v="001"/>
    <s v="n/a"/>
    <s v="n"/>
    <s v="n"/>
    <s v="n"/>
    <n v="9791156121480"/>
    <s v="n/a"/>
    <n v="1129598776"/>
    <s v="Korean"/>
    <s v="The history of Zainichi Koreans in the post-liberation space : tumultous road to the independence"/>
    <s v="Haebang konggan ŭi Chaeil Chosŏninsa: tongnip ŭro kanŭn hŏmnanhan kil = The history of Zainichi Koreans in the post-liberation space: tumultous road to the independence"/>
    <s v="해방 공간 의 재일 조선인사: 독립 으로 가는 험난한 길"/>
    <s v="Chŏng, Yŏng-hwan ^ Im, Kyŏng-hwa"/>
    <s v="鄭 栄桓 ^ 임 경화 ^ translator"/>
    <s v="Chŏpkyŏng inmunhak pŏnyŏk ch'ongsŏ ; 001"/>
    <s v="접경 인문학 번역 총서 ; 001"/>
    <x v="34"/>
    <x v="1"/>
    <x v="3"/>
    <s v="n/a"/>
    <s v="1-p'an"/>
    <s v="1판"/>
    <s v="Koreans -- Japan -- History ^ Koreans -- Japan -- Social conditions ^ Koreans ^ Koreans -- Social conditions ^ History ^ 1900-1999 ^ Japan"/>
    <s v="0"/>
    <m/>
    <m/>
  </r>
  <r>
    <n v="109"/>
    <m/>
    <m/>
    <m/>
    <m/>
    <m/>
    <m/>
    <s v="n/a"/>
    <x v="0"/>
    <s v="n/a"/>
    <s v="n/a"/>
    <s v="n"/>
    <s v="n"/>
    <s v="n"/>
    <n v="9791157768004"/>
    <s v="n/a"/>
    <n v="1153400206"/>
    <s v="Korean"/>
    <s v="n/a"/>
    <s v="Pukhan t'ŭrendŭ 2020: chŏnt'ong kwa mirae ŭi yunghap"/>
    <s v="북한 트렌드 2020: 전통 과 미래 의 융합"/>
    <s v="Kim, Min-jong (Researcher of North Korea)"/>
    <s v="김 민종 (Researcher of North Korea)"/>
    <s v="n/a"/>
    <s v="n/a"/>
    <x v="35"/>
    <x v="1"/>
    <x v="3"/>
    <s v="n/a"/>
    <s v="Ch'op'an"/>
    <s v="초판"/>
    <s v="Consumer behavior -- Korea (North) ^ Consumer behavior ^ Manners and customs ^ Social conditions ^ 2000-2099 ^ Korea (North) -- Social conditions -- 21st century ^ Korea (North) -- Social life and customs -- 21st century ^ Korea (North)"/>
    <s v="0"/>
    <m/>
    <m/>
  </r>
  <r>
    <n v="110.79"/>
    <m/>
    <m/>
    <m/>
    <m/>
    <m/>
    <s v="set within a set, have v. 75-78"/>
    <s v="n/a"/>
    <x v="0"/>
    <s v="79"/>
    <s v="12"/>
    <s v="n"/>
    <s v="https://libcat.colorado.edu/Record/b8489208"/>
    <s v="y"/>
    <n v="9788982366826"/>
    <s v="8982366822"/>
    <n v="931048275"/>
    <s v="Korean"/>
    <s v="n/a"/>
    <s v="Pukhan kwan'gye saryojip"/>
    <s v="北韓 關係 史料集"/>
    <s v="Korea (South).; Kuksa P'yŏnch'an Wiwŏnhoe"/>
    <s v="Korea (South). 國史 編纂 委員會"/>
    <s v="n/a"/>
    <s v="n/a"/>
    <x v="36"/>
    <x v="1"/>
    <x v="21"/>
    <s v="n/a"/>
    <s v="n/a"/>
    <s v="n/a"/>
    <s v="소련(국명)[蘇聯]; 북한(국명)北韓; 조선(국명)[朝鮮] ^ Politics and government ^ Diplomatic relations ^ History ^ Sources ^ Korea (North) -- History -- Sources ^ Korea (North) -- Foreign relations -- Sources ^ Korea (North) -- Politics and government -- Sources ^ Korea (North)"/>
    <s v="0"/>
    <m/>
    <m/>
  </r>
  <r>
    <n v="110.8"/>
    <m/>
    <m/>
    <m/>
    <m/>
    <m/>
    <s v="see above"/>
    <s v="n/a"/>
    <x v="0"/>
    <s v="n/a"/>
    <s v="n/a"/>
    <s v="n"/>
    <s v="https://libcat.colorado.edu/Record/b8489208"/>
    <s v="y"/>
    <n v="9788982366833"/>
    <s v="8982366830"/>
    <n v="931048275"/>
    <s v="Korean"/>
    <s v="n/a"/>
    <s v="Pukhan kwan'gye saryojip"/>
    <s v="北韓 關係 史料集"/>
    <s v="Korea (South).; Kuksa P'yŏnch'an Wiwŏnhoe"/>
    <s v="Korea (South). 國史 編纂 委員會"/>
    <s v="n/a"/>
    <s v="n/a"/>
    <x v="36"/>
    <x v="1"/>
    <x v="21"/>
    <s v="n/a"/>
    <s v="n/a"/>
    <s v="n/a"/>
    <s v="소련(국명)[蘇聯]; 북한(국명)北韓; 조선(국명)[朝鮮] ^ Politics and government ^ Diplomatic relations ^ History ^ Sources ^ Korea (North) -- History -- Sources ^ Korea (North) -- Foreign relations -- Sources ^ Korea (North) -- Politics and government -- Sources ^ Korea (North)"/>
    <s v="0"/>
    <m/>
    <m/>
  </r>
  <r>
    <m/>
    <m/>
    <m/>
    <m/>
    <m/>
    <m/>
    <m/>
    <s v="n/a"/>
    <x v="5"/>
    <s v="n/a"/>
    <s v="n/a"/>
    <s v="n"/>
    <s v="n"/>
    <s v="n"/>
    <n v="9791187507369"/>
    <s v="n/a"/>
    <n v="1243561868"/>
    <s v="Korean"/>
    <s v="Genealogy of Medical Interpreters, Eighth Generation - ChatGPT translation"/>
    <s v="Komunsŏ: Sŏul Taehakkyo Kyujang'gak Han'gukhak yŏn'guwŏn sojang. 57, Sain munsŏ, T'oji mun'gi, Kyŏnggi"/>
    <m/>
    <s v="Kyujanggak Han'gukhak Yŏn'guwŏn"/>
    <s v="규장각 한국학 연구원, issuing body"/>
    <s v="n/a"/>
    <s v="n/a"/>
    <x v="32"/>
    <x v="1"/>
    <x v="3"/>
    <s v="n/a"/>
    <s v="n/a"/>
    <s v="n/a"/>
    <s v="n/a"/>
    <s v="0"/>
    <m/>
    <m/>
  </r>
  <r>
    <n v="111"/>
    <m/>
    <m/>
    <m/>
    <m/>
    <m/>
    <m/>
    <m/>
    <x v="5"/>
    <m/>
    <m/>
    <m/>
    <m/>
    <m/>
    <m/>
    <m/>
    <m/>
    <m/>
    <m/>
    <m/>
    <m/>
    <m/>
    <m/>
    <m/>
    <m/>
    <x v="37"/>
    <x v="3"/>
    <x v="22"/>
    <m/>
    <m/>
    <m/>
    <m/>
    <s v="0"/>
    <m/>
    <m/>
  </r>
  <r>
    <m/>
    <m/>
    <m/>
    <m/>
    <m/>
    <m/>
    <m/>
    <m/>
    <x v="5"/>
    <m/>
    <m/>
    <m/>
    <m/>
    <m/>
    <m/>
    <m/>
    <m/>
    <m/>
    <m/>
    <m/>
    <m/>
    <m/>
    <m/>
    <m/>
    <m/>
    <x v="37"/>
    <x v="3"/>
    <x v="22"/>
    <m/>
    <m/>
    <m/>
    <m/>
    <s v="0"/>
    <m/>
    <m/>
  </r>
  <r>
    <m/>
    <m/>
    <m/>
    <m/>
    <m/>
    <m/>
    <m/>
    <m/>
    <x v="5"/>
    <m/>
    <m/>
    <m/>
    <m/>
    <m/>
    <m/>
    <m/>
    <m/>
    <m/>
    <m/>
    <m/>
    <m/>
    <m/>
    <m/>
    <m/>
    <m/>
    <x v="37"/>
    <x v="3"/>
    <x v="22"/>
    <m/>
    <m/>
    <m/>
    <m/>
    <s v="0"/>
    <m/>
    <m/>
  </r>
  <r>
    <m/>
    <m/>
    <m/>
    <m/>
    <m/>
    <m/>
    <m/>
    <m/>
    <x v="5"/>
    <m/>
    <m/>
    <m/>
    <m/>
    <m/>
    <m/>
    <m/>
    <m/>
    <m/>
    <m/>
    <m/>
    <m/>
    <m/>
    <m/>
    <m/>
    <m/>
    <x v="37"/>
    <x v="3"/>
    <x v="22"/>
    <m/>
    <m/>
    <m/>
    <m/>
    <s v="0"/>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x v="0"/>
  </r>
  <r>
    <x v="0"/>
  </r>
  <r>
    <x v="0"/>
  </r>
  <r>
    <x v="0"/>
  </r>
  <r>
    <x v="0"/>
  </r>
  <r>
    <x v="0"/>
  </r>
  <r>
    <x v="0"/>
  </r>
  <r>
    <x v="0"/>
  </r>
  <r>
    <x v="0"/>
  </r>
  <r>
    <x v="0"/>
  </r>
  <r>
    <x v="0"/>
  </r>
  <r>
    <x v="0"/>
  </r>
  <r>
    <x v="0"/>
  </r>
  <r>
    <x v="0"/>
  </r>
  <r>
    <x v="0"/>
  </r>
  <r>
    <x v="0"/>
  </r>
  <r>
    <x v="0"/>
  </r>
  <r>
    <x v="0"/>
  </r>
  <r>
    <x v="0"/>
  </r>
  <r>
    <x v="0"/>
  </r>
  <r>
    <x v="0"/>
  </r>
  <r>
    <x v="1"/>
  </r>
  <r>
    <x v="1"/>
  </r>
  <r>
    <x v="1"/>
  </r>
  <r>
    <x v="1"/>
  </r>
  <r>
    <x v="1"/>
  </r>
  <r>
    <x v="1"/>
  </r>
  <r>
    <x v="1"/>
  </r>
  <r>
    <x v="0"/>
  </r>
  <r>
    <x v="0"/>
  </r>
  <r>
    <x v="0"/>
  </r>
  <r>
    <x v="0"/>
  </r>
  <r>
    <x v="0"/>
  </r>
  <r>
    <x v="0"/>
  </r>
  <r>
    <x v="1"/>
  </r>
  <r>
    <x v="2"/>
  </r>
  <r>
    <x v="2"/>
  </r>
  <r>
    <x v="2"/>
  </r>
  <r>
    <x v="1"/>
  </r>
  <r>
    <x v="1"/>
  </r>
  <r>
    <x v="2"/>
  </r>
  <r>
    <x v="2"/>
  </r>
  <r>
    <x v="2"/>
  </r>
  <r>
    <x v="2"/>
  </r>
  <r>
    <x v="2"/>
  </r>
  <r>
    <x v="2"/>
  </r>
  <r>
    <x v="2"/>
  </r>
  <r>
    <x v="2"/>
  </r>
  <r>
    <x v="2"/>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3">
  <r>
    <x v="0"/>
  </r>
  <r>
    <x v="0"/>
  </r>
  <r>
    <x v="0"/>
  </r>
  <r>
    <x v="0"/>
  </r>
  <r>
    <x v="0"/>
  </r>
  <r>
    <x v="0"/>
  </r>
  <r>
    <x v="0"/>
  </r>
  <r>
    <x v="0"/>
  </r>
  <r>
    <x v="0"/>
  </r>
  <r>
    <x v="0"/>
  </r>
  <r>
    <x v="0"/>
  </r>
  <r>
    <x v="0"/>
  </r>
  <r>
    <x v="0"/>
  </r>
  <r>
    <x v="1"/>
  </r>
  <r>
    <x v="2"/>
  </r>
  <r>
    <x v="2"/>
  </r>
  <r>
    <x v="0"/>
  </r>
  <r>
    <x v="3"/>
  </r>
  <r>
    <x v="3"/>
  </r>
  <r>
    <x v="4"/>
  </r>
  <r>
    <x v="5"/>
  </r>
  <r>
    <x v="5"/>
  </r>
  <r>
    <x v="5"/>
  </r>
  <r>
    <x v="6"/>
  </r>
  <r>
    <x v="5"/>
  </r>
  <r>
    <x v="5"/>
  </r>
  <r>
    <x v="7"/>
  </r>
  <r>
    <x v="8"/>
  </r>
  <r>
    <x v="9"/>
  </r>
  <r>
    <x v="9"/>
  </r>
  <r>
    <x v="10"/>
  </r>
  <r>
    <x v="10"/>
  </r>
  <r>
    <x v="11"/>
  </r>
  <r>
    <x v="11"/>
  </r>
  <r>
    <x v="11"/>
  </r>
  <r>
    <x v="11"/>
  </r>
  <r>
    <x v="11"/>
  </r>
  <r>
    <x v="11"/>
  </r>
  <r>
    <x v="11"/>
  </r>
  <r>
    <x v="11"/>
  </r>
  <r>
    <x v="12"/>
  </r>
  <r>
    <x v="13"/>
  </r>
  <r>
    <x v="14"/>
  </r>
  <r>
    <x v="15"/>
  </r>
  <r>
    <x v="16"/>
  </r>
  <r>
    <x v="17"/>
  </r>
  <r>
    <x v="17"/>
  </r>
  <r>
    <x v="17"/>
  </r>
  <r>
    <x v="18"/>
  </r>
  <r>
    <x v="18"/>
  </r>
  <r>
    <x v="19"/>
  </r>
  <r>
    <x v="20"/>
  </r>
  <r>
    <x v="20"/>
  </r>
  <r>
    <x v="21"/>
  </r>
  <r>
    <x v="22"/>
  </r>
  <r>
    <x v="23"/>
  </r>
  <r>
    <x v="0"/>
  </r>
  <r>
    <x v="24"/>
  </r>
  <r>
    <x v="25"/>
  </r>
  <r>
    <x v="26"/>
  </r>
  <r>
    <x v="27"/>
  </r>
  <r>
    <x v="28"/>
  </r>
  <r>
    <x v="29"/>
  </r>
  <r>
    <x v="30"/>
  </r>
  <r>
    <x v="31"/>
  </r>
  <r>
    <x v="32"/>
  </r>
  <r>
    <x v="17"/>
  </r>
  <r>
    <x v="17"/>
  </r>
  <r>
    <x v="33"/>
  </r>
  <r>
    <x v="34"/>
  </r>
  <r>
    <x v="0"/>
  </r>
  <r>
    <x v="35"/>
  </r>
  <r>
    <x v="0"/>
  </r>
  <r>
    <x v="0"/>
  </r>
  <r>
    <x v="36"/>
  </r>
  <r>
    <x v="36"/>
  </r>
  <r>
    <x v="36"/>
  </r>
  <r>
    <x v="36"/>
  </r>
  <r>
    <x v="36"/>
  </r>
  <r>
    <x v="36"/>
  </r>
  <r>
    <x v="37"/>
  </r>
  <r>
    <x v="38"/>
  </r>
  <r>
    <x v="39"/>
  </r>
  <r>
    <x v="40"/>
  </r>
  <r>
    <x v="41"/>
  </r>
  <r>
    <x v="42"/>
  </r>
  <r>
    <x v="43"/>
  </r>
  <r>
    <x v="44"/>
  </r>
  <r>
    <x v="45"/>
  </r>
  <r>
    <x v="46"/>
  </r>
  <r>
    <x v="0"/>
  </r>
  <r>
    <x v="47"/>
  </r>
  <r>
    <x v="48"/>
  </r>
  <r>
    <x v="49"/>
  </r>
  <r>
    <x v="49"/>
  </r>
  <r>
    <x v="49"/>
  </r>
  <r>
    <x v="50"/>
  </r>
  <r>
    <x v="51"/>
  </r>
  <r>
    <x v="52"/>
  </r>
  <r>
    <x v="53"/>
  </r>
  <r>
    <x v="54"/>
  </r>
  <r>
    <x v="0"/>
  </r>
  <r>
    <x v="0"/>
  </r>
  <r>
    <x v="0"/>
  </r>
  <r>
    <x v="0"/>
  </r>
  <r>
    <x v="55"/>
  </r>
  <r>
    <x v="55"/>
  </r>
  <r>
    <x v="56"/>
  </r>
  <r>
    <x v="56"/>
  </r>
  <r>
    <x v="56"/>
  </r>
  <r>
    <x v="57"/>
  </r>
  <r>
    <x v="58"/>
  </r>
  <r>
    <x v="59"/>
  </r>
  <r>
    <x v="59"/>
  </r>
  <r>
    <x v="59"/>
  </r>
  <r>
    <x v="60"/>
  </r>
  <r>
    <x v="60"/>
  </r>
  <r>
    <x v="60"/>
  </r>
  <r>
    <x v="61"/>
  </r>
  <r>
    <x v="9"/>
  </r>
  <r>
    <x v="9"/>
  </r>
  <r>
    <x v="62"/>
  </r>
  <r>
    <x v="63"/>
  </r>
  <r>
    <x v="64"/>
  </r>
  <r>
    <x v="17"/>
  </r>
  <r>
    <x v="9"/>
  </r>
  <r>
    <x v="65"/>
  </r>
  <r>
    <x v="66"/>
  </r>
  <r>
    <x v="66"/>
  </r>
  <r>
    <x v="66"/>
  </r>
  <r>
    <x v="67"/>
  </r>
  <r>
    <x v="66"/>
  </r>
  <r>
    <x v="66"/>
  </r>
  <r>
    <x v="66"/>
  </r>
  <r>
    <x v="68"/>
  </r>
  <r>
    <x v="69"/>
  </r>
  <r>
    <x v="70"/>
  </r>
  <r>
    <x v="71"/>
  </r>
  <r>
    <x v="71"/>
  </r>
  <r>
    <x v="71"/>
  </r>
  <r>
    <x v="0"/>
  </r>
  <r>
    <x v="63"/>
  </r>
  <r>
    <x v="63"/>
  </r>
  <r>
    <x v="72"/>
  </r>
  <r>
    <x v="73"/>
  </r>
  <r>
    <x v="74"/>
  </r>
  <r>
    <x v="74"/>
  </r>
  <r>
    <x v="75"/>
  </r>
  <r>
    <x v="0"/>
  </r>
  <r>
    <x v="76"/>
  </r>
  <r>
    <x v="77"/>
  </r>
  <r>
    <x v="78"/>
  </r>
  <r>
    <x v="79"/>
  </r>
  <r>
    <x v="80"/>
  </r>
  <r>
    <x v="81"/>
  </r>
  <r>
    <x v="60"/>
  </r>
  <r>
    <x v="60"/>
  </r>
  <r>
    <x v="82"/>
  </r>
  <r>
    <x v="83"/>
  </r>
  <r>
    <x v="61"/>
  </r>
  <r>
    <x v="84"/>
  </r>
  <r>
    <x v="85"/>
  </r>
  <r>
    <x v="8"/>
  </r>
  <r>
    <x v="86"/>
  </r>
  <r>
    <x v="87"/>
  </r>
  <r>
    <x v="88"/>
  </r>
  <r>
    <x v="88"/>
  </r>
  <r>
    <x v="8"/>
  </r>
  <r>
    <x v="8"/>
  </r>
  <r>
    <x v="8"/>
  </r>
  <r>
    <x v="8"/>
  </r>
  <r>
    <x v="8"/>
  </r>
  <r>
    <x v="8"/>
  </r>
  <r>
    <x v="8"/>
  </r>
  <r>
    <x v="8"/>
  </r>
  <r>
    <x v="8"/>
  </r>
  <r>
    <x v="8"/>
  </r>
  <r>
    <x v="8"/>
  </r>
  <r>
    <x v="8"/>
  </r>
  <r>
    <x v="8"/>
  </r>
  <r>
    <x v="89"/>
  </r>
  <r>
    <x v="90"/>
  </r>
  <r>
    <x v="90"/>
  </r>
  <r>
    <x v="91"/>
  </r>
  <r>
    <x v="61"/>
  </r>
  <r>
    <x v="61"/>
  </r>
  <r>
    <x v="92"/>
  </r>
  <r>
    <x v="93"/>
  </r>
  <r>
    <x v="93"/>
  </r>
  <r>
    <x v="93"/>
  </r>
  <r>
    <x v="94"/>
  </r>
  <r>
    <x v="93"/>
  </r>
  <r>
    <x v="93"/>
  </r>
  <r>
    <x v="8"/>
  </r>
  <r>
    <x v="95"/>
  </r>
  <r>
    <x v="96"/>
  </r>
  <r>
    <x v="96"/>
  </r>
  <r>
    <x v="97"/>
  </r>
  <r>
    <x v="97"/>
  </r>
  <r>
    <x v="10"/>
  </r>
  <r>
    <x v="10"/>
  </r>
  <r>
    <x v="10"/>
  </r>
  <r>
    <x v="10"/>
  </r>
  <r>
    <x v="10"/>
  </r>
  <r>
    <x v="10"/>
  </r>
  <r>
    <x v="10"/>
  </r>
  <r>
    <x v="10"/>
  </r>
  <r>
    <x v="98"/>
  </r>
  <r>
    <x v="99"/>
  </r>
  <r>
    <x v="100"/>
  </r>
  <r>
    <x v="101"/>
  </r>
  <r>
    <x v="102"/>
  </r>
  <r>
    <x v="8"/>
  </r>
  <r>
    <x v="8"/>
  </r>
  <r>
    <x v="8"/>
  </r>
  <r>
    <x v="54"/>
  </r>
  <r>
    <x v="54"/>
  </r>
  <r>
    <x v="103"/>
  </r>
  <r>
    <x v="104"/>
  </r>
  <r>
    <x v="104"/>
  </r>
  <r>
    <x v="105"/>
  </r>
  <r>
    <x v="106"/>
  </r>
  <r>
    <x v="107"/>
  </r>
  <r>
    <x v="108"/>
  </r>
  <r>
    <x v="109"/>
  </r>
  <r>
    <x v="110"/>
  </r>
  <r>
    <x v="111"/>
  </r>
  <r>
    <x v="112"/>
  </r>
  <r>
    <x v="113"/>
  </r>
  <r>
    <x v="114"/>
  </r>
  <r>
    <x v="115"/>
  </r>
  <r>
    <x v="116"/>
  </r>
  <r>
    <x v="117"/>
  </r>
  <r>
    <x v="8"/>
  </r>
  <r>
    <x v="8"/>
  </r>
  <r>
    <x v="8"/>
  </r>
  <r>
    <x v="8"/>
  </r>
  <r>
    <x v="118"/>
  </r>
  <r>
    <x v="119"/>
  </r>
  <r>
    <x v="120"/>
  </r>
  <r>
    <x v="121"/>
  </r>
  <r>
    <x v="121"/>
  </r>
  <r>
    <x v="121"/>
  </r>
  <r>
    <x v="121"/>
  </r>
  <r>
    <x v="121"/>
  </r>
  <r>
    <x v="121"/>
  </r>
  <r>
    <x v="0"/>
  </r>
  <r>
    <x v="0"/>
  </r>
  <r>
    <x v="122"/>
  </r>
  <r>
    <x v="123"/>
  </r>
  <r>
    <x v="124"/>
  </r>
  <r>
    <x v="125"/>
  </r>
  <r>
    <x v="126"/>
  </r>
  <r>
    <x v="45"/>
  </r>
  <r>
    <x v="127"/>
  </r>
  <r>
    <x v="128"/>
  </r>
  <r>
    <x v="8"/>
  </r>
  <r>
    <x v="129"/>
  </r>
  <r>
    <x v="130"/>
  </r>
  <r>
    <x v="131"/>
  </r>
  <r>
    <x v="131"/>
  </r>
  <r>
    <x v="131"/>
  </r>
  <r>
    <x v="132"/>
  </r>
  <r>
    <x v="97"/>
  </r>
  <r>
    <x v="10"/>
  </r>
  <r>
    <x v="133"/>
  </r>
  <r>
    <x v="29"/>
  </r>
  <r>
    <x v="8"/>
  </r>
  <r>
    <x v="8"/>
  </r>
  <r>
    <x v="8"/>
  </r>
  <r>
    <x v="9"/>
  </r>
  <r>
    <x v="134"/>
  </r>
  <r>
    <x v="134"/>
  </r>
  <r>
    <x v="135"/>
  </r>
  <r>
    <x v="135"/>
  </r>
  <r>
    <x v="135"/>
  </r>
  <r>
    <x v="136"/>
  </r>
  <r>
    <x v="137"/>
  </r>
  <r>
    <x v="0"/>
  </r>
  <r>
    <x v="0"/>
  </r>
  <r>
    <x v="0"/>
  </r>
  <r>
    <x v="138"/>
  </r>
  <r>
    <x v="138"/>
  </r>
  <r>
    <x v="138"/>
  </r>
  <r>
    <x v="64"/>
  </r>
  <r>
    <x v="8"/>
  </r>
  <r>
    <x v="8"/>
  </r>
  <r>
    <x v="17"/>
  </r>
  <r>
    <x v="139"/>
  </r>
  <r>
    <x v="61"/>
  </r>
  <r>
    <x v="8"/>
  </r>
  <r>
    <x v="140"/>
  </r>
  <r>
    <x v="141"/>
  </r>
  <r>
    <x v="142"/>
  </r>
  <r>
    <x v="65"/>
  </r>
  <r>
    <x v="142"/>
  </r>
  <r>
    <x v="66"/>
  </r>
  <r>
    <x v="142"/>
  </r>
  <r>
    <x v="142"/>
  </r>
  <r>
    <x v="142"/>
  </r>
  <r>
    <x v="143"/>
  </r>
  <r>
    <x v="144"/>
  </r>
  <r>
    <x v="145"/>
  </r>
  <r>
    <x v="146"/>
  </r>
  <r>
    <x v="146"/>
  </r>
  <r>
    <x v="146"/>
  </r>
  <r>
    <x v="147"/>
  </r>
  <r>
    <x v="148"/>
  </r>
  <r>
    <x v="148"/>
  </r>
  <r>
    <x v="149"/>
  </r>
  <r>
    <x v="150"/>
  </r>
  <r>
    <x v="0"/>
  </r>
  <r>
    <x v="0"/>
  </r>
  <r>
    <x v="151"/>
  </r>
  <r>
    <x v="97"/>
  </r>
  <r>
    <x v="152"/>
  </r>
  <r>
    <x v="153"/>
  </r>
  <r>
    <x v="138"/>
  </r>
  <r>
    <x v="154"/>
  </r>
  <r>
    <x v="155"/>
  </r>
  <r>
    <x v="156"/>
  </r>
  <r>
    <x v="103"/>
  </r>
  <r>
    <x v="103"/>
  </r>
  <r>
    <x v="0"/>
  </r>
  <r>
    <x v="157"/>
  </r>
  <r>
    <x v="158"/>
  </r>
  <r>
    <x v="159"/>
  </r>
  <r>
    <x v="160"/>
  </r>
  <r>
    <x v="161"/>
  </r>
  <r>
    <x v="162"/>
  </r>
  <r>
    <x v="163"/>
  </r>
  <r>
    <x v="108"/>
  </r>
  <r>
    <x v="108"/>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623">
  <r>
    <x v="0"/>
  </r>
  <r>
    <x v="0"/>
  </r>
  <r>
    <x v="0"/>
  </r>
  <r>
    <x v="0"/>
  </r>
  <r>
    <x v="0"/>
  </r>
  <r>
    <x v="0"/>
  </r>
  <r>
    <x v="0"/>
  </r>
  <r>
    <x v="0"/>
  </r>
  <r>
    <x v="0"/>
  </r>
  <r>
    <x v="0"/>
  </r>
  <r>
    <x v="0"/>
  </r>
  <r>
    <x v="0"/>
  </r>
  <r>
    <x v="0"/>
  </r>
  <r>
    <x v="1"/>
  </r>
  <r>
    <x v="2"/>
  </r>
  <r>
    <x v="2"/>
  </r>
  <r>
    <x v="0"/>
  </r>
  <r>
    <x v="3"/>
  </r>
  <r>
    <x v="3"/>
  </r>
  <r>
    <x v="4"/>
  </r>
  <r>
    <x v="5"/>
  </r>
  <r>
    <x v="5"/>
  </r>
  <r>
    <x v="5"/>
  </r>
  <r>
    <x v="6"/>
  </r>
  <r>
    <x v="5"/>
  </r>
  <r>
    <x v="5"/>
  </r>
  <r>
    <x v="7"/>
  </r>
  <r>
    <x v="8"/>
  </r>
  <r>
    <x v="9"/>
  </r>
  <r>
    <x v="9"/>
  </r>
  <r>
    <x v="10"/>
  </r>
  <r>
    <x v="10"/>
  </r>
  <r>
    <x v="11"/>
  </r>
  <r>
    <x v="11"/>
  </r>
  <r>
    <x v="11"/>
  </r>
  <r>
    <x v="11"/>
  </r>
  <r>
    <x v="11"/>
  </r>
  <r>
    <x v="11"/>
  </r>
  <r>
    <x v="11"/>
  </r>
  <r>
    <x v="11"/>
  </r>
  <r>
    <x v="12"/>
  </r>
  <r>
    <x v="13"/>
  </r>
  <r>
    <x v="14"/>
  </r>
  <r>
    <x v="15"/>
  </r>
  <r>
    <x v="16"/>
  </r>
  <r>
    <x v="17"/>
  </r>
  <r>
    <x v="17"/>
  </r>
  <r>
    <x v="17"/>
  </r>
  <r>
    <x v="18"/>
  </r>
  <r>
    <x v="18"/>
  </r>
  <r>
    <x v="19"/>
  </r>
  <r>
    <x v="20"/>
  </r>
  <r>
    <x v="20"/>
  </r>
  <r>
    <x v="21"/>
  </r>
  <r>
    <x v="22"/>
  </r>
  <r>
    <x v="3"/>
  </r>
  <r>
    <x v="0"/>
  </r>
  <r>
    <x v="23"/>
  </r>
  <r>
    <x v="24"/>
  </r>
  <r>
    <x v="25"/>
  </r>
  <r>
    <x v="26"/>
  </r>
  <r>
    <x v="27"/>
  </r>
  <r>
    <x v="18"/>
  </r>
  <r>
    <x v="28"/>
  </r>
  <r>
    <x v="29"/>
  </r>
  <r>
    <x v="30"/>
  </r>
  <r>
    <x v="17"/>
  </r>
  <r>
    <x v="17"/>
  </r>
  <r>
    <x v="31"/>
  </r>
  <r>
    <x v="32"/>
  </r>
  <r>
    <x v="0"/>
  </r>
  <r>
    <x v="33"/>
  </r>
  <r>
    <x v="0"/>
  </r>
  <r>
    <x v="0"/>
  </r>
  <r>
    <x v="11"/>
  </r>
  <r>
    <x v="11"/>
  </r>
  <r>
    <x v="11"/>
  </r>
  <r>
    <x v="11"/>
  </r>
  <r>
    <x v="11"/>
  </r>
  <r>
    <x v="11"/>
  </r>
  <r>
    <x v="18"/>
  </r>
  <r>
    <x v="34"/>
  </r>
  <r>
    <x v="35"/>
  </r>
  <r>
    <x v="36"/>
  </r>
  <r>
    <x v="37"/>
  </r>
  <r>
    <x v="38"/>
  </r>
  <r>
    <x v="39"/>
  </r>
  <r>
    <x v="40"/>
  </r>
  <r>
    <x v="41"/>
  </r>
  <r>
    <x v="42"/>
  </r>
  <r>
    <x v="0"/>
  </r>
  <r>
    <x v="43"/>
  </r>
  <r>
    <x v="44"/>
  </r>
  <r>
    <x v="45"/>
  </r>
  <r>
    <x v="45"/>
  </r>
  <r>
    <x v="45"/>
  </r>
  <r>
    <x v="46"/>
  </r>
  <r>
    <x v="11"/>
  </r>
  <r>
    <x v="47"/>
  </r>
  <r>
    <x v="48"/>
  </r>
  <r>
    <x v="18"/>
  </r>
  <r>
    <x v="0"/>
  </r>
  <r>
    <x v="0"/>
  </r>
  <r>
    <x v="0"/>
  </r>
  <r>
    <x v="0"/>
  </r>
  <r>
    <x v="49"/>
  </r>
  <r>
    <x v="49"/>
  </r>
  <r>
    <x v="50"/>
  </r>
  <r>
    <x v="50"/>
  </r>
  <r>
    <x v="50"/>
  </r>
  <r>
    <x v="51"/>
  </r>
  <r>
    <x v="52"/>
  </r>
  <r>
    <x v="53"/>
  </r>
  <r>
    <x v="53"/>
  </r>
  <r>
    <x v="53"/>
  </r>
  <r>
    <x v="34"/>
  </r>
  <r>
    <x v="34"/>
  </r>
  <r>
    <x v="34"/>
  </r>
  <r>
    <x v="54"/>
  </r>
  <r>
    <x v="9"/>
  </r>
  <r>
    <x v="9"/>
  </r>
  <r>
    <x v="55"/>
  </r>
  <r>
    <x v="50"/>
  </r>
  <r>
    <x v="56"/>
  </r>
  <r>
    <x v="17"/>
  </r>
  <r>
    <x v="9"/>
  </r>
  <r>
    <x v="57"/>
  </r>
  <r>
    <x v="58"/>
  </r>
  <r>
    <x v="58"/>
  </r>
  <r>
    <x v="58"/>
  </r>
  <r>
    <x v="59"/>
  </r>
  <r>
    <x v="58"/>
  </r>
  <r>
    <x v="58"/>
  </r>
  <r>
    <x v="58"/>
  </r>
  <r>
    <x v="60"/>
  </r>
  <r>
    <x v="61"/>
  </r>
  <r>
    <x v="62"/>
  </r>
  <r>
    <x v="50"/>
  </r>
  <r>
    <x v="50"/>
  </r>
  <r>
    <x v="50"/>
  </r>
  <r>
    <x v="0"/>
  </r>
  <r>
    <x v="50"/>
  </r>
  <r>
    <x v="50"/>
  </r>
  <r>
    <x v="63"/>
  </r>
  <r>
    <x v="64"/>
  </r>
  <r>
    <x v="65"/>
  </r>
  <r>
    <x v="65"/>
  </r>
  <r>
    <x v="66"/>
  </r>
  <r>
    <x v="0"/>
  </r>
  <r>
    <x v="67"/>
  </r>
  <r>
    <x v="68"/>
  </r>
  <r>
    <x v="34"/>
  </r>
  <r>
    <x v="34"/>
  </r>
  <r>
    <x v="69"/>
  </r>
  <r>
    <x v="70"/>
  </r>
  <r>
    <x v="34"/>
  </r>
  <r>
    <x v="34"/>
  </r>
  <r>
    <x v="71"/>
  </r>
  <r>
    <x v="72"/>
  </r>
  <r>
    <x v="54"/>
  </r>
  <r>
    <x v="73"/>
  </r>
  <r>
    <x v="62"/>
  </r>
  <r>
    <x v="8"/>
  </r>
  <r>
    <x v="56"/>
  </r>
  <r>
    <x v="74"/>
  </r>
  <r>
    <x v="75"/>
  </r>
  <r>
    <x v="75"/>
  </r>
  <r>
    <x v="8"/>
  </r>
  <r>
    <x v="8"/>
  </r>
  <r>
    <x v="8"/>
  </r>
  <r>
    <x v="8"/>
  </r>
  <r>
    <x v="8"/>
  </r>
  <r>
    <x v="8"/>
  </r>
  <r>
    <x v="8"/>
  </r>
  <r>
    <x v="8"/>
  </r>
  <r>
    <x v="8"/>
  </r>
  <r>
    <x v="8"/>
  </r>
  <r>
    <x v="8"/>
  </r>
  <r>
    <x v="8"/>
  </r>
  <r>
    <x v="8"/>
  </r>
  <r>
    <x v="1"/>
  </r>
  <r>
    <x v="76"/>
  </r>
  <r>
    <x v="76"/>
  </r>
  <r>
    <x v="77"/>
  </r>
  <r>
    <x v="54"/>
  </r>
  <r>
    <x v="54"/>
  </r>
  <r>
    <x v="78"/>
  </r>
  <r>
    <x v="79"/>
  </r>
  <r>
    <x v="79"/>
  </r>
  <r>
    <x v="79"/>
  </r>
  <r>
    <x v="80"/>
  </r>
  <r>
    <x v="79"/>
  </r>
  <r>
    <x v="79"/>
  </r>
  <r>
    <x v="8"/>
  </r>
  <r>
    <x v="81"/>
  </r>
  <r>
    <x v="82"/>
  </r>
  <r>
    <x v="82"/>
  </r>
  <r>
    <x v="83"/>
  </r>
  <r>
    <x v="83"/>
  </r>
  <r>
    <x v="10"/>
  </r>
  <r>
    <x v="10"/>
  </r>
  <r>
    <x v="10"/>
  </r>
  <r>
    <x v="10"/>
  </r>
  <r>
    <x v="10"/>
  </r>
  <r>
    <x v="10"/>
  </r>
  <r>
    <x v="10"/>
  </r>
  <r>
    <x v="10"/>
  </r>
  <r>
    <x v="84"/>
  </r>
  <r>
    <x v="85"/>
  </r>
  <r>
    <x v="86"/>
  </r>
  <r>
    <x v="87"/>
  </r>
  <r>
    <x v="88"/>
  </r>
  <r>
    <x v="8"/>
  </r>
  <r>
    <x v="8"/>
  </r>
  <r>
    <x v="8"/>
  </r>
  <r>
    <x v="18"/>
  </r>
  <r>
    <x v="18"/>
  </r>
  <r>
    <x v="89"/>
  </r>
  <r>
    <x v="90"/>
  </r>
  <r>
    <x v="90"/>
  </r>
  <r>
    <x v="91"/>
  </r>
  <r>
    <x v="92"/>
  </r>
  <r>
    <x v="93"/>
  </r>
  <r>
    <x v="94"/>
  </r>
  <r>
    <x v="95"/>
  </r>
  <r>
    <x v="96"/>
  </r>
  <r>
    <x v="97"/>
  </r>
  <r>
    <x v="98"/>
  </r>
  <r>
    <x v="13"/>
  </r>
  <r>
    <x v="99"/>
  </r>
  <r>
    <x v="100"/>
  </r>
  <r>
    <x v="101"/>
  </r>
  <r>
    <x v="30"/>
  </r>
  <r>
    <x v="8"/>
  </r>
  <r>
    <x v="8"/>
  </r>
  <r>
    <x v="8"/>
  </r>
  <r>
    <x v="8"/>
  </r>
  <r>
    <x v="3"/>
  </r>
  <r>
    <x v="102"/>
  </r>
  <r>
    <x v="103"/>
  </r>
  <r>
    <x v="42"/>
  </r>
  <r>
    <x v="42"/>
  </r>
  <r>
    <x v="42"/>
  </r>
  <r>
    <x v="42"/>
  </r>
  <r>
    <x v="42"/>
  </r>
  <r>
    <x v="42"/>
  </r>
  <r>
    <x v="0"/>
  </r>
  <r>
    <x v="0"/>
  </r>
  <r>
    <x v="104"/>
  </r>
  <r>
    <x v="105"/>
  </r>
  <r>
    <x v="106"/>
  </r>
  <r>
    <x v="48"/>
  </r>
  <r>
    <x v="107"/>
  </r>
  <r>
    <x v="41"/>
  </r>
  <r>
    <x v="108"/>
  </r>
  <r>
    <x v="42"/>
  </r>
  <r>
    <x v="8"/>
  </r>
  <r>
    <x v="109"/>
  </r>
  <r>
    <x v="44"/>
  </r>
  <r>
    <x v="45"/>
  </r>
  <r>
    <x v="45"/>
  </r>
  <r>
    <x v="45"/>
  </r>
  <r>
    <x v="110"/>
  </r>
  <r>
    <x v="83"/>
  </r>
  <r>
    <x v="10"/>
  </r>
  <r>
    <x v="111"/>
  </r>
  <r>
    <x v="18"/>
  </r>
  <r>
    <x v="8"/>
  </r>
  <r>
    <x v="8"/>
  </r>
  <r>
    <x v="8"/>
  </r>
  <r>
    <x v="9"/>
  </r>
  <r>
    <x v="49"/>
  </r>
  <r>
    <x v="49"/>
  </r>
  <r>
    <x v="50"/>
  </r>
  <r>
    <x v="50"/>
  </r>
  <r>
    <x v="50"/>
  </r>
  <r>
    <x v="112"/>
  </r>
  <r>
    <x v="113"/>
  </r>
  <r>
    <x v="0"/>
  </r>
  <r>
    <x v="0"/>
  </r>
  <r>
    <x v="0"/>
  </r>
  <r>
    <x v="34"/>
  </r>
  <r>
    <x v="34"/>
  </r>
  <r>
    <x v="34"/>
  </r>
  <r>
    <x v="56"/>
  </r>
  <r>
    <x v="8"/>
  </r>
  <r>
    <x v="8"/>
  </r>
  <r>
    <x v="17"/>
  </r>
  <r>
    <x v="114"/>
  </r>
  <r>
    <x v="54"/>
  </r>
  <r>
    <x v="8"/>
  </r>
  <r>
    <x v="115"/>
  </r>
  <r>
    <x v="116"/>
  </r>
  <r>
    <x v="117"/>
  </r>
  <r>
    <x v="57"/>
  </r>
  <r>
    <x v="117"/>
  </r>
  <r>
    <x v="58"/>
  </r>
  <r>
    <x v="117"/>
  </r>
  <r>
    <x v="117"/>
  </r>
  <r>
    <x v="117"/>
  </r>
  <r>
    <x v="118"/>
  </r>
  <r>
    <x v="61"/>
  </r>
  <r>
    <x v="119"/>
  </r>
  <r>
    <x v="120"/>
  </r>
  <r>
    <x v="120"/>
  </r>
  <r>
    <x v="120"/>
  </r>
  <r>
    <x v="121"/>
  </r>
  <r>
    <x v="114"/>
  </r>
  <r>
    <x v="114"/>
  </r>
  <r>
    <x v="122"/>
  </r>
  <r>
    <x v="64"/>
  </r>
  <r>
    <x v="0"/>
  </r>
  <r>
    <x v="0"/>
  </r>
  <r>
    <x v="123"/>
  </r>
  <r>
    <x v="83"/>
  </r>
  <r>
    <x v="71"/>
  </r>
  <r>
    <x v="124"/>
  </r>
  <r>
    <x v="34"/>
  </r>
  <r>
    <x v="34"/>
  </r>
  <r>
    <x v="69"/>
  </r>
  <r>
    <x v="70"/>
  </r>
  <r>
    <x v="89"/>
  </r>
  <r>
    <x v="89"/>
  </r>
  <r>
    <x v="0"/>
  </r>
  <r>
    <x v="72"/>
  </r>
  <r>
    <x v="125"/>
  </r>
  <r>
    <x v="126"/>
  </r>
  <r>
    <x v="127"/>
  </r>
  <r>
    <x v="128"/>
  </r>
  <r>
    <x v="56"/>
  </r>
  <r>
    <x v="74"/>
  </r>
  <r>
    <x v="94"/>
  </r>
  <r>
    <x v="94"/>
  </r>
  <r>
    <x v="103"/>
  </r>
  <r>
    <x v="103"/>
  </r>
  <r>
    <x v="103"/>
  </r>
  <r>
    <x v="102"/>
  </r>
  <r>
    <x v="102"/>
  </r>
  <r>
    <x v="102"/>
  </r>
  <r>
    <x v="102"/>
  </r>
  <r>
    <x v="102"/>
  </r>
  <r>
    <x v="102"/>
  </r>
  <r>
    <x v="102"/>
  </r>
  <r>
    <x v="102"/>
  </r>
  <r>
    <x v="102"/>
  </r>
  <r>
    <x v="102"/>
  </r>
  <r>
    <x v="129"/>
  </r>
  <r>
    <x v="102"/>
  </r>
  <r>
    <x v="102"/>
  </r>
  <r>
    <x v="130"/>
  </r>
  <r>
    <x v="120"/>
  </r>
  <r>
    <x v="120"/>
  </r>
  <r>
    <x v="131"/>
  </r>
  <r>
    <x v="132"/>
  </r>
  <r>
    <x v="132"/>
  </r>
  <r>
    <x v="132"/>
  </r>
  <r>
    <x v="132"/>
  </r>
  <r>
    <x v="132"/>
  </r>
  <r>
    <x v="82"/>
  </r>
  <r>
    <x v="102"/>
  </r>
  <r>
    <x v="133"/>
  </r>
  <r>
    <x v="133"/>
  </r>
  <r>
    <x v="8"/>
  </r>
  <r>
    <x v="8"/>
  </r>
  <r>
    <x v="83"/>
  </r>
  <r>
    <x v="83"/>
  </r>
  <r>
    <x v="83"/>
  </r>
  <r>
    <x v="83"/>
  </r>
  <r>
    <x v="83"/>
  </r>
  <r>
    <x v="83"/>
  </r>
  <r>
    <x v="83"/>
  </r>
  <r>
    <x v="83"/>
  </r>
  <r>
    <x v="134"/>
  </r>
  <r>
    <x v="17"/>
  </r>
  <r>
    <x v="135"/>
  </r>
  <r>
    <x v="136"/>
  </r>
  <r>
    <x v="137"/>
  </r>
  <r>
    <x v="82"/>
  </r>
  <r>
    <x v="82"/>
  </r>
  <r>
    <x v="82"/>
  </r>
  <r>
    <x v="99"/>
  </r>
  <r>
    <x v="99"/>
  </r>
  <r>
    <x v="34"/>
  </r>
  <r>
    <x v="0"/>
  </r>
  <r>
    <x v="0"/>
  </r>
  <r>
    <x v="15"/>
  </r>
  <r>
    <x v="57"/>
  </r>
  <r>
    <x v="138"/>
  </r>
  <r>
    <x v="8"/>
  </r>
  <r>
    <x v="43"/>
  </r>
  <r>
    <x v="114"/>
  </r>
  <r>
    <x v="139"/>
  </r>
  <r>
    <x v="140"/>
  </r>
  <r>
    <x v="141"/>
  </r>
  <r>
    <x v="142"/>
  </r>
  <r>
    <x v="30"/>
  </r>
  <r>
    <x v="143"/>
  </r>
  <r>
    <x v="30"/>
  </r>
  <r>
    <x v="82"/>
  </r>
  <r>
    <x v="82"/>
  </r>
  <r>
    <x v="144"/>
  </r>
  <r>
    <x v="82"/>
  </r>
  <r>
    <x v="145"/>
  </r>
  <r>
    <x v="130"/>
  </r>
  <r>
    <x v="146"/>
  </r>
  <r>
    <x v="42"/>
  </r>
  <r>
    <x v="42"/>
  </r>
  <r>
    <x v="42"/>
  </r>
  <r>
    <x v="42"/>
  </r>
  <r>
    <x v="42"/>
  </r>
  <r>
    <x v="42"/>
  </r>
  <r>
    <x v="89"/>
  </r>
  <r>
    <x v="89"/>
  </r>
  <r>
    <x v="147"/>
  </r>
  <r>
    <x v="148"/>
  </r>
  <r>
    <x v="149"/>
  </r>
  <r>
    <x v="150"/>
  </r>
  <r>
    <x v="151"/>
  </r>
  <r>
    <x v="14"/>
  </r>
  <r>
    <x v="86"/>
  </r>
  <r>
    <x v="152"/>
  </r>
  <r>
    <x v="153"/>
  </r>
  <r>
    <x v="154"/>
  </r>
  <r>
    <x v="155"/>
  </r>
  <r>
    <x v="156"/>
  </r>
  <r>
    <x v="156"/>
  </r>
  <r>
    <x v="156"/>
  </r>
  <r>
    <x v="157"/>
  </r>
  <r>
    <x v="10"/>
  </r>
  <r>
    <x v="83"/>
  </r>
  <r>
    <x v="158"/>
  </r>
  <r>
    <x v="99"/>
  </r>
  <r>
    <x v="159"/>
  </r>
  <r>
    <x v="159"/>
  </r>
  <r>
    <x v="159"/>
  </r>
  <r>
    <x v="160"/>
  </r>
  <r>
    <x v="43"/>
  </r>
  <r>
    <x v="43"/>
  </r>
  <r>
    <x v="114"/>
  </r>
  <r>
    <x v="114"/>
  </r>
  <r>
    <x v="114"/>
  </r>
  <r>
    <x v="161"/>
  </r>
  <r>
    <x v="8"/>
  </r>
  <r>
    <x v="82"/>
  </r>
  <r>
    <x v="82"/>
  </r>
  <r>
    <x v="82"/>
  </r>
  <r>
    <x v="89"/>
  </r>
  <r>
    <x v="89"/>
  </r>
  <r>
    <x v="89"/>
  </r>
  <r>
    <x v="103"/>
  </r>
  <r>
    <x v="81"/>
  </r>
  <r>
    <x v="81"/>
  </r>
  <r>
    <x v="162"/>
  </r>
  <r>
    <x v="114"/>
  </r>
  <r>
    <x v="56"/>
  </r>
  <r>
    <x v="82"/>
  </r>
  <r>
    <x v="163"/>
  </r>
  <r>
    <x v="164"/>
  </r>
  <r>
    <x v="8"/>
  </r>
  <r>
    <x v="117"/>
  </r>
  <r>
    <x v="103"/>
  </r>
  <r>
    <x v="59"/>
  </r>
  <r>
    <x v="8"/>
  </r>
  <r>
    <x v="8"/>
  </r>
  <r>
    <x v="165"/>
  </r>
  <r>
    <x v="60"/>
  </r>
  <r>
    <x v="166"/>
  </r>
  <r>
    <x v="0"/>
  </r>
  <r>
    <x v="167"/>
  </r>
  <r>
    <x v="167"/>
  </r>
  <r>
    <x v="167"/>
  </r>
  <r>
    <x v="168"/>
  </r>
  <r>
    <x v="169"/>
  </r>
  <r>
    <x v="169"/>
  </r>
  <r>
    <x v="63"/>
  </r>
  <r>
    <x v="170"/>
  </r>
  <r>
    <x v="65"/>
  </r>
  <r>
    <x v="65"/>
  </r>
  <r>
    <x v="66"/>
  </r>
  <r>
    <x v="94"/>
  </r>
  <r>
    <x v="0"/>
  </r>
  <r>
    <x v="63"/>
  </r>
  <r>
    <x v="34"/>
  </r>
  <r>
    <x v="89"/>
  </r>
  <r>
    <x v="69"/>
  </r>
  <r>
    <x v="171"/>
  </r>
  <r>
    <x v="34"/>
  </r>
  <r>
    <x v="34"/>
  </r>
  <r>
    <x v="71"/>
  </r>
  <r>
    <x v="172"/>
  </r>
  <r>
    <x v="71"/>
  </r>
  <r>
    <x v="173"/>
  </r>
  <r>
    <x v="174"/>
  </r>
  <r>
    <x v="175"/>
  </r>
  <r>
    <x v="56"/>
  </r>
  <r>
    <x v="118"/>
  </r>
  <r>
    <x v="0"/>
  </r>
  <r>
    <x v="0"/>
  </r>
  <r>
    <x v="103"/>
  </r>
  <r>
    <x v="103"/>
  </r>
  <r>
    <x v="103"/>
  </r>
  <r>
    <x v="176"/>
  </r>
  <r>
    <x v="176"/>
  </r>
  <r>
    <x v="176"/>
  </r>
  <r>
    <x v="176"/>
  </r>
  <r>
    <x v="176"/>
  </r>
  <r>
    <x v="176"/>
  </r>
  <r>
    <x v="176"/>
  </r>
  <r>
    <x v="176"/>
  </r>
  <r>
    <x v="176"/>
  </r>
  <r>
    <x v="176"/>
  </r>
  <r>
    <x v="8"/>
  </r>
  <r>
    <x v="102"/>
  </r>
  <r>
    <x v="102"/>
  </r>
  <r>
    <x v="102"/>
  </r>
  <r>
    <x v="177"/>
  </r>
  <r>
    <x v="177"/>
  </r>
  <r>
    <x v="178"/>
  </r>
  <r>
    <x v="179"/>
  </r>
  <r>
    <x v="179"/>
  </r>
  <r>
    <x v="179"/>
  </r>
  <r>
    <x v="179"/>
  </r>
  <r>
    <x v="179"/>
  </r>
  <r>
    <x v="81"/>
  </r>
  <r>
    <x v="176"/>
  </r>
  <r>
    <x v="102"/>
  </r>
  <r>
    <x v="102"/>
  </r>
  <r>
    <x v="180"/>
  </r>
  <r>
    <x v="180"/>
  </r>
  <r>
    <x v="181"/>
  </r>
  <r>
    <x v="181"/>
  </r>
  <r>
    <x v="181"/>
  </r>
  <r>
    <x v="181"/>
  </r>
  <r>
    <x v="181"/>
  </r>
  <r>
    <x v="181"/>
  </r>
  <r>
    <x v="181"/>
  </r>
  <r>
    <x v="181"/>
  </r>
  <r>
    <x v="84"/>
  </r>
  <r>
    <x v="0"/>
  </r>
  <r>
    <x v="76"/>
  </r>
  <r>
    <x v="182"/>
  </r>
  <r>
    <x v="183"/>
  </r>
  <r>
    <x v="77"/>
  </r>
  <r>
    <x v="77"/>
  </r>
  <r>
    <x v="77"/>
  </r>
  <r>
    <x v="99"/>
  </r>
  <r>
    <x v="99"/>
  </r>
  <r>
    <x v="8"/>
  </r>
  <r>
    <x v="102"/>
  </r>
  <r>
    <x v="102"/>
  </r>
  <r>
    <x v="136"/>
  </r>
  <r>
    <x v="184"/>
  </r>
  <r>
    <x v="185"/>
  </r>
  <r>
    <x v="186"/>
  </r>
  <r>
    <x v="154"/>
  </r>
  <r>
    <x v="187"/>
  </r>
  <r>
    <x v="188"/>
  </r>
  <r>
    <x v="189"/>
  </r>
  <r>
    <x v="85"/>
  </r>
  <r>
    <x v="8"/>
  </r>
  <r>
    <x v="190"/>
  </r>
  <r>
    <x v="191"/>
  </r>
  <r>
    <x v="192"/>
  </r>
  <r>
    <x v="102"/>
  </r>
  <r>
    <x v="102"/>
  </r>
  <r>
    <x v="193"/>
  </r>
  <r>
    <x v="194"/>
  </r>
  <r>
    <x v="154"/>
  </r>
  <r>
    <x v="176"/>
  </r>
  <r>
    <x v="146"/>
  </r>
  <r>
    <x v="195"/>
  </r>
  <r>
    <x v="195"/>
  </r>
  <r>
    <x v="195"/>
  </r>
  <r>
    <x v="195"/>
  </r>
  <r>
    <x v="195"/>
  </r>
  <r>
    <x v="195"/>
  </r>
  <r>
    <x v="133"/>
  </r>
  <r>
    <x v="196"/>
  </r>
  <r>
    <x v="197"/>
  </r>
  <r>
    <x v="198"/>
  </r>
  <r>
    <x v="199"/>
  </r>
  <r>
    <x v="200"/>
  </r>
  <r>
    <x v="201"/>
  </r>
  <r>
    <x v="202"/>
  </r>
  <r>
    <x v="203"/>
  </r>
  <r>
    <x v="204"/>
  </r>
  <r>
    <x v="102"/>
  </r>
  <r>
    <x v="205"/>
  </r>
  <r>
    <x v="206"/>
  </r>
  <r>
    <x v="207"/>
  </r>
  <r>
    <x v="207"/>
  </r>
  <r>
    <x v="207"/>
  </r>
  <r>
    <x v="208"/>
  </r>
  <r>
    <x v="180"/>
  </r>
  <r>
    <x v="38"/>
  </r>
  <r>
    <x v="99"/>
  </r>
  <r>
    <x v="102"/>
  </r>
  <r>
    <x v="102"/>
  </r>
  <r>
    <x v="103"/>
  </r>
  <r>
    <x v="102"/>
  </r>
  <r>
    <x v="43"/>
  </r>
  <r>
    <x v="43"/>
  </r>
  <r>
    <x v="114"/>
  </r>
  <r>
    <x v="114"/>
  </r>
  <r>
    <x v="114"/>
  </r>
  <r>
    <x v="209"/>
  </r>
  <r>
    <x v="77"/>
  </r>
  <r>
    <x v="210"/>
  </r>
  <r>
    <x v="210"/>
  </r>
  <r>
    <x v="210"/>
  </r>
  <r>
    <x v="34"/>
  </r>
  <r>
    <x v="34"/>
  </r>
  <r>
    <x v="34"/>
  </r>
  <r>
    <x v="103"/>
  </r>
  <r>
    <x v="168"/>
  </r>
  <r>
    <x v="168"/>
  </r>
  <r>
    <x v="162"/>
  </r>
  <r>
    <x v="114"/>
  </r>
  <r>
    <x v="94"/>
  </r>
  <r>
    <x v="77"/>
  </r>
  <r>
    <x v="8"/>
  </r>
  <r>
    <x v="211"/>
  </r>
  <r>
    <x v="82"/>
  </r>
  <r>
    <x v="165"/>
  </r>
  <r>
    <x v="103"/>
  </r>
  <r>
    <x v="117"/>
  </r>
  <r>
    <x v="82"/>
  </r>
  <r>
    <x v="82"/>
  </r>
  <r>
    <x v="212"/>
  </r>
  <r>
    <x v="83"/>
  </r>
  <r>
    <x v="166"/>
  </r>
  <r>
    <x v="62"/>
  </r>
  <r>
    <x v="50"/>
  </r>
  <r>
    <x v="50"/>
  </r>
  <r>
    <x v="50"/>
  </r>
  <r>
    <x v="146"/>
  </r>
  <r>
    <x v="213"/>
  </r>
  <r>
    <x v="213"/>
  </r>
  <r>
    <x v="214"/>
  </r>
  <r>
    <x v="8"/>
  </r>
  <r>
    <x v="8"/>
  </r>
  <r>
    <x v="8"/>
  </r>
  <r>
    <x v="82"/>
  </r>
  <r>
    <x v="67"/>
  </r>
  <r>
    <x v="215"/>
  </r>
  <r>
    <x v="216"/>
  </r>
  <r>
    <x v="34"/>
  </r>
  <r>
    <x v="217"/>
  </r>
  <r>
    <x v="171"/>
  </r>
  <r>
    <x v="8"/>
  </r>
  <r>
    <x v="8"/>
  </r>
  <r>
    <x v="218"/>
  </r>
  <r>
    <x v="172"/>
  </r>
  <r>
    <x v="219"/>
  </r>
  <r>
    <x v="220"/>
  </r>
  <r>
    <x v="174"/>
  </r>
  <r>
    <x v="221"/>
  </r>
  <r>
    <x v="56"/>
  </r>
  <r>
    <x v="217"/>
  </r>
  <r>
    <x v="8"/>
  </r>
  <r>
    <x v="8"/>
  </r>
  <r>
    <x v="103"/>
  </r>
  <r>
    <x v="103"/>
  </r>
  <r>
    <x v="103"/>
  </r>
  <r>
    <x v="102"/>
  </r>
  <r>
    <x v="102"/>
  </r>
  <r>
    <x v="102"/>
  </r>
  <r>
    <x v="130"/>
  </r>
  <r>
    <x v="0"/>
  </r>
  <r>
    <x v="0"/>
  </r>
  <r>
    <x v="222"/>
  </r>
  <r>
    <x v="223"/>
  </r>
  <r>
    <x v="223"/>
  </r>
  <r>
    <x v="223"/>
  </r>
  <r>
    <x v="223"/>
  </r>
  <r>
    <x v="224"/>
  </r>
  <r>
    <x v="76"/>
  </r>
  <r>
    <x v="130"/>
  </r>
  <r>
    <x v="130"/>
  </r>
  <r>
    <x v="102"/>
  </r>
  <r>
    <x v="102"/>
  </r>
  <r>
    <x v="180"/>
  </r>
  <r>
    <x v="180"/>
  </r>
  <r>
    <x v="180"/>
  </r>
  <r>
    <x v="180"/>
  </r>
  <r>
    <x v="180"/>
  </r>
  <r>
    <x v="180"/>
  </r>
  <r>
    <x v="180"/>
  </r>
  <r>
    <x v="180"/>
  </r>
  <r>
    <x v="225"/>
  </r>
  <r>
    <x v="94"/>
  </r>
  <r>
    <x v="226"/>
  </r>
  <r>
    <x v="102"/>
  </r>
  <r>
    <x v="102"/>
  </r>
  <r>
    <x v="102"/>
  </r>
  <r>
    <x v="89"/>
  </r>
  <r>
    <x v="89"/>
  </r>
  <r>
    <x v="133"/>
  </r>
  <r>
    <x v="227"/>
  </r>
  <r>
    <x v="227"/>
  </r>
  <r>
    <x v="228"/>
  </r>
  <r>
    <x v="8"/>
  </r>
  <r>
    <x v="229"/>
  </r>
  <r>
    <x v="102"/>
  </r>
  <r>
    <x v="205"/>
  </r>
  <r>
    <x v="96"/>
  </r>
  <r>
    <x v="0"/>
  </r>
  <r>
    <x v="230"/>
  </r>
  <r>
    <x v="94"/>
  </r>
  <r>
    <x v="231"/>
  </r>
  <r>
    <x v="232"/>
  </r>
  <r>
    <x v="192"/>
  </r>
  <r>
    <x v="102"/>
  </r>
  <r>
    <x v="102"/>
  </r>
  <r>
    <x v="233"/>
  </r>
  <r>
    <x v="102"/>
  </r>
  <r>
    <x v="43"/>
  </r>
  <r>
    <x v="234"/>
  </r>
  <r>
    <x v="103"/>
  </r>
  <r>
    <x v="235"/>
  </r>
  <r>
    <x v="235"/>
  </r>
  <r>
    <x v="235"/>
  </r>
  <r>
    <x v="235"/>
  </r>
  <r>
    <x v="235"/>
  </r>
  <r>
    <x v="235"/>
  </r>
  <r>
    <x v="236"/>
  </r>
  <r>
    <x v="168"/>
  </r>
  <r>
    <x v="237"/>
  </r>
  <r>
    <x v="238"/>
  </r>
  <r>
    <x v="239"/>
  </r>
  <r>
    <x v="8"/>
  </r>
  <r>
    <x v="240"/>
  </r>
  <r>
    <x v="204"/>
  </r>
  <r>
    <x v="102"/>
  </r>
  <r>
    <x v="241"/>
  </r>
  <r>
    <x v="242"/>
  </r>
  <r>
    <x v="207"/>
  </r>
  <r>
    <x v="207"/>
  </r>
  <r>
    <x v="207"/>
  </r>
  <r>
    <x v="243"/>
  </r>
  <r>
    <x v="244"/>
  </r>
  <r>
    <x v="200"/>
  </r>
  <r>
    <x v="9"/>
  </r>
  <r>
    <x v="227"/>
  </r>
  <r>
    <x v="227"/>
  </r>
  <r>
    <x v="170"/>
  </r>
  <r>
    <x v="130"/>
  </r>
  <r>
    <x v="245"/>
  </r>
  <r>
    <x v="245"/>
  </r>
  <r>
    <x v="246"/>
  </r>
  <r>
    <x v="246"/>
  </r>
  <r>
    <x v="246"/>
  </r>
  <r>
    <x v="247"/>
  </r>
  <r>
    <x v="170"/>
  </r>
  <r>
    <x v="170"/>
  </r>
  <r>
    <x v="170"/>
  </r>
  <r>
    <x v="170"/>
  </r>
  <r>
    <x v="8"/>
  </r>
  <r>
    <x v="8"/>
  </r>
  <r>
    <x v="8"/>
  </r>
  <r>
    <x v="146"/>
  </r>
  <r>
    <x v="146"/>
  </r>
  <r>
    <x v="246"/>
  </r>
  <r>
    <x v="248"/>
  </r>
  <r>
    <x v="103"/>
  </r>
  <r>
    <x v="249"/>
  </r>
  <r>
    <x v="250"/>
  </r>
  <r>
    <x v="186"/>
  </r>
  <r>
    <x v="8"/>
  </r>
  <r>
    <x v="8"/>
  </r>
  <r>
    <x v="186"/>
  </r>
  <r>
    <x v="251"/>
  </r>
  <r>
    <x v="252"/>
  </r>
  <r>
    <x v="217"/>
  </r>
  <r>
    <x v="253"/>
  </r>
  <r>
    <x v="254"/>
  </r>
  <r>
    <x v="255"/>
  </r>
  <r>
    <x v="255"/>
  </r>
  <r>
    <x v="255"/>
  </r>
  <r>
    <x v="168"/>
  </r>
  <r>
    <x v="256"/>
  </r>
  <r>
    <x v="256"/>
  </r>
  <r>
    <x v="257"/>
  </r>
  <r>
    <x v="231"/>
  </r>
  <r>
    <x v="231"/>
  </r>
  <r>
    <x v="258"/>
  </r>
  <r>
    <x v="8"/>
  </r>
  <r>
    <x v="71"/>
  </r>
  <r>
    <x v="215"/>
  </r>
  <r>
    <x v="259"/>
  </r>
  <r>
    <x v="260"/>
  </r>
  <r>
    <x v="8"/>
  </r>
  <r>
    <x v="261"/>
  </r>
  <r>
    <x v="196"/>
  </r>
  <r>
    <x v="196"/>
  </r>
  <r>
    <x v="262"/>
  </r>
  <r>
    <x v="263"/>
  </r>
  <r>
    <x v="264"/>
  </r>
  <r>
    <x v="19"/>
  </r>
  <r>
    <x v="0"/>
  </r>
  <r>
    <x v="103"/>
  </r>
  <r>
    <x v="8"/>
  </r>
  <r>
    <x v="218"/>
  </r>
  <r>
    <x v="82"/>
  </r>
  <r>
    <x v="82"/>
  </r>
  <r>
    <x v="180"/>
  </r>
  <r>
    <x v="176"/>
  </r>
  <r>
    <x v="176"/>
  </r>
  <r>
    <x v="102"/>
  </r>
  <r>
    <x v="3"/>
  </r>
  <r>
    <x v="3"/>
  </r>
  <r>
    <x v="265"/>
  </r>
  <r>
    <x v="266"/>
  </r>
  <r>
    <x v="266"/>
  </r>
  <r>
    <x v="266"/>
  </r>
  <r>
    <x v="266"/>
  </r>
  <r>
    <x v="102"/>
  </r>
  <r>
    <x v="267"/>
  </r>
  <r>
    <x v="267"/>
  </r>
  <r>
    <x v="102"/>
  </r>
  <r>
    <x v="102"/>
  </r>
  <r>
    <x v="102"/>
  </r>
  <r>
    <x v="102"/>
  </r>
  <r>
    <x v="102"/>
  </r>
  <r>
    <x v="102"/>
  </r>
  <r>
    <x v="102"/>
  </r>
  <r>
    <x v="102"/>
  </r>
  <r>
    <x v="102"/>
  </r>
  <r>
    <x v="102"/>
  </r>
  <r>
    <x v="268"/>
  </r>
  <r>
    <x v="269"/>
  </r>
  <r>
    <x v="270"/>
  </r>
  <r>
    <x v="176"/>
  </r>
  <r>
    <x v="176"/>
  </r>
  <r>
    <x v="176"/>
  </r>
  <r>
    <x v="8"/>
  </r>
  <r>
    <x v="8"/>
  </r>
  <r>
    <x v="271"/>
  </r>
  <r>
    <x v="176"/>
  </r>
  <r>
    <x v="176"/>
  </r>
  <r>
    <x v="272"/>
  </r>
  <r>
    <x v="273"/>
  </r>
  <r>
    <x v="9"/>
  </r>
  <r>
    <x v="102"/>
  </r>
  <r>
    <x v="274"/>
  </r>
  <r>
    <x v="24"/>
  </r>
  <r>
    <x v="9"/>
  </r>
  <r>
    <x v="275"/>
  </r>
  <r>
    <x v="276"/>
  </r>
  <r>
    <x v="133"/>
  </r>
  <r>
    <x v="192"/>
  </r>
  <r>
    <x v="277"/>
  </r>
  <r>
    <x v="278"/>
  </r>
  <r>
    <x v="278"/>
  </r>
  <r>
    <x v="103"/>
  </r>
  <r>
    <x v="227"/>
  </r>
  <r>
    <x v="43"/>
  </r>
  <r>
    <x v="204"/>
  </r>
  <r>
    <x v="204"/>
  </r>
  <r>
    <x v="204"/>
  </r>
  <r>
    <x v="204"/>
  </r>
  <r>
    <x v="204"/>
  </r>
  <r>
    <x v="204"/>
  </r>
  <r>
    <x v="130"/>
  </r>
  <r>
    <x v="146"/>
  </r>
  <r>
    <x v="279"/>
  </r>
  <r>
    <x v="280"/>
  </r>
  <r>
    <x v="76"/>
  </r>
  <r>
    <x v="108"/>
  </r>
  <r>
    <x v="57"/>
  </r>
  <r>
    <x v="227"/>
  </r>
  <r>
    <x v="281"/>
  </r>
  <r>
    <x v="282"/>
  </r>
  <r>
    <x v="283"/>
  </r>
  <r>
    <x v="283"/>
  </r>
  <r>
    <x v="283"/>
  </r>
  <r>
    <x v="284"/>
  </r>
  <r>
    <x v="284"/>
  </r>
  <r>
    <x v="285"/>
  </r>
  <r>
    <x v="82"/>
  </r>
  <r>
    <x v="227"/>
  </r>
  <r>
    <x v="227"/>
  </r>
  <r>
    <x v="170"/>
  </r>
  <r>
    <x v="102"/>
  </r>
  <r>
    <x v="205"/>
  </r>
  <r>
    <x v="205"/>
  </r>
  <r>
    <x v="50"/>
  </r>
  <r>
    <x v="50"/>
  </r>
  <r>
    <x v="50"/>
  </r>
  <r>
    <x v="286"/>
  </r>
  <r>
    <x v="103"/>
  </r>
  <r>
    <x v="103"/>
  </r>
  <r>
    <x v="103"/>
  </r>
  <r>
    <x v="103"/>
  </r>
  <r>
    <x v="196"/>
  </r>
  <r>
    <x v="196"/>
  </r>
  <r>
    <x v="196"/>
  </r>
  <r>
    <x v="103"/>
  </r>
  <r>
    <x v="103"/>
  </r>
  <r>
    <x v="50"/>
  </r>
  <r>
    <x v="8"/>
  </r>
  <r>
    <x v="103"/>
  </r>
  <r>
    <x v="287"/>
  </r>
  <r>
    <x v="103"/>
  </r>
  <r>
    <x v="251"/>
  </r>
  <r>
    <x v="82"/>
  </r>
  <r>
    <x v="103"/>
  </r>
  <r>
    <x v="103"/>
  </r>
  <r>
    <x v="103"/>
  </r>
  <r>
    <x v="288"/>
  </r>
  <r>
    <x v="289"/>
  </r>
  <r>
    <x v="290"/>
  </r>
  <r>
    <x v="170"/>
  </r>
  <r>
    <x v="170"/>
  </r>
  <r>
    <x v="170"/>
  </r>
  <r>
    <x v="146"/>
  </r>
  <r>
    <x v="246"/>
  </r>
  <r>
    <x v="246"/>
  </r>
  <r>
    <x v="77"/>
  </r>
  <r>
    <x v="262"/>
  </r>
  <r>
    <x v="262"/>
  </r>
  <r>
    <x v="258"/>
  </r>
  <r>
    <x v="77"/>
  </r>
  <r>
    <x v="146"/>
  </r>
  <r>
    <x v="291"/>
  </r>
  <r>
    <x v="259"/>
  </r>
  <r>
    <x v="292"/>
  </r>
  <r>
    <x v="293"/>
  </r>
  <r>
    <x v="8"/>
  </r>
  <r>
    <x v="196"/>
  </r>
  <r>
    <x v="196"/>
  </r>
  <r>
    <x v="262"/>
  </r>
  <r>
    <x v="294"/>
  </r>
  <r>
    <x v="295"/>
  </r>
  <r>
    <x v="73"/>
  </r>
  <r>
    <x v="62"/>
  </r>
  <r>
    <x v="103"/>
  </r>
  <r>
    <x v="76"/>
  </r>
  <r>
    <x v="250"/>
  </r>
  <r>
    <x v="250"/>
  </r>
  <r>
    <x v="250"/>
  </r>
  <r>
    <x v="284"/>
  </r>
  <r>
    <x v="176"/>
  </r>
  <r>
    <x v="176"/>
  </r>
  <r>
    <x v="234"/>
  </r>
  <r>
    <x v="248"/>
  </r>
  <r>
    <x v="248"/>
  </r>
  <r>
    <x v="296"/>
  </r>
  <r>
    <x v="296"/>
  </r>
  <r>
    <x v="296"/>
  </r>
  <r>
    <x v="296"/>
  </r>
  <r>
    <x v="176"/>
  </r>
  <r>
    <x v="176"/>
  </r>
  <r>
    <x v="176"/>
  </r>
  <r>
    <x v="176"/>
  </r>
  <r>
    <x v="176"/>
  </r>
  <r>
    <x v="102"/>
  </r>
  <r>
    <x v="102"/>
  </r>
  <r>
    <x v="102"/>
  </r>
  <r>
    <x v="102"/>
  </r>
  <r>
    <x v="102"/>
  </r>
  <r>
    <x v="102"/>
  </r>
  <r>
    <x v="102"/>
  </r>
  <r>
    <x v="102"/>
  </r>
  <r>
    <x v="297"/>
  </r>
  <r>
    <x v="298"/>
  </r>
  <r>
    <x v="299"/>
  </r>
  <r>
    <x v="133"/>
  </r>
  <r>
    <x v="133"/>
  </r>
  <r>
    <x v="267"/>
  </r>
  <r>
    <x v="300"/>
  </r>
  <r>
    <x v="300"/>
  </r>
  <r>
    <x v="301"/>
  </r>
  <r>
    <x v="302"/>
  </r>
  <r>
    <x v="227"/>
  </r>
  <r>
    <x v="81"/>
  </r>
  <r>
    <x v="187"/>
  </r>
  <r>
    <x v="8"/>
  </r>
  <r>
    <x v="303"/>
  </r>
  <r>
    <x v="218"/>
  </r>
  <r>
    <x v="271"/>
  </r>
  <r>
    <x v="277"/>
  </r>
  <r>
    <x v="304"/>
  </r>
  <r>
    <x v="305"/>
  </r>
  <r>
    <x v="305"/>
  </r>
  <r>
    <x v="306"/>
  </r>
  <r>
    <x v="102"/>
  </r>
  <r>
    <x v="307"/>
  </r>
  <r>
    <x v="204"/>
  </r>
  <r>
    <x v="204"/>
  </r>
  <r>
    <x v="204"/>
  </r>
  <r>
    <x v="204"/>
  </r>
  <r>
    <x v="204"/>
  </r>
  <r>
    <x v="204"/>
  </r>
  <r>
    <x v="267"/>
  </r>
  <r>
    <x v="308"/>
  </r>
  <r>
    <x v="197"/>
  </r>
  <r>
    <x v="309"/>
  </r>
  <r>
    <x v="135"/>
  </r>
  <r>
    <x v="310"/>
  </r>
  <r>
    <x v="102"/>
  </r>
  <r>
    <x v="0"/>
  </r>
  <r>
    <x v="311"/>
  </r>
  <r>
    <x v="45"/>
  </r>
  <r>
    <x v="45"/>
  </r>
  <r>
    <x v="45"/>
  </r>
  <r>
    <x v="150"/>
  </r>
  <r>
    <x v="312"/>
  </r>
  <r>
    <x v="102"/>
  </r>
  <r>
    <x v="102"/>
  </r>
  <r>
    <x v="103"/>
  </r>
  <r>
    <x v="130"/>
  </r>
  <r>
    <x v="167"/>
  </r>
  <r>
    <x v="167"/>
  </r>
  <r>
    <x v="167"/>
  </r>
  <r>
    <x v="313"/>
  </r>
  <r>
    <x v="170"/>
  </r>
  <r>
    <x v="170"/>
  </r>
  <r>
    <x v="170"/>
  </r>
  <r>
    <x v="170"/>
  </r>
  <r>
    <x v="196"/>
  </r>
  <r>
    <x v="196"/>
  </r>
  <r>
    <x v="196"/>
  </r>
  <r>
    <x v="146"/>
  </r>
  <r>
    <x v="146"/>
  </r>
  <r>
    <x v="167"/>
  </r>
  <r>
    <x v="314"/>
  </r>
  <r>
    <x v="170"/>
  </r>
  <r>
    <x v="103"/>
  </r>
  <r>
    <x v="103"/>
  </r>
  <r>
    <x v="186"/>
  </r>
  <r>
    <x v="103"/>
  </r>
  <r>
    <x v="103"/>
  </r>
  <r>
    <x v="315"/>
  </r>
  <r>
    <x v="316"/>
  </r>
  <r>
    <x v="166"/>
  </r>
  <r>
    <x v="290"/>
  </r>
  <r>
    <x v="168"/>
  </r>
  <r>
    <x v="50"/>
  </r>
  <r>
    <x v="50"/>
  </r>
  <r>
    <x v="317"/>
  </r>
  <r>
    <x v="262"/>
  </r>
  <r>
    <x v="262"/>
  </r>
  <r>
    <x v="318"/>
  </r>
  <r>
    <x v="319"/>
  </r>
  <r>
    <x v="168"/>
  </r>
  <r>
    <x v="83"/>
  </r>
  <r>
    <x v="8"/>
  </r>
  <r>
    <x v="292"/>
  </r>
  <r>
    <x v="103"/>
  </r>
  <r>
    <x v="320"/>
  </r>
  <r>
    <x v="196"/>
  </r>
  <r>
    <x v="196"/>
  </r>
  <r>
    <x v="0"/>
  </r>
  <r>
    <x v="321"/>
  </r>
  <r>
    <x v="8"/>
  </r>
  <r>
    <x v="322"/>
  </r>
  <r>
    <x v="323"/>
  </r>
  <r>
    <x v="146"/>
  </r>
  <r>
    <x v="250"/>
  </r>
  <r>
    <x v="250"/>
  </r>
  <r>
    <x v="250"/>
  </r>
  <r>
    <x v="176"/>
  </r>
  <r>
    <x v="102"/>
  </r>
  <r>
    <x v="102"/>
  </r>
  <r>
    <x v="224"/>
  </r>
  <r>
    <x v="224"/>
  </r>
  <r>
    <x v="224"/>
  </r>
  <r>
    <x v="224"/>
  </r>
  <r>
    <x v="236"/>
  </r>
  <r>
    <x v="236"/>
  </r>
  <r>
    <x v="176"/>
  </r>
  <r>
    <x v="176"/>
  </r>
  <r>
    <x v="176"/>
  </r>
  <r>
    <x v="176"/>
  </r>
  <r>
    <x v="176"/>
  </r>
  <r>
    <x v="176"/>
  </r>
  <r>
    <x v="176"/>
  </r>
  <r>
    <x v="176"/>
  </r>
  <r>
    <x v="176"/>
  </r>
  <r>
    <x v="176"/>
  </r>
  <r>
    <x v="10"/>
  </r>
  <r>
    <x v="324"/>
  </r>
  <r>
    <x v="325"/>
  </r>
  <r>
    <x v="133"/>
  </r>
  <r>
    <x v="133"/>
  </r>
  <r>
    <x v="236"/>
  </r>
  <r>
    <x v="299"/>
  </r>
  <r>
    <x v="326"/>
  </r>
  <r>
    <x v="102"/>
  </r>
  <r>
    <x v="102"/>
  </r>
  <r>
    <x v="327"/>
  </r>
  <r>
    <x v="193"/>
  </r>
  <r>
    <x v="328"/>
  </r>
  <r>
    <x v="130"/>
  </r>
  <r>
    <x v="133"/>
  </r>
  <r>
    <x v="176"/>
  </r>
  <r>
    <x v="176"/>
  </r>
  <r>
    <x v="227"/>
  </r>
  <r>
    <x v="329"/>
  </r>
  <r>
    <x v="10"/>
  </r>
  <r>
    <x v="10"/>
  </r>
  <r>
    <x v="10"/>
  </r>
  <r>
    <x v="10"/>
  </r>
  <r>
    <x v="10"/>
  </r>
  <r>
    <x v="10"/>
  </r>
  <r>
    <x v="225"/>
  </r>
  <r>
    <x v="146"/>
  </r>
  <r>
    <x v="197"/>
  </r>
  <r>
    <x v="330"/>
  </r>
  <r>
    <x v="331"/>
  </r>
  <r>
    <x v="130"/>
  </r>
  <r>
    <x v="76"/>
  </r>
  <r>
    <x v="332"/>
  </r>
  <r>
    <x v="332"/>
  </r>
  <r>
    <x v="332"/>
  </r>
  <r>
    <x v="333"/>
  </r>
  <r>
    <x v="196"/>
  </r>
  <r>
    <x v="227"/>
  </r>
  <r>
    <x v="227"/>
  </r>
  <r>
    <x v="170"/>
  </r>
  <r>
    <x v="176"/>
  </r>
  <r>
    <x v="8"/>
  </r>
  <r>
    <x v="8"/>
  </r>
  <r>
    <x v="8"/>
  </r>
  <r>
    <x v="170"/>
  </r>
  <r>
    <x v="146"/>
  </r>
  <r>
    <x v="146"/>
  </r>
  <r>
    <x v="146"/>
  </r>
  <r>
    <x v="196"/>
  </r>
  <r>
    <x v="196"/>
  </r>
  <r>
    <x v="196"/>
  </r>
  <r>
    <x v="103"/>
  </r>
  <r>
    <x v="103"/>
  </r>
  <r>
    <x v="334"/>
  </r>
  <r>
    <x v="103"/>
  </r>
  <r>
    <x v="170"/>
  </r>
  <r>
    <x v="103"/>
  </r>
  <r>
    <x v="103"/>
  </r>
  <r>
    <x v="103"/>
  </r>
  <r>
    <x v="103"/>
  </r>
  <r>
    <x v="103"/>
  </r>
  <r>
    <x v="103"/>
  </r>
  <r>
    <x v="60"/>
  </r>
  <r>
    <x v="166"/>
  </r>
  <r>
    <x v="335"/>
  </r>
  <r>
    <x v="0"/>
  </r>
  <r>
    <x v="0"/>
  </r>
  <r>
    <x v="162"/>
  </r>
  <r>
    <x v="336"/>
  </r>
  <r>
    <x v="146"/>
  </r>
  <r>
    <x v="9"/>
  </r>
  <r>
    <x v="312"/>
  </r>
  <r>
    <x v="8"/>
  </r>
  <r>
    <x v="103"/>
  </r>
  <r>
    <x v="103"/>
  </r>
  <r>
    <x v="308"/>
  </r>
  <r>
    <x v="308"/>
  </r>
  <r>
    <x v="263"/>
  </r>
  <r>
    <x v="337"/>
  </r>
  <r>
    <x v="76"/>
  </r>
  <r>
    <x v="127"/>
  </r>
  <r>
    <x v="103"/>
  </r>
  <r>
    <x v="250"/>
  </r>
  <r>
    <x v="250"/>
  </r>
  <r>
    <x v="250"/>
  </r>
  <r>
    <x v="234"/>
  </r>
  <r>
    <x v="227"/>
  </r>
  <r>
    <x v="227"/>
  </r>
  <r>
    <x v="284"/>
  </r>
  <r>
    <x v="284"/>
  </r>
  <r>
    <x v="284"/>
  </r>
  <r>
    <x v="284"/>
  </r>
  <r>
    <x v="284"/>
  </r>
  <r>
    <x v="284"/>
  </r>
  <r>
    <x v="284"/>
  </r>
  <r>
    <x v="284"/>
  </r>
  <r>
    <x v="284"/>
  </r>
  <r>
    <x v="284"/>
  </r>
  <r>
    <x v="338"/>
  </r>
  <r>
    <x v="130"/>
  </r>
  <r>
    <x v="339"/>
  </r>
  <r>
    <x v="267"/>
  </r>
  <r>
    <x v="267"/>
  </r>
  <r>
    <x v="146"/>
  </r>
  <r>
    <x v="340"/>
  </r>
  <r>
    <x v="168"/>
  </r>
  <r>
    <x v="176"/>
  </r>
  <r>
    <x v="176"/>
  </r>
  <r>
    <x v="274"/>
  </r>
  <r>
    <x v="233"/>
  </r>
  <r>
    <x v="341"/>
  </r>
  <r>
    <x v="234"/>
  </r>
  <r>
    <x v="193"/>
  </r>
  <r>
    <x v="176"/>
  </r>
  <r>
    <x v="176"/>
  </r>
  <r>
    <x v="176"/>
  </r>
  <r>
    <x v="205"/>
  </r>
  <r>
    <x v="83"/>
  </r>
  <r>
    <x v="83"/>
  </r>
  <r>
    <x v="83"/>
  </r>
  <r>
    <x v="83"/>
  </r>
  <r>
    <x v="83"/>
  </r>
  <r>
    <x v="83"/>
  </r>
  <r>
    <x v="234"/>
  </r>
  <r>
    <x v="168"/>
  </r>
  <r>
    <x v="342"/>
  </r>
  <r>
    <x v="343"/>
  </r>
  <r>
    <x v="203"/>
  </r>
  <r>
    <x v="193"/>
  </r>
  <r>
    <x v="130"/>
  </r>
  <r>
    <x v="344"/>
  </r>
  <r>
    <x v="344"/>
  </r>
  <r>
    <x v="344"/>
  </r>
  <r>
    <x v="345"/>
  </r>
  <r>
    <x v="130"/>
  </r>
  <r>
    <x v="176"/>
  </r>
  <r>
    <x v="176"/>
  </r>
  <r>
    <x v="170"/>
  </r>
  <r>
    <x v="176"/>
  </r>
  <r>
    <x v="82"/>
  </r>
  <r>
    <x v="82"/>
  </r>
  <r>
    <x v="82"/>
  </r>
  <r>
    <x v="170"/>
  </r>
  <r>
    <x v="170"/>
  </r>
  <r>
    <x v="170"/>
  </r>
  <r>
    <x v="170"/>
  </r>
  <r>
    <x v="308"/>
  </r>
  <r>
    <x v="308"/>
  </r>
  <r>
    <x v="308"/>
  </r>
  <r>
    <x v="168"/>
  </r>
  <r>
    <x v="168"/>
  </r>
  <r>
    <x v="346"/>
  </r>
  <r>
    <x v="103"/>
  </r>
  <r>
    <x v="103"/>
  </r>
  <r>
    <x v="103"/>
  </r>
  <r>
    <x v="103"/>
  </r>
  <r>
    <x v="168"/>
  </r>
  <r>
    <x v="347"/>
  </r>
  <r>
    <x v="348"/>
  </r>
  <r>
    <x v="349"/>
  </r>
  <r>
    <x v="169"/>
  </r>
  <r>
    <x v="169"/>
  </r>
  <r>
    <x v="350"/>
  </r>
  <r>
    <x v="103"/>
  </r>
  <r>
    <x v="262"/>
  </r>
  <r>
    <x v="63"/>
  </r>
  <r>
    <x v="196"/>
  </r>
  <r>
    <x v="82"/>
  </r>
  <r>
    <x v="103"/>
  </r>
  <r>
    <x v="146"/>
  </r>
  <r>
    <x v="146"/>
  </r>
  <r>
    <x v="351"/>
  </r>
  <r>
    <x v="83"/>
  </r>
  <r>
    <x v="170"/>
  </r>
  <r>
    <x v="8"/>
  </r>
  <r>
    <x v="250"/>
  </r>
  <r>
    <x v="250"/>
  </r>
  <r>
    <x v="176"/>
  </r>
  <r>
    <x v="176"/>
  </r>
  <r>
    <x v="176"/>
  </r>
  <r>
    <x v="342"/>
  </r>
  <r>
    <x v="130"/>
  </r>
  <r>
    <x v="352"/>
  </r>
  <r>
    <x v="267"/>
  </r>
  <r>
    <x v="267"/>
  </r>
  <r>
    <x v="236"/>
  </r>
  <r>
    <x v="352"/>
  </r>
  <r>
    <x v="300"/>
  </r>
  <r>
    <x v="274"/>
  </r>
  <r>
    <x v="102"/>
  </r>
  <r>
    <x v="300"/>
  </r>
  <r>
    <x v="205"/>
  </r>
  <r>
    <x v="77"/>
  </r>
  <r>
    <x v="77"/>
  </r>
  <r>
    <x v="77"/>
  </r>
  <r>
    <x v="77"/>
  </r>
  <r>
    <x v="77"/>
  </r>
  <r>
    <x v="77"/>
  </r>
  <r>
    <x v="236"/>
  </r>
  <r>
    <x v="168"/>
  </r>
  <r>
    <x v="76"/>
  </r>
  <r>
    <x v="353"/>
  </r>
  <r>
    <x v="218"/>
  </r>
  <r>
    <x v="176"/>
  </r>
  <r>
    <x v="102"/>
  </r>
  <r>
    <x v="354"/>
  </r>
  <r>
    <x v="102"/>
  </r>
  <r>
    <x v="300"/>
  </r>
  <r>
    <x v="300"/>
  </r>
  <r>
    <x v="103"/>
  </r>
  <r>
    <x v="234"/>
  </r>
  <r>
    <x v="355"/>
  </r>
  <r>
    <x v="355"/>
  </r>
  <r>
    <x v="355"/>
  </r>
  <r>
    <x v="103"/>
  </r>
  <r>
    <x v="146"/>
  </r>
  <r>
    <x v="146"/>
  </r>
  <r>
    <x v="146"/>
  </r>
  <r>
    <x v="308"/>
  </r>
  <r>
    <x v="308"/>
  </r>
  <r>
    <x v="308"/>
  </r>
  <r>
    <x v="346"/>
  </r>
  <r>
    <x v="170"/>
  </r>
  <r>
    <x v="170"/>
  </r>
  <r>
    <x v="103"/>
  </r>
  <r>
    <x v="103"/>
  </r>
  <r>
    <x v="60"/>
  </r>
  <r>
    <x v="253"/>
  </r>
  <r>
    <x v="103"/>
  </r>
  <r>
    <x v="213"/>
  </r>
  <r>
    <x v="213"/>
  </r>
  <r>
    <x v="323"/>
  </r>
  <r>
    <x v="262"/>
  </r>
  <r>
    <x v="118"/>
  </r>
  <r>
    <x v="146"/>
  </r>
  <r>
    <x v="196"/>
  </r>
  <r>
    <x v="168"/>
  </r>
  <r>
    <x v="168"/>
  </r>
  <r>
    <x v="72"/>
  </r>
  <r>
    <x v="71"/>
  </r>
  <r>
    <x v="170"/>
  </r>
  <r>
    <x v="356"/>
  </r>
  <r>
    <x v="357"/>
  </r>
  <r>
    <x v="300"/>
  </r>
  <r>
    <x v="300"/>
  </r>
  <r>
    <x v="358"/>
  </r>
  <r>
    <x v="236"/>
  </r>
  <r>
    <x v="359"/>
  </r>
  <r>
    <x v="236"/>
  </r>
  <r>
    <x v="236"/>
  </r>
  <r>
    <x v="360"/>
  </r>
  <r>
    <x v="176"/>
  </r>
  <r>
    <x v="8"/>
  </r>
  <r>
    <x v="130"/>
  </r>
  <r>
    <x v="176"/>
  </r>
  <r>
    <x v="0"/>
  </r>
  <r>
    <x v="243"/>
  </r>
  <r>
    <x v="243"/>
  </r>
  <r>
    <x v="243"/>
  </r>
  <r>
    <x v="243"/>
  </r>
  <r>
    <x v="243"/>
  </r>
  <r>
    <x v="243"/>
  </r>
  <r>
    <x v="176"/>
  </r>
  <r>
    <x v="234"/>
  </r>
  <r>
    <x v="361"/>
  </r>
  <r>
    <x v="308"/>
  </r>
  <r>
    <x v="300"/>
  </r>
  <r>
    <x v="300"/>
  </r>
  <r>
    <x v="262"/>
  </r>
  <r>
    <x v="262"/>
  </r>
  <r>
    <x v="262"/>
  </r>
  <r>
    <x v="170"/>
  </r>
  <r>
    <x v="103"/>
  </r>
  <r>
    <x v="103"/>
  </r>
  <r>
    <x v="103"/>
  </r>
  <r>
    <x v="146"/>
  </r>
  <r>
    <x v="146"/>
  </r>
  <r>
    <x v="146"/>
  </r>
  <r>
    <x v="362"/>
  </r>
  <r>
    <x v="103"/>
  </r>
  <r>
    <x v="103"/>
  </r>
  <r>
    <x v="316"/>
  </r>
  <r>
    <x v="363"/>
  </r>
  <r>
    <x v="349"/>
  </r>
  <r>
    <x v="8"/>
  </r>
  <r>
    <x v="8"/>
  </r>
  <r>
    <x v="103"/>
  </r>
  <r>
    <x v="146"/>
  </r>
  <r>
    <x v="215"/>
  </r>
  <r>
    <x v="103"/>
  </r>
  <r>
    <x v="196"/>
  </r>
  <r>
    <x v="168"/>
  </r>
  <r>
    <x v="168"/>
  </r>
  <r>
    <x v="172"/>
  </r>
  <r>
    <x v="125"/>
  </r>
  <r>
    <x v="103"/>
  </r>
  <r>
    <x v="364"/>
  </r>
  <r>
    <x v="130"/>
  </r>
  <r>
    <x v="365"/>
  </r>
  <r>
    <x v="366"/>
  </r>
  <r>
    <x v="81"/>
  </r>
  <r>
    <x v="102"/>
  </r>
  <r>
    <x v="300"/>
  </r>
  <r>
    <x v="367"/>
  </r>
  <r>
    <x v="243"/>
  </r>
  <r>
    <x v="243"/>
  </r>
  <r>
    <x v="243"/>
  </r>
  <r>
    <x v="243"/>
  </r>
  <r>
    <x v="243"/>
  </r>
  <r>
    <x v="243"/>
  </r>
  <r>
    <x v="300"/>
  </r>
  <r>
    <x v="176"/>
  </r>
  <r>
    <x v="368"/>
  </r>
  <r>
    <x v="176"/>
  </r>
  <r>
    <x v="176"/>
  </r>
  <r>
    <x v="176"/>
  </r>
  <r>
    <x v="146"/>
  </r>
  <r>
    <x v="146"/>
  </r>
  <r>
    <x v="146"/>
  </r>
  <r>
    <x v="103"/>
  </r>
  <r>
    <x v="168"/>
  </r>
  <r>
    <x v="168"/>
  </r>
  <r>
    <x v="168"/>
  </r>
  <r>
    <x v="355"/>
  </r>
  <r>
    <x v="347"/>
  </r>
  <r>
    <x v="277"/>
  </r>
  <r>
    <x v="369"/>
  </r>
  <r>
    <x v="76"/>
  </r>
  <r>
    <x v="76"/>
  </r>
  <r>
    <x v="168"/>
  </r>
  <r>
    <x v="124"/>
  </r>
  <r>
    <x v="168"/>
  </r>
  <r>
    <x v="146"/>
  </r>
  <r>
    <x v="8"/>
  </r>
  <r>
    <x v="94"/>
  </r>
  <r>
    <x v="146"/>
  </r>
  <r>
    <x v="236"/>
  </r>
  <r>
    <x v="236"/>
  </r>
  <r>
    <x v="370"/>
  </r>
  <r>
    <x v="103"/>
  </r>
  <r>
    <x v="371"/>
  </r>
  <r>
    <x v="372"/>
  </r>
  <r>
    <x v="102"/>
  </r>
  <r>
    <x v="102"/>
  </r>
  <r>
    <x v="102"/>
  </r>
  <r>
    <x v="102"/>
  </r>
  <r>
    <x v="102"/>
  </r>
  <r>
    <x v="102"/>
  </r>
  <r>
    <x v="176"/>
  </r>
  <r>
    <x v="373"/>
  </r>
  <r>
    <x v="236"/>
  </r>
  <r>
    <x v="300"/>
  </r>
  <r>
    <x v="300"/>
  </r>
  <r>
    <x v="103"/>
  </r>
  <r>
    <x v="103"/>
  </r>
  <r>
    <x v="103"/>
  </r>
  <r>
    <x v="168"/>
  </r>
  <r>
    <x v="168"/>
  </r>
  <r>
    <x v="168"/>
  </r>
  <r>
    <x v="146"/>
  </r>
  <r>
    <x v="288"/>
  </r>
  <r>
    <x v="374"/>
  </r>
  <r>
    <x v="103"/>
  </r>
  <r>
    <x v="323"/>
  </r>
  <r>
    <x v="323"/>
  </r>
  <r>
    <x v="77"/>
  </r>
  <r>
    <x v="168"/>
  </r>
  <r>
    <x v="168"/>
  </r>
  <r>
    <x v="375"/>
  </r>
  <r>
    <x v="219"/>
  </r>
  <r>
    <x v="103"/>
  </r>
  <r>
    <x v="284"/>
  </r>
  <r>
    <x v="130"/>
  </r>
  <r>
    <x v="376"/>
  </r>
  <r>
    <x v="146"/>
  </r>
  <r>
    <x v="267"/>
  </r>
  <r>
    <x v="76"/>
  </r>
  <r>
    <x v="377"/>
  </r>
  <r>
    <x v="377"/>
  </r>
  <r>
    <x v="377"/>
  </r>
  <r>
    <x v="377"/>
  </r>
  <r>
    <x v="377"/>
  </r>
  <r>
    <x v="377"/>
  </r>
  <r>
    <x v="234"/>
  </r>
  <r>
    <x v="76"/>
  </r>
  <r>
    <x v="236"/>
  </r>
  <r>
    <x v="103"/>
  </r>
  <r>
    <x v="378"/>
  </r>
  <r>
    <x v="347"/>
  </r>
  <r>
    <x v="349"/>
  </r>
  <r>
    <x v="146"/>
  </r>
  <r>
    <x v="146"/>
  </r>
  <r>
    <x v="379"/>
  </r>
  <r>
    <x v="168"/>
  </r>
  <r>
    <x v="262"/>
  </r>
  <r>
    <x v="295"/>
  </r>
  <r>
    <x v="146"/>
  </r>
  <r>
    <x v="234"/>
  </r>
  <r>
    <x v="15"/>
  </r>
  <r>
    <x v="146"/>
  </r>
  <r>
    <x v="267"/>
  </r>
  <r>
    <x v="176"/>
  </r>
  <r>
    <x v="176"/>
  </r>
  <r>
    <x v="176"/>
  </r>
  <r>
    <x v="176"/>
  </r>
  <r>
    <x v="176"/>
  </r>
  <r>
    <x v="176"/>
  </r>
  <r>
    <x v="233"/>
  </r>
  <r>
    <x v="380"/>
  </r>
  <r>
    <x v="381"/>
  </r>
  <r>
    <x v="382"/>
  </r>
  <r>
    <x v="103"/>
  </r>
  <r>
    <x v="103"/>
  </r>
  <r>
    <x v="103"/>
  </r>
  <r>
    <x v="262"/>
  </r>
  <r>
    <x v="264"/>
  </r>
  <r>
    <x v="103"/>
  </r>
  <r>
    <x v="234"/>
  </r>
  <r>
    <x v="383"/>
  </r>
  <r>
    <x v="103"/>
  </r>
  <r>
    <x v="176"/>
  </r>
  <r>
    <x v="284"/>
  </r>
  <r>
    <x v="284"/>
  </r>
  <r>
    <x v="284"/>
  </r>
  <r>
    <x v="284"/>
  </r>
  <r>
    <x v="284"/>
  </r>
  <r>
    <x v="284"/>
  </r>
  <r>
    <x v="76"/>
  </r>
  <r>
    <x v="8"/>
  </r>
  <r>
    <x v="168"/>
  </r>
  <r>
    <x v="168"/>
  </r>
  <r>
    <x v="384"/>
  </r>
  <r>
    <x v="262"/>
  </r>
  <r>
    <x v="248"/>
  </r>
  <r>
    <x v="103"/>
  </r>
  <r>
    <x v="225"/>
  </r>
  <r>
    <x v="385"/>
  </r>
  <r>
    <x v="234"/>
  </r>
  <r>
    <x v="168"/>
  </r>
  <r>
    <x v="253"/>
  </r>
  <r>
    <x v="170"/>
  </r>
  <r>
    <x v="386"/>
  </r>
  <r>
    <x v="8"/>
  </r>
  <r>
    <x v="146"/>
  </r>
  <r>
    <x v="234"/>
  </r>
  <r>
    <x v="366"/>
  </r>
  <r>
    <x v="176"/>
  </r>
  <r>
    <x v="168"/>
  </r>
  <r>
    <x v="253"/>
  </r>
  <r>
    <x v="103"/>
  </r>
  <r>
    <x v="76"/>
  </r>
  <r>
    <x v="103"/>
  </r>
  <r>
    <x v="277"/>
  </r>
  <r>
    <x v="236"/>
  </r>
  <r>
    <x v="168"/>
  </r>
  <r>
    <x v="382"/>
  </r>
  <r>
    <x v="323"/>
  </r>
  <r>
    <x v="103"/>
  </r>
  <r>
    <x v="168"/>
  </r>
  <r>
    <x v="347"/>
  </r>
  <r>
    <x v="170"/>
  </r>
  <r>
    <x v="103"/>
  </r>
  <r>
    <x v="76"/>
  </r>
  <r>
    <x v="170"/>
  </r>
  <r>
    <x v="103"/>
  </r>
  <r>
    <x v="168"/>
  </r>
  <r>
    <x v="103"/>
  </r>
  <r>
    <x v="146"/>
  </r>
  <r>
    <x v="387"/>
  </r>
  <r>
    <x v="146"/>
  </r>
  <r>
    <x v="146"/>
  </r>
  <r>
    <x v="146"/>
  </r>
  <r>
    <x v="323"/>
  </r>
  <r>
    <x v="146"/>
  </r>
  <r>
    <x v="388"/>
  </r>
  <r>
    <x v="389"/>
  </r>
  <r>
    <x v="390"/>
  </r>
  <r>
    <x v="391"/>
  </r>
  <r>
    <x v="392"/>
  </r>
  <r>
    <x v="393"/>
  </r>
  <r>
    <x v="394"/>
  </r>
  <r>
    <x v="395"/>
  </r>
  <r>
    <x v="396"/>
  </r>
  <r>
    <x v="397"/>
  </r>
  <r>
    <x v="398"/>
  </r>
  <r>
    <x v="399"/>
  </r>
  <r>
    <x v="400"/>
  </r>
  <r>
    <x v="401"/>
  </r>
  <r>
    <x v="397"/>
  </r>
  <r>
    <x v="146"/>
  </r>
  <r>
    <x v="402"/>
  </r>
  <r>
    <x v="8"/>
  </r>
  <r>
    <x v="170"/>
  </r>
  <r>
    <x v="403"/>
  </r>
  <r>
    <x v="396"/>
  </r>
  <r>
    <x v="404"/>
  </r>
  <r>
    <x v="396"/>
  </r>
  <r>
    <x v="396"/>
  </r>
  <r>
    <x v="396"/>
  </r>
  <r>
    <x v="146"/>
  </r>
  <r>
    <x v="405"/>
  </r>
  <r>
    <x v="405"/>
  </r>
  <r>
    <x v="146"/>
  </r>
  <r>
    <x v="405"/>
  </r>
  <r>
    <x v="405"/>
  </r>
  <r>
    <x v="406"/>
  </r>
  <r>
    <x v="405"/>
  </r>
  <r>
    <x v="405"/>
  </r>
  <r>
    <x v="407"/>
  </r>
  <r>
    <x v="58"/>
  </r>
  <r>
    <x v="408"/>
  </r>
  <r>
    <x v="168"/>
  </r>
  <r>
    <x v="405"/>
  </r>
  <r>
    <x v="146"/>
  </r>
  <r>
    <x v="409"/>
  </r>
  <r>
    <x v="409"/>
  </r>
  <r>
    <x v="146"/>
  </r>
  <r>
    <x v="410"/>
  </r>
  <r>
    <x v="411"/>
  </r>
  <r>
    <x v="146"/>
  </r>
  <r>
    <x v="412"/>
  </r>
  <r>
    <x v="412"/>
  </r>
  <r>
    <x v="412"/>
  </r>
  <r>
    <x v="412"/>
  </r>
  <r>
    <x v="412"/>
  </r>
  <r>
    <x v="400"/>
  </r>
  <r>
    <x v="146"/>
  </r>
  <r>
    <x v="146"/>
  </r>
  <r>
    <x v="412"/>
  </r>
  <r>
    <x v="290"/>
  </r>
  <r>
    <x v="146"/>
  </r>
  <r>
    <x v="146"/>
  </r>
  <r>
    <x v="396"/>
  </r>
  <r>
    <x v="413"/>
  </r>
  <r>
    <x v="396"/>
  </r>
  <r>
    <x v="391"/>
  </r>
  <r>
    <x v="414"/>
  </r>
  <r>
    <x v="415"/>
  </r>
  <r>
    <x v="396"/>
  </r>
  <r>
    <x v="397"/>
  </r>
  <r>
    <x v="396"/>
  </r>
  <r>
    <x v="416"/>
  </r>
  <r>
    <x v="146"/>
  </r>
  <r>
    <x v="146"/>
  </r>
  <r>
    <x v="402"/>
  </r>
  <r>
    <x v="146"/>
  </r>
  <r>
    <x v="417"/>
  </r>
  <r>
    <x v="396"/>
  </r>
  <r>
    <x v="404"/>
  </r>
  <r>
    <x v="418"/>
  </r>
  <r>
    <x v="146"/>
  </r>
  <r>
    <x v="405"/>
  </r>
  <r>
    <x v="146"/>
  </r>
  <r>
    <x v="407"/>
  </r>
  <r>
    <x v="406"/>
  </r>
  <r>
    <x v="405"/>
  </r>
  <r>
    <x v="405"/>
  </r>
  <r>
    <x v="405"/>
  </r>
  <r>
    <x v="405"/>
  </r>
  <r>
    <x v="408"/>
  </r>
  <r>
    <x v="168"/>
  </r>
  <r>
    <x v="405"/>
  </r>
  <r>
    <x v="146"/>
  </r>
  <r>
    <x v="419"/>
  </r>
  <r>
    <x v="420"/>
  </r>
  <r>
    <x v="146"/>
  </r>
  <r>
    <x v="409"/>
  </r>
  <r>
    <x v="409"/>
  </r>
  <r>
    <x v="146"/>
  </r>
  <r>
    <x v="409"/>
  </r>
  <r>
    <x v="410"/>
  </r>
  <r>
    <x v="396"/>
  </r>
  <r>
    <x v="400"/>
  </r>
  <r>
    <x v="146"/>
  </r>
  <r>
    <x v="387"/>
  </r>
  <r>
    <x v="396"/>
  </r>
  <r>
    <x v="413"/>
  </r>
  <r>
    <x v="396"/>
  </r>
  <r>
    <x v="414"/>
  </r>
  <r>
    <x v="421"/>
  </r>
  <r>
    <x v="402"/>
  </r>
  <r>
    <x v="422"/>
  </r>
  <r>
    <x v="423"/>
  </r>
  <r>
    <x v="146"/>
  </r>
  <r>
    <x v="405"/>
  </r>
  <r>
    <x v="146"/>
  </r>
  <r>
    <x v="407"/>
  </r>
  <r>
    <x v="405"/>
  </r>
  <r>
    <x v="405"/>
  </r>
  <r>
    <x v="408"/>
  </r>
  <r>
    <x v="424"/>
  </r>
  <r>
    <x v="425"/>
  </r>
  <r>
    <x v="146"/>
  </r>
  <r>
    <x v="146"/>
  </r>
  <r>
    <x v="8"/>
  </r>
  <r>
    <x v="426"/>
  </r>
  <r>
    <x v="146"/>
  </r>
  <r>
    <x v="413"/>
  </r>
  <r>
    <x v="395"/>
  </r>
  <r>
    <x v="146"/>
  </r>
  <r>
    <x v="402"/>
  </r>
  <r>
    <x v="396"/>
  </r>
  <r>
    <x v="146"/>
  </r>
  <r>
    <x v="405"/>
  </r>
  <r>
    <x v="427"/>
  </r>
  <r>
    <x v="428"/>
  </r>
  <r>
    <x v="429"/>
  </r>
  <r>
    <x v="409"/>
  </r>
  <r>
    <x v="430"/>
  </r>
  <r>
    <x v="431"/>
  </r>
  <r>
    <x v="414"/>
  </r>
  <r>
    <x v="432"/>
  </r>
  <r>
    <x v="390"/>
  </r>
  <r>
    <x v="404"/>
  </r>
  <r>
    <x v="408"/>
  </r>
  <r>
    <x v="433"/>
  </r>
  <r>
    <x v="429"/>
  </r>
  <r>
    <x v="146"/>
  </r>
  <r>
    <x v="410"/>
  </r>
  <r>
    <x v="8"/>
  </r>
  <r>
    <x v="434"/>
  </r>
  <r>
    <x v="435"/>
  </r>
  <r>
    <x v="414"/>
  </r>
  <r>
    <x v="416"/>
  </r>
  <r>
    <x v="436"/>
  </r>
  <r>
    <x v="83"/>
  </r>
  <r>
    <x v="404"/>
  </r>
  <r>
    <x v="408"/>
  </r>
  <r>
    <x v="408"/>
  </r>
  <r>
    <x v="83"/>
  </r>
  <r>
    <x v="434"/>
  </r>
  <r>
    <x v="410"/>
  </r>
  <r>
    <x v="94"/>
  </r>
  <r>
    <x v="396"/>
  </r>
  <r>
    <x v="435"/>
  </r>
  <r>
    <x v="413"/>
  </r>
  <r>
    <x v="436"/>
  </r>
  <r>
    <x v="8"/>
  </r>
  <r>
    <x v="146"/>
  </r>
  <r>
    <x v="396"/>
  </r>
  <r>
    <x v="58"/>
  </r>
  <r>
    <x v="419"/>
  </r>
  <r>
    <x v="83"/>
  </r>
  <r>
    <x v="8"/>
  </r>
  <r>
    <x v="437"/>
  </r>
  <r>
    <x v="413"/>
  </r>
  <r>
    <x v="438"/>
  </r>
  <r>
    <x v="146"/>
  </r>
  <r>
    <x v="94"/>
  </r>
  <r>
    <x v="435"/>
  </r>
  <r>
    <x v="413"/>
  </r>
  <r>
    <x v="439"/>
  </r>
  <r>
    <x v="146"/>
  </r>
  <r>
    <x v="410"/>
  </r>
  <r>
    <x v="8"/>
  </r>
  <r>
    <x v="431"/>
  </r>
  <r>
    <x v="435"/>
  </r>
  <r>
    <x v="413"/>
  </r>
  <r>
    <x v="396"/>
  </r>
  <r>
    <x v="413"/>
  </r>
  <r>
    <x v="396"/>
  </r>
  <r>
    <x v="440"/>
  </r>
  <r>
    <x v="434"/>
  </r>
  <r>
    <x v="435"/>
  </r>
  <r>
    <x v="432"/>
  </r>
  <r>
    <x v="441"/>
  </r>
  <r>
    <x v="390"/>
  </r>
  <r>
    <x v="410"/>
  </r>
  <r>
    <x v="434"/>
  </r>
  <r>
    <x v="94"/>
  </r>
  <r>
    <x v="435"/>
  </r>
  <r>
    <x v="442"/>
  </r>
  <r>
    <x v="431"/>
  </r>
  <r>
    <x v="443"/>
  </r>
  <r>
    <x v="8"/>
  </r>
  <r>
    <x v="434"/>
  </r>
  <r>
    <x v="401"/>
  </r>
  <r>
    <x v="8"/>
  </r>
  <r>
    <x v="434"/>
  </r>
  <r>
    <x v="444"/>
  </r>
  <r>
    <x v="445"/>
  </r>
  <r>
    <x v="434"/>
  </r>
  <r>
    <x v="405"/>
  </r>
  <r>
    <x v="434"/>
  </r>
  <r>
    <x v="431"/>
  </r>
  <r>
    <x v="443"/>
  </r>
  <r>
    <x v="446"/>
  </r>
  <r>
    <x v="434"/>
  </r>
  <r>
    <x v="8"/>
  </r>
  <r>
    <x v="447"/>
  </r>
  <r>
    <x v="8"/>
  </r>
  <r>
    <x v="448"/>
  </r>
  <r>
    <x v="444"/>
  </r>
  <r>
    <x v="449"/>
  </r>
  <r>
    <x v="450"/>
  </r>
  <r>
    <x v="8"/>
  </r>
  <r>
    <x v="8"/>
  </r>
  <r>
    <x v="451"/>
  </r>
  <r>
    <x v="397"/>
  </r>
  <r>
    <x v="434"/>
  </r>
  <r>
    <x v="434"/>
  </r>
  <r>
    <x v="445"/>
  </r>
  <r>
    <x v="396"/>
  </r>
  <r>
    <x v="8"/>
  </r>
  <r>
    <x v="8"/>
  </r>
  <r>
    <x v="434"/>
  </r>
  <r>
    <x v="434"/>
  </r>
  <r>
    <x v="146"/>
  </r>
  <r>
    <x v="413"/>
  </r>
  <r>
    <x v="396"/>
  </r>
  <r>
    <x v="397"/>
  </r>
  <r>
    <x v="396"/>
  </r>
  <r>
    <x v="396"/>
  </r>
  <r>
    <x v="452"/>
  </r>
  <r>
    <x v="453"/>
  </r>
  <r>
    <x v="413"/>
  </r>
  <r>
    <x v="146"/>
  </r>
  <r>
    <x v="8"/>
  </r>
  <r>
    <x v="454"/>
  </r>
  <r>
    <x v="8"/>
  </r>
  <r>
    <x v="396"/>
  </r>
  <r>
    <x v="452"/>
  </r>
  <r>
    <x v="396"/>
  </r>
  <r>
    <x v="452"/>
  </r>
  <r>
    <x v="452"/>
  </r>
  <r>
    <x v="396"/>
  </r>
  <r>
    <x v="405"/>
  </r>
  <r>
    <x v="405"/>
  </r>
  <r>
    <x v="405"/>
  </r>
  <r>
    <x v="453"/>
  </r>
  <r>
    <x v="8"/>
  </r>
  <r>
    <x v="429"/>
  </r>
  <r>
    <x v="434"/>
  </r>
  <r>
    <x v="455"/>
  </r>
  <r>
    <x v="436"/>
  </r>
  <r>
    <x v="451"/>
  </r>
  <r>
    <x v="397"/>
  </r>
  <r>
    <x v="397"/>
  </r>
  <r>
    <x v="397"/>
  </r>
  <r>
    <x v="397"/>
  </r>
  <r>
    <x v="397"/>
  </r>
  <r>
    <x v="434"/>
  </r>
  <r>
    <x v="445"/>
  </r>
  <r>
    <x v="8"/>
  </r>
  <r>
    <x v="434"/>
  </r>
  <r>
    <x v="452"/>
  </r>
  <r>
    <x v="392"/>
  </r>
  <r>
    <x v="456"/>
  </r>
  <r>
    <x v="452"/>
  </r>
  <r>
    <x v="8"/>
  </r>
  <r>
    <x v="454"/>
  </r>
  <r>
    <x v="452"/>
  </r>
  <r>
    <x v="457"/>
  </r>
  <r>
    <x v="452"/>
  </r>
  <r>
    <x v="396"/>
  </r>
  <r>
    <x v="405"/>
  </r>
  <r>
    <x v="8"/>
  </r>
  <r>
    <x v="425"/>
  </r>
  <r>
    <x v="444"/>
  </r>
  <r>
    <x v="453"/>
  </r>
  <r>
    <x v="434"/>
  </r>
  <r>
    <x v="453"/>
  </r>
  <r>
    <x v="397"/>
  </r>
  <r>
    <x v="434"/>
  </r>
  <r>
    <x v="392"/>
  </r>
  <r>
    <x v="396"/>
  </r>
  <r>
    <x v="396"/>
  </r>
  <r>
    <x v="405"/>
  </r>
  <r>
    <x v="168"/>
  </r>
  <r>
    <x v="8"/>
  </r>
  <r>
    <x v="455"/>
  </r>
  <r>
    <x v="455"/>
  </r>
  <r>
    <x v="450"/>
  </r>
  <r>
    <x v="399"/>
  </r>
  <r>
    <x v="453"/>
  </r>
  <r>
    <x v="396"/>
  </r>
  <r>
    <x v="408"/>
  </r>
  <r>
    <x v="455"/>
  </r>
  <r>
    <x v="451"/>
  </r>
  <r>
    <x v="388"/>
  </r>
  <r>
    <x v="457"/>
  </r>
  <r>
    <x v="396"/>
  </r>
  <r>
    <x v="146"/>
  </r>
  <r>
    <x v="399"/>
  </r>
  <r>
    <x v="458"/>
  </r>
  <r>
    <x v="410"/>
  </r>
  <r>
    <x v="396"/>
  </r>
  <r>
    <x v="437"/>
  </r>
  <r>
    <x v="8"/>
  </r>
  <r>
    <x v="399"/>
  </r>
  <r>
    <x v="451"/>
  </r>
  <r>
    <x v="458"/>
  </r>
  <r>
    <x v="399"/>
  </r>
  <r>
    <x v="459"/>
  </r>
  <r>
    <x v="460"/>
  </r>
  <r>
    <x v="396"/>
  </r>
  <r>
    <x v="454"/>
  </r>
  <r>
    <x v="453"/>
  </r>
  <r>
    <x v="434"/>
  </r>
  <r>
    <x v="399"/>
  </r>
  <r>
    <x v="429"/>
  </r>
  <r>
    <x v="458"/>
  </r>
  <r>
    <x v="461"/>
  </r>
  <r>
    <x v="396"/>
  </r>
  <r>
    <x v="396"/>
  </r>
  <r>
    <x v="399"/>
  </r>
  <r>
    <x v="399"/>
  </r>
  <r>
    <x v="461"/>
  </r>
  <r>
    <x v="461"/>
  </r>
  <r>
    <x v="396"/>
  </r>
  <r>
    <x v="452"/>
  </r>
  <r>
    <x v="392"/>
  </r>
  <r>
    <x v="82"/>
  </r>
  <r>
    <x v="396"/>
  </r>
  <r>
    <x v="452"/>
  </r>
  <r>
    <x v="462"/>
  </r>
  <r>
    <x v="452"/>
  </r>
  <r>
    <x v="462"/>
  </r>
  <r>
    <x v="452"/>
  </r>
  <r>
    <x v="409"/>
  </r>
  <r>
    <x v="82"/>
  </r>
  <r>
    <x v="396"/>
  </r>
  <r>
    <x v="452"/>
  </r>
  <r>
    <x v="8"/>
  </r>
  <r>
    <x v="463"/>
  </r>
  <r>
    <x v="452"/>
  </r>
  <r>
    <x v="452"/>
  </r>
  <r>
    <x v="409"/>
  </r>
  <r>
    <x v="454"/>
  </r>
  <r>
    <x v="396"/>
  </r>
  <r>
    <x v="452"/>
  </r>
  <r>
    <x v="392"/>
  </r>
  <r>
    <x v="452"/>
  </r>
  <r>
    <x v="82"/>
  </r>
  <r>
    <x v="434"/>
  </r>
  <r>
    <x v="417"/>
  </r>
  <r>
    <x v="452"/>
  </r>
  <r>
    <x v="396"/>
  </r>
  <r>
    <x v="434"/>
  </r>
  <r>
    <x v="464"/>
  </r>
  <r>
    <x v="452"/>
  </r>
  <r>
    <x v="452"/>
  </r>
  <r>
    <x v="464"/>
  </r>
  <r>
    <x v="464"/>
  </r>
  <r>
    <x v="452"/>
  </r>
  <r>
    <x v="452"/>
  </r>
  <r>
    <x v="429"/>
  </r>
  <r>
    <x v="396"/>
  </r>
  <r>
    <x v="429"/>
  </r>
  <r>
    <x v="452"/>
  </r>
  <r>
    <x v="410"/>
  </r>
  <r>
    <x v="146"/>
  </r>
  <r>
    <x v="146"/>
  </r>
  <r>
    <x v="397"/>
  </r>
  <r>
    <x v="170"/>
  </r>
  <r>
    <x v="146"/>
  </r>
  <r>
    <x v="426"/>
  </r>
  <r>
    <x v="426"/>
  </r>
  <r>
    <x v="426"/>
  </r>
  <r>
    <x v="426"/>
  </r>
  <r>
    <x v="426"/>
  </r>
  <r>
    <x v="400"/>
  </r>
  <r>
    <x v="146"/>
  </r>
  <r>
    <x v="146"/>
  </r>
  <r>
    <x v="146"/>
  </r>
  <r>
    <x v="400"/>
  </r>
  <r>
    <x v="434"/>
  </r>
  <r>
    <x v="146"/>
  </r>
  <r>
    <x v="146"/>
  </r>
  <r>
    <x v="146"/>
  </r>
  <r>
    <x v="387"/>
  </r>
  <r>
    <x v="146"/>
  </r>
  <r>
    <x v="146"/>
  </r>
  <r>
    <x v="146"/>
  </r>
  <r>
    <x v="323"/>
  </r>
  <r>
    <x v="146"/>
  </r>
  <r>
    <x v="388"/>
  </r>
  <r>
    <x v="389"/>
  </r>
  <r>
    <x v="390"/>
  </r>
  <r>
    <x v="391"/>
  </r>
  <r>
    <x v="392"/>
  </r>
  <r>
    <x v="393"/>
  </r>
  <r>
    <x v="394"/>
  </r>
  <r>
    <x v="395"/>
  </r>
  <r>
    <x v="396"/>
  </r>
  <r>
    <x v="397"/>
  </r>
  <r>
    <x v="398"/>
  </r>
  <r>
    <x v="399"/>
  </r>
  <r>
    <x v="400"/>
  </r>
  <r>
    <x v="401"/>
  </r>
  <r>
    <x v="397"/>
  </r>
  <r>
    <x v="146"/>
  </r>
  <r>
    <x v="402"/>
  </r>
  <r>
    <x v="8"/>
  </r>
  <r>
    <x v="170"/>
  </r>
  <r>
    <x v="403"/>
  </r>
  <r>
    <x v="396"/>
  </r>
  <r>
    <x v="404"/>
  </r>
  <r>
    <x v="396"/>
  </r>
  <r>
    <x v="396"/>
  </r>
  <r>
    <x v="396"/>
  </r>
  <r>
    <x v="146"/>
  </r>
  <r>
    <x v="405"/>
  </r>
  <r>
    <x v="405"/>
  </r>
  <r>
    <x v="146"/>
  </r>
  <r>
    <x v="405"/>
  </r>
  <r>
    <x v="405"/>
  </r>
  <r>
    <x v="406"/>
  </r>
  <r>
    <x v="405"/>
  </r>
  <r>
    <x v="405"/>
  </r>
  <r>
    <x v="407"/>
  </r>
  <r>
    <x v="58"/>
  </r>
  <r>
    <x v="408"/>
  </r>
  <r>
    <x v="168"/>
  </r>
  <r>
    <x v="405"/>
  </r>
  <r>
    <x v="146"/>
  </r>
  <r>
    <x v="409"/>
  </r>
  <r>
    <x v="409"/>
  </r>
  <r>
    <x v="146"/>
  </r>
  <r>
    <x v="410"/>
  </r>
  <r>
    <x v="411"/>
  </r>
  <r>
    <x v="146"/>
  </r>
  <r>
    <x v="412"/>
  </r>
  <r>
    <x v="412"/>
  </r>
  <r>
    <x v="412"/>
  </r>
  <r>
    <x v="412"/>
  </r>
  <r>
    <x v="412"/>
  </r>
  <r>
    <x v="400"/>
  </r>
  <r>
    <x v="146"/>
  </r>
  <r>
    <x v="146"/>
  </r>
  <r>
    <x v="412"/>
  </r>
  <r>
    <x v="290"/>
  </r>
  <r>
    <x v="146"/>
  </r>
  <r>
    <x v="146"/>
  </r>
  <r>
    <x v="396"/>
  </r>
  <r>
    <x v="413"/>
  </r>
  <r>
    <x v="396"/>
  </r>
  <r>
    <x v="391"/>
  </r>
  <r>
    <x v="414"/>
  </r>
  <r>
    <x v="415"/>
  </r>
  <r>
    <x v="396"/>
  </r>
  <r>
    <x v="397"/>
  </r>
  <r>
    <x v="396"/>
  </r>
  <r>
    <x v="416"/>
  </r>
  <r>
    <x v="146"/>
  </r>
  <r>
    <x v="146"/>
  </r>
  <r>
    <x v="402"/>
  </r>
  <r>
    <x v="146"/>
  </r>
  <r>
    <x v="417"/>
  </r>
  <r>
    <x v="396"/>
  </r>
  <r>
    <x v="404"/>
  </r>
  <r>
    <x v="418"/>
  </r>
  <r>
    <x v="146"/>
  </r>
  <r>
    <x v="405"/>
  </r>
  <r>
    <x v="146"/>
  </r>
  <r>
    <x v="407"/>
  </r>
  <r>
    <x v="406"/>
  </r>
  <r>
    <x v="405"/>
  </r>
  <r>
    <x v="405"/>
  </r>
  <r>
    <x v="405"/>
  </r>
  <r>
    <x v="405"/>
  </r>
  <r>
    <x v="408"/>
  </r>
  <r>
    <x v="168"/>
  </r>
  <r>
    <x v="405"/>
  </r>
  <r>
    <x v="146"/>
  </r>
  <r>
    <x v="419"/>
  </r>
  <r>
    <x v="420"/>
  </r>
  <r>
    <x v="146"/>
  </r>
  <r>
    <x v="409"/>
  </r>
  <r>
    <x v="409"/>
  </r>
  <r>
    <x v="146"/>
  </r>
  <r>
    <x v="409"/>
  </r>
  <r>
    <x v="410"/>
  </r>
  <r>
    <x v="396"/>
  </r>
  <r>
    <x v="400"/>
  </r>
  <r>
    <x v="146"/>
  </r>
  <r>
    <x v="387"/>
  </r>
  <r>
    <x v="396"/>
  </r>
  <r>
    <x v="413"/>
  </r>
  <r>
    <x v="396"/>
  </r>
  <r>
    <x v="414"/>
  </r>
  <r>
    <x v="421"/>
  </r>
  <r>
    <x v="402"/>
  </r>
  <r>
    <x v="422"/>
  </r>
  <r>
    <x v="423"/>
  </r>
  <r>
    <x v="146"/>
  </r>
  <r>
    <x v="405"/>
  </r>
  <r>
    <x v="146"/>
  </r>
  <r>
    <x v="407"/>
  </r>
  <r>
    <x v="405"/>
  </r>
  <r>
    <x v="405"/>
  </r>
  <r>
    <x v="408"/>
  </r>
  <r>
    <x v="424"/>
  </r>
  <r>
    <x v="425"/>
  </r>
  <r>
    <x v="146"/>
  </r>
  <r>
    <x v="146"/>
  </r>
  <r>
    <x v="8"/>
  </r>
  <r>
    <x v="426"/>
  </r>
  <r>
    <x v="146"/>
  </r>
  <r>
    <x v="413"/>
  </r>
  <r>
    <x v="395"/>
  </r>
  <r>
    <x v="146"/>
  </r>
  <r>
    <x v="402"/>
  </r>
  <r>
    <x v="396"/>
  </r>
  <r>
    <x v="146"/>
  </r>
  <r>
    <x v="405"/>
  </r>
  <r>
    <x v="427"/>
  </r>
  <r>
    <x v="428"/>
  </r>
  <r>
    <x v="429"/>
  </r>
  <r>
    <x v="409"/>
  </r>
  <r>
    <x v="430"/>
  </r>
  <r>
    <x v="431"/>
  </r>
  <r>
    <x v="414"/>
  </r>
  <r>
    <x v="432"/>
  </r>
  <r>
    <x v="390"/>
  </r>
  <r>
    <x v="404"/>
  </r>
  <r>
    <x v="408"/>
  </r>
  <r>
    <x v="433"/>
  </r>
  <r>
    <x v="429"/>
  </r>
  <r>
    <x v="146"/>
  </r>
  <r>
    <x v="410"/>
  </r>
  <r>
    <x v="8"/>
  </r>
  <r>
    <x v="434"/>
  </r>
  <r>
    <x v="435"/>
  </r>
  <r>
    <x v="414"/>
  </r>
  <r>
    <x v="416"/>
  </r>
  <r>
    <x v="436"/>
  </r>
  <r>
    <x v="83"/>
  </r>
  <r>
    <x v="404"/>
  </r>
  <r>
    <x v="408"/>
  </r>
  <r>
    <x v="408"/>
  </r>
  <r>
    <x v="83"/>
  </r>
  <r>
    <x v="434"/>
  </r>
  <r>
    <x v="410"/>
  </r>
  <r>
    <x v="94"/>
  </r>
  <r>
    <x v="396"/>
  </r>
  <r>
    <x v="435"/>
  </r>
  <r>
    <x v="413"/>
  </r>
  <r>
    <x v="436"/>
  </r>
  <r>
    <x v="8"/>
  </r>
  <r>
    <x v="146"/>
  </r>
  <r>
    <x v="396"/>
  </r>
  <r>
    <x v="58"/>
  </r>
  <r>
    <x v="419"/>
  </r>
  <r>
    <x v="83"/>
  </r>
  <r>
    <x v="8"/>
  </r>
  <r>
    <x v="437"/>
  </r>
  <r>
    <x v="413"/>
  </r>
  <r>
    <x v="438"/>
  </r>
  <r>
    <x v="146"/>
  </r>
  <r>
    <x v="94"/>
  </r>
  <r>
    <x v="435"/>
  </r>
  <r>
    <x v="413"/>
  </r>
  <r>
    <x v="439"/>
  </r>
  <r>
    <x v="146"/>
  </r>
  <r>
    <x v="410"/>
  </r>
  <r>
    <x v="8"/>
  </r>
  <r>
    <x v="431"/>
  </r>
  <r>
    <x v="435"/>
  </r>
  <r>
    <x v="413"/>
  </r>
  <r>
    <x v="396"/>
  </r>
  <r>
    <x v="413"/>
  </r>
  <r>
    <x v="396"/>
  </r>
  <r>
    <x v="440"/>
  </r>
  <r>
    <x v="434"/>
  </r>
  <r>
    <x v="435"/>
  </r>
  <r>
    <x v="432"/>
  </r>
  <r>
    <x v="441"/>
  </r>
  <r>
    <x v="390"/>
  </r>
  <r>
    <x v="410"/>
  </r>
  <r>
    <x v="434"/>
  </r>
  <r>
    <x v="94"/>
  </r>
  <r>
    <x v="435"/>
  </r>
  <r>
    <x v="442"/>
  </r>
  <r>
    <x v="431"/>
  </r>
  <r>
    <x v="443"/>
  </r>
  <r>
    <x v="8"/>
  </r>
  <r>
    <x v="434"/>
  </r>
  <r>
    <x v="401"/>
  </r>
  <r>
    <x v="8"/>
  </r>
  <r>
    <x v="434"/>
  </r>
  <r>
    <x v="444"/>
  </r>
  <r>
    <x v="445"/>
  </r>
  <r>
    <x v="434"/>
  </r>
  <r>
    <x v="405"/>
  </r>
  <r>
    <x v="434"/>
  </r>
  <r>
    <x v="431"/>
  </r>
  <r>
    <x v="443"/>
  </r>
  <r>
    <x v="446"/>
  </r>
  <r>
    <x v="434"/>
  </r>
  <r>
    <x v="8"/>
  </r>
  <r>
    <x v="447"/>
  </r>
  <r>
    <x v="8"/>
  </r>
  <r>
    <x v="448"/>
  </r>
  <r>
    <x v="444"/>
  </r>
  <r>
    <x v="449"/>
  </r>
  <r>
    <x v="450"/>
  </r>
  <r>
    <x v="8"/>
  </r>
  <r>
    <x v="8"/>
  </r>
  <r>
    <x v="451"/>
  </r>
  <r>
    <x v="397"/>
  </r>
  <r>
    <x v="434"/>
  </r>
  <r>
    <x v="434"/>
  </r>
  <r>
    <x v="445"/>
  </r>
  <r>
    <x v="396"/>
  </r>
  <r>
    <x v="8"/>
  </r>
  <r>
    <x v="8"/>
  </r>
  <r>
    <x v="434"/>
  </r>
  <r>
    <x v="434"/>
  </r>
  <r>
    <x v="146"/>
  </r>
  <r>
    <x v="413"/>
  </r>
  <r>
    <x v="396"/>
  </r>
  <r>
    <x v="397"/>
  </r>
  <r>
    <x v="396"/>
  </r>
  <r>
    <x v="396"/>
  </r>
  <r>
    <x v="452"/>
  </r>
  <r>
    <x v="453"/>
  </r>
  <r>
    <x v="413"/>
  </r>
  <r>
    <x v="146"/>
  </r>
  <r>
    <x v="8"/>
  </r>
  <r>
    <x v="454"/>
  </r>
  <r>
    <x v="8"/>
  </r>
  <r>
    <x v="396"/>
  </r>
  <r>
    <x v="452"/>
  </r>
  <r>
    <x v="396"/>
  </r>
  <r>
    <x v="452"/>
  </r>
  <r>
    <x v="452"/>
  </r>
  <r>
    <x v="396"/>
  </r>
  <r>
    <x v="405"/>
  </r>
  <r>
    <x v="405"/>
  </r>
  <r>
    <x v="405"/>
  </r>
  <r>
    <x v="453"/>
  </r>
  <r>
    <x v="8"/>
  </r>
  <r>
    <x v="429"/>
  </r>
  <r>
    <x v="434"/>
  </r>
  <r>
    <x v="455"/>
  </r>
  <r>
    <x v="436"/>
  </r>
  <r>
    <x v="451"/>
  </r>
  <r>
    <x v="397"/>
  </r>
  <r>
    <x v="397"/>
  </r>
  <r>
    <x v="397"/>
  </r>
  <r>
    <x v="397"/>
  </r>
  <r>
    <x v="397"/>
  </r>
  <r>
    <x v="434"/>
  </r>
  <r>
    <x v="445"/>
  </r>
  <r>
    <x v="8"/>
  </r>
  <r>
    <x v="434"/>
  </r>
  <r>
    <x v="452"/>
  </r>
  <r>
    <x v="392"/>
  </r>
  <r>
    <x v="456"/>
  </r>
  <r>
    <x v="452"/>
  </r>
  <r>
    <x v="8"/>
  </r>
  <r>
    <x v="454"/>
  </r>
  <r>
    <x v="452"/>
  </r>
  <r>
    <x v="457"/>
  </r>
  <r>
    <x v="452"/>
  </r>
  <r>
    <x v="396"/>
  </r>
  <r>
    <x v="405"/>
  </r>
  <r>
    <x v="8"/>
  </r>
  <r>
    <x v="425"/>
  </r>
  <r>
    <x v="444"/>
  </r>
  <r>
    <x v="453"/>
  </r>
  <r>
    <x v="434"/>
  </r>
  <r>
    <x v="453"/>
  </r>
  <r>
    <x v="397"/>
  </r>
  <r>
    <x v="434"/>
  </r>
  <r>
    <x v="392"/>
  </r>
  <r>
    <x v="396"/>
  </r>
  <r>
    <x v="396"/>
  </r>
  <r>
    <x v="405"/>
  </r>
  <r>
    <x v="168"/>
  </r>
  <r>
    <x v="8"/>
  </r>
  <r>
    <x v="455"/>
  </r>
  <r>
    <x v="455"/>
  </r>
  <r>
    <x v="450"/>
  </r>
  <r>
    <x v="399"/>
  </r>
  <r>
    <x v="453"/>
  </r>
  <r>
    <x v="396"/>
  </r>
  <r>
    <x v="408"/>
  </r>
  <r>
    <x v="455"/>
  </r>
  <r>
    <x v="451"/>
  </r>
  <r>
    <x v="388"/>
  </r>
  <r>
    <x v="457"/>
  </r>
  <r>
    <x v="396"/>
  </r>
  <r>
    <x v="146"/>
  </r>
  <r>
    <x v="399"/>
  </r>
  <r>
    <x v="458"/>
  </r>
  <r>
    <x v="410"/>
  </r>
  <r>
    <x v="396"/>
  </r>
  <r>
    <x v="437"/>
  </r>
  <r>
    <x v="8"/>
  </r>
  <r>
    <x v="399"/>
  </r>
  <r>
    <x v="451"/>
  </r>
  <r>
    <x v="458"/>
  </r>
  <r>
    <x v="399"/>
  </r>
  <r>
    <x v="459"/>
  </r>
  <r>
    <x v="460"/>
  </r>
  <r>
    <x v="396"/>
  </r>
  <r>
    <x v="454"/>
  </r>
  <r>
    <x v="453"/>
  </r>
  <r>
    <x v="434"/>
  </r>
  <r>
    <x v="399"/>
  </r>
  <r>
    <x v="429"/>
  </r>
  <r>
    <x v="458"/>
  </r>
  <r>
    <x v="461"/>
  </r>
  <r>
    <x v="396"/>
  </r>
  <r>
    <x v="396"/>
  </r>
  <r>
    <x v="399"/>
  </r>
  <r>
    <x v="399"/>
  </r>
  <r>
    <x v="461"/>
  </r>
  <r>
    <x v="461"/>
  </r>
  <r>
    <x v="396"/>
  </r>
  <r>
    <x v="452"/>
  </r>
  <r>
    <x v="392"/>
  </r>
  <r>
    <x v="82"/>
  </r>
  <r>
    <x v="396"/>
  </r>
  <r>
    <x v="452"/>
  </r>
  <r>
    <x v="462"/>
  </r>
  <r>
    <x v="452"/>
  </r>
  <r>
    <x v="462"/>
  </r>
  <r>
    <x v="452"/>
  </r>
  <r>
    <x v="409"/>
  </r>
  <r>
    <x v="82"/>
  </r>
  <r>
    <x v="396"/>
  </r>
  <r>
    <x v="452"/>
  </r>
  <r>
    <x v="8"/>
  </r>
  <r>
    <x v="463"/>
  </r>
  <r>
    <x v="452"/>
  </r>
  <r>
    <x v="452"/>
  </r>
  <r>
    <x v="409"/>
  </r>
  <r>
    <x v="454"/>
  </r>
  <r>
    <x v="396"/>
  </r>
  <r>
    <x v="452"/>
  </r>
  <r>
    <x v="392"/>
  </r>
  <r>
    <x v="452"/>
  </r>
  <r>
    <x v="82"/>
  </r>
  <r>
    <x v="434"/>
  </r>
  <r>
    <x v="417"/>
  </r>
  <r>
    <x v="452"/>
  </r>
  <r>
    <x v="396"/>
  </r>
  <r>
    <x v="434"/>
  </r>
  <r>
    <x v="464"/>
  </r>
  <r>
    <x v="452"/>
  </r>
  <r>
    <x v="452"/>
  </r>
  <r>
    <x v="464"/>
  </r>
  <r>
    <x v="464"/>
  </r>
  <r>
    <x v="452"/>
  </r>
  <r>
    <x v="452"/>
  </r>
  <r>
    <x v="429"/>
  </r>
  <r>
    <x v="396"/>
  </r>
  <r>
    <x v="429"/>
  </r>
  <r>
    <x v="452"/>
  </r>
  <r>
    <x v="410"/>
  </r>
  <r>
    <x v="146"/>
  </r>
  <r>
    <x v="146"/>
  </r>
  <r>
    <x v="397"/>
  </r>
  <r>
    <x v="170"/>
  </r>
  <r>
    <x v="146"/>
  </r>
  <r>
    <x v="426"/>
  </r>
  <r>
    <x v="426"/>
  </r>
  <r>
    <x v="426"/>
  </r>
  <r>
    <x v="426"/>
  </r>
  <r>
    <x v="426"/>
  </r>
  <r>
    <x v="400"/>
  </r>
  <r>
    <x v="146"/>
  </r>
  <r>
    <x v="146"/>
  </r>
  <r>
    <x v="146"/>
  </r>
  <r>
    <x v="400"/>
  </r>
  <r>
    <x v="434"/>
  </r>
  <r>
    <x v="146"/>
  </r>
  <r>
    <x v="146"/>
  </r>
  <r>
    <x v="146"/>
  </r>
  <r>
    <x v="387"/>
  </r>
  <r>
    <x v="146"/>
  </r>
  <r>
    <x v="146"/>
  </r>
  <r>
    <x v="146"/>
  </r>
  <r>
    <x v="323"/>
  </r>
  <r>
    <x v="146"/>
  </r>
  <r>
    <x v="388"/>
  </r>
  <r>
    <x v="389"/>
  </r>
  <r>
    <x v="390"/>
  </r>
  <r>
    <x v="391"/>
  </r>
  <r>
    <x v="392"/>
  </r>
  <r>
    <x v="393"/>
  </r>
  <r>
    <x v="394"/>
  </r>
  <r>
    <x v="395"/>
  </r>
  <r>
    <x v="396"/>
  </r>
  <r>
    <x v="397"/>
  </r>
  <r>
    <x v="398"/>
  </r>
  <r>
    <x v="399"/>
  </r>
  <r>
    <x v="400"/>
  </r>
  <r>
    <x v="401"/>
  </r>
  <r>
    <x v="397"/>
  </r>
  <r>
    <x v="146"/>
  </r>
  <r>
    <x v="402"/>
  </r>
  <r>
    <x v="8"/>
  </r>
  <r>
    <x v="170"/>
  </r>
  <r>
    <x v="403"/>
  </r>
  <r>
    <x v="396"/>
  </r>
  <r>
    <x v="404"/>
  </r>
  <r>
    <x v="396"/>
  </r>
  <r>
    <x v="396"/>
  </r>
  <r>
    <x v="396"/>
  </r>
  <r>
    <x v="146"/>
  </r>
  <r>
    <x v="405"/>
  </r>
  <r>
    <x v="405"/>
  </r>
  <r>
    <x v="146"/>
  </r>
  <r>
    <x v="405"/>
  </r>
  <r>
    <x v="405"/>
  </r>
  <r>
    <x v="406"/>
  </r>
  <r>
    <x v="405"/>
  </r>
  <r>
    <x v="405"/>
  </r>
  <r>
    <x v="407"/>
  </r>
  <r>
    <x v="58"/>
  </r>
  <r>
    <x v="408"/>
  </r>
  <r>
    <x v="168"/>
  </r>
  <r>
    <x v="405"/>
  </r>
  <r>
    <x v="146"/>
  </r>
  <r>
    <x v="409"/>
  </r>
  <r>
    <x v="409"/>
  </r>
  <r>
    <x v="146"/>
  </r>
  <r>
    <x v="410"/>
  </r>
  <r>
    <x v="411"/>
  </r>
  <r>
    <x v="146"/>
  </r>
  <r>
    <x v="412"/>
  </r>
  <r>
    <x v="412"/>
  </r>
  <r>
    <x v="412"/>
  </r>
  <r>
    <x v="412"/>
  </r>
  <r>
    <x v="412"/>
  </r>
  <r>
    <x v="400"/>
  </r>
  <r>
    <x v="146"/>
  </r>
  <r>
    <x v="146"/>
  </r>
  <r>
    <x v="412"/>
  </r>
  <r>
    <x v="290"/>
  </r>
  <r>
    <x v="146"/>
  </r>
  <r>
    <x v="146"/>
  </r>
  <r>
    <x v="396"/>
  </r>
  <r>
    <x v="413"/>
  </r>
  <r>
    <x v="396"/>
  </r>
  <r>
    <x v="391"/>
  </r>
  <r>
    <x v="414"/>
  </r>
  <r>
    <x v="415"/>
  </r>
  <r>
    <x v="396"/>
  </r>
  <r>
    <x v="397"/>
  </r>
  <r>
    <x v="396"/>
  </r>
  <r>
    <x v="416"/>
  </r>
  <r>
    <x v="146"/>
  </r>
  <r>
    <x v="146"/>
  </r>
  <r>
    <x v="402"/>
  </r>
  <r>
    <x v="146"/>
  </r>
  <r>
    <x v="417"/>
  </r>
  <r>
    <x v="396"/>
  </r>
  <r>
    <x v="404"/>
  </r>
  <r>
    <x v="418"/>
  </r>
  <r>
    <x v="146"/>
  </r>
  <r>
    <x v="405"/>
  </r>
  <r>
    <x v="146"/>
  </r>
  <r>
    <x v="407"/>
  </r>
  <r>
    <x v="406"/>
  </r>
  <r>
    <x v="405"/>
  </r>
  <r>
    <x v="405"/>
  </r>
  <r>
    <x v="405"/>
  </r>
  <r>
    <x v="405"/>
  </r>
  <r>
    <x v="408"/>
  </r>
  <r>
    <x v="168"/>
  </r>
  <r>
    <x v="405"/>
  </r>
  <r>
    <x v="146"/>
  </r>
  <r>
    <x v="419"/>
  </r>
  <r>
    <x v="420"/>
  </r>
  <r>
    <x v="146"/>
  </r>
  <r>
    <x v="409"/>
  </r>
  <r>
    <x v="409"/>
  </r>
  <r>
    <x v="146"/>
  </r>
  <r>
    <x v="409"/>
  </r>
  <r>
    <x v="410"/>
  </r>
  <r>
    <x v="396"/>
  </r>
  <r>
    <x v="400"/>
  </r>
  <r>
    <x v="146"/>
  </r>
  <r>
    <x v="387"/>
  </r>
  <r>
    <x v="396"/>
  </r>
  <r>
    <x v="413"/>
  </r>
  <r>
    <x v="396"/>
  </r>
  <r>
    <x v="414"/>
  </r>
  <r>
    <x v="421"/>
  </r>
  <r>
    <x v="402"/>
  </r>
  <r>
    <x v="422"/>
  </r>
  <r>
    <x v="423"/>
  </r>
  <r>
    <x v="146"/>
  </r>
  <r>
    <x v="405"/>
  </r>
  <r>
    <x v="146"/>
  </r>
  <r>
    <x v="407"/>
  </r>
  <r>
    <x v="405"/>
  </r>
  <r>
    <x v="405"/>
  </r>
  <r>
    <x v="408"/>
  </r>
  <r>
    <x v="424"/>
  </r>
  <r>
    <x v="425"/>
  </r>
  <r>
    <x v="146"/>
  </r>
  <r>
    <x v="146"/>
  </r>
  <r>
    <x v="8"/>
  </r>
  <r>
    <x v="426"/>
  </r>
  <r>
    <x v="146"/>
  </r>
  <r>
    <x v="413"/>
  </r>
  <r>
    <x v="395"/>
  </r>
  <r>
    <x v="146"/>
  </r>
  <r>
    <x v="402"/>
  </r>
  <r>
    <x v="396"/>
  </r>
  <r>
    <x v="146"/>
  </r>
  <r>
    <x v="405"/>
  </r>
  <r>
    <x v="427"/>
  </r>
  <r>
    <x v="428"/>
  </r>
  <r>
    <x v="429"/>
  </r>
  <r>
    <x v="409"/>
  </r>
  <r>
    <x v="430"/>
  </r>
  <r>
    <x v="431"/>
  </r>
  <r>
    <x v="414"/>
  </r>
  <r>
    <x v="432"/>
  </r>
  <r>
    <x v="390"/>
  </r>
  <r>
    <x v="404"/>
  </r>
  <r>
    <x v="408"/>
  </r>
  <r>
    <x v="433"/>
  </r>
  <r>
    <x v="429"/>
  </r>
  <r>
    <x v="146"/>
  </r>
  <r>
    <x v="410"/>
  </r>
  <r>
    <x v="8"/>
  </r>
  <r>
    <x v="434"/>
  </r>
  <r>
    <x v="435"/>
  </r>
  <r>
    <x v="414"/>
  </r>
  <r>
    <x v="416"/>
  </r>
  <r>
    <x v="436"/>
  </r>
  <r>
    <x v="83"/>
  </r>
  <r>
    <x v="404"/>
  </r>
  <r>
    <x v="408"/>
  </r>
  <r>
    <x v="408"/>
  </r>
  <r>
    <x v="83"/>
  </r>
  <r>
    <x v="434"/>
  </r>
  <r>
    <x v="410"/>
  </r>
  <r>
    <x v="94"/>
  </r>
  <r>
    <x v="396"/>
  </r>
  <r>
    <x v="435"/>
  </r>
  <r>
    <x v="413"/>
  </r>
  <r>
    <x v="436"/>
  </r>
  <r>
    <x v="8"/>
  </r>
  <r>
    <x v="146"/>
  </r>
  <r>
    <x v="396"/>
  </r>
  <r>
    <x v="58"/>
  </r>
  <r>
    <x v="419"/>
  </r>
  <r>
    <x v="83"/>
  </r>
  <r>
    <x v="8"/>
  </r>
  <r>
    <x v="437"/>
  </r>
  <r>
    <x v="413"/>
  </r>
  <r>
    <x v="438"/>
  </r>
  <r>
    <x v="146"/>
  </r>
  <r>
    <x v="94"/>
  </r>
  <r>
    <x v="435"/>
  </r>
  <r>
    <x v="413"/>
  </r>
  <r>
    <x v="439"/>
  </r>
  <r>
    <x v="146"/>
  </r>
  <r>
    <x v="410"/>
  </r>
  <r>
    <x v="8"/>
  </r>
  <r>
    <x v="431"/>
  </r>
  <r>
    <x v="435"/>
  </r>
  <r>
    <x v="413"/>
  </r>
  <r>
    <x v="396"/>
  </r>
  <r>
    <x v="413"/>
  </r>
  <r>
    <x v="396"/>
  </r>
  <r>
    <x v="440"/>
  </r>
  <r>
    <x v="434"/>
  </r>
  <r>
    <x v="435"/>
  </r>
  <r>
    <x v="432"/>
  </r>
  <r>
    <x v="441"/>
  </r>
  <r>
    <x v="390"/>
  </r>
  <r>
    <x v="410"/>
  </r>
  <r>
    <x v="434"/>
  </r>
  <r>
    <x v="94"/>
  </r>
  <r>
    <x v="435"/>
  </r>
  <r>
    <x v="442"/>
  </r>
  <r>
    <x v="431"/>
  </r>
  <r>
    <x v="443"/>
  </r>
  <r>
    <x v="8"/>
  </r>
  <r>
    <x v="434"/>
  </r>
  <r>
    <x v="401"/>
  </r>
  <r>
    <x v="8"/>
  </r>
  <r>
    <x v="434"/>
  </r>
  <r>
    <x v="444"/>
  </r>
  <r>
    <x v="445"/>
  </r>
  <r>
    <x v="434"/>
  </r>
  <r>
    <x v="405"/>
  </r>
  <r>
    <x v="434"/>
  </r>
  <r>
    <x v="431"/>
  </r>
  <r>
    <x v="443"/>
  </r>
  <r>
    <x v="446"/>
  </r>
  <r>
    <x v="434"/>
  </r>
  <r>
    <x v="8"/>
  </r>
  <r>
    <x v="447"/>
  </r>
  <r>
    <x v="8"/>
  </r>
  <r>
    <x v="448"/>
  </r>
  <r>
    <x v="444"/>
  </r>
  <r>
    <x v="449"/>
  </r>
  <r>
    <x v="450"/>
  </r>
  <r>
    <x v="8"/>
  </r>
  <r>
    <x v="8"/>
  </r>
  <r>
    <x v="451"/>
  </r>
  <r>
    <x v="397"/>
  </r>
  <r>
    <x v="434"/>
  </r>
  <r>
    <x v="434"/>
  </r>
  <r>
    <x v="445"/>
  </r>
  <r>
    <x v="396"/>
  </r>
  <r>
    <x v="8"/>
  </r>
  <r>
    <x v="8"/>
  </r>
  <r>
    <x v="434"/>
  </r>
  <r>
    <x v="434"/>
  </r>
  <r>
    <x v="146"/>
  </r>
  <r>
    <x v="413"/>
  </r>
  <r>
    <x v="396"/>
  </r>
  <r>
    <x v="397"/>
  </r>
  <r>
    <x v="396"/>
  </r>
  <r>
    <x v="396"/>
  </r>
  <r>
    <x v="452"/>
  </r>
  <r>
    <x v="453"/>
  </r>
  <r>
    <x v="413"/>
  </r>
  <r>
    <x v="146"/>
  </r>
  <r>
    <x v="8"/>
  </r>
  <r>
    <x v="454"/>
  </r>
  <r>
    <x v="8"/>
  </r>
  <r>
    <x v="396"/>
  </r>
  <r>
    <x v="452"/>
  </r>
  <r>
    <x v="396"/>
  </r>
  <r>
    <x v="452"/>
  </r>
  <r>
    <x v="452"/>
  </r>
  <r>
    <x v="396"/>
  </r>
  <r>
    <x v="405"/>
  </r>
  <r>
    <x v="405"/>
  </r>
  <r>
    <x v="405"/>
  </r>
  <r>
    <x v="453"/>
  </r>
  <r>
    <x v="8"/>
  </r>
  <r>
    <x v="429"/>
  </r>
  <r>
    <x v="434"/>
  </r>
  <r>
    <x v="455"/>
  </r>
  <r>
    <x v="436"/>
  </r>
  <r>
    <x v="451"/>
  </r>
  <r>
    <x v="397"/>
  </r>
  <r>
    <x v="397"/>
  </r>
  <r>
    <x v="397"/>
  </r>
  <r>
    <x v="397"/>
  </r>
  <r>
    <x v="397"/>
  </r>
  <r>
    <x v="434"/>
  </r>
  <r>
    <x v="445"/>
  </r>
  <r>
    <x v="8"/>
  </r>
  <r>
    <x v="434"/>
  </r>
  <r>
    <x v="452"/>
  </r>
  <r>
    <x v="392"/>
  </r>
  <r>
    <x v="456"/>
  </r>
  <r>
    <x v="452"/>
  </r>
  <r>
    <x v="8"/>
  </r>
  <r>
    <x v="454"/>
  </r>
  <r>
    <x v="452"/>
  </r>
  <r>
    <x v="457"/>
  </r>
  <r>
    <x v="452"/>
  </r>
  <r>
    <x v="396"/>
  </r>
  <r>
    <x v="405"/>
  </r>
  <r>
    <x v="8"/>
  </r>
  <r>
    <x v="425"/>
  </r>
  <r>
    <x v="444"/>
  </r>
  <r>
    <x v="453"/>
  </r>
  <r>
    <x v="434"/>
  </r>
  <r>
    <x v="453"/>
  </r>
  <r>
    <x v="397"/>
  </r>
  <r>
    <x v="434"/>
  </r>
  <r>
    <x v="392"/>
  </r>
  <r>
    <x v="396"/>
  </r>
  <r>
    <x v="396"/>
  </r>
  <r>
    <x v="405"/>
  </r>
  <r>
    <x v="168"/>
  </r>
  <r>
    <x v="8"/>
  </r>
  <r>
    <x v="455"/>
  </r>
  <r>
    <x v="455"/>
  </r>
  <r>
    <x v="450"/>
  </r>
  <r>
    <x v="399"/>
  </r>
  <r>
    <x v="453"/>
  </r>
  <r>
    <x v="396"/>
  </r>
  <r>
    <x v="408"/>
  </r>
  <r>
    <x v="455"/>
  </r>
  <r>
    <x v="451"/>
  </r>
  <r>
    <x v="388"/>
  </r>
  <r>
    <x v="457"/>
  </r>
  <r>
    <x v="396"/>
  </r>
  <r>
    <x v="146"/>
  </r>
  <r>
    <x v="399"/>
  </r>
  <r>
    <x v="458"/>
  </r>
  <r>
    <x v="410"/>
  </r>
  <r>
    <x v="396"/>
  </r>
  <r>
    <x v="437"/>
  </r>
  <r>
    <x v="8"/>
  </r>
  <r>
    <x v="399"/>
  </r>
  <r>
    <x v="451"/>
  </r>
  <r>
    <x v="458"/>
  </r>
  <r>
    <x v="399"/>
  </r>
  <r>
    <x v="459"/>
  </r>
  <r>
    <x v="460"/>
  </r>
  <r>
    <x v="396"/>
  </r>
  <r>
    <x v="454"/>
  </r>
  <r>
    <x v="453"/>
  </r>
  <r>
    <x v="434"/>
  </r>
  <r>
    <x v="399"/>
  </r>
  <r>
    <x v="429"/>
  </r>
  <r>
    <x v="458"/>
  </r>
  <r>
    <x v="461"/>
  </r>
  <r>
    <x v="396"/>
  </r>
  <r>
    <x v="396"/>
  </r>
  <r>
    <x v="399"/>
  </r>
  <r>
    <x v="399"/>
  </r>
  <r>
    <x v="461"/>
  </r>
  <r>
    <x v="461"/>
  </r>
  <r>
    <x v="396"/>
  </r>
  <r>
    <x v="452"/>
  </r>
  <r>
    <x v="392"/>
  </r>
  <r>
    <x v="82"/>
  </r>
  <r>
    <x v="396"/>
  </r>
  <r>
    <x v="452"/>
  </r>
  <r>
    <x v="462"/>
  </r>
  <r>
    <x v="452"/>
  </r>
  <r>
    <x v="462"/>
  </r>
  <r>
    <x v="452"/>
  </r>
  <r>
    <x v="409"/>
  </r>
  <r>
    <x v="82"/>
  </r>
  <r>
    <x v="396"/>
  </r>
  <r>
    <x v="452"/>
  </r>
  <r>
    <x v="8"/>
  </r>
  <r>
    <x v="463"/>
  </r>
  <r>
    <x v="452"/>
  </r>
  <r>
    <x v="452"/>
  </r>
  <r>
    <x v="409"/>
  </r>
  <r>
    <x v="454"/>
  </r>
  <r>
    <x v="396"/>
  </r>
  <r>
    <x v="452"/>
  </r>
  <r>
    <x v="392"/>
  </r>
  <r>
    <x v="452"/>
  </r>
  <r>
    <x v="82"/>
  </r>
  <r>
    <x v="434"/>
  </r>
  <r>
    <x v="417"/>
  </r>
  <r>
    <x v="452"/>
  </r>
  <r>
    <x v="396"/>
  </r>
  <r>
    <x v="434"/>
  </r>
  <r>
    <x v="464"/>
  </r>
  <r>
    <x v="452"/>
  </r>
  <r>
    <x v="452"/>
  </r>
  <r>
    <x v="464"/>
  </r>
  <r>
    <x v="464"/>
  </r>
  <r>
    <x v="452"/>
  </r>
  <r>
    <x v="452"/>
  </r>
  <r>
    <x v="429"/>
  </r>
  <r>
    <x v="396"/>
  </r>
  <r>
    <x v="429"/>
  </r>
  <r>
    <x v="452"/>
  </r>
  <r>
    <x v="410"/>
  </r>
  <r>
    <x v="146"/>
  </r>
  <r>
    <x v="146"/>
  </r>
  <r>
    <x v="397"/>
  </r>
  <r>
    <x v="170"/>
  </r>
  <r>
    <x v="146"/>
  </r>
  <r>
    <x v="426"/>
  </r>
  <r>
    <x v="426"/>
  </r>
  <r>
    <x v="426"/>
  </r>
  <r>
    <x v="426"/>
  </r>
  <r>
    <x v="426"/>
  </r>
  <r>
    <x v="400"/>
  </r>
  <r>
    <x v="146"/>
  </r>
  <r>
    <x v="146"/>
  </r>
  <r>
    <x v="146"/>
  </r>
  <r>
    <x v="400"/>
  </r>
  <r>
    <x v="434"/>
  </r>
  <r>
    <x v="146"/>
  </r>
  <r>
    <x v="146"/>
  </r>
  <r>
    <x v="146"/>
  </r>
  <r>
    <x v="387"/>
  </r>
  <r>
    <x v="146"/>
  </r>
  <r>
    <x v="146"/>
  </r>
  <r>
    <x v="146"/>
  </r>
  <r>
    <x v="323"/>
  </r>
  <r>
    <x v="146"/>
  </r>
  <r>
    <x v="388"/>
  </r>
  <r>
    <x v="389"/>
  </r>
  <r>
    <x v="390"/>
  </r>
  <r>
    <x v="391"/>
  </r>
  <r>
    <x v="392"/>
  </r>
  <r>
    <x v="393"/>
  </r>
  <r>
    <x v="394"/>
  </r>
  <r>
    <x v="395"/>
  </r>
  <r>
    <x v="396"/>
  </r>
  <r>
    <x v="397"/>
  </r>
  <r>
    <x v="398"/>
  </r>
  <r>
    <x v="399"/>
  </r>
  <r>
    <x v="400"/>
  </r>
  <r>
    <x v="401"/>
  </r>
  <r>
    <x v="397"/>
  </r>
  <r>
    <x v="146"/>
  </r>
  <r>
    <x v="402"/>
  </r>
  <r>
    <x v="8"/>
  </r>
  <r>
    <x v="170"/>
  </r>
  <r>
    <x v="403"/>
  </r>
  <r>
    <x v="396"/>
  </r>
  <r>
    <x v="404"/>
  </r>
  <r>
    <x v="396"/>
  </r>
  <r>
    <x v="396"/>
  </r>
  <r>
    <x v="396"/>
  </r>
  <r>
    <x v="146"/>
  </r>
  <r>
    <x v="405"/>
  </r>
  <r>
    <x v="405"/>
  </r>
  <r>
    <x v="146"/>
  </r>
  <r>
    <x v="405"/>
  </r>
  <r>
    <x v="405"/>
  </r>
  <r>
    <x v="406"/>
  </r>
  <r>
    <x v="405"/>
  </r>
  <r>
    <x v="405"/>
  </r>
  <r>
    <x v="407"/>
  </r>
  <r>
    <x v="58"/>
  </r>
  <r>
    <x v="408"/>
  </r>
  <r>
    <x v="168"/>
  </r>
  <r>
    <x v="405"/>
  </r>
  <r>
    <x v="146"/>
  </r>
  <r>
    <x v="409"/>
  </r>
  <r>
    <x v="409"/>
  </r>
  <r>
    <x v="146"/>
  </r>
  <r>
    <x v="410"/>
  </r>
  <r>
    <x v="411"/>
  </r>
  <r>
    <x v="146"/>
  </r>
  <r>
    <x v="412"/>
  </r>
  <r>
    <x v="412"/>
  </r>
  <r>
    <x v="412"/>
  </r>
  <r>
    <x v="412"/>
  </r>
  <r>
    <x v="412"/>
  </r>
  <r>
    <x v="400"/>
  </r>
  <r>
    <x v="146"/>
  </r>
  <r>
    <x v="146"/>
  </r>
  <r>
    <x v="412"/>
  </r>
  <r>
    <x v="290"/>
  </r>
  <r>
    <x v="146"/>
  </r>
  <r>
    <x v="146"/>
  </r>
  <r>
    <x v="396"/>
  </r>
  <r>
    <x v="413"/>
  </r>
  <r>
    <x v="396"/>
  </r>
  <r>
    <x v="391"/>
  </r>
  <r>
    <x v="414"/>
  </r>
  <r>
    <x v="415"/>
  </r>
  <r>
    <x v="396"/>
  </r>
  <r>
    <x v="397"/>
  </r>
  <r>
    <x v="396"/>
  </r>
  <r>
    <x v="416"/>
  </r>
  <r>
    <x v="146"/>
  </r>
  <r>
    <x v="146"/>
  </r>
  <r>
    <x v="402"/>
  </r>
  <r>
    <x v="146"/>
  </r>
  <r>
    <x v="417"/>
  </r>
  <r>
    <x v="396"/>
  </r>
  <r>
    <x v="404"/>
  </r>
  <r>
    <x v="418"/>
  </r>
  <r>
    <x v="146"/>
  </r>
  <r>
    <x v="405"/>
  </r>
  <r>
    <x v="146"/>
  </r>
  <r>
    <x v="407"/>
  </r>
  <r>
    <x v="406"/>
  </r>
  <r>
    <x v="405"/>
  </r>
  <r>
    <x v="405"/>
  </r>
  <r>
    <x v="405"/>
  </r>
  <r>
    <x v="405"/>
  </r>
  <r>
    <x v="408"/>
  </r>
  <r>
    <x v="168"/>
  </r>
  <r>
    <x v="405"/>
  </r>
  <r>
    <x v="146"/>
  </r>
  <r>
    <x v="419"/>
  </r>
  <r>
    <x v="420"/>
  </r>
  <r>
    <x v="146"/>
  </r>
  <r>
    <x v="409"/>
  </r>
  <r>
    <x v="409"/>
  </r>
  <r>
    <x v="146"/>
  </r>
  <r>
    <x v="409"/>
  </r>
  <r>
    <x v="410"/>
  </r>
  <r>
    <x v="396"/>
  </r>
  <r>
    <x v="400"/>
  </r>
  <r>
    <x v="146"/>
  </r>
  <r>
    <x v="387"/>
  </r>
  <r>
    <x v="396"/>
  </r>
  <r>
    <x v="413"/>
  </r>
  <r>
    <x v="396"/>
  </r>
  <r>
    <x v="414"/>
  </r>
  <r>
    <x v="421"/>
  </r>
  <r>
    <x v="402"/>
  </r>
  <r>
    <x v="422"/>
  </r>
  <r>
    <x v="423"/>
  </r>
  <r>
    <x v="146"/>
  </r>
  <r>
    <x v="405"/>
  </r>
  <r>
    <x v="146"/>
  </r>
  <r>
    <x v="407"/>
  </r>
  <r>
    <x v="405"/>
  </r>
  <r>
    <x v="405"/>
  </r>
  <r>
    <x v="408"/>
  </r>
  <r>
    <x v="424"/>
  </r>
  <r>
    <x v="425"/>
  </r>
  <r>
    <x v="146"/>
  </r>
  <r>
    <x v="146"/>
  </r>
  <r>
    <x v="8"/>
  </r>
  <r>
    <x v="426"/>
  </r>
  <r>
    <x v="146"/>
  </r>
  <r>
    <x v="413"/>
  </r>
  <r>
    <x v="395"/>
  </r>
  <r>
    <x v="146"/>
  </r>
  <r>
    <x v="402"/>
  </r>
  <r>
    <x v="396"/>
  </r>
  <r>
    <x v="146"/>
  </r>
  <r>
    <x v="405"/>
  </r>
  <r>
    <x v="427"/>
  </r>
  <r>
    <x v="428"/>
  </r>
  <r>
    <x v="429"/>
  </r>
  <r>
    <x v="409"/>
  </r>
  <r>
    <x v="430"/>
  </r>
  <r>
    <x v="431"/>
  </r>
  <r>
    <x v="414"/>
  </r>
  <r>
    <x v="432"/>
  </r>
  <r>
    <x v="390"/>
  </r>
  <r>
    <x v="404"/>
  </r>
  <r>
    <x v="408"/>
  </r>
  <r>
    <x v="433"/>
  </r>
  <r>
    <x v="429"/>
  </r>
  <r>
    <x v="146"/>
  </r>
  <r>
    <x v="410"/>
  </r>
  <r>
    <x v="8"/>
  </r>
  <r>
    <x v="434"/>
  </r>
  <r>
    <x v="435"/>
  </r>
  <r>
    <x v="414"/>
  </r>
  <r>
    <x v="416"/>
  </r>
  <r>
    <x v="436"/>
  </r>
  <r>
    <x v="83"/>
  </r>
  <r>
    <x v="404"/>
  </r>
  <r>
    <x v="408"/>
  </r>
  <r>
    <x v="408"/>
  </r>
  <r>
    <x v="83"/>
  </r>
  <r>
    <x v="434"/>
  </r>
  <r>
    <x v="410"/>
  </r>
  <r>
    <x v="94"/>
  </r>
  <r>
    <x v="396"/>
  </r>
  <r>
    <x v="435"/>
  </r>
  <r>
    <x v="413"/>
  </r>
  <r>
    <x v="436"/>
  </r>
  <r>
    <x v="8"/>
  </r>
  <r>
    <x v="146"/>
  </r>
  <r>
    <x v="396"/>
  </r>
  <r>
    <x v="58"/>
  </r>
  <r>
    <x v="419"/>
  </r>
  <r>
    <x v="83"/>
  </r>
  <r>
    <x v="8"/>
  </r>
  <r>
    <x v="437"/>
  </r>
  <r>
    <x v="413"/>
  </r>
  <r>
    <x v="438"/>
  </r>
  <r>
    <x v="146"/>
  </r>
  <r>
    <x v="94"/>
  </r>
  <r>
    <x v="435"/>
  </r>
  <r>
    <x v="413"/>
  </r>
  <r>
    <x v="439"/>
  </r>
  <r>
    <x v="146"/>
  </r>
  <r>
    <x v="410"/>
  </r>
  <r>
    <x v="8"/>
  </r>
  <r>
    <x v="431"/>
  </r>
  <r>
    <x v="435"/>
  </r>
  <r>
    <x v="413"/>
  </r>
  <r>
    <x v="396"/>
  </r>
  <r>
    <x v="413"/>
  </r>
  <r>
    <x v="396"/>
  </r>
  <r>
    <x v="440"/>
  </r>
  <r>
    <x v="434"/>
  </r>
  <r>
    <x v="435"/>
  </r>
  <r>
    <x v="432"/>
  </r>
  <r>
    <x v="441"/>
  </r>
  <r>
    <x v="390"/>
  </r>
  <r>
    <x v="410"/>
  </r>
  <r>
    <x v="434"/>
  </r>
  <r>
    <x v="94"/>
  </r>
  <r>
    <x v="435"/>
  </r>
  <r>
    <x v="442"/>
  </r>
  <r>
    <x v="431"/>
  </r>
  <r>
    <x v="443"/>
  </r>
  <r>
    <x v="8"/>
  </r>
  <r>
    <x v="434"/>
  </r>
  <r>
    <x v="401"/>
  </r>
  <r>
    <x v="8"/>
  </r>
  <r>
    <x v="434"/>
  </r>
  <r>
    <x v="444"/>
  </r>
  <r>
    <x v="445"/>
  </r>
  <r>
    <x v="434"/>
  </r>
  <r>
    <x v="405"/>
  </r>
  <r>
    <x v="434"/>
  </r>
  <r>
    <x v="431"/>
  </r>
  <r>
    <x v="443"/>
  </r>
  <r>
    <x v="446"/>
  </r>
  <r>
    <x v="434"/>
  </r>
  <r>
    <x v="8"/>
  </r>
  <r>
    <x v="447"/>
  </r>
  <r>
    <x v="8"/>
  </r>
  <r>
    <x v="448"/>
  </r>
  <r>
    <x v="444"/>
  </r>
  <r>
    <x v="449"/>
  </r>
  <r>
    <x v="450"/>
  </r>
  <r>
    <x v="8"/>
  </r>
  <r>
    <x v="8"/>
  </r>
  <r>
    <x v="451"/>
  </r>
  <r>
    <x v="397"/>
  </r>
  <r>
    <x v="434"/>
  </r>
  <r>
    <x v="434"/>
  </r>
  <r>
    <x v="445"/>
  </r>
  <r>
    <x v="396"/>
  </r>
  <r>
    <x v="8"/>
  </r>
  <r>
    <x v="8"/>
  </r>
  <r>
    <x v="434"/>
  </r>
  <r>
    <x v="434"/>
  </r>
  <r>
    <x v="146"/>
  </r>
  <r>
    <x v="413"/>
  </r>
  <r>
    <x v="396"/>
  </r>
  <r>
    <x v="397"/>
  </r>
  <r>
    <x v="396"/>
  </r>
  <r>
    <x v="396"/>
  </r>
  <r>
    <x v="452"/>
  </r>
  <r>
    <x v="453"/>
  </r>
  <r>
    <x v="413"/>
  </r>
  <r>
    <x v="146"/>
  </r>
  <r>
    <x v="8"/>
  </r>
  <r>
    <x v="454"/>
  </r>
  <r>
    <x v="8"/>
  </r>
  <r>
    <x v="396"/>
  </r>
  <r>
    <x v="452"/>
  </r>
  <r>
    <x v="396"/>
  </r>
  <r>
    <x v="452"/>
  </r>
  <r>
    <x v="452"/>
  </r>
  <r>
    <x v="396"/>
  </r>
  <r>
    <x v="405"/>
  </r>
  <r>
    <x v="405"/>
  </r>
  <r>
    <x v="405"/>
  </r>
  <r>
    <x v="453"/>
  </r>
  <r>
    <x v="8"/>
  </r>
  <r>
    <x v="429"/>
  </r>
  <r>
    <x v="434"/>
  </r>
  <r>
    <x v="455"/>
  </r>
  <r>
    <x v="436"/>
  </r>
  <r>
    <x v="451"/>
  </r>
  <r>
    <x v="397"/>
  </r>
  <r>
    <x v="397"/>
  </r>
  <r>
    <x v="397"/>
  </r>
  <r>
    <x v="397"/>
  </r>
  <r>
    <x v="397"/>
  </r>
  <r>
    <x v="434"/>
  </r>
  <r>
    <x v="445"/>
  </r>
  <r>
    <x v="8"/>
  </r>
  <r>
    <x v="434"/>
  </r>
  <r>
    <x v="452"/>
  </r>
  <r>
    <x v="392"/>
  </r>
  <r>
    <x v="456"/>
  </r>
  <r>
    <x v="452"/>
  </r>
  <r>
    <x v="8"/>
  </r>
  <r>
    <x v="454"/>
  </r>
  <r>
    <x v="452"/>
  </r>
  <r>
    <x v="457"/>
  </r>
  <r>
    <x v="452"/>
  </r>
  <r>
    <x v="396"/>
  </r>
  <r>
    <x v="405"/>
  </r>
  <r>
    <x v="8"/>
  </r>
  <r>
    <x v="425"/>
  </r>
  <r>
    <x v="444"/>
  </r>
  <r>
    <x v="453"/>
  </r>
  <r>
    <x v="434"/>
  </r>
  <r>
    <x v="453"/>
  </r>
  <r>
    <x v="397"/>
  </r>
  <r>
    <x v="434"/>
  </r>
  <r>
    <x v="392"/>
  </r>
  <r>
    <x v="396"/>
  </r>
  <r>
    <x v="396"/>
  </r>
  <r>
    <x v="405"/>
  </r>
  <r>
    <x v="168"/>
  </r>
  <r>
    <x v="8"/>
  </r>
  <r>
    <x v="455"/>
  </r>
  <r>
    <x v="455"/>
  </r>
  <r>
    <x v="450"/>
  </r>
  <r>
    <x v="399"/>
  </r>
  <r>
    <x v="453"/>
  </r>
  <r>
    <x v="396"/>
  </r>
  <r>
    <x v="408"/>
  </r>
  <r>
    <x v="455"/>
  </r>
  <r>
    <x v="451"/>
  </r>
  <r>
    <x v="388"/>
  </r>
  <r>
    <x v="457"/>
  </r>
  <r>
    <x v="396"/>
  </r>
  <r>
    <x v="146"/>
  </r>
  <r>
    <x v="399"/>
  </r>
  <r>
    <x v="458"/>
  </r>
  <r>
    <x v="410"/>
  </r>
  <r>
    <x v="396"/>
  </r>
  <r>
    <x v="437"/>
  </r>
  <r>
    <x v="8"/>
  </r>
  <r>
    <x v="399"/>
  </r>
  <r>
    <x v="451"/>
  </r>
  <r>
    <x v="458"/>
  </r>
  <r>
    <x v="399"/>
  </r>
  <r>
    <x v="459"/>
  </r>
  <r>
    <x v="460"/>
  </r>
  <r>
    <x v="396"/>
  </r>
  <r>
    <x v="454"/>
  </r>
  <r>
    <x v="453"/>
  </r>
  <r>
    <x v="434"/>
  </r>
  <r>
    <x v="399"/>
  </r>
  <r>
    <x v="429"/>
  </r>
  <r>
    <x v="458"/>
  </r>
  <r>
    <x v="461"/>
  </r>
  <r>
    <x v="396"/>
  </r>
  <r>
    <x v="396"/>
  </r>
  <r>
    <x v="399"/>
  </r>
  <r>
    <x v="399"/>
  </r>
  <r>
    <x v="461"/>
  </r>
  <r>
    <x v="461"/>
  </r>
  <r>
    <x v="396"/>
  </r>
  <r>
    <x v="452"/>
  </r>
  <r>
    <x v="392"/>
  </r>
  <r>
    <x v="82"/>
  </r>
  <r>
    <x v="396"/>
  </r>
  <r>
    <x v="452"/>
  </r>
  <r>
    <x v="462"/>
  </r>
  <r>
    <x v="452"/>
  </r>
  <r>
    <x v="462"/>
  </r>
  <r>
    <x v="452"/>
  </r>
  <r>
    <x v="409"/>
  </r>
  <r>
    <x v="82"/>
  </r>
  <r>
    <x v="396"/>
  </r>
  <r>
    <x v="452"/>
  </r>
  <r>
    <x v="8"/>
  </r>
  <r>
    <x v="463"/>
  </r>
  <r>
    <x v="452"/>
  </r>
  <r>
    <x v="452"/>
  </r>
  <r>
    <x v="409"/>
  </r>
  <r>
    <x v="454"/>
  </r>
  <r>
    <x v="396"/>
  </r>
  <r>
    <x v="452"/>
  </r>
  <r>
    <x v="392"/>
  </r>
  <r>
    <x v="452"/>
  </r>
  <r>
    <x v="82"/>
  </r>
  <r>
    <x v="434"/>
  </r>
  <r>
    <x v="417"/>
  </r>
  <r>
    <x v="452"/>
  </r>
  <r>
    <x v="396"/>
  </r>
  <r>
    <x v="434"/>
  </r>
  <r>
    <x v="464"/>
  </r>
  <r>
    <x v="452"/>
  </r>
  <r>
    <x v="452"/>
  </r>
  <r>
    <x v="464"/>
  </r>
  <r>
    <x v="464"/>
  </r>
  <r>
    <x v="452"/>
  </r>
  <r>
    <x v="452"/>
  </r>
  <r>
    <x v="429"/>
  </r>
  <r>
    <x v="396"/>
  </r>
  <r>
    <x v="429"/>
  </r>
  <r>
    <x v="452"/>
  </r>
  <r>
    <x v="410"/>
  </r>
  <r>
    <x v="146"/>
  </r>
  <r>
    <x v="146"/>
  </r>
  <r>
    <x v="397"/>
  </r>
  <r>
    <x v="170"/>
  </r>
  <r>
    <x v="146"/>
  </r>
  <r>
    <x v="426"/>
  </r>
  <r>
    <x v="426"/>
  </r>
  <r>
    <x v="426"/>
  </r>
  <r>
    <x v="426"/>
  </r>
  <r>
    <x v="426"/>
  </r>
  <r>
    <x v="400"/>
  </r>
  <r>
    <x v="146"/>
  </r>
  <r>
    <x v="146"/>
  </r>
  <r>
    <x v="146"/>
  </r>
  <r>
    <x v="400"/>
  </r>
  <r>
    <x v="434"/>
  </r>
  <r>
    <x v="146"/>
  </r>
  <r>
    <x v="146"/>
  </r>
  <r>
    <x v="146"/>
  </r>
  <r>
    <x v="387"/>
  </r>
  <r>
    <x v="146"/>
  </r>
  <r>
    <x v="146"/>
  </r>
  <r>
    <x v="146"/>
  </r>
  <r>
    <x v="323"/>
  </r>
  <r>
    <x v="146"/>
  </r>
  <r>
    <x v="388"/>
  </r>
  <r>
    <x v="389"/>
  </r>
  <r>
    <x v="390"/>
  </r>
  <r>
    <x v="391"/>
  </r>
  <r>
    <x v="392"/>
  </r>
  <r>
    <x v="393"/>
  </r>
  <r>
    <x v="394"/>
  </r>
  <r>
    <x v="395"/>
  </r>
  <r>
    <x v="396"/>
  </r>
  <r>
    <x v="397"/>
  </r>
  <r>
    <x v="398"/>
  </r>
  <r>
    <x v="399"/>
  </r>
  <r>
    <x v="400"/>
  </r>
  <r>
    <x v="401"/>
  </r>
  <r>
    <x v="397"/>
  </r>
  <r>
    <x v="146"/>
  </r>
  <r>
    <x v="402"/>
  </r>
  <r>
    <x v="8"/>
  </r>
  <r>
    <x v="170"/>
  </r>
  <r>
    <x v="403"/>
  </r>
  <r>
    <x v="396"/>
  </r>
  <r>
    <x v="404"/>
  </r>
  <r>
    <x v="396"/>
  </r>
  <r>
    <x v="396"/>
  </r>
  <r>
    <x v="396"/>
  </r>
  <r>
    <x v="146"/>
  </r>
  <r>
    <x v="405"/>
  </r>
  <r>
    <x v="405"/>
  </r>
  <r>
    <x v="146"/>
  </r>
  <r>
    <x v="405"/>
  </r>
  <r>
    <x v="405"/>
  </r>
  <r>
    <x v="406"/>
  </r>
  <r>
    <x v="405"/>
  </r>
  <r>
    <x v="405"/>
  </r>
  <r>
    <x v="407"/>
  </r>
  <r>
    <x v="58"/>
  </r>
  <r>
    <x v="408"/>
  </r>
  <r>
    <x v="168"/>
  </r>
  <r>
    <x v="405"/>
  </r>
  <r>
    <x v="146"/>
  </r>
  <r>
    <x v="409"/>
  </r>
  <r>
    <x v="409"/>
  </r>
  <r>
    <x v="146"/>
  </r>
  <r>
    <x v="410"/>
  </r>
  <r>
    <x v="411"/>
  </r>
  <r>
    <x v="146"/>
  </r>
  <r>
    <x v="412"/>
  </r>
  <r>
    <x v="412"/>
  </r>
  <r>
    <x v="412"/>
  </r>
  <r>
    <x v="412"/>
  </r>
  <r>
    <x v="412"/>
  </r>
  <r>
    <x v="400"/>
  </r>
  <r>
    <x v="146"/>
  </r>
  <r>
    <x v="146"/>
  </r>
  <r>
    <x v="412"/>
  </r>
  <r>
    <x v="290"/>
  </r>
  <r>
    <x v="146"/>
  </r>
  <r>
    <x v="146"/>
  </r>
  <r>
    <x v="396"/>
  </r>
  <r>
    <x v="413"/>
  </r>
  <r>
    <x v="396"/>
  </r>
  <r>
    <x v="391"/>
  </r>
  <r>
    <x v="414"/>
  </r>
  <r>
    <x v="415"/>
  </r>
  <r>
    <x v="396"/>
  </r>
  <r>
    <x v="397"/>
  </r>
  <r>
    <x v="396"/>
  </r>
  <r>
    <x v="416"/>
  </r>
  <r>
    <x v="146"/>
  </r>
  <r>
    <x v="146"/>
  </r>
  <r>
    <x v="402"/>
  </r>
  <r>
    <x v="146"/>
  </r>
  <r>
    <x v="417"/>
  </r>
  <r>
    <x v="396"/>
  </r>
  <r>
    <x v="404"/>
  </r>
  <r>
    <x v="418"/>
  </r>
  <r>
    <x v="146"/>
  </r>
  <r>
    <x v="405"/>
  </r>
  <r>
    <x v="146"/>
  </r>
  <r>
    <x v="407"/>
  </r>
  <r>
    <x v="406"/>
  </r>
  <r>
    <x v="405"/>
  </r>
  <r>
    <x v="405"/>
  </r>
  <r>
    <x v="405"/>
  </r>
  <r>
    <x v="405"/>
  </r>
  <r>
    <x v="408"/>
  </r>
  <r>
    <x v="168"/>
  </r>
  <r>
    <x v="405"/>
  </r>
  <r>
    <x v="146"/>
  </r>
  <r>
    <x v="419"/>
  </r>
  <r>
    <x v="420"/>
  </r>
  <r>
    <x v="146"/>
  </r>
  <r>
    <x v="409"/>
  </r>
  <r>
    <x v="409"/>
  </r>
  <r>
    <x v="146"/>
  </r>
  <r>
    <x v="409"/>
  </r>
  <r>
    <x v="410"/>
  </r>
  <r>
    <x v="396"/>
  </r>
  <r>
    <x v="400"/>
  </r>
  <r>
    <x v="146"/>
  </r>
  <r>
    <x v="387"/>
  </r>
  <r>
    <x v="396"/>
  </r>
  <r>
    <x v="413"/>
  </r>
  <r>
    <x v="396"/>
  </r>
  <r>
    <x v="414"/>
  </r>
  <r>
    <x v="421"/>
  </r>
  <r>
    <x v="402"/>
  </r>
  <r>
    <x v="422"/>
  </r>
  <r>
    <x v="423"/>
  </r>
  <r>
    <x v="146"/>
  </r>
  <r>
    <x v="405"/>
  </r>
  <r>
    <x v="146"/>
  </r>
  <r>
    <x v="407"/>
  </r>
  <r>
    <x v="405"/>
  </r>
  <r>
    <x v="405"/>
  </r>
  <r>
    <x v="408"/>
  </r>
  <r>
    <x v="424"/>
  </r>
  <r>
    <x v="425"/>
  </r>
  <r>
    <x v="146"/>
  </r>
  <r>
    <x v="146"/>
  </r>
  <r>
    <x v="8"/>
  </r>
  <r>
    <x v="426"/>
  </r>
  <r>
    <x v="146"/>
  </r>
  <r>
    <x v="413"/>
  </r>
  <r>
    <x v="395"/>
  </r>
  <r>
    <x v="146"/>
  </r>
  <r>
    <x v="402"/>
  </r>
  <r>
    <x v="396"/>
  </r>
  <r>
    <x v="146"/>
  </r>
  <r>
    <x v="405"/>
  </r>
  <r>
    <x v="427"/>
  </r>
  <r>
    <x v="428"/>
  </r>
  <r>
    <x v="429"/>
  </r>
  <r>
    <x v="409"/>
  </r>
  <r>
    <x v="430"/>
  </r>
  <r>
    <x v="431"/>
  </r>
  <r>
    <x v="414"/>
  </r>
  <r>
    <x v="432"/>
  </r>
  <r>
    <x v="390"/>
  </r>
  <r>
    <x v="404"/>
  </r>
  <r>
    <x v="408"/>
  </r>
  <r>
    <x v="433"/>
  </r>
  <r>
    <x v="429"/>
  </r>
  <r>
    <x v="146"/>
  </r>
  <r>
    <x v="410"/>
  </r>
  <r>
    <x v="8"/>
  </r>
  <r>
    <x v="434"/>
  </r>
  <r>
    <x v="435"/>
  </r>
  <r>
    <x v="414"/>
  </r>
  <r>
    <x v="416"/>
  </r>
  <r>
    <x v="436"/>
  </r>
  <r>
    <x v="83"/>
  </r>
  <r>
    <x v="404"/>
  </r>
  <r>
    <x v="408"/>
  </r>
  <r>
    <x v="408"/>
  </r>
  <r>
    <x v="83"/>
  </r>
  <r>
    <x v="434"/>
  </r>
  <r>
    <x v="410"/>
  </r>
  <r>
    <x v="94"/>
  </r>
  <r>
    <x v="396"/>
  </r>
  <r>
    <x v="435"/>
  </r>
  <r>
    <x v="413"/>
  </r>
  <r>
    <x v="436"/>
  </r>
  <r>
    <x v="8"/>
  </r>
  <r>
    <x v="146"/>
  </r>
  <r>
    <x v="396"/>
  </r>
  <r>
    <x v="58"/>
  </r>
  <r>
    <x v="419"/>
  </r>
  <r>
    <x v="83"/>
  </r>
  <r>
    <x v="8"/>
  </r>
  <r>
    <x v="437"/>
  </r>
  <r>
    <x v="413"/>
  </r>
  <r>
    <x v="438"/>
  </r>
  <r>
    <x v="146"/>
  </r>
  <r>
    <x v="94"/>
  </r>
  <r>
    <x v="435"/>
  </r>
  <r>
    <x v="413"/>
  </r>
  <r>
    <x v="439"/>
  </r>
  <r>
    <x v="146"/>
  </r>
  <r>
    <x v="410"/>
  </r>
  <r>
    <x v="8"/>
  </r>
  <r>
    <x v="431"/>
  </r>
  <r>
    <x v="435"/>
  </r>
  <r>
    <x v="413"/>
  </r>
  <r>
    <x v="396"/>
  </r>
  <r>
    <x v="413"/>
  </r>
  <r>
    <x v="396"/>
  </r>
  <r>
    <x v="440"/>
  </r>
  <r>
    <x v="434"/>
  </r>
  <r>
    <x v="435"/>
  </r>
  <r>
    <x v="432"/>
  </r>
  <r>
    <x v="441"/>
  </r>
  <r>
    <x v="390"/>
  </r>
  <r>
    <x v="410"/>
  </r>
  <r>
    <x v="434"/>
  </r>
  <r>
    <x v="94"/>
  </r>
  <r>
    <x v="435"/>
  </r>
  <r>
    <x v="442"/>
  </r>
  <r>
    <x v="431"/>
  </r>
  <r>
    <x v="443"/>
  </r>
  <r>
    <x v="8"/>
  </r>
  <r>
    <x v="434"/>
  </r>
  <r>
    <x v="401"/>
  </r>
  <r>
    <x v="8"/>
  </r>
  <r>
    <x v="434"/>
  </r>
  <r>
    <x v="444"/>
  </r>
  <r>
    <x v="445"/>
  </r>
  <r>
    <x v="434"/>
  </r>
  <r>
    <x v="405"/>
  </r>
  <r>
    <x v="434"/>
  </r>
  <r>
    <x v="431"/>
  </r>
  <r>
    <x v="443"/>
  </r>
  <r>
    <x v="446"/>
  </r>
  <r>
    <x v="434"/>
  </r>
  <r>
    <x v="8"/>
  </r>
  <r>
    <x v="447"/>
  </r>
  <r>
    <x v="8"/>
  </r>
  <r>
    <x v="448"/>
  </r>
  <r>
    <x v="444"/>
  </r>
  <r>
    <x v="449"/>
  </r>
  <r>
    <x v="450"/>
  </r>
  <r>
    <x v="8"/>
  </r>
  <r>
    <x v="8"/>
  </r>
  <r>
    <x v="451"/>
  </r>
  <r>
    <x v="397"/>
  </r>
  <r>
    <x v="434"/>
  </r>
  <r>
    <x v="434"/>
  </r>
  <r>
    <x v="445"/>
  </r>
  <r>
    <x v="396"/>
  </r>
  <r>
    <x v="8"/>
  </r>
  <r>
    <x v="8"/>
  </r>
  <r>
    <x v="434"/>
  </r>
  <r>
    <x v="434"/>
  </r>
  <r>
    <x v="146"/>
  </r>
  <r>
    <x v="413"/>
  </r>
  <r>
    <x v="396"/>
  </r>
  <r>
    <x v="397"/>
  </r>
  <r>
    <x v="396"/>
  </r>
  <r>
    <x v="396"/>
  </r>
  <r>
    <x v="452"/>
  </r>
  <r>
    <x v="453"/>
  </r>
  <r>
    <x v="413"/>
  </r>
  <r>
    <x v="146"/>
  </r>
  <r>
    <x v="8"/>
  </r>
  <r>
    <x v="454"/>
  </r>
  <r>
    <x v="8"/>
  </r>
  <r>
    <x v="396"/>
  </r>
  <r>
    <x v="452"/>
  </r>
  <r>
    <x v="396"/>
  </r>
  <r>
    <x v="452"/>
  </r>
  <r>
    <x v="452"/>
  </r>
  <r>
    <x v="396"/>
  </r>
  <r>
    <x v="405"/>
  </r>
  <r>
    <x v="405"/>
  </r>
  <r>
    <x v="405"/>
  </r>
  <r>
    <x v="453"/>
  </r>
  <r>
    <x v="8"/>
  </r>
  <r>
    <x v="429"/>
  </r>
  <r>
    <x v="434"/>
  </r>
  <r>
    <x v="455"/>
  </r>
  <r>
    <x v="436"/>
  </r>
  <r>
    <x v="451"/>
  </r>
  <r>
    <x v="397"/>
  </r>
  <r>
    <x v="397"/>
  </r>
  <r>
    <x v="397"/>
  </r>
  <r>
    <x v="397"/>
  </r>
  <r>
    <x v="397"/>
  </r>
  <r>
    <x v="434"/>
  </r>
  <r>
    <x v="445"/>
  </r>
  <r>
    <x v="8"/>
  </r>
  <r>
    <x v="434"/>
  </r>
  <r>
    <x v="452"/>
  </r>
  <r>
    <x v="392"/>
  </r>
  <r>
    <x v="456"/>
  </r>
  <r>
    <x v="452"/>
  </r>
  <r>
    <x v="8"/>
  </r>
  <r>
    <x v="454"/>
  </r>
  <r>
    <x v="452"/>
  </r>
  <r>
    <x v="457"/>
  </r>
  <r>
    <x v="452"/>
  </r>
  <r>
    <x v="396"/>
  </r>
  <r>
    <x v="405"/>
  </r>
  <r>
    <x v="8"/>
  </r>
  <r>
    <x v="425"/>
  </r>
  <r>
    <x v="444"/>
  </r>
  <r>
    <x v="453"/>
  </r>
  <r>
    <x v="434"/>
  </r>
  <r>
    <x v="453"/>
  </r>
  <r>
    <x v="397"/>
  </r>
  <r>
    <x v="434"/>
  </r>
  <r>
    <x v="392"/>
  </r>
  <r>
    <x v="396"/>
  </r>
  <r>
    <x v="396"/>
  </r>
  <r>
    <x v="405"/>
  </r>
  <r>
    <x v="168"/>
  </r>
  <r>
    <x v="8"/>
  </r>
  <r>
    <x v="455"/>
  </r>
  <r>
    <x v="455"/>
  </r>
  <r>
    <x v="450"/>
  </r>
  <r>
    <x v="399"/>
  </r>
  <r>
    <x v="453"/>
  </r>
  <r>
    <x v="396"/>
  </r>
  <r>
    <x v="408"/>
  </r>
  <r>
    <x v="455"/>
  </r>
  <r>
    <x v="451"/>
  </r>
  <r>
    <x v="388"/>
  </r>
  <r>
    <x v="457"/>
  </r>
  <r>
    <x v="396"/>
  </r>
  <r>
    <x v="146"/>
  </r>
  <r>
    <x v="399"/>
  </r>
  <r>
    <x v="458"/>
  </r>
  <r>
    <x v="410"/>
  </r>
  <r>
    <x v="396"/>
  </r>
  <r>
    <x v="437"/>
  </r>
  <r>
    <x v="8"/>
  </r>
  <r>
    <x v="399"/>
  </r>
  <r>
    <x v="451"/>
  </r>
  <r>
    <x v="458"/>
  </r>
  <r>
    <x v="399"/>
  </r>
  <r>
    <x v="459"/>
  </r>
  <r>
    <x v="460"/>
  </r>
  <r>
    <x v="396"/>
  </r>
  <r>
    <x v="454"/>
  </r>
  <r>
    <x v="453"/>
  </r>
  <r>
    <x v="434"/>
  </r>
  <r>
    <x v="399"/>
  </r>
  <r>
    <x v="429"/>
  </r>
  <r>
    <x v="458"/>
  </r>
  <r>
    <x v="461"/>
  </r>
  <r>
    <x v="396"/>
  </r>
  <r>
    <x v="396"/>
  </r>
  <r>
    <x v="399"/>
  </r>
  <r>
    <x v="399"/>
  </r>
  <r>
    <x v="461"/>
  </r>
  <r>
    <x v="461"/>
  </r>
  <r>
    <x v="396"/>
  </r>
  <r>
    <x v="452"/>
  </r>
  <r>
    <x v="392"/>
  </r>
  <r>
    <x v="82"/>
  </r>
  <r>
    <x v="396"/>
  </r>
  <r>
    <x v="452"/>
  </r>
  <r>
    <x v="462"/>
  </r>
  <r>
    <x v="452"/>
  </r>
  <r>
    <x v="462"/>
  </r>
  <r>
    <x v="452"/>
  </r>
  <r>
    <x v="409"/>
  </r>
  <r>
    <x v="82"/>
  </r>
  <r>
    <x v="396"/>
  </r>
  <r>
    <x v="452"/>
  </r>
  <r>
    <x v="8"/>
  </r>
  <r>
    <x v="463"/>
  </r>
  <r>
    <x v="452"/>
  </r>
  <r>
    <x v="452"/>
  </r>
  <r>
    <x v="409"/>
  </r>
  <r>
    <x v="454"/>
  </r>
  <r>
    <x v="396"/>
  </r>
  <r>
    <x v="452"/>
  </r>
  <r>
    <x v="392"/>
  </r>
  <r>
    <x v="452"/>
  </r>
  <r>
    <x v="82"/>
  </r>
  <r>
    <x v="434"/>
  </r>
  <r>
    <x v="417"/>
  </r>
  <r>
    <x v="452"/>
  </r>
  <r>
    <x v="396"/>
  </r>
  <r>
    <x v="434"/>
  </r>
  <r>
    <x v="464"/>
  </r>
  <r>
    <x v="452"/>
  </r>
  <r>
    <x v="452"/>
  </r>
  <r>
    <x v="464"/>
  </r>
  <r>
    <x v="464"/>
  </r>
  <r>
    <x v="452"/>
  </r>
  <r>
    <x v="452"/>
  </r>
  <r>
    <x v="429"/>
  </r>
  <r>
    <x v="396"/>
  </r>
  <r>
    <x v="429"/>
  </r>
  <r>
    <x v="452"/>
  </r>
  <r>
    <x v="410"/>
  </r>
  <r>
    <x v="146"/>
  </r>
  <r>
    <x v="146"/>
  </r>
  <r>
    <x v="397"/>
  </r>
  <r>
    <x v="170"/>
  </r>
  <r>
    <x v="146"/>
  </r>
  <r>
    <x v="426"/>
  </r>
  <r>
    <x v="426"/>
  </r>
  <r>
    <x v="426"/>
  </r>
  <r>
    <x v="426"/>
  </r>
  <r>
    <x v="426"/>
  </r>
  <r>
    <x v="400"/>
  </r>
  <r>
    <x v="146"/>
  </r>
  <r>
    <x v="146"/>
  </r>
  <r>
    <x v="146"/>
  </r>
  <r>
    <x v="400"/>
  </r>
  <r>
    <x v="434"/>
  </r>
  <r>
    <x v="146"/>
  </r>
  <r>
    <x v="146"/>
  </r>
  <r>
    <x v="146"/>
  </r>
  <r>
    <x v="387"/>
  </r>
  <r>
    <x v="146"/>
  </r>
  <r>
    <x v="146"/>
  </r>
  <r>
    <x v="146"/>
  </r>
  <r>
    <x v="323"/>
  </r>
  <r>
    <x v="146"/>
  </r>
  <r>
    <x v="388"/>
  </r>
  <r>
    <x v="389"/>
  </r>
  <r>
    <x v="390"/>
  </r>
  <r>
    <x v="391"/>
  </r>
  <r>
    <x v="392"/>
  </r>
  <r>
    <x v="393"/>
  </r>
  <r>
    <x v="394"/>
  </r>
  <r>
    <x v="395"/>
  </r>
  <r>
    <x v="396"/>
  </r>
  <r>
    <x v="397"/>
  </r>
  <r>
    <x v="398"/>
  </r>
  <r>
    <x v="399"/>
  </r>
  <r>
    <x v="400"/>
  </r>
  <r>
    <x v="401"/>
  </r>
  <r>
    <x v="397"/>
  </r>
  <r>
    <x v="146"/>
  </r>
  <r>
    <x v="402"/>
  </r>
  <r>
    <x v="8"/>
  </r>
  <r>
    <x v="170"/>
  </r>
  <r>
    <x v="403"/>
  </r>
  <r>
    <x v="396"/>
  </r>
  <r>
    <x v="404"/>
  </r>
  <r>
    <x v="396"/>
  </r>
  <r>
    <x v="396"/>
  </r>
  <r>
    <x v="396"/>
  </r>
  <r>
    <x v="146"/>
  </r>
  <r>
    <x v="405"/>
  </r>
  <r>
    <x v="405"/>
  </r>
  <r>
    <x v="146"/>
  </r>
  <r>
    <x v="405"/>
  </r>
  <r>
    <x v="405"/>
  </r>
  <r>
    <x v="406"/>
  </r>
  <r>
    <x v="405"/>
  </r>
  <r>
    <x v="405"/>
  </r>
  <r>
    <x v="407"/>
  </r>
  <r>
    <x v="58"/>
  </r>
  <r>
    <x v="408"/>
  </r>
  <r>
    <x v="168"/>
  </r>
  <r>
    <x v="405"/>
  </r>
  <r>
    <x v="146"/>
  </r>
  <r>
    <x v="409"/>
  </r>
  <r>
    <x v="409"/>
  </r>
  <r>
    <x v="146"/>
  </r>
  <r>
    <x v="410"/>
  </r>
  <r>
    <x v="411"/>
  </r>
  <r>
    <x v="146"/>
  </r>
  <r>
    <x v="412"/>
  </r>
  <r>
    <x v="412"/>
  </r>
  <r>
    <x v="412"/>
  </r>
  <r>
    <x v="412"/>
  </r>
  <r>
    <x v="412"/>
  </r>
  <r>
    <x v="400"/>
  </r>
  <r>
    <x v="146"/>
  </r>
  <r>
    <x v="146"/>
  </r>
  <r>
    <x v="412"/>
  </r>
  <r>
    <x v="290"/>
  </r>
  <r>
    <x v="146"/>
  </r>
  <r>
    <x v="146"/>
  </r>
  <r>
    <x v="396"/>
  </r>
  <r>
    <x v="413"/>
  </r>
  <r>
    <x v="396"/>
  </r>
  <r>
    <x v="391"/>
  </r>
  <r>
    <x v="414"/>
  </r>
  <r>
    <x v="415"/>
  </r>
  <r>
    <x v="396"/>
  </r>
  <r>
    <x v="397"/>
  </r>
  <r>
    <x v="396"/>
  </r>
  <r>
    <x v="416"/>
  </r>
  <r>
    <x v="146"/>
  </r>
  <r>
    <x v="146"/>
  </r>
  <r>
    <x v="402"/>
  </r>
  <r>
    <x v="146"/>
  </r>
  <r>
    <x v="417"/>
  </r>
  <r>
    <x v="396"/>
  </r>
  <r>
    <x v="404"/>
  </r>
  <r>
    <x v="418"/>
  </r>
  <r>
    <x v="146"/>
  </r>
  <r>
    <x v="405"/>
  </r>
  <r>
    <x v="146"/>
  </r>
  <r>
    <x v="407"/>
  </r>
  <r>
    <x v="406"/>
  </r>
  <r>
    <x v="405"/>
  </r>
  <r>
    <x v="405"/>
  </r>
  <r>
    <x v="405"/>
  </r>
  <r>
    <x v="405"/>
  </r>
  <r>
    <x v="408"/>
  </r>
  <r>
    <x v="168"/>
  </r>
  <r>
    <x v="405"/>
  </r>
  <r>
    <x v="146"/>
  </r>
  <r>
    <x v="419"/>
  </r>
  <r>
    <x v="420"/>
  </r>
  <r>
    <x v="146"/>
  </r>
  <r>
    <x v="409"/>
  </r>
  <r>
    <x v="409"/>
  </r>
  <r>
    <x v="146"/>
  </r>
  <r>
    <x v="409"/>
  </r>
  <r>
    <x v="410"/>
  </r>
  <r>
    <x v="396"/>
  </r>
  <r>
    <x v="400"/>
  </r>
  <r>
    <x v="146"/>
  </r>
  <r>
    <x v="387"/>
  </r>
  <r>
    <x v="396"/>
  </r>
  <r>
    <x v="413"/>
  </r>
  <r>
    <x v="396"/>
  </r>
  <r>
    <x v="414"/>
  </r>
  <r>
    <x v="421"/>
  </r>
  <r>
    <x v="402"/>
  </r>
  <r>
    <x v="422"/>
  </r>
  <r>
    <x v="423"/>
  </r>
  <r>
    <x v="146"/>
  </r>
  <r>
    <x v="405"/>
  </r>
  <r>
    <x v="146"/>
  </r>
  <r>
    <x v="407"/>
  </r>
  <r>
    <x v="405"/>
  </r>
  <r>
    <x v="405"/>
  </r>
  <r>
    <x v="408"/>
  </r>
  <r>
    <x v="424"/>
  </r>
  <r>
    <x v="425"/>
  </r>
  <r>
    <x v="146"/>
  </r>
  <r>
    <x v="146"/>
  </r>
  <r>
    <x v="8"/>
  </r>
  <r>
    <x v="426"/>
  </r>
  <r>
    <x v="146"/>
  </r>
  <r>
    <x v="413"/>
  </r>
  <r>
    <x v="395"/>
  </r>
  <r>
    <x v="146"/>
  </r>
  <r>
    <x v="402"/>
  </r>
  <r>
    <x v="396"/>
  </r>
  <r>
    <x v="146"/>
  </r>
  <r>
    <x v="405"/>
  </r>
  <r>
    <x v="427"/>
  </r>
  <r>
    <x v="428"/>
  </r>
  <r>
    <x v="429"/>
  </r>
  <r>
    <x v="409"/>
  </r>
  <r>
    <x v="430"/>
  </r>
  <r>
    <x v="431"/>
  </r>
  <r>
    <x v="414"/>
  </r>
  <r>
    <x v="432"/>
  </r>
  <r>
    <x v="390"/>
  </r>
  <r>
    <x v="404"/>
  </r>
  <r>
    <x v="408"/>
  </r>
  <r>
    <x v="433"/>
  </r>
  <r>
    <x v="429"/>
  </r>
  <r>
    <x v="146"/>
  </r>
  <r>
    <x v="410"/>
  </r>
  <r>
    <x v="8"/>
  </r>
  <r>
    <x v="434"/>
  </r>
  <r>
    <x v="435"/>
  </r>
  <r>
    <x v="414"/>
  </r>
  <r>
    <x v="416"/>
  </r>
  <r>
    <x v="436"/>
  </r>
  <r>
    <x v="83"/>
  </r>
  <r>
    <x v="404"/>
  </r>
  <r>
    <x v="408"/>
  </r>
  <r>
    <x v="408"/>
  </r>
  <r>
    <x v="83"/>
  </r>
  <r>
    <x v="434"/>
  </r>
  <r>
    <x v="410"/>
  </r>
  <r>
    <x v="94"/>
  </r>
  <r>
    <x v="396"/>
  </r>
  <r>
    <x v="435"/>
  </r>
  <r>
    <x v="413"/>
  </r>
  <r>
    <x v="436"/>
  </r>
  <r>
    <x v="8"/>
  </r>
  <r>
    <x v="146"/>
  </r>
  <r>
    <x v="396"/>
  </r>
  <r>
    <x v="58"/>
  </r>
  <r>
    <x v="419"/>
  </r>
  <r>
    <x v="83"/>
  </r>
  <r>
    <x v="8"/>
  </r>
  <r>
    <x v="437"/>
  </r>
  <r>
    <x v="413"/>
  </r>
  <r>
    <x v="438"/>
  </r>
  <r>
    <x v="146"/>
  </r>
  <r>
    <x v="94"/>
  </r>
  <r>
    <x v="435"/>
  </r>
  <r>
    <x v="413"/>
  </r>
  <r>
    <x v="439"/>
  </r>
  <r>
    <x v="146"/>
  </r>
  <r>
    <x v="410"/>
  </r>
  <r>
    <x v="8"/>
  </r>
  <r>
    <x v="431"/>
  </r>
  <r>
    <x v="435"/>
  </r>
  <r>
    <x v="413"/>
  </r>
  <r>
    <x v="396"/>
  </r>
  <r>
    <x v="413"/>
  </r>
  <r>
    <x v="396"/>
  </r>
  <r>
    <x v="440"/>
  </r>
  <r>
    <x v="434"/>
  </r>
  <r>
    <x v="435"/>
  </r>
  <r>
    <x v="432"/>
  </r>
  <r>
    <x v="441"/>
  </r>
  <r>
    <x v="390"/>
  </r>
  <r>
    <x v="410"/>
  </r>
  <r>
    <x v="434"/>
  </r>
  <r>
    <x v="94"/>
  </r>
  <r>
    <x v="435"/>
  </r>
  <r>
    <x v="442"/>
  </r>
  <r>
    <x v="431"/>
  </r>
  <r>
    <x v="443"/>
  </r>
  <r>
    <x v="8"/>
  </r>
  <r>
    <x v="434"/>
  </r>
  <r>
    <x v="401"/>
  </r>
  <r>
    <x v="8"/>
  </r>
  <r>
    <x v="434"/>
  </r>
  <r>
    <x v="444"/>
  </r>
  <r>
    <x v="445"/>
  </r>
  <r>
    <x v="434"/>
  </r>
  <r>
    <x v="405"/>
  </r>
  <r>
    <x v="434"/>
  </r>
  <r>
    <x v="431"/>
  </r>
  <r>
    <x v="443"/>
  </r>
  <r>
    <x v="446"/>
  </r>
  <r>
    <x v="434"/>
  </r>
  <r>
    <x v="8"/>
  </r>
  <r>
    <x v="447"/>
  </r>
  <r>
    <x v="8"/>
  </r>
  <r>
    <x v="448"/>
  </r>
  <r>
    <x v="444"/>
  </r>
  <r>
    <x v="449"/>
  </r>
  <r>
    <x v="450"/>
  </r>
  <r>
    <x v="8"/>
  </r>
  <r>
    <x v="8"/>
  </r>
  <r>
    <x v="451"/>
  </r>
  <r>
    <x v="397"/>
  </r>
  <r>
    <x v="434"/>
  </r>
  <r>
    <x v="434"/>
  </r>
  <r>
    <x v="445"/>
  </r>
  <r>
    <x v="396"/>
  </r>
  <r>
    <x v="8"/>
  </r>
  <r>
    <x v="8"/>
  </r>
  <r>
    <x v="434"/>
  </r>
  <r>
    <x v="434"/>
  </r>
  <r>
    <x v="146"/>
  </r>
  <r>
    <x v="413"/>
  </r>
  <r>
    <x v="396"/>
  </r>
  <r>
    <x v="397"/>
  </r>
  <r>
    <x v="396"/>
  </r>
  <r>
    <x v="396"/>
  </r>
  <r>
    <x v="452"/>
  </r>
  <r>
    <x v="453"/>
  </r>
  <r>
    <x v="413"/>
  </r>
  <r>
    <x v="146"/>
  </r>
  <r>
    <x v="8"/>
  </r>
  <r>
    <x v="454"/>
  </r>
  <r>
    <x v="8"/>
  </r>
  <r>
    <x v="396"/>
  </r>
  <r>
    <x v="452"/>
  </r>
  <r>
    <x v="396"/>
  </r>
  <r>
    <x v="452"/>
  </r>
  <r>
    <x v="452"/>
  </r>
  <r>
    <x v="396"/>
  </r>
  <r>
    <x v="405"/>
  </r>
  <r>
    <x v="405"/>
  </r>
  <r>
    <x v="405"/>
  </r>
  <r>
    <x v="453"/>
  </r>
  <r>
    <x v="8"/>
  </r>
  <r>
    <x v="429"/>
  </r>
  <r>
    <x v="434"/>
  </r>
  <r>
    <x v="455"/>
  </r>
  <r>
    <x v="436"/>
  </r>
  <r>
    <x v="451"/>
  </r>
  <r>
    <x v="397"/>
  </r>
  <r>
    <x v="397"/>
  </r>
  <r>
    <x v="397"/>
  </r>
  <r>
    <x v="397"/>
  </r>
  <r>
    <x v="397"/>
  </r>
  <r>
    <x v="434"/>
  </r>
  <r>
    <x v="445"/>
  </r>
  <r>
    <x v="8"/>
  </r>
  <r>
    <x v="434"/>
  </r>
  <r>
    <x v="452"/>
  </r>
  <r>
    <x v="392"/>
  </r>
  <r>
    <x v="456"/>
  </r>
  <r>
    <x v="452"/>
  </r>
  <r>
    <x v="8"/>
  </r>
  <r>
    <x v="454"/>
  </r>
  <r>
    <x v="452"/>
  </r>
  <r>
    <x v="457"/>
  </r>
  <r>
    <x v="452"/>
  </r>
  <r>
    <x v="396"/>
  </r>
  <r>
    <x v="405"/>
  </r>
  <r>
    <x v="8"/>
  </r>
  <r>
    <x v="425"/>
  </r>
  <r>
    <x v="444"/>
  </r>
  <r>
    <x v="453"/>
  </r>
  <r>
    <x v="434"/>
  </r>
  <r>
    <x v="453"/>
  </r>
  <r>
    <x v="397"/>
  </r>
  <r>
    <x v="434"/>
  </r>
  <r>
    <x v="392"/>
  </r>
  <r>
    <x v="396"/>
  </r>
  <r>
    <x v="396"/>
  </r>
  <r>
    <x v="405"/>
  </r>
  <r>
    <x v="168"/>
  </r>
  <r>
    <x v="8"/>
  </r>
  <r>
    <x v="455"/>
  </r>
  <r>
    <x v="455"/>
  </r>
  <r>
    <x v="450"/>
  </r>
  <r>
    <x v="399"/>
  </r>
  <r>
    <x v="453"/>
  </r>
  <r>
    <x v="396"/>
  </r>
  <r>
    <x v="408"/>
  </r>
  <r>
    <x v="455"/>
  </r>
  <r>
    <x v="451"/>
  </r>
  <r>
    <x v="388"/>
  </r>
  <r>
    <x v="457"/>
  </r>
  <r>
    <x v="396"/>
  </r>
  <r>
    <x v="146"/>
  </r>
  <r>
    <x v="399"/>
  </r>
  <r>
    <x v="458"/>
  </r>
  <r>
    <x v="410"/>
  </r>
  <r>
    <x v="396"/>
  </r>
  <r>
    <x v="437"/>
  </r>
  <r>
    <x v="8"/>
  </r>
  <r>
    <x v="399"/>
  </r>
  <r>
    <x v="451"/>
  </r>
  <r>
    <x v="458"/>
  </r>
  <r>
    <x v="399"/>
  </r>
  <r>
    <x v="459"/>
  </r>
  <r>
    <x v="460"/>
  </r>
  <r>
    <x v="396"/>
  </r>
  <r>
    <x v="454"/>
  </r>
  <r>
    <x v="453"/>
  </r>
  <r>
    <x v="434"/>
  </r>
  <r>
    <x v="399"/>
  </r>
  <r>
    <x v="429"/>
  </r>
  <r>
    <x v="458"/>
  </r>
  <r>
    <x v="461"/>
  </r>
  <r>
    <x v="396"/>
  </r>
  <r>
    <x v="396"/>
  </r>
  <r>
    <x v="399"/>
  </r>
  <r>
    <x v="399"/>
  </r>
  <r>
    <x v="461"/>
  </r>
  <r>
    <x v="461"/>
  </r>
  <r>
    <x v="396"/>
  </r>
  <r>
    <x v="452"/>
  </r>
  <r>
    <x v="392"/>
  </r>
  <r>
    <x v="82"/>
  </r>
  <r>
    <x v="396"/>
  </r>
  <r>
    <x v="452"/>
  </r>
  <r>
    <x v="462"/>
  </r>
  <r>
    <x v="452"/>
  </r>
  <r>
    <x v="462"/>
  </r>
  <r>
    <x v="452"/>
  </r>
  <r>
    <x v="409"/>
  </r>
  <r>
    <x v="82"/>
  </r>
  <r>
    <x v="396"/>
  </r>
  <r>
    <x v="452"/>
  </r>
  <r>
    <x v="8"/>
  </r>
  <r>
    <x v="463"/>
  </r>
  <r>
    <x v="452"/>
  </r>
  <r>
    <x v="452"/>
  </r>
  <r>
    <x v="409"/>
  </r>
  <r>
    <x v="454"/>
  </r>
  <r>
    <x v="396"/>
  </r>
  <r>
    <x v="452"/>
  </r>
  <r>
    <x v="392"/>
  </r>
  <r>
    <x v="452"/>
  </r>
  <r>
    <x v="82"/>
  </r>
  <r>
    <x v="434"/>
  </r>
  <r>
    <x v="417"/>
  </r>
  <r>
    <x v="452"/>
  </r>
  <r>
    <x v="396"/>
  </r>
  <r>
    <x v="434"/>
  </r>
  <r>
    <x v="464"/>
  </r>
  <r>
    <x v="452"/>
  </r>
  <r>
    <x v="452"/>
  </r>
  <r>
    <x v="464"/>
  </r>
  <r>
    <x v="464"/>
  </r>
  <r>
    <x v="452"/>
  </r>
  <r>
    <x v="452"/>
  </r>
  <r>
    <x v="429"/>
  </r>
  <r>
    <x v="396"/>
  </r>
  <r>
    <x v="429"/>
  </r>
  <r>
    <x v="452"/>
  </r>
  <r>
    <x v="410"/>
  </r>
  <r>
    <x v="146"/>
  </r>
  <r>
    <x v="146"/>
  </r>
  <r>
    <x v="397"/>
  </r>
  <r>
    <x v="170"/>
  </r>
  <r>
    <x v="146"/>
  </r>
  <r>
    <x v="426"/>
  </r>
  <r>
    <x v="426"/>
  </r>
  <r>
    <x v="426"/>
  </r>
  <r>
    <x v="426"/>
  </r>
  <r>
    <x v="426"/>
  </r>
  <r>
    <x v="400"/>
  </r>
  <r>
    <x v="146"/>
  </r>
  <r>
    <x v="146"/>
  </r>
  <r>
    <x v="146"/>
  </r>
  <r>
    <x v="400"/>
  </r>
  <r>
    <x v="434"/>
  </r>
  <r>
    <x v="146"/>
  </r>
  <r>
    <x v="146"/>
  </r>
  <r>
    <x v="146"/>
  </r>
  <r>
    <x v="387"/>
  </r>
  <r>
    <x v="146"/>
  </r>
  <r>
    <x v="146"/>
  </r>
  <r>
    <x v="146"/>
  </r>
  <r>
    <x v="323"/>
  </r>
  <r>
    <x v="146"/>
  </r>
  <r>
    <x v="388"/>
  </r>
  <r>
    <x v="389"/>
  </r>
  <r>
    <x v="390"/>
  </r>
  <r>
    <x v="391"/>
  </r>
  <r>
    <x v="392"/>
  </r>
  <r>
    <x v="393"/>
  </r>
  <r>
    <x v="394"/>
  </r>
  <r>
    <x v="395"/>
  </r>
  <r>
    <x v="396"/>
  </r>
  <r>
    <x v="397"/>
  </r>
  <r>
    <x v="398"/>
  </r>
  <r>
    <x v="399"/>
  </r>
  <r>
    <x v="400"/>
  </r>
  <r>
    <x v="401"/>
  </r>
  <r>
    <x v="397"/>
  </r>
  <r>
    <x v="146"/>
  </r>
  <r>
    <x v="402"/>
  </r>
  <r>
    <x v="8"/>
  </r>
  <r>
    <x v="170"/>
  </r>
  <r>
    <x v="403"/>
  </r>
  <r>
    <x v="396"/>
  </r>
  <r>
    <x v="404"/>
  </r>
  <r>
    <x v="396"/>
  </r>
  <r>
    <x v="396"/>
  </r>
  <r>
    <x v="396"/>
  </r>
  <r>
    <x v="146"/>
  </r>
  <r>
    <x v="405"/>
  </r>
  <r>
    <x v="405"/>
  </r>
  <r>
    <x v="146"/>
  </r>
  <r>
    <x v="405"/>
  </r>
  <r>
    <x v="405"/>
  </r>
  <r>
    <x v="406"/>
  </r>
  <r>
    <x v="405"/>
  </r>
  <r>
    <x v="405"/>
  </r>
  <r>
    <x v="407"/>
  </r>
  <r>
    <x v="58"/>
  </r>
  <r>
    <x v="408"/>
  </r>
  <r>
    <x v="168"/>
  </r>
  <r>
    <x v="405"/>
  </r>
  <r>
    <x v="146"/>
  </r>
  <r>
    <x v="409"/>
  </r>
  <r>
    <x v="409"/>
  </r>
  <r>
    <x v="146"/>
  </r>
  <r>
    <x v="410"/>
  </r>
  <r>
    <x v="411"/>
  </r>
  <r>
    <x v="146"/>
  </r>
  <r>
    <x v="412"/>
  </r>
  <r>
    <x v="412"/>
  </r>
  <r>
    <x v="412"/>
  </r>
  <r>
    <x v="412"/>
  </r>
  <r>
    <x v="412"/>
  </r>
  <r>
    <x v="400"/>
  </r>
  <r>
    <x v="146"/>
  </r>
  <r>
    <x v="146"/>
  </r>
  <r>
    <x v="412"/>
  </r>
  <r>
    <x v="290"/>
  </r>
  <r>
    <x v="146"/>
  </r>
  <r>
    <x v="146"/>
  </r>
  <r>
    <x v="396"/>
  </r>
  <r>
    <x v="413"/>
  </r>
  <r>
    <x v="396"/>
  </r>
  <r>
    <x v="391"/>
  </r>
  <r>
    <x v="414"/>
  </r>
  <r>
    <x v="415"/>
  </r>
  <r>
    <x v="396"/>
  </r>
  <r>
    <x v="397"/>
  </r>
  <r>
    <x v="396"/>
  </r>
  <r>
    <x v="416"/>
  </r>
  <r>
    <x v="146"/>
  </r>
  <r>
    <x v="146"/>
  </r>
  <r>
    <x v="402"/>
  </r>
  <r>
    <x v="146"/>
  </r>
  <r>
    <x v="417"/>
  </r>
  <r>
    <x v="396"/>
  </r>
  <r>
    <x v="404"/>
  </r>
  <r>
    <x v="418"/>
  </r>
  <r>
    <x v="146"/>
  </r>
  <r>
    <x v="405"/>
  </r>
  <r>
    <x v="146"/>
  </r>
  <r>
    <x v="407"/>
  </r>
  <r>
    <x v="406"/>
  </r>
  <r>
    <x v="405"/>
  </r>
  <r>
    <x v="405"/>
  </r>
  <r>
    <x v="405"/>
  </r>
  <r>
    <x v="405"/>
  </r>
  <r>
    <x v="408"/>
  </r>
  <r>
    <x v="168"/>
  </r>
  <r>
    <x v="405"/>
  </r>
  <r>
    <x v="146"/>
  </r>
  <r>
    <x v="419"/>
  </r>
  <r>
    <x v="420"/>
  </r>
  <r>
    <x v="146"/>
  </r>
  <r>
    <x v="409"/>
  </r>
  <r>
    <x v="409"/>
  </r>
  <r>
    <x v="146"/>
  </r>
  <r>
    <x v="409"/>
  </r>
  <r>
    <x v="410"/>
  </r>
  <r>
    <x v="396"/>
  </r>
  <r>
    <x v="400"/>
  </r>
  <r>
    <x v="146"/>
  </r>
  <r>
    <x v="387"/>
  </r>
  <r>
    <x v="396"/>
  </r>
  <r>
    <x v="413"/>
  </r>
  <r>
    <x v="396"/>
  </r>
  <r>
    <x v="414"/>
  </r>
  <r>
    <x v="421"/>
  </r>
  <r>
    <x v="402"/>
  </r>
  <r>
    <x v="422"/>
  </r>
  <r>
    <x v="423"/>
  </r>
  <r>
    <x v="146"/>
  </r>
  <r>
    <x v="405"/>
  </r>
  <r>
    <x v="146"/>
  </r>
  <r>
    <x v="407"/>
  </r>
  <r>
    <x v="405"/>
  </r>
  <r>
    <x v="405"/>
  </r>
  <r>
    <x v="408"/>
  </r>
  <r>
    <x v="424"/>
  </r>
  <r>
    <x v="425"/>
  </r>
  <r>
    <x v="146"/>
  </r>
  <r>
    <x v="146"/>
  </r>
  <r>
    <x v="8"/>
  </r>
  <r>
    <x v="426"/>
  </r>
  <r>
    <x v="146"/>
  </r>
  <r>
    <x v="413"/>
  </r>
  <r>
    <x v="395"/>
  </r>
  <r>
    <x v="146"/>
  </r>
  <r>
    <x v="402"/>
  </r>
  <r>
    <x v="396"/>
  </r>
  <r>
    <x v="146"/>
  </r>
  <r>
    <x v="405"/>
  </r>
  <r>
    <x v="427"/>
  </r>
  <r>
    <x v="428"/>
  </r>
  <r>
    <x v="429"/>
  </r>
  <r>
    <x v="409"/>
  </r>
  <r>
    <x v="430"/>
  </r>
  <r>
    <x v="431"/>
  </r>
  <r>
    <x v="414"/>
  </r>
  <r>
    <x v="432"/>
  </r>
  <r>
    <x v="390"/>
  </r>
  <r>
    <x v="404"/>
  </r>
  <r>
    <x v="408"/>
  </r>
  <r>
    <x v="433"/>
  </r>
  <r>
    <x v="429"/>
  </r>
  <r>
    <x v="146"/>
  </r>
  <r>
    <x v="410"/>
  </r>
  <r>
    <x v="8"/>
  </r>
  <r>
    <x v="434"/>
  </r>
  <r>
    <x v="435"/>
  </r>
  <r>
    <x v="414"/>
  </r>
  <r>
    <x v="416"/>
  </r>
  <r>
    <x v="436"/>
  </r>
  <r>
    <x v="83"/>
  </r>
  <r>
    <x v="404"/>
  </r>
  <r>
    <x v="408"/>
  </r>
  <r>
    <x v="408"/>
  </r>
  <r>
    <x v="83"/>
  </r>
  <r>
    <x v="434"/>
  </r>
  <r>
    <x v="410"/>
  </r>
  <r>
    <x v="94"/>
  </r>
  <r>
    <x v="396"/>
  </r>
  <r>
    <x v="435"/>
  </r>
  <r>
    <x v="413"/>
  </r>
  <r>
    <x v="436"/>
  </r>
  <r>
    <x v="8"/>
  </r>
  <r>
    <x v="146"/>
  </r>
  <r>
    <x v="396"/>
  </r>
  <r>
    <x v="58"/>
  </r>
  <r>
    <x v="419"/>
  </r>
  <r>
    <x v="83"/>
  </r>
  <r>
    <x v="8"/>
  </r>
  <r>
    <x v="437"/>
  </r>
  <r>
    <x v="413"/>
  </r>
  <r>
    <x v="438"/>
  </r>
  <r>
    <x v="146"/>
  </r>
  <r>
    <x v="94"/>
  </r>
  <r>
    <x v="435"/>
  </r>
  <r>
    <x v="413"/>
  </r>
  <r>
    <x v="439"/>
  </r>
  <r>
    <x v="146"/>
  </r>
  <r>
    <x v="410"/>
  </r>
  <r>
    <x v="8"/>
  </r>
  <r>
    <x v="431"/>
  </r>
  <r>
    <x v="435"/>
  </r>
  <r>
    <x v="413"/>
  </r>
  <r>
    <x v="396"/>
  </r>
  <r>
    <x v="413"/>
  </r>
  <r>
    <x v="396"/>
  </r>
  <r>
    <x v="440"/>
  </r>
  <r>
    <x v="434"/>
  </r>
  <r>
    <x v="435"/>
  </r>
  <r>
    <x v="432"/>
  </r>
  <r>
    <x v="441"/>
  </r>
  <r>
    <x v="390"/>
  </r>
  <r>
    <x v="410"/>
  </r>
  <r>
    <x v="434"/>
  </r>
  <r>
    <x v="94"/>
  </r>
  <r>
    <x v="435"/>
  </r>
  <r>
    <x v="442"/>
  </r>
  <r>
    <x v="431"/>
  </r>
  <r>
    <x v="443"/>
  </r>
  <r>
    <x v="8"/>
  </r>
  <r>
    <x v="434"/>
  </r>
  <r>
    <x v="401"/>
  </r>
  <r>
    <x v="8"/>
  </r>
  <r>
    <x v="434"/>
  </r>
  <r>
    <x v="444"/>
  </r>
  <r>
    <x v="445"/>
  </r>
  <r>
    <x v="434"/>
  </r>
  <r>
    <x v="405"/>
  </r>
  <r>
    <x v="434"/>
  </r>
  <r>
    <x v="431"/>
  </r>
  <r>
    <x v="443"/>
  </r>
  <r>
    <x v="446"/>
  </r>
  <r>
    <x v="434"/>
  </r>
  <r>
    <x v="8"/>
  </r>
  <r>
    <x v="447"/>
  </r>
  <r>
    <x v="8"/>
  </r>
  <r>
    <x v="448"/>
  </r>
  <r>
    <x v="444"/>
  </r>
  <r>
    <x v="449"/>
  </r>
  <r>
    <x v="450"/>
  </r>
  <r>
    <x v="8"/>
  </r>
  <r>
    <x v="8"/>
  </r>
  <r>
    <x v="451"/>
  </r>
  <r>
    <x v="397"/>
  </r>
  <r>
    <x v="434"/>
  </r>
  <r>
    <x v="434"/>
  </r>
  <r>
    <x v="445"/>
  </r>
  <r>
    <x v="396"/>
  </r>
  <r>
    <x v="8"/>
  </r>
  <r>
    <x v="8"/>
  </r>
  <r>
    <x v="434"/>
  </r>
  <r>
    <x v="434"/>
  </r>
  <r>
    <x v="146"/>
  </r>
  <r>
    <x v="413"/>
  </r>
  <r>
    <x v="396"/>
  </r>
  <r>
    <x v="397"/>
  </r>
  <r>
    <x v="396"/>
  </r>
  <r>
    <x v="396"/>
  </r>
  <r>
    <x v="452"/>
  </r>
  <r>
    <x v="453"/>
  </r>
  <r>
    <x v="413"/>
  </r>
  <r>
    <x v="146"/>
  </r>
  <r>
    <x v="8"/>
  </r>
  <r>
    <x v="454"/>
  </r>
  <r>
    <x v="8"/>
  </r>
  <r>
    <x v="396"/>
  </r>
  <r>
    <x v="452"/>
  </r>
  <r>
    <x v="396"/>
  </r>
  <r>
    <x v="452"/>
  </r>
  <r>
    <x v="452"/>
  </r>
  <r>
    <x v="396"/>
  </r>
  <r>
    <x v="405"/>
  </r>
  <r>
    <x v="405"/>
  </r>
  <r>
    <x v="405"/>
  </r>
  <r>
    <x v="453"/>
  </r>
  <r>
    <x v="8"/>
  </r>
  <r>
    <x v="429"/>
  </r>
  <r>
    <x v="434"/>
  </r>
  <r>
    <x v="455"/>
  </r>
  <r>
    <x v="436"/>
  </r>
  <r>
    <x v="451"/>
  </r>
  <r>
    <x v="397"/>
  </r>
  <r>
    <x v="397"/>
  </r>
  <r>
    <x v="397"/>
  </r>
  <r>
    <x v="397"/>
  </r>
  <r>
    <x v="397"/>
  </r>
  <r>
    <x v="434"/>
  </r>
  <r>
    <x v="445"/>
  </r>
  <r>
    <x v="8"/>
  </r>
  <r>
    <x v="434"/>
  </r>
  <r>
    <x v="452"/>
  </r>
  <r>
    <x v="392"/>
  </r>
  <r>
    <x v="456"/>
  </r>
  <r>
    <x v="452"/>
  </r>
  <r>
    <x v="8"/>
  </r>
  <r>
    <x v="454"/>
  </r>
  <r>
    <x v="452"/>
  </r>
  <r>
    <x v="457"/>
  </r>
  <r>
    <x v="452"/>
  </r>
  <r>
    <x v="396"/>
  </r>
  <r>
    <x v="405"/>
  </r>
  <r>
    <x v="8"/>
  </r>
  <r>
    <x v="425"/>
  </r>
  <r>
    <x v="444"/>
  </r>
  <r>
    <x v="453"/>
  </r>
  <r>
    <x v="434"/>
  </r>
  <r>
    <x v="453"/>
  </r>
  <r>
    <x v="397"/>
  </r>
  <r>
    <x v="434"/>
  </r>
  <r>
    <x v="392"/>
  </r>
  <r>
    <x v="396"/>
  </r>
  <r>
    <x v="396"/>
  </r>
  <r>
    <x v="405"/>
  </r>
  <r>
    <x v="168"/>
  </r>
  <r>
    <x v="8"/>
  </r>
  <r>
    <x v="455"/>
  </r>
  <r>
    <x v="455"/>
  </r>
  <r>
    <x v="450"/>
  </r>
  <r>
    <x v="399"/>
  </r>
  <r>
    <x v="453"/>
  </r>
  <r>
    <x v="396"/>
  </r>
  <r>
    <x v="408"/>
  </r>
  <r>
    <x v="455"/>
  </r>
  <r>
    <x v="451"/>
  </r>
  <r>
    <x v="388"/>
  </r>
  <r>
    <x v="457"/>
  </r>
  <r>
    <x v="396"/>
  </r>
  <r>
    <x v="146"/>
  </r>
  <r>
    <x v="399"/>
  </r>
  <r>
    <x v="458"/>
  </r>
  <r>
    <x v="410"/>
  </r>
  <r>
    <x v="396"/>
  </r>
  <r>
    <x v="437"/>
  </r>
  <r>
    <x v="8"/>
  </r>
  <r>
    <x v="399"/>
  </r>
  <r>
    <x v="451"/>
  </r>
  <r>
    <x v="458"/>
  </r>
  <r>
    <x v="399"/>
  </r>
  <r>
    <x v="459"/>
  </r>
  <r>
    <x v="460"/>
  </r>
  <r>
    <x v="396"/>
  </r>
  <r>
    <x v="454"/>
  </r>
  <r>
    <x v="453"/>
  </r>
  <r>
    <x v="434"/>
  </r>
  <r>
    <x v="399"/>
  </r>
  <r>
    <x v="429"/>
  </r>
  <r>
    <x v="458"/>
  </r>
  <r>
    <x v="461"/>
  </r>
  <r>
    <x v="396"/>
  </r>
  <r>
    <x v="396"/>
  </r>
  <r>
    <x v="399"/>
  </r>
  <r>
    <x v="399"/>
  </r>
  <r>
    <x v="461"/>
  </r>
  <r>
    <x v="461"/>
  </r>
  <r>
    <x v="396"/>
  </r>
  <r>
    <x v="452"/>
  </r>
  <r>
    <x v="392"/>
  </r>
  <r>
    <x v="82"/>
  </r>
  <r>
    <x v="396"/>
  </r>
  <r>
    <x v="452"/>
  </r>
  <r>
    <x v="462"/>
  </r>
  <r>
    <x v="452"/>
  </r>
  <r>
    <x v="462"/>
  </r>
  <r>
    <x v="452"/>
  </r>
  <r>
    <x v="409"/>
  </r>
  <r>
    <x v="82"/>
  </r>
  <r>
    <x v="396"/>
  </r>
  <r>
    <x v="452"/>
  </r>
  <r>
    <x v="8"/>
  </r>
  <r>
    <x v="463"/>
  </r>
  <r>
    <x v="452"/>
  </r>
  <r>
    <x v="452"/>
  </r>
  <r>
    <x v="409"/>
  </r>
  <r>
    <x v="454"/>
  </r>
  <r>
    <x v="396"/>
  </r>
  <r>
    <x v="452"/>
  </r>
  <r>
    <x v="392"/>
  </r>
  <r>
    <x v="452"/>
  </r>
  <r>
    <x v="82"/>
  </r>
  <r>
    <x v="434"/>
  </r>
  <r>
    <x v="417"/>
  </r>
  <r>
    <x v="452"/>
  </r>
  <r>
    <x v="396"/>
  </r>
  <r>
    <x v="434"/>
  </r>
  <r>
    <x v="464"/>
  </r>
  <r>
    <x v="452"/>
  </r>
  <r>
    <x v="452"/>
  </r>
  <r>
    <x v="464"/>
  </r>
  <r>
    <x v="464"/>
  </r>
  <r>
    <x v="452"/>
  </r>
  <r>
    <x v="452"/>
  </r>
  <r>
    <x v="429"/>
  </r>
  <r>
    <x v="396"/>
  </r>
  <r>
    <x v="429"/>
  </r>
  <r>
    <x v="452"/>
  </r>
  <r>
    <x v="410"/>
  </r>
  <r>
    <x v="146"/>
  </r>
  <r>
    <x v="146"/>
  </r>
  <r>
    <x v="397"/>
  </r>
  <r>
    <x v="170"/>
  </r>
  <r>
    <x v="146"/>
  </r>
  <r>
    <x v="426"/>
  </r>
  <r>
    <x v="426"/>
  </r>
  <r>
    <x v="426"/>
  </r>
  <r>
    <x v="426"/>
  </r>
  <r>
    <x v="426"/>
  </r>
  <r>
    <x v="400"/>
  </r>
  <r>
    <x v="146"/>
  </r>
  <r>
    <x v="146"/>
  </r>
  <r>
    <x v="146"/>
  </r>
  <r>
    <x v="400"/>
  </r>
  <r>
    <x v="434"/>
  </r>
  <r>
    <x v="146"/>
  </r>
  <r>
    <x v="146"/>
  </r>
  <r>
    <x v="146"/>
  </r>
  <r>
    <x v="387"/>
  </r>
  <r>
    <x v="146"/>
  </r>
  <r>
    <x v="146"/>
  </r>
  <r>
    <x v="146"/>
  </r>
  <r>
    <x v="323"/>
  </r>
  <r>
    <x v="146"/>
  </r>
  <r>
    <x v="388"/>
  </r>
  <r>
    <x v="389"/>
  </r>
  <r>
    <x v="390"/>
  </r>
  <r>
    <x v="391"/>
  </r>
  <r>
    <x v="392"/>
  </r>
  <r>
    <x v="393"/>
  </r>
  <r>
    <x v="394"/>
  </r>
  <r>
    <x v="395"/>
  </r>
  <r>
    <x v="396"/>
  </r>
  <r>
    <x v="397"/>
  </r>
  <r>
    <x v="398"/>
  </r>
  <r>
    <x v="399"/>
  </r>
  <r>
    <x v="400"/>
  </r>
  <r>
    <x v="401"/>
  </r>
  <r>
    <x v="397"/>
  </r>
  <r>
    <x v="146"/>
  </r>
  <r>
    <x v="402"/>
  </r>
  <r>
    <x v="8"/>
  </r>
  <r>
    <x v="170"/>
  </r>
  <r>
    <x v="403"/>
  </r>
  <r>
    <x v="396"/>
  </r>
  <r>
    <x v="404"/>
  </r>
  <r>
    <x v="396"/>
  </r>
  <r>
    <x v="396"/>
  </r>
  <r>
    <x v="396"/>
  </r>
  <r>
    <x v="146"/>
  </r>
  <r>
    <x v="405"/>
  </r>
  <r>
    <x v="405"/>
  </r>
  <r>
    <x v="146"/>
  </r>
  <r>
    <x v="405"/>
  </r>
  <r>
    <x v="405"/>
  </r>
  <r>
    <x v="406"/>
  </r>
  <r>
    <x v="405"/>
  </r>
  <r>
    <x v="405"/>
  </r>
  <r>
    <x v="407"/>
  </r>
  <r>
    <x v="58"/>
  </r>
  <r>
    <x v="408"/>
  </r>
  <r>
    <x v="168"/>
  </r>
  <r>
    <x v="405"/>
  </r>
  <r>
    <x v="146"/>
  </r>
  <r>
    <x v="409"/>
  </r>
  <r>
    <x v="409"/>
  </r>
  <r>
    <x v="146"/>
  </r>
  <r>
    <x v="410"/>
  </r>
  <r>
    <x v="411"/>
  </r>
  <r>
    <x v="146"/>
  </r>
  <r>
    <x v="412"/>
  </r>
  <r>
    <x v="412"/>
  </r>
  <r>
    <x v="412"/>
  </r>
  <r>
    <x v="412"/>
  </r>
  <r>
    <x v="412"/>
  </r>
  <r>
    <x v="400"/>
  </r>
  <r>
    <x v="146"/>
  </r>
  <r>
    <x v="146"/>
  </r>
  <r>
    <x v="412"/>
  </r>
  <r>
    <x v="290"/>
  </r>
  <r>
    <x v="146"/>
  </r>
  <r>
    <x v="146"/>
  </r>
  <r>
    <x v="396"/>
  </r>
  <r>
    <x v="413"/>
  </r>
  <r>
    <x v="396"/>
  </r>
  <r>
    <x v="391"/>
  </r>
  <r>
    <x v="414"/>
  </r>
  <r>
    <x v="415"/>
  </r>
  <r>
    <x v="396"/>
  </r>
  <r>
    <x v="397"/>
  </r>
  <r>
    <x v="396"/>
  </r>
  <r>
    <x v="416"/>
  </r>
  <r>
    <x v="146"/>
  </r>
  <r>
    <x v="146"/>
  </r>
  <r>
    <x v="402"/>
  </r>
  <r>
    <x v="146"/>
  </r>
  <r>
    <x v="417"/>
  </r>
  <r>
    <x v="396"/>
  </r>
  <r>
    <x v="404"/>
  </r>
  <r>
    <x v="418"/>
  </r>
  <r>
    <x v="146"/>
  </r>
  <r>
    <x v="405"/>
  </r>
  <r>
    <x v="146"/>
  </r>
  <r>
    <x v="407"/>
  </r>
  <r>
    <x v="406"/>
  </r>
  <r>
    <x v="405"/>
  </r>
  <r>
    <x v="405"/>
  </r>
  <r>
    <x v="405"/>
  </r>
  <r>
    <x v="405"/>
  </r>
  <r>
    <x v="408"/>
  </r>
  <r>
    <x v="168"/>
  </r>
  <r>
    <x v="405"/>
  </r>
  <r>
    <x v="146"/>
  </r>
  <r>
    <x v="419"/>
  </r>
  <r>
    <x v="420"/>
  </r>
  <r>
    <x v="146"/>
  </r>
  <r>
    <x v="409"/>
  </r>
  <r>
    <x v="409"/>
  </r>
  <r>
    <x v="146"/>
  </r>
  <r>
    <x v="409"/>
  </r>
  <r>
    <x v="410"/>
  </r>
  <r>
    <x v="396"/>
  </r>
  <r>
    <x v="400"/>
  </r>
  <r>
    <x v="146"/>
  </r>
  <r>
    <x v="387"/>
  </r>
  <r>
    <x v="396"/>
  </r>
  <r>
    <x v="413"/>
  </r>
  <r>
    <x v="396"/>
  </r>
  <r>
    <x v="414"/>
  </r>
  <r>
    <x v="421"/>
  </r>
  <r>
    <x v="402"/>
  </r>
  <r>
    <x v="422"/>
  </r>
  <r>
    <x v="423"/>
  </r>
  <r>
    <x v="146"/>
  </r>
  <r>
    <x v="405"/>
  </r>
  <r>
    <x v="146"/>
  </r>
  <r>
    <x v="407"/>
  </r>
  <r>
    <x v="405"/>
  </r>
  <r>
    <x v="405"/>
  </r>
  <r>
    <x v="408"/>
  </r>
  <r>
    <x v="424"/>
  </r>
  <r>
    <x v="425"/>
  </r>
  <r>
    <x v="146"/>
  </r>
  <r>
    <x v="146"/>
  </r>
  <r>
    <x v="8"/>
  </r>
  <r>
    <x v="426"/>
  </r>
  <r>
    <x v="146"/>
  </r>
  <r>
    <x v="413"/>
  </r>
  <r>
    <x v="395"/>
  </r>
  <r>
    <x v="146"/>
  </r>
  <r>
    <x v="402"/>
  </r>
  <r>
    <x v="396"/>
  </r>
  <r>
    <x v="146"/>
  </r>
  <r>
    <x v="405"/>
  </r>
  <r>
    <x v="427"/>
  </r>
  <r>
    <x v="428"/>
  </r>
  <r>
    <x v="429"/>
  </r>
  <r>
    <x v="409"/>
  </r>
  <r>
    <x v="430"/>
  </r>
  <r>
    <x v="431"/>
  </r>
  <r>
    <x v="414"/>
  </r>
  <r>
    <x v="432"/>
  </r>
  <r>
    <x v="390"/>
  </r>
  <r>
    <x v="404"/>
  </r>
  <r>
    <x v="408"/>
  </r>
  <r>
    <x v="433"/>
  </r>
  <r>
    <x v="429"/>
  </r>
  <r>
    <x v="146"/>
  </r>
  <r>
    <x v="410"/>
  </r>
  <r>
    <x v="8"/>
  </r>
  <r>
    <x v="434"/>
  </r>
  <r>
    <x v="435"/>
  </r>
  <r>
    <x v="414"/>
  </r>
  <r>
    <x v="416"/>
  </r>
  <r>
    <x v="436"/>
  </r>
  <r>
    <x v="83"/>
  </r>
  <r>
    <x v="404"/>
  </r>
  <r>
    <x v="408"/>
  </r>
  <r>
    <x v="408"/>
  </r>
  <r>
    <x v="83"/>
  </r>
  <r>
    <x v="434"/>
  </r>
  <r>
    <x v="410"/>
  </r>
  <r>
    <x v="94"/>
  </r>
  <r>
    <x v="396"/>
  </r>
  <r>
    <x v="435"/>
  </r>
  <r>
    <x v="413"/>
  </r>
  <r>
    <x v="436"/>
  </r>
  <r>
    <x v="8"/>
  </r>
  <r>
    <x v="146"/>
  </r>
  <r>
    <x v="396"/>
  </r>
  <r>
    <x v="58"/>
  </r>
  <r>
    <x v="419"/>
  </r>
  <r>
    <x v="83"/>
  </r>
  <r>
    <x v="8"/>
  </r>
  <r>
    <x v="437"/>
  </r>
  <r>
    <x v="413"/>
  </r>
  <r>
    <x v="438"/>
  </r>
  <r>
    <x v="146"/>
  </r>
  <r>
    <x v="94"/>
  </r>
  <r>
    <x v="435"/>
  </r>
  <r>
    <x v="413"/>
  </r>
  <r>
    <x v="439"/>
  </r>
  <r>
    <x v="146"/>
  </r>
  <r>
    <x v="410"/>
  </r>
  <r>
    <x v="8"/>
  </r>
  <r>
    <x v="431"/>
  </r>
  <r>
    <x v="435"/>
  </r>
  <r>
    <x v="413"/>
  </r>
  <r>
    <x v="396"/>
  </r>
  <r>
    <x v="413"/>
  </r>
  <r>
    <x v="396"/>
  </r>
  <r>
    <x v="440"/>
  </r>
  <r>
    <x v="434"/>
  </r>
  <r>
    <x v="435"/>
  </r>
  <r>
    <x v="432"/>
  </r>
  <r>
    <x v="441"/>
  </r>
  <r>
    <x v="390"/>
  </r>
  <r>
    <x v="410"/>
  </r>
  <r>
    <x v="434"/>
  </r>
  <r>
    <x v="94"/>
  </r>
  <r>
    <x v="435"/>
  </r>
  <r>
    <x v="442"/>
  </r>
  <r>
    <x v="431"/>
  </r>
  <r>
    <x v="443"/>
  </r>
  <r>
    <x v="8"/>
  </r>
  <r>
    <x v="434"/>
  </r>
  <r>
    <x v="401"/>
  </r>
  <r>
    <x v="8"/>
  </r>
  <r>
    <x v="434"/>
  </r>
  <r>
    <x v="444"/>
  </r>
  <r>
    <x v="445"/>
  </r>
  <r>
    <x v="434"/>
  </r>
  <r>
    <x v="405"/>
  </r>
  <r>
    <x v="434"/>
  </r>
  <r>
    <x v="431"/>
  </r>
  <r>
    <x v="443"/>
  </r>
  <r>
    <x v="446"/>
  </r>
  <r>
    <x v="434"/>
  </r>
  <r>
    <x v="8"/>
  </r>
  <r>
    <x v="447"/>
  </r>
  <r>
    <x v="8"/>
  </r>
  <r>
    <x v="448"/>
  </r>
  <r>
    <x v="444"/>
  </r>
  <r>
    <x v="449"/>
  </r>
  <r>
    <x v="450"/>
  </r>
  <r>
    <x v="8"/>
  </r>
  <r>
    <x v="8"/>
  </r>
  <r>
    <x v="451"/>
  </r>
  <r>
    <x v="397"/>
  </r>
  <r>
    <x v="434"/>
  </r>
  <r>
    <x v="434"/>
  </r>
  <r>
    <x v="445"/>
  </r>
  <r>
    <x v="396"/>
  </r>
  <r>
    <x v="8"/>
  </r>
  <r>
    <x v="8"/>
  </r>
  <r>
    <x v="434"/>
  </r>
  <r>
    <x v="434"/>
  </r>
  <r>
    <x v="146"/>
  </r>
  <r>
    <x v="413"/>
  </r>
  <r>
    <x v="396"/>
  </r>
  <r>
    <x v="397"/>
  </r>
  <r>
    <x v="396"/>
  </r>
  <r>
    <x v="396"/>
  </r>
  <r>
    <x v="452"/>
  </r>
  <r>
    <x v="453"/>
  </r>
  <r>
    <x v="413"/>
  </r>
  <r>
    <x v="146"/>
  </r>
  <r>
    <x v="8"/>
  </r>
  <r>
    <x v="454"/>
  </r>
  <r>
    <x v="8"/>
  </r>
  <r>
    <x v="396"/>
  </r>
  <r>
    <x v="452"/>
  </r>
  <r>
    <x v="396"/>
  </r>
  <r>
    <x v="452"/>
  </r>
  <r>
    <x v="452"/>
  </r>
  <r>
    <x v="396"/>
  </r>
  <r>
    <x v="405"/>
  </r>
  <r>
    <x v="405"/>
  </r>
  <r>
    <x v="405"/>
  </r>
  <r>
    <x v="453"/>
  </r>
  <r>
    <x v="8"/>
  </r>
  <r>
    <x v="429"/>
  </r>
  <r>
    <x v="434"/>
  </r>
  <r>
    <x v="455"/>
  </r>
  <r>
    <x v="436"/>
  </r>
  <r>
    <x v="451"/>
  </r>
  <r>
    <x v="397"/>
  </r>
  <r>
    <x v="397"/>
  </r>
  <r>
    <x v="397"/>
  </r>
  <r>
    <x v="397"/>
  </r>
  <r>
    <x v="397"/>
  </r>
  <r>
    <x v="434"/>
  </r>
  <r>
    <x v="445"/>
  </r>
  <r>
    <x v="8"/>
  </r>
  <r>
    <x v="434"/>
  </r>
  <r>
    <x v="452"/>
  </r>
  <r>
    <x v="392"/>
  </r>
  <r>
    <x v="456"/>
  </r>
  <r>
    <x v="452"/>
  </r>
  <r>
    <x v="8"/>
  </r>
  <r>
    <x v="454"/>
  </r>
  <r>
    <x v="452"/>
  </r>
  <r>
    <x v="457"/>
  </r>
  <r>
    <x v="452"/>
  </r>
  <r>
    <x v="396"/>
  </r>
  <r>
    <x v="405"/>
  </r>
  <r>
    <x v="8"/>
  </r>
  <r>
    <x v="425"/>
  </r>
  <r>
    <x v="444"/>
  </r>
  <r>
    <x v="453"/>
  </r>
  <r>
    <x v="434"/>
  </r>
  <r>
    <x v="453"/>
  </r>
  <r>
    <x v="397"/>
  </r>
  <r>
    <x v="434"/>
  </r>
  <r>
    <x v="392"/>
  </r>
  <r>
    <x v="396"/>
  </r>
  <r>
    <x v="396"/>
  </r>
  <r>
    <x v="405"/>
  </r>
  <r>
    <x v="168"/>
  </r>
  <r>
    <x v="8"/>
  </r>
  <r>
    <x v="455"/>
  </r>
  <r>
    <x v="455"/>
  </r>
  <r>
    <x v="450"/>
  </r>
  <r>
    <x v="399"/>
  </r>
  <r>
    <x v="453"/>
  </r>
  <r>
    <x v="396"/>
  </r>
  <r>
    <x v="408"/>
  </r>
  <r>
    <x v="455"/>
  </r>
  <r>
    <x v="451"/>
  </r>
  <r>
    <x v="388"/>
  </r>
  <r>
    <x v="457"/>
  </r>
  <r>
    <x v="396"/>
  </r>
  <r>
    <x v="146"/>
  </r>
  <r>
    <x v="399"/>
  </r>
  <r>
    <x v="458"/>
  </r>
  <r>
    <x v="410"/>
  </r>
  <r>
    <x v="396"/>
  </r>
  <r>
    <x v="437"/>
  </r>
  <r>
    <x v="8"/>
  </r>
  <r>
    <x v="399"/>
  </r>
  <r>
    <x v="451"/>
  </r>
  <r>
    <x v="458"/>
  </r>
  <r>
    <x v="399"/>
  </r>
  <r>
    <x v="459"/>
  </r>
  <r>
    <x v="460"/>
  </r>
  <r>
    <x v="396"/>
  </r>
  <r>
    <x v="454"/>
  </r>
  <r>
    <x v="453"/>
  </r>
  <r>
    <x v="434"/>
  </r>
  <r>
    <x v="399"/>
  </r>
  <r>
    <x v="429"/>
  </r>
  <r>
    <x v="458"/>
  </r>
  <r>
    <x v="461"/>
  </r>
  <r>
    <x v="396"/>
  </r>
  <r>
    <x v="396"/>
  </r>
  <r>
    <x v="399"/>
  </r>
  <r>
    <x v="399"/>
  </r>
  <r>
    <x v="461"/>
  </r>
  <r>
    <x v="461"/>
  </r>
  <r>
    <x v="396"/>
  </r>
  <r>
    <x v="452"/>
  </r>
  <r>
    <x v="392"/>
  </r>
  <r>
    <x v="82"/>
  </r>
  <r>
    <x v="396"/>
  </r>
  <r>
    <x v="452"/>
  </r>
  <r>
    <x v="462"/>
  </r>
  <r>
    <x v="452"/>
  </r>
  <r>
    <x v="462"/>
  </r>
  <r>
    <x v="452"/>
  </r>
  <r>
    <x v="409"/>
  </r>
  <r>
    <x v="82"/>
  </r>
  <r>
    <x v="396"/>
  </r>
  <r>
    <x v="452"/>
  </r>
  <r>
    <x v="8"/>
  </r>
  <r>
    <x v="463"/>
  </r>
  <r>
    <x v="452"/>
  </r>
  <r>
    <x v="452"/>
  </r>
  <r>
    <x v="409"/>
  </r>
  <r>
    <x v="454"/>
  </r>
  <r>
    <x v="396"/>
  </r>
  <r>
    <x v="452"/>
  </r>
  <r>
    <x v="392"/>
  </r>
  <r>
    <x v="452"/>
  </r>
  <r>
    <x v="82"/>
  </r>
  <r>
    <x v="434"/>
  </r>
  <r>
    <x v="417"/>
  </r>
  <r>
    <x v="452"/>
  </r>
  <r>
    <x v="396"/>
  </r>
  <r>
    <x v="434"/>
  </r>
  <r>
    <x v="464"/>
  </r>
  <r>
    <x v="452"/>
  </r>
  <r>
    <x v="452"/>
  </r>
  <r>
    <x v="464"/>
  </r>
  <r>
    <x v="464"/>
  </r>
  <r>
    <x v="452"/>
  </r>
  <r>
    <x v="452"/>
  </r>
  <r>
    <x v="429"/>
  </r>
  <r>
    <x v="396"/>
  </r>
  <r>
    <x v="429"/>
  </r>
  <r>
    <x v="452"/>
  </r>
  <r>
    <x v="465"/>
  </r>
  <r>
    <x v="466"/>
  </r>
  <r>
    <x v="466"/>
  </r>
  <r>
    <x v="467"/>
  </r>
  <r>
    <x v="467"/>
  </r>
  <r>
    <x v="467"/>
  </r>
  <r>
    <x v="467"/>
  </r>
  <r>
    <x v="467"/>
  </r>
  <r>
    <x v="467"/>
  </r>
  <r>
    <x v="468"/>
  </r>
  <r>
    <x v="468"/>
  </r>
  <r>
    <x v="468"/>
  </r>
  <r>
    <x v="468"/>
  </r>
  <r>
    <x v="468"/>
  </r>
  <r>
    <x v="468"/>
  </r>
  <r>
    <x v="468"/>
  </r>
  <r>
    <x v="468"/>
  </r>
  <r>
    <x v="469"/>
  </r>
  <r>
    <x v="470"/>
  </r>
  <r>
    <x v="471"/>
  </r>
  <r>
    <x v="472"/>
  </r>
  <r>
    <x v="473"/>
  </r>
  <r>
    <x v="474"/>
  </r>
  <r>
    <x v="474"/>
  </r>
  <r>
    <x v="466"/>
  </r>
  <r>
    <x v="466"/>
  </r>
  <r>
    <x v="475"/>
  </r>
  <r>
    <x v="466"/>
  </r>
  <r>
    <x v="470"/>
  </r>
  <r>
    <x v="146"/>
  </r>
  <r>
    <x v="476"/>
  </r>
  <r>
    <x v="472"/>
  </r>
  <r>
    <x v="477"/>
  </r>
  <r>
    <x v="478"/>
  </r>
  <r>
    <x v="472"/>
  </r>
  <r>
    <x v="479"/>
  </r>
  <r>
    <x v="480"/>
  </r>
  <r>
    <x v="481"/>
  </r>
  <r>
    <x v="482"/>
  </r>
  <r>
    <x v="482"/>
  </r>
  <r>
    <x v="482"/>
  </r>
  <r>
    <x v="482"/>
  </r>
  <r>
    <x v="482"/>
  </r>
  <r>
    <x v="482"/>
  </r>
  <r>
    <x v="483"/>
  </r>
  <r>
    <x v="484"/>
  </r>
  <r>
    <x v="472"/>
  </r>
  <r>
    <x v="478"/>
  </r>
  <r>
    <x v="485"/>
  </r>
  <r>
    <x v="465"/>
  </r>
  <r>
    <x v="473"/>
  </r>
  <r>
    <x v="473"/>
  </r>
  <r>
    <x v="472"/>
  </r>
  <r>
    <x v="486"/>
  </r>
  <r>
    <x v="472"/>
  </r>
  <r>
    <x v="487"/>
  </r>
  <r>
    <x v="487"/>
  </r>
  <r>
    <x v="487"/>
  </r>
  <r>
    <x v="472"/>
  </r>
  <r>
    <x v="475"/>
  </r>
  <r>
    <x v="475"/>
  </r>
  <r>
    <x v="488"/>
  </r>
  <r>
    <x v="477"/>
  </r>
  <r>
    <x v="480"/>
  </r>
  <r>
    <x v="480"/>
  </r>
  <r>
    <x v="262"/>
  </r>
  <r>
    <x v="262"/>
  </r>
  <r>
    <x v="262"/>
  </r>
  <r>
    <x v="465"/>
  </r>
  <r>
    <x v="168"/>
  </r>
  <r>
    <x v="168"/>
  </r>
  <r>
    <x v="168"/>
  </r>
  <r>
    <x v="103"/>
  </r>
  <r>
    <x v="170"/>
  </r>
  <r>
    <x v="103"/>
  </r>
  <r>
    <x v="168"/>
  </r>
  <r>
    <x v="374"/>
  </r>
  <r>
    <x v="349"/>
  </r>
  <r>
    <x v="170"/>
  </r>
  <r>
    <x v="170"/>
  </r>
  <r>
    <x v="170"/>
  </r>
  <r>
    <x v="103"/>
  </r>
  <r>
    <x v="103"/>
  </r>
  <r>
    <x v="77"/>
  </r>
  <r>
    <x v="170"/>
  </r>
  <r>
    <x v="262"/>
  </r>
  <r>
    <x v="258"/>
  </r>
  <r>
    <x v="431"/>
  </r>
  <r>
    <x v="103"/>
  </r>
  <r>
    <x v="168"/>
  </r>
  <r>
    <x v="103"/>
  </r>
  <r>
    <x v="103"/>
  </r>
  <r>
    <x v="489"/>
  </r>
  <r>
    <x v="467"/>
  </r>
  <r>
    <x v="467"/>
  </r>
  <r>
    <x v="467"/>
  </r>
  <r>
    <x v="490"/>
  </r>
  <r>
    <x v="467"/>
  </r>
  <r>
    <x v="467"/>
  </r>
  <r>
    <x v="469"/>
  </r>
  <r>
    <x v="491"/>
  </r>
  <r>
    <x v="472"/>
  </r>
  <r>
    <x v="473"/>
  </r>
  <r>
    <x v="477"/>
  </r>
  <r>
    <x v="477"/>
  </r>
  <r>
    <x v="492"/>
  </r>
  <r>
    <x v="492"/>
  </r>
  <r>
    <x v="475"/>
  </r>
  <r>
    <x v="470"/>
  </r>
  <r>
    <x v="146"/>
  </r>
  <r>
    <x v="472"/>
  </r>
  <r>
    <x v="477"/>
  </r>
  <r>
    <x v="493"/>
  </r>
  <r>
    <x v="494"/>
  </r>
  <r>
    <x v="472"/>
  </r>
  <r>
    <x v="495"/>
  </r>
  <r>
    <x v="481"/>
  </r>
  <r>
    <x v="496"/>
  </r>
  <r>
    <x v="497"/>
  </r>
  <r>
    <x v="482"/>
  </r>
  <r>
    <x v="482"/>
  </r>
  <r>
    <x v="482"/>
  </r>
  <r>
    <x v="482"/>
  </r>
  <r>
    <x v="482"/>
  </r>
  <r>
    <x v="482"/>
  </r>
  <r>
    <x v="498"/>
  </r>
  <r>
    <x v="474"/>
  </r>
  <r>
    <x v="471"/>
  </r>
  <r>
    <x v="474"/>
  </r>
  <r>
    <x v="473"/>
  </r>
  <r>
    <x v="499"/>
  </r>
  <r>
    <x v="472"/>
  </r>
  <r>
    <x v="470"/>
  </r>
  <r>
    <x v="472"/>
  </r>
  <r>
    <x v="500"/>
  </r>
  <r>
    <x v="500"/>
  </r>
  <r>
    <x v="500"/>
  </r>
  <r>
    <x v="488"/>
  </r>
  <r>
    <x v="478"/>
  </r>
  <r>
    <x v="465"/>
  </r>
  <r>
    <x v="465"/>
  </r>
  <r>
    <x v="103"/>
  </r>
  <r>
    <x v="103"/>
  </r>
  <r>
    <x v="103"/>
  </r>
  <r>
    <x v="465"/>
  </r>
  <r>
    <x v="146"/>
  </r>
  <r>
    <x v="146"/>
  </r>
  <r>
    <x v="146"/>
  </r>
  <r>
    <x v="170"/>
  </r>
  <r>
    <x v="501"/>
  </r>
  <r>
    <x v="502"/>
  </r>
  <r>
    <x v="369"/>
  </r>
  <r>
    <x v="167"/>
  </r>
  <r>
    <x v="167"/>
  </r>
  <r>
    <x v="167"/>
  </r>
  <r>
    <x v="246"/>
  </r>
  <r>
    <x v="246"/>
  </r>
  <r>
    <x v="431"/>
  </r>
  <r>
    <x v="146"/>
  </r>
  <r>
    <x v="146"/>
  </r>
  <r>
    <x v="146"/>
  </r>
  <r>
    <x v="103"/>
  </r>
  <r>
    <x v="497"/>
  </r>
  <r>
    <x v="497"/>
  </r>
  <r>
    <x v="496"/>
  </r>
  <r>
    <x v="496"/>
  </r>
  <r>
    <x v="496"/>
  </r>
  <r>
    <x v="496"/>
  </r>
  <r>
    <x v="496"/>
  </r>
  <r>
    <x v="496"/>
  </r>
  <r>
    <x v="496"/>
  </r>
  <r>
    <x v="496"/>
  </r>
  <r>
    <x v="496"/>
  </r>
  <r>
    <x v="496"/>
  </r>
  <r>
    <x v="503"/>
  </r>
  <r>
    <x v="503"/>
  </r>
  <r>
    <x v="496"/>
  </r>
  <r>
    <x v="504"/>
  </r>
  <r>
    <x v="505"/>
  </r>
  <r>
    <x v="505"/>
  </r>
  <r>
    <x v="505"/>
  </r>
  <r>
    <x v="505"/>
  </r>
  <r>
    <x v="505"/>
  </r>
  <r>
    <x v="506"/>
  </r>
  <r>
    <x v="507"/>
  </r>
  <r>
    <x v="507"/>
  </r>
  <r>
    <x v="508"/>
  </r>
  <r>
    <x v="509"/>
  </r>
  <r>
    <x v="474"/>
  </r>
  <r>
    <x v="499"/>
  </r>
  <r>
    <x v="510"/>
  </r>
  <r>
    <x v="510"/>
  </r>
  <r>
    <x v="474"/>
  </r>
  <r>
    <x v="486"/>
  </r>
  <r>
    <x v="511"/>
  </r>
  <r>
    <x v="512"/>
  </r>
  <r>
    <x v="506"/>
  </r>
  <r>
    <x v="513"/>
  </r>
  <r>
    <x v="494"/>
  </r>
  <r>
    <x v="465"/>
  </r>
  <r>
    <x v="514"/>
  </r>
  <r>
    <x v="486"/>
  </r>
  <r>
    <x v="496"/>
  </r>
  <r>
    <x v="497"/>
  </r>
  <r>
    <x v="488"/>
  </r>
  <r>
    <x v="488"/>
  </r>
  <r>
    <x v="488"/>
  </r>
  <r>
    <x v="488"/>
  </r>
  <r>
    <x v="488"/>
  </r>
  <r>
    <x v="488"/>
  </r>
  <r>
    <x v="498"/>
  </r>
  <r>
    <x v="493"/>
  </r>
  <r>
    <x v="489"/>
  </r>
  <r>
    <x v="515"/>
  </r>
  <r>
    <x v="472"/>
  </r>
  <r>
    <x v="474"/>
  </r>
  <r>
    <x v="472"/>
  </r>
  <r>
    <x v="474"/>
  </r>
  <r>
    <x v="474"/>
  </r>
  <r>
    <x v="474"/>
  </r>
  <r>
    <x v="516"/>
  </r>
  <r>
    <x v="488"/>
  </r>
  <r>
    <x v="513"/>
  </r>
  <r>
    <x v="517"/>
  </r>
  <r>
    <x v="517"/>
  </r>
  <r>
    <x v="167"/>
  </r>
  <r>
    <x v="167"/>
  </r>
  <r>
    <x v="167"/>
  </r>
  <r>
    <x v="465"/>
  </r>
  <r>
    <x v="8"/>
  </r>
  <r>
    <x v="410"/>
  </r>
  <r>
    <x v="167"/>
  </r>
  <r>
    <x v="94"/>
  </r>
  <r>
    <x v="57"/>
  </r>
  <r>
    <x v="518"/>
  </r>
  <r>
    <x v="519"/>
  </r>
  <r>
    <x v="497"/>
  </r>
  <r>
    <x v="146"/>
  </r>
  <r>
    <x v="146"/>
  </r>
  <r>
    <x v="77"/>
  </r>
  <r>
    <x v="497"/>
  </r>
  <r>
    <x v="497"/>
  </r>
  <r>
    <x v="520"/>
  </r>
  <r>
    <x v="520"/>
  </r>
  <r>
    <x v="520"/>
  </r>
  <r>
    <x v="520"/>
  </r>
  <r>
    <x v="520"/>
  </r>
  <r>
    <x v="520"/>
  </r>
  <r>
    <x v="520"/>
  </r>
  <r>
    <x v="520"/>
  </r>
  <r>
    <x v="520"/>
  </r>
  <r>
    <x v="520"/>
  </r>
  <r>
    <x v="506"/>
  </r>
  <r>
    <x v="506"/>
  </r>
  <r>
    <x v="496"/>
  </r>
  <r>
    <x v="474"/>
  </r>
  <r>
    <x v="474"/>
  </r>
  <r>
    <x v="474"/>
  </r>
  <r>
    <x v="474"/>
  </r>
  <r>
    <x v="474"/>
  </r>
  <r>
    <x v="521"/>
  </r>
  <r>
    <x v="522"/>
  </r>
  <r>
    <x v="522"/>
  </r>
  <r>
    <x v="523"/>
  </r>
  <r>
    <x v="523"/>
  </r>
  <r>
    <x v="465"/>
  </r>
  <r>
    <x v="513"/>
  </r>
  <r>
    <x v="513"/>
  </r>
  <r>
    <x v="496"/>
  </r>
  <r>
    <x v="496"/>
  </r>
  <r>
    <x v="474"/>
  </r>
  <r>
    <x v="492"/>
  </r>
  <r>
    <x v="524"/>
  </r>
  <r>
    <x v="525"/>
  </r>
  <r>
    <x v="526"/>
  </r>
  <r>
    <x v="513"/>
  </r>
  <r>
    <x v="489"/>
  </r>
  <r>
    <x v="527"/>
  </r>
  <r>
    <x v="506"/>
  </r>
  <r>
    <x v="506"/>
  </r>
  <r>
    <x v="528"/>
  </r>
  <r>
    <x v="481"/>
  </r>
  <r>
    <x v="529"/>
  </r>
  <r>
    <x v="482"/>
  </r>
  <r>
    <x v="482"/>
  </r>
  <r>
    <x v="482"/>
  </r>
  <r>
    <x v="482"/>
  </r>
  <r>
    <x v="482"/>
  </r>
  <r>
    <x v="482"/>
  </r>
  <r>
    <x v="530"/>
  </r>
  <r>
    <x v="531"/>
  </r>
  <r>
    <x v="532"/>
  </r>
  <r>
    <x v="488"/>
  </r>
  <r>
    <x v="509"/>
  </r>
  <r>
    <x v="473"/>
  </r>
  <r>
    <x v="526"/>
  </r>
  <r>
    <x v="506"/>
  </r>
  <r>
    <x v="533"/>
  </r>
  <r>
    <x v="472"/>
  </r>
  <r>
    <x v="534"/>
  </r>
  <r>
    <x v="534"/>
  </r>
  <r>
    <x v="534"/>
  </r>
  <r>
    <x v="523"/>
  </r>
  <r>
    <x v="535"/>
  </r>
  <r>
    <x v="488"/>
  </r>
  <r>
    <x v="493"/>
  </r>
  <r>
    <x v="506"/>
  </r>
  <r>
    <x v="506"/>
  </r>
  <r>
    <x v="8"/>
  </r>
  <r>
    <x v="522"/>
  </r>
  <r>
    <x v="536"/>
  </r>
  <r>
    <x v="536"/>
  </r>
  <r>
    <x v="246"/>
  </r>
  <r>
    <x v="246"/>
  </r>
  <r>
    <x v="246"/>
  </r>
  <r>
    <x v="470"/>
  </r>
  <r>
    <x v="94"/>
  </r>
  <r>
    <x v="537"/>
  </r>
  <r>
    <x v="537"/>
  </r>
  <r>
    <x v="17"/>
  </r>
  <r>
    <x v="246"/>
  </r>
  <r>
    <x v="538"/>
  </r>
  <r>
    <x v="168"/>
  </r>
  <r>
    <x v="497"/>
  </r>
  <r>
    <x v="146"/>
  </r>
  <r>
    <x v="146"/>
  </r>
  <r>
    <x v="170"/>
  </r>
  <r>
    <x v="539"/>
  </r>
  <r>
    <x v="506"/>
  </r>
  <r>
    <x v="506"/>
  </r>
  <r>
    <x v="496"/>
  </r>
  <r>
    <x v="490"/>
  </r>
  <r>
    <x v="490"/>
  </r>
  <r>
    <x v="490"/>
  </r>
  <r>
    <x v="490"/>
  </r>
  <r>
    <x v="522"/>
  </r>
  <r>
    <x v="522"/>
  </r>
  <r>
    <x v="535"/>
  </r>
  <r>
    <x v="535"/>
  </r>
  <r>
    <x v="540"/>
  </r>
  <r>
    <x v="540"/>
  </r>
  <r>
    <x v="540"/>
  </r>
  <r>
    <x v="540"/>
  </r>
  <r>
    <x v="540"/>
  </r>
  <r>
    <x v="540"/>
  </r>
  <r>
    <x v="540"/>
  </r>
  <r>
    <x v="540"/>
  </r>
  <r>
    <x v="541"/>
  </r>
  <r>
    <x v="472"/>
  </r>
  <r>
    <x v="506"/>
  </r>
  <r>
    <x v="506"/>
  </r>
  <r>
    <x v="506"/>
  </r>
  <r>
    <x v="528"/>
  </r>
  <r>
    <x v="496"/>
  </r>
  <r>
    <x v="496"/>
  </r>
  <r>
    <x v="474"/>
  </r>
  <r>
    <x v="542"/>
  </r>
  <r>
    <x v="533"/>
  </r>
  <r>
    <x v="521"/>
  </r>
  <r>
    <x v="494"/>
  </r>
  <r>
    <x v="514"/>
  </r>
  <r>
    <x v="506"/>
  </r>
  <r>
    <x v="506"/>
  </r>
  <r>
    <x v="543"/>
  </r>
  <r>
    <x v="496"/>
  </r>
  <r>
    <x v="486"/>
  </r>
  <r>
    <x v="529"/>
  </r>
  <r>
    <x v="544"/>
  </r>
  <r>
    <x v="544"/>
  </r>
  <r>
    <x v="544"/>
  </r>
  <r>
    <x v="544"/>
  </r>
  <r>
    <x v="544"/>
  </r>
  <r>
    <x v="544"/>
  </r>
  <r>
    <x v="496"/>
  </r>
  <r>
    <x v="497"/>
  </r>
  <r>
    <x v="526"/>
  </r>
  <r>
    <x v="488"/>
  </r>
  <r>
    <x v="499"/>
  </r>
  <r>
    <x v="526"/>
  </r>
  <r>
    <x v="496"/>
  </r>
  <r>
    <x v="491"/>
  </r>
  <r>
    <x v="526"/>
  </r>
  <r>
    <x v="545"/>
  </r>
  <r>
    <x v="545"/>
  </r>
  <r>
    <x v="545"/>
  </r>
  <r>
    <x v="540"/>
  </r>
  <r>
    <x v="546"/>
  </r>
  <r>
    <x v="547"/>
  </r>
  <r>
    <x v="506"/>
  </r>
  <r>
    <x v="506"/>
  </r>
  <r>
    <x v="8"/>
  </r>
  <r>
    <x v="522"/>
  </r>
  <r>
    <x v="489"/>
  </r>
  <r>
    <x v="489"/>
  </r>
  <r>
    <x v="548"/>
  </r>
  <r>
    <x v="537"/>
  </r>
  <r>
    <x v="497"/>
  </r>
  <r>
    <x v="497"/>
  </r>
  <r>
    <x v="497"/>
  </r>
  <r>
    <x v="537"/>
  </r>
  <r>
    <x v="537"/>
  </r>
  <r>
    <x v="8"/>
  </r>
  <r>
    <x v="549"/>
  </r>
  <r>
    <x v="168"/>
  </r>
  <r>
    <x v="497"/>
  </r>
  <r>
    <x v="550"/>
  </r>
  <r>
    <x v="550"/>
  </r>
  <r>
    <x v="551"/>
  </r>
  <r>
    <x v="103"/>
  </r>
  <r>
    <x v="552"/>
  </r>
  <r>
    <x v="553"/>
  </r>
  <r>
    <x v="553"/>
  </r>
  <r>
    <x v="496"/>
  </r>
  <r>
    <x v="554"/>
  </r>
  <r>
    <x v="554"/>
  </r>
  <r>
    <x v="555"/>
  </r>
  <r>
    <x v="490"/>
  </r>
  <r>
    <x v="490"/>
  </r>
  <r>
    <x v="490"/>
  </r>
  <r>
    <x v="490"/>
  </r>
  <r>
    <x v="506"/>
  </r>
  <r>
    <x v="507"/>
  </r>
  <r>
    <x v="507"/>
  </r>
  <r>
    <x v="506"/>
  </r>
  <r>
    <x v="506"/>
  </r>
  <r>
    <x v="523"/>
  </r>
  <r>
    <x v="523"/>
  </r>
  <r>
    <x v="523"/>
  </r>
  <r>
    <x v="523"/>
  </r>
  <r>
    <x v="523"/>
  </r>
  <r>
    <x v="523"/>
  </r>
  <r>
    <x v="523"/>
  </r>
  <r>
    <x v="523"/>
  </r>
  <r>
    <x v="556"/>
  </r>
  <r>
    <x v="557"/>
  </r>
  <r>
    <x v="521"/>
  </r>
  <r>
    <x v="521"/>
  </r>
  <r>
    <x v="521"/>
  </r>
  <r>
    <x v="528"/>
  </r>
  <r>
    <x v="529"/>
  </r>
  <r>
    <x v="529"/>
  </r>
  <r>
    <x v="558"/>
  </r>
  <r>
    <x v="528"/>
  </r>
  <r>
    <x v="496"/>
  </r>
  <r>
    <x v="528"/>
  </r>
  <r>
    <x v="494"/>
  </r>
  <r>
    <x v="559"/>
  </r>
  <r>
    <x v="559"/>
  </r>
  <r>
    <x v="496"/>
  </r>
  <r>
    <x v="536"/>
  </r>
  <r>
    <x v="544"/>
  </r>
  <r>
    <x v="544"/>
  </r>
  <r>
    <x v="544"/>
  </r>
  <r>
    <x v="544"/>
  </r>
  <r>
    <x v="544"/>
  </r>
  <r>
    <x v="544"/>
  </r>
  <r>
    <x v="496"/>
  </r>
  <r>
    <x v="497"/>
  </r>
  <r>
    <x v="560"/>
  </r>
  <r>
    <x v="499"/>
  </r>
  <r>
    <x v="496"/>
  </r>
  <r>
    <x v="510"/>
  </r>
  <r>
    <x v="526"/>
  </r>
  <r>
    <x v="510"/>
  </r>
  <r>
    <x v="510"/>
  </r>
  <r>
    <x v="510"/>
  </r>
  <r>
    <x v="561"/>
  </r>
  <r>
    <x v="562"/>
  </r>
  <r>
    <x v="547"/>
  </r>
  <r>
    <x v="506"/>
  </r>
  <r>
    <x v="506"/>
  </r>
  <r>
    <x v="8"/>
  </r>
  <r>
    <x v="496"/>
  </r>
  <r>
    <x v="563"/>
  </r>
  <r>
    <x v="563"/>
  </r>
  <r>
    <x v="548"/>
  </r>
  <r>
    <x v="537"/>
  </r>
  <r>
    <x v="497"/>
  </r>
  <r>
    <x v="497"/>
  </r>
  <r>
    <x v="497"/>
  </r>
  <r>
    <x v="8"/>
  </r>
  <r>
    <x v="8"/>
  </r>
  <r>
    <x v="8"/>
  </r>
  <r>
    <x v="8"/>
  </r>
  <r>
    <x v="8"/>
  </r>
  <r>
    <x v="518"/>
  </r>
  <r>
    <x v="518"/>
  </r>
  <r>
    <x v="518"/>
  </r>
  <r>
    <x v="518"/>
  </r>
  <r>
    <x v="564"/>
  </r>
  <r>
    <x v="564"/>
  </r>
  <r>
    <x v="564"/>
  </r>
  <r>
    <x v="497"/>
  </r>
  <r>
    <x v="8"/>
  </r>
  <r>
    <x v="497"/>
  </r>
  <r>
    <x v="562"/>
  </r>
  <r>
    <x v="521"/>
  </r>
  <r>
    <x v="521"/>
  </r>
  <r>
    <x v="529"/>
  </r>
  <r>
    <x v="510"/>
  </r>
  <r>
    <x v="510"/>
  </r>
  <r>
    <x v="510"/>
  </r>
  <r>
    <x v="510"/>
  </r>
  <r>
    <x v="521"/>
  </r>
  <r>
    <x v="522"/>
  </r>
  <r>
    <x v="522"/>
  </r>
  <r>
    <x v="565"/>
  </r>
  <r>
    <x v="565"/>
  </r>
  <r>
    <x v="535"/>
  </r>
  <r>
    <x v="535"/>
  </r>
  <r>
    <x v="535"/>
  </r>
  <r>
    <x v="535"/>
  </r>
  <r>
    <x v="535"/>
  </r>
  <r>
    <x v="535"/>
  </r>
  <r>
    <x v="535"/>
  </r>
  <r>
    <x v="535"/>
  </r>
  <r>
    <x v="489"/>
  </r>
  <r>
    <x v="510"/>
  </r>
  <r>
    <x v="506"/>
  </r>
  <r>
    <x v="506"/>
  </r>
  <r>
    <x v="543"/>
  </r>
  <r>
    <x v="529"/>
  </r>
  <r>
    <x v="529"/>
  </r>
  <r>
    <x v="496"/>
  </r>
  <r>
    <x v="566"/>
  </r>
  <r>
    <x v="528"/>
  </r>
  <r>
    <x v="559"/>
  </r>
  <r>
    <x v="559"/>
  </r>
  <r>
    <x v="506"/>
  </r>
  <r>
    <x v="481"/>
  </r>
  <r>
    <x v="547"/>
  </r>
  <r>
    <x v="547"/>
  </r>
  <r>
    <x v="547"/>
  </r>
  <r>
    <x v="547"/>
  </r>
  <r>
    <x v="547"/>
  </r>
  <r>
    <x v="547"/>
  </r>
  <r>
    <x v="567"/>
  </r>
  <r>
    <x v="568"/>
  </r>
  <r>
    <x v="560"/>
  </r>
  <r>
    <x v="569"/>
  </r>
  <r>
    <x v="570"/>
  </r>
  <r>
    <x v="571"/>
  </r>
  <r>
    <x v="496"/>
  </r>
  <r>
    <x v="572"/>
  </r>
  <r>
    <x v="572"/>
  </r>
  <r>
    <x v="572"/>
  </r>
  <r>
    <x v="547"/>
  </r>
  <r>
    <x v="496"/>
  </r>
  <r>
    <x v="496"/>
  </r>
  <r>
    <x v="497"/>
  </r>
  <r>
    <x v="496"/>
  </r>
  <r>
    <x v="508"/>
  </r>
  <r>
    <x v="8"/>
  </r>
  <r>
    <x v="497"/>
  </r>
  <r>
    <x v="497"/>
  </r>
  <r>
    <x v="497"/>
  </r>
  <r>
    <x v="573"/>
  </r>
  <r>
    <x v="573"/>
  </r>
  <r>
    <x v="573"/>
  </r>
  <r>
    <x v="8"/>
  </r>
  <r>
    <x v="8"/>
  </r>
  <r>
    <x v="538"/>
  </r>
  <r>
    <x v="8"/>
  </r>
  <r>
    <x v="8"/>
  </r>
  <r>
    <x v="574"/>
  </r>
  <r>
    <x v="575"/>
  </r>
  <r>
    <x v="497"/>
  </r>
  <r>
    <x v="217"/>
  </r>
  <r>
    <x v="529"/>
  </r>
  <r>
    <x v="496"/>
  </r>
  <r>
    <x v="496"/>
  </r>
  <r>
    <x v="576"/>
  </r>
  <r>
    <x v="576"/>
  </r>
  <r>
    <x v="521"/>
  </r>
  <r>
    <x v="521"/>
  </r>
  <r>
    <x v="565"/>
  </r>
  <r>
    <x v="565"/>
  </r>
  <r>
    <x v="565"/>
  </r>
  <r>
    <x v="565"/>
  </r>
  <r>
    <x v="565"/>
  </r>
  <r>
    <x v="565"/>
  </r>
  <r>
    <x v="565"/>
  </r>
  <r>
    <x v="565"/>
  </r>
  <r>
    <x v="530"/>
  </r>
  <r>
    <x v="530"/>
  </r>
  <r>
    <x v="577"/>
  </r>
  <r>
    <x v="510"/>
  </r>
  <r>
    <x v="506"/>
  </r>
  <r>
    <x v="506"/>
  </r>
  <r>
    <x v="528"/>
  </r>
  <r>
    <x v="542"/>
  </r>
  <r>
    <x v="530"/>
  </r>
  <r>
    <x v="521"/>
  </r>
  <r>
    <x v="521"/>
  </r>
  <r>
    <x v="506"/>
  </r>
  <r>
    <x v="533"/>
  </r>
  <r>
    <x v="529"/>
  </r>
  <r>
    <x v="578"/>
  </r>
  <r>
    <x v="510"/>
  </r>
  <r>
    <x v="499"/>
  </r>
  <r>
    <x v="496"/>
  </r>
  <r>
    <x v="579"/>
  </r>
  <r>
    <x v="579"/>
  </r>
  <r>
    <x v="579"/>
  </r>
  <r>
    <x v="496"/>
  </r>
  <r>
    <x v="496"/>
  </r>
  <r>
    <x v="497"/>
  </r>
  <r>
    <x v="522"/>
  </r>
  <r>
    <x v="8"/>
  </r>
  <r>
    <x v="497"/>
  </r>
  <r>
    <x v="497"/>
  </r>
  <r>
    <x v="497"/>
  </r>
  <r>
    <x v="531"/>
  </r>
  <r>
    <x v="531"/>
  </r>
  <r>
    <x v="531"/>
  </r>
  <r>
    <x v="94"/>
  </r>
  <r>
    <x v="537"/>
  </r>
  <r>
    <x v="518"/>
  </r>
  <r>
    <x v="518"/>
  </r>
  <r>
    <x v="519"/>
  </r>
  <r>
    <x v="580"/>
  </r>
  <r>
    <x v="8"/>
  </r>
  <r>
    <x v="497"/>
  </r>
  <r>
    <x v="8"/>
  </r>
  <r>
    <x v="261"/>
  </r>
  <r>
    <x v="529"/>
  </r>
  <r>
    <x v="496"/>
  </r>
  <r>
    <x v="496"/>
  </r>
  <r>
    <x v="562"/>
  </r>
  <r>
    <x v="562"/>
  </r>
  <r>
    <x v="562"/>
  </r>
  <r>
    <x v="562"/>
  </r>
  <r>
    <x v="562"/>
  </r>
  <r>
    <x v="562"/>
  </r>
  <r>
    <x v="562"/>
  </r>
  <r>
    <x v="562"/>
  </r>
  <r>
    <x v="562"/>
  </r>
  <r>
    <x v="562"/>
  </r>
  <r>
    <x v="508"/>
  </r>
  <r>
    <x v="542"/>
  </r>
  <r>
    <x v="526"/>
  </r>
  <r>
    <x v="521"/>
  </r>
  <r>
    <x v="521"/>
  </r>
  <r>
    <x v="510"/>
  </r>
  <r>
    <x v="529"/>
  </r>
  <r>
    <x v="521"/>
  </r>
  <r>
    <x v="543"/>
  </r>
  <r>
    <x v="581"/>
  </r>
  <r>
    <x v="496"/>
  </r>
  <r>
    <x v="521"/>
  </r>
  <r>
    <x v="521"/>
  </r>
  <r>
    <x v="529"/>
  </r>
  <r>
    <x v="533"/>
  </r>
  <r>
    <x v="529"/>
  </r>
  <r>
    <x v="547"/>
  </r>
  <r>
    <x v="506"/>
  </r>
  <r>
    <x v="496"/>
  </r>
  <r>
    <x v="522"/>
  </r>
  <r>
    <x v="521"/>
  </r>
  <r>
    <x v="521"/>
  </r>
  <r>
    <x v="529"/>
  </r>
  <r>
    <x v="8"/>
  </r>
  <r>
    <x v="582"/>
  </r>
  <r>
    <x v="582"/>
  </r>
  <r>
    <x v="582"/>
  </r>
  <r>
    <x v="583"/>
  </r>
  <r>
    <x v="8"/>
  </r>
  <r>
    <x v="537"/>
  </r>
  <r>
    <x v="8"/>
  </r>
  <r>
    <x v="8"/>
  </r>
  <r>
    <x v="584"/>
  </r>
  <r>
    <x v="497"/>
  </r>
  <r>
    <x v="8"/>
  </r>
  <r>
    <x v="497"/>
  </r>
  <r>
    <x v="585"/>
  </r>
  <r>
    <x v="8"/>
  </r>
  <r>
    <x v="529"/>
  </r>
  <r>
    <x v="529"/>
  </r>
  <r>
    <x v="529"/>
  </r>
  <r>
    <x v="506"/>
  </r>
  <r>
    <x v="567"/>
  </r>
  <r>
    <x v="567"/>
  </r>
  <r>
    <x v="576"/>
  </r>
  <r>
    <x v="529"/>
  </r>
  <r>
    <x v="496"/>
  </r>
  <r>
    <x v="529"/>
  </r>
  <r>
    <x v="563"/>
  </r>
  <r>
    <x v="576"/>
  </r>
  <r>
    <x v="586"/>
  </r>
  <r>
    <x v="521"/>
  </r>
  <r>
    <x v="496"/>
  </r>
  <r>
    <x v="522"/>
  </r>
  <r>
    <x v="521"/>
  </r>
  <r>
    <x v="521"/>
  </r>
  <r>
    <x v="529"/>
  </r>
  <r>
    <x v="8"/>
  </r>
  <r>
    <x v="568"/>
  </r>
  <r>
    <x v="568"/>
  </r>
  <r>
    <x v="568"/>
  </r>
  <r>
    <x v="497"/>
  </r>
  <r>
    <x v="336"/>
  </r>
  <r>
    <x v="8"/>
  </r>
  <r>
    <x v="529"/>
  </r>
  <r>
    <x v="529"/>
  </r>
  <r>
    <x v="496"/>
  </r>
  <r>
    <x v="576"/>
  </r>
  <r>
    <x v="576"/>
  </r>
  <r>
    <x v="521"/>
  </r>
  <r>
    <x v="496"/>
  </r>
  <r>
    <x v="521"/>
  </r>
  <r>
    <x v="523"/>
  </r>
  <r>
    <x v="523"/>
  </r>
  <r>
    <x v="523"/>
  </r>
  <r>
    <x v="523"/>
  </r>
  <r>
    <x v="523"/>
  </r>
  <r>
    <x v="523"/>
  </r>
  <r>
    <x v="529"/>
  </r>
  <r>
    <x v="529"/>
  </r>
  <r>
    <x v="521"/>
  </r>
  <r>
    <x v="521"/>
  </r>
  <r>
    <x v="583"/>
  </r>
  <r>
    <x v="497"/>
  </r>
  <r>
    <x v="531"/>
  </r>
  <r>
    <x v="535"/>
  </r>
  <r>
    <x v="496"/>
  </r>
  <r>
    <x v="587"/>
  </r>
  <r>
    <x v="496"/>
  </r>
  <r>
    <x v="521"/>
  </r>
  <r>
    <x v="540"/>
  </r>
  <r>
    <x v="540"/>
  </r>
  <r>
    <x v="540"/>
  </r>
  <r>
    <x v="540"/>
  </r>
  <r>
    <x v="540"/>
  </r>
  <r>
    <x v="540"/>
  </r>
  <r>
    <x v="529"/>
  </r>
  <r>
    <x v="529"/>
  </r>
  <r>
    <x v="522"/>
  </r>
  <r>
    <x v="529"/>
  </r>
  <r>
    <x v="529"/>
  </r>
  <r>
    <x v="588"/>
  </r>
  <r>
    <x v="586"/>
  </r>
  <r>
    <x v="546"/>
  </r>
  <r>
    <x v="589"/>
  </r>
  <r>
    <x v="8"/>
  </r>
  <r>
    <x v="496"/>
  </r>
  <r>
    <x v="535"/>
  </r>
  <r>
    <x v="535"/>
  </r>
  <r>
    <x v="535"/>
  </r>
  <r>
    <x v="535"/>
  </r>
  <r>
    <x v="535"/>
  </r>
  <r>
    <x v="535"/>
  </r>
  <r>
    <x v="529"/>
  </r>
  <r>
    <x v="576"/>
  </r>
  <r>
    <x v="529"/>
  </r>
  <r>
    <x v="529"/>
  </r>
  <r>
    <x v="586"/>
  </r>
  <r>
    <x v="586"/>
  </r>
  <r>
    <x v="586"/>
  </r>
  <r>
    <x v="590"/>
  </r>
  <r>
    <x v="591"/>
  </r>
  <r>
    <x v="592"/>
  </r>
  <r>
    <x v="543"/>
  </r>
  <r>
    <x v="523"/>
  </r>
  <r>
    <x v="523"/>
  </r>
  <r>
    <x v="523"/>
  </r>
  <r>
    <x v="523"/>
  </r>
  <r>
    <x v="523"/>
  </r>
  <r>
    <x v="523"/>
  </r>
  <r>
    <x v="529"/>
  </r>
  <r>
    <x v="577"/>
  </r>
  <r>
    <x v="586"/>
  </r>
  <r>
    <x v="581"/>
  </r>
  <r>
    <x v="593"/>
  </r>
  <r>
    <x v="448"/>
  </r>
  <r>
    <x v="567"/>
  </r>
  <r>
    <x v="565"/>
  </r>
  <r>
    <x v="565"/>
  </r>
  <r>
    <x v="565"/>
  </r>
  <r>
    <x v="565"/>
  </r>
  <r>
    <x v="565"/>
  </r>
  <r>
    <x v="565"/>
  </r>
  <r>
    <x v="521"/>
  </r>
  <r>
    <x v="431"/>
  </r>
  <r>
    <x v="521"/>
  </r>
  <r>
    <x v="529"/>
  </r>
  <r>
    <x v="561"/>
  </r>
  <r>
    <x v="561"/>
  </r>
  <r>
    <x v="561"/>
  </r>
  <r>
    <x v="561"/>
  </r>
  <r>
    <x v="561"/>
  </r>
  <r>
    <x v="561"/>
  </r>
  <r>
    <x v="83"/>
  </r>
  <r>
    <x v="529"/>
  </r>
  <r>
    <x v="529"/>
  </r>
  <r>
    <x v="217"/>
  </r>
  <r>
    <x v="537"/>
  </r>
  <r>
    <x v="529"/>
  </r>
  <r>
    <x v="587"/>
  </r>
  <r>
    <x v="529"/>
  </r>
  <r>
    <x v="431"/>
  </r>
  <r>
    <x v="537"/>
  </r>
  <r>
    <x v="576"/>
  </r>
  <r>
    <x v="83"/>
  </r>
  <r>
    <x v="384"/>
  </r>
  <r>
    <x v="594"/>
  </r>
  <r>
    <x v="552"/>
  </r>
  <r>
    <x v="554"/>
  </r>
  <r>
    <x v="554"/>
  </r>
  <r>
    <x v="474"/>
  </r>
  <r>
    <x v="474"/>
  </r>
  <r>
    <x v="474"/>
  </r>
  <r>
    <x v="474"/>
  </r>
  <r>
    <x v="474"/>
  </r>
  <r>
    <x v="474"/>
  </r>
  <r>
    <x v="508"/>
  </r>
  <r>
    <x v="528"/>
  </r>
  <r>
    <x v="595"/>
  </r>
  <r>
    <x v="528"/>
  </r>
  <r>
    <x v="528"/>
  </r>
  <r>
    <x v="596"/>
  </r>
  <r>
    <x v="597"/>
  </r>
  <r>
    <x v="598"/>
  </r>
  <r>
    <x v="448"/>
  </r>
  <r>
    <x v="599"/>
  </r>
  <r>
    <x v="600"/>
  </r>
  <r>
    <x v="595"/>
  </r>
  <r>
    <x v="528"/>
  </r>
  <r>
    <x v="477"/>
  </r>
  <r>
    <x v="601"/>
  </r>
  <r>
    <x v="601"/>
  </r>
  <r>
    <x v="601"/>
  </r>
  <r>
    <x v="601"/>
  </r>
  <r>
    <x v="601"/>
  </r>
  <r>
    <x v="601"/>
  </r>
  <r>
    <x v="474"/>
  </r>
  <r>
    <x v="168"/>
  </r>
  <r>
    <x v="602"/>
  </r>
  <r>
    <x v="552"/>
  </r>
  <r>
    <x v="603"/>
  </r>
  <r>
    <x v="477"/>
  </r>
  <r>
    <x v="603"/>
  </r>
  <r>
    <x v="604"/>
  </r>
  <r>
    <x v="605"/>
  </r>
  <r>
    <x v="606"/>
  </r>
  <r>
    <x v="506"/>
  </r>
  <r>
    <x v="506"/>
  </r>
  <r>
    <x v="8"/>
  </r>
  <r>
    <x v="8"/>
  </r>
  <r>
    <x v="8"/>
  </r>
  <r>
    <x v="508"/>
  </r>
  <r>
    <x v="94"/>
  </r>
  <r>
    <x v="117"/>
  </r>
  <r>
    <x v="607"/>
  </r>
  <r>
    <x v="564"/>
  </r>
  <r>
    <x v="564"/>
  </r>
  <r>
    <x v="564"/>
  </r>
  <r>
    <x v="431"/>
  </r>
  <r>
    <x v="8"/>
  </r>
  <r>
    <x v="82"/>
  </r>
  <r>
    <x v="8"/>
  </r>
  <r>
    <x v="8"/>
  </r>
  <r>
    <x v="608"/>
  </r>
  <r>
    <x v="474"/>
  </r>
  <r>
    <x v="474"/>
  </r>
  <r>
    <x v="474"/>
  </r>
  <r>
    <x v="510"/>
  </r>
  <r>
    <x v="474"/>
  </r>
  <r>
    <x v="474"/>
  </r>
  <r>
    <x v="508"/>
  </r>
  <r>
    <x v="543"/>
  </r>
  <r>
    <x v="595"/>
  </r>
  <r>
    <x v="543"/>
  </r>
  <r>
    <x v="543"/>
  </r>
  <r>
    <x v="596"/>
  </r>
  <r>
    <x v="528"/>
  </r>
  <r>
    <x v="8"/>
  </r>
  <r>
    <x v="599"/>
  </r>
  <r>
    <x v="595"/>
  </r>
  <r>
    <x v="600"/>
  </r>
  <r>
    <x v="595"/>
  </r>
  <r>
    <x v="477"/>
  </r>
  <r>
    <x v="477"/>
  </r>
  <r>
    <x v="146"/>
  </r>
  <r>
    <x v="601"/>
  </r>
  <r>
    <x v="601"/>
  </r>
  <r>
    <x v="601"/>
  </r>
  <r>
    <x v="601"/>
  </r>
  <r>
    <x v="601"/>
  </r>
  <r>
    <x v="601"/>
  </r>
  <r>
    <x v="602"/>
  </r>
  <r>
    <x v="609"/>
  </r>
  <r>
    <x v="506"/>
  </r>
  <r>
    <x v="609"/>
  </r>
  <r>
    <x v="506"/>
  </r>
  <r>
    <x v="506"/>
  </r>
  <r>
    <x v="8"/>
  </r>
  <r>
    <x v="8"/>
  </r>
  <r>
    <x v="8"/>
  </r>
  <r>
    <x v="508"/>
  </r>
  <r>
    <x v="94"/>
  </r>
  <r>
    <x v="610"/>
  </r>
  <r>
    <x v="323"/>
  </r>
  <r>
    <x v="323"/>
  </r>
  <r>
    <x v="82"/>
  </r>
  <r>
    <x v="261"/>
  </r>
  <r>
    <x v="8"/>
  </r>
  <r>
    <x v="8"/>
  </r>
  <r>
    <x v="528"/>
  </r>
  <r>
    <x v="528"/>
  </r>
  <r>
    <x v="528"/>
  </r>
  <r>
    <x v="528"/>
  </r>
  <r>
    <x v="528"/>
  </r>
  <r>
    <x v="528"/>
  </r>
  <r>
    <x v="528"/>
  </r>
  <r>
    <x v="528"/>
  </r>
  <r>
    <x v="528"/>
  </r>
  <r>
    <x v="528"/>
  </r>
  <r>
    <x v="611"/>
  </r>
  <r>
    <x v="611"/>
  </r>
  <r>
    <x v="478"/>
  </r>
  <r>
    <x v="474"/>
  </r>
  <r>
    <x v="474"/>
  </r>
  <r>
    <x v="474"/>
  </r>
  <r>
    <x v="474"/>
  </r>
  <r>
    <x v="474"/>
  </r>
  <r>
    <x v="612"/>
  </r>
  <r>
    <x v="477"/>
  </r>
  <r>
    <x v="146"/>
  </r>
  <r>
    <x v="613"/>
  </r>
  <r>
    <x v="595"/>
  </r>
  <r>
    <x v="528"/>
  </r>
  <r>
    <x v="595"/>
  </r>
  <r>
    <x v="477"/>
  </r>
  <r>
    <x v="478"/>
  </r>
  <r>
    <x v="103"/>
  </r>
  <r>
    <x v="602"/>
  </r>
  <r>
    <x v="608"/>
  </r>
  <r>
    <x v="603"/>
  </r>
  <r>
    <x v="603"/>
  </r>
  <r>
    <x v="480"/>
  </r>
  <r>
    <x v="480"/>
  </r>
  <r>
    <x v="262"/>
  </r>
  <r>
    <x v="262"/>
  </r>
  <r>
    <x v="262"/>
  </r>
  <r>
    <x v="508"/>
  </r>
  <r>
    <x v="614"/>
  </r>
  <r>
    <x v="103"/>
  </r>
  <r>
    <x v="117"/>
  </r>
  <r>
    <x v="168"/>
  </r>
  <r>
    <x v="146"/>
  </r>
  <r>
    <x v="585"/>
  </r>
  <r>
    <x v="612"/>
  </r>
  <r>
    <x v="612"/>
  </r>
  <r>
    <x v="477"/>
  </r>
  <r>
    <x v="615"/>
  </r>
  <r>
    <x v="470"/>
  </r>
  <r>
    <x v="470"/>
  </r>
  <r>
    <x v="616"/>
  </r>
  <r>
    <x v="468"/>
  </r>
  <r>
    <x v="468"/>
  </r>
  <r>
    <x v="597"/>
  </r>
  <r>
    <x v="478"/>
  </r>
  <r>
    <x v="103"/>
  </r>
  <r>
    <x v="599"/>
  </r>
  <r>
    <x v="543"/>
  </r>
  <r>
    <x v="557"/>
  </r>
  <r>
    <x v="617"/>
  </r>
  <r>
    <x v="617"/>
  </r>
  <r>
    <x v="477"/>
  </r>
  <r>
    <x v="513"/>
  </r>
  <r>
    <x v="601"/>
  </r>
  <r>
    <x v="601"/>
  </r>
  <r>
    <x v="601"/>
  </r>
  <r>
    <x v="601"/>
  </r>
  <r>
    <x v="601"/>
  </r>
  <r>
    <x v="601"/>
  </r>
  <r>
    <x v="474"/>
  </r>
  <r>
    <x v="618"/>
  </r>
  <r>
    <x v="619"/>
  </r>
  <r>
    <x v="513"/>
  </r>
  <r>
    <x v="609"/>
  </r>
  <r>
    <x v="616"/>
  </r>
  <r>
    <x v="620"/>
  </r>
  <r>
    <x v="620"/>
  </r>
  <r>
    <x v="77"/>
  </r>
  <r>
    <x v="477"/>
  </r>
  <r>
    <x v="470"/>
  </r>
  <r>
    <x v="470"/>
  </r>
  <r>
    <x v="146"/>
  </r>
  <r>
    <x v="146"/>
  </r>
  <r>
    <x v="146"/>
  </r>
  <r>
    <x v="508"/>
  </r>
  <r>
    <x v="81"/>
  </r>
  <r>
    <x v="146"/>
  </r>
  <r>
    <x v="146"/>
  </r>
  <r>
    <x v="146"/>
  </r>
  <r>
    <x v="8"/>
  </r>
  <r>
    <x v="168"/>
  </r>
  <r>
    <x v="8"/>
  </r>
  <r>
    <x v="8"/>
  </r>
  <r>
    <x v="594"/>
  </r>
  <r>
    <x v="552"/>
  </r>
  <r>
    <x v="471"/>
  </r>
  <r>
    <x v="471"/>
  </r>
  <r>
    <x v="621"/>
  </r>
  <r>
    <x v="510"/>
  </r>
  <r>
    <x v="510"/>
  </r>
  <r>
    <x v="510"/>
  </r>
  <r>
    <x v="510"/>
  </r>
  <r>
    <x v="465"/>
  </r>
  <r>
    <x v="465"/>
  </r>
  <r>
    <x v="620"/>
  </r>
  <r>
    <x v="620"/>
  </r>
  <r>
    <x v="622"/>
  </r>
  <r>
    <x v="595"/>
  </r>
  <r>
    <x v="617"/>
  </r>
  <r>
    <x v="617"/>
  </r>
  <r>
    <x v="617"/>
  </r>
  <r>
    <x v="478"/>
  </r>
  <r>
    <x v="478"/>
  </r>
  <r>
    <x v="623"/>
  </r>
  <r>
    <x v="513"/>
  </r>
  <r>
    <x v="624"/>
  </r>
  <r>
    <x v="557"/>
  </r>
  <r>
    <x v="557"/>
  </r>
  <r>
    <x v="617"/>
  </r>
  <r>
    <x v="617"/>
  </r>
  <r>
    <x v="466"/>
  </r>
  <r>
    <x v="477"/>
  </r>
  <r>
    <x v="493"/>
  </r>
  <r>
    <x v="625"/>
  </r>
  <r>
    <x v="625"/>
  </r>
  <r>
    <x v="625"/>
  </r>
  <r>
    <x v="625"/>
  </r>
  <r>
    <x v="625"/>
  </r>
  <r>
    <x v="625"/>
  </r>
  <r>
    <x v="477"/>
  </r>
  <r>
    <x v="146"/>
  </r>
  <r>
    <x v="556"/>
  </r>
  <r>
    <x v="626"/>
  </r>
  <r>
    <x v="468"/>
  </r>
  <r>
    <x v="521"/>
  </r>
  <r>
    <x v="618"/>
  </r>
  <r>
    <x v="616"/>
  </r>
  <r>
    <x v="627"/>
  </r>
  <r>
    <x v="627"/>
  </r>
  <r>
    <x v="628"/>
  </r>
  <r>
    <x v="478"/>
  </r>
  <r>
    <x v="521"/>
  </r>
  <r>
    <x v="521"/>
  </r>
  <r>
    <x v="493"/>
  </r>
  <r>
    <x v="103"/>
  </r>
  <r>
    <x v="103"/>
  </r>
  <r>
    <x v="103"/>
  </r>
  <r>
    <x v="103"/>
  </r>
  <r>
    <x v="168"/>
  </r>
  <r>
    <x v="168"/>
  </r>
  <r>
    <x v="77"/>
  </r>
  <r>
    <x v="453"/>
  </r>
  <r>
    <x v="146"/>
  </r>
  <r>
    <x v="629"/>
  </r>
  <r>
    <x v="629"/>
  </r>
  <r>
    <x v="611"/>
  </r>
  <r>
    <x v="611"/>
  </r>
  <r>
    <x v="620"/>
  </r>
  <r>
    <x v="510"/>
  </r>
  <r>
    <x v="510"/>
  </r>
  <r>
    <x v="510"/>
  </r>
  <r>
    <x v="510"/>
  </r>
  <r>
    <x v="612"/>
  </r>
  <r>
    <x v="612"/>
  </r>
  <r>
    <x v="612"/>
  </r>
  <r>
    <x v="630"/>
  </r>
  <r>
    <x v="630"/>
  </r>
  <r>
    <x v="630"/>
  </r>
  <r>
    <x v="631"/>
  </r>
  <r>
    <x v="631"/>
  </r>
  <r>
    <x v="468"/>
  </r>
  <r>
    <x v="557"/>
  </r>
  <r>
    <x v="465"/>
  </r>
  <r>
    <x v="477"/>
  </r>
  <r>
    <x v="625"/>
  </r>
  <r>
    <x v="625"/>
  </r>
  <r>
    <x v="625"/>
  </r>
  <r>
    <x v="625"/>
  </r>
  <r>
    <x v="625"/>
  </r>
  <r>
    <x v="625"/>
  </r>
  <r>
    <x v="474"/>
  </r>
  <r>
    <x v="168"/>
  </r>
  <r>
    <x v="556"/>
  </r>
  <r>
    <x v="478"/>
  </r>
  <r>
    <x v="626"/>
  </r>
  <r>
    <x v="632"/>
  </r>
  <r>
    <x v="632"/>
  </r>
  <r>
    <x v="633"/>
  </r>
  <r>
    <x v="623"/>
  </r>
  <r>
    <x v="491"/>
  </r>
  <r>
    <x v="491"/>
  </r>
  <r>
    <x v="513"/>
  </r>
  <r>
    <x v="170"/>
  </r>
  <r>
    <x v="170"/>
  </r>
  <r>
    <x v="170"/>
  </r>
  <r>
    <x v="170"/>
  </r>
  <r>
    <x v="634"/>
  </r>
  <r>
    <x v="634"/>
  </r>
  <r>
    <x v="117"/>
  </r>
  <r>
    <x v="117"/>
  </r>
  <r>
    <x v="117"/>
  </r>
  <r>
    <x v="117"/>
  </r>
  <r>
    <x v="168"/>
  </r>
  <r>
    <x v="615"/>
  </r>
  <r>
    <x v="615"/>
  </r>
  <r>
    <x v="493"/>
  </r>
  <r>
    <x v="615"/>
  </r>
  <r>
    <x v="491"/>
  </r>
  <r>
    <x v="491"/>
  </r>
  <r>
    <x v="635"/>
  </r>
  <r>
    <x v="635"/>
  </r>
  <r>
    <x v="620"/>
  </r>
  <r>
    <x v="620"/>
  </r>
  <r>
    <x v="620"/>
  </r>
  <r>
    <x v="620"/>
  </r>
  <r>
    <x v="620"/>
  </r>
  <r>
    <x v="620"/>
  </r>
  <r>
    <x v="620"/>
  </r>
  <r>
    <x v="620"/>
  </r>
  <r>
    <x v="622"/>
  </r>
  <r>
    <x v="636"/>
  </r>
  <r>
    <x v="636"/>
  </r>
  <r>
    <x v="493"/>
  </r>
  <r>
    <x v="493"/>
  </r>
  <r>
    <x v="478"/>
  </r>
  <r>
    <x v="637"/>
  </r>
  <r>
    <x v="513"/>
  </r>
  <r>
    <x v="556"/>
  </r>
  <r>
    <x v="477"/>
  </r>
  <r>
    <x v="468"/>
  </r>
  <r>
    <x v="468"/>
  </r>
  <r>
    <x v="170"/>
  </r>
  <r>
    <x v="638"/>
  </r>
  <r>
    <x v="628"/>
  </r>
  <r>
    <x v="146"/>
  </r>
  <r>
    <x v="146"/>
  </r>
  <r>
    <x v="146"/>
  </r>
  <r>
    <x v="639"/>
  </r>
  <r>
    <x v="186"/>
  </r>
  <r>
    <x v="640"/>
  </r>
  <r>
    <x v="186"/>
  </r>
  <r>
    <x v="251"/>
  </r>
  <r>
    <x v="640"/>
  </r>
  <r>
    <x v="146"/>
  </r>
  <r>
    <x v="293"/>
  </r>
  <r>
    <x v="513"/>
  </r>
  <r>
    <x v="468"/>
  </r>
  <r>
    <x v="468"/>
  </r>
  <r>
    <x v="615"/>
  </r>
  <r>
    <x v="615"/>
  </r>
  <r>
    <x v="635"/>
  </r>
  <r>
    <x v="635"/>
  </r>
  <r>
    <x v="635"/>
  </r>
  <r>
    <x v="635"/>
  </r>
  <r>
    <x v="635"/>
  </r>
  <r>
    <x v="635"/>
  </r>
  <r>
    <x v="635"/>
  </r>
  <r>
    <x v="635"/>
  </r>
  <r>
    <x v="641"/>
  </r>
  <r>
    <x v="612"/>
  </r>
  <r>
    <x v="515"/>
  </r>
  <r>
    <x v="630"/>
  </r>
  <r>
    <x v="630"/>
  </r>
  <r>
    <x v="642"/>
  </r>
  <r>
    <x v="513"/>
  </r>
  <r>
    <x v="513"/>
  </r>
  <r>
    <x v="510"/>
  </r>
  <r>
    <x v="478"/>
  </r>
  <r>
    <x v="478"/>
  </r>
  <r>
    <x v="478"/>
  </r>
  <r>
    <x v="103"/>
  </r>
  <r>
    <x v="513"/>
  </r>
  <r>
    <x v="643"/>
  </r>
  <r>
    <x v="170"/>
  </r>
  <r>
    <x v="170"/>
  </r>
  <r>
    <x v="170"/>
  </r>
  <r>
    <x v="81"/>
  </r>
  <r>
    <x v="103"/>
  </r>
  <r>
    <x v="117"/>
  </r>
  <r>
    <x v="117"/>
  </r>
  <r>
    <x v="262"/>
  </r>
  <r>
    <x v="644"/>
  </r>
  <r>
    <x v="478"/>
  </r>
  <r>
    <x v="478"/>
  </r>
  <r>
    <x v="645"/>
  </r>
  <r>
    <x v="557"/>
  </r>
  <r>
    <x v="646"/>
  </r>
  <r>
    <x v="646"/>
  </r>
  <r>
    <x v="631"/>
  </r>
  <r>
    <x v="615"/>
  </r>
  <r>
    <x v="570"/>
  </r>
  <r>
    <x v="471"/>
  </r>
  <r>
    <x v="630"/>
  </r>
  <r>
    <x v="630"/>
  </r>
  <r>
    <x v="492"/>
  </r>
  <r>
    <x v="513"/>
  </r>
  <r>
    <x v="510"/>
  </r>
  <r>
    <x v="647"/>
  </r>
  <r>
    <x v="478"/>
  </r>
  <r>
    <x v="465"/>
  </r>
  <r>
    <x v="635"/>
  </r>
  <r>
    <x v="635"/>
  </r>
  <r>
    <x v="623"/>
  </r>
  <r>
    <x v="648"/>
  </r>
  <r>
    <x v="634"/>
  </r>
  <r>
    <x v="170"/>
  </r>
  <r>
    <x v="251"/>
  </r>
  <r>
    <x v="186"/>
  </r>
  <r>
    <x v="103"/>
  </r>
  <r>
    <x v="77"/>
  </r>
  <r>
    <x v="146"/>
  </r>
  <r>
    <x v="635"/>
  </r>
  <r>
    <x v="631"/>
  </r>
  <r>
    <x v="631"/>
  </r>
  <r>
    <x v="649"/>
  </r>
  <r>
    <x v="493"/>
  </r>
  <r>
    <x v="477"/>
  </r>
  <r>
    <x v="489"/>
  </r>
  <r>
    <x v="513"/>
  </r>
  <r>
    <x v="650"/>
  </r>
  <r>
    <x v="477"/>
  </r>
  <r>
    <x v="470"/>
  </r>
  <r>
    <x v="651"/>
  </r>
  <r>
    <x v="651"/>
  </r>
  <r>
    <x v="638"/>
  </r>
  <r>
    <x v="77"/>
  </r>
  <r>
    <x v="349"/>
  </r>
  <r>
    <x v="82"/>
  </r>
  <r>
    <x v="493"/>
  </r>
  <r>
    <x v="493"/>
  </r>
  <r>
    <x v="477"/>
  </r>
  <r>
    <x v="652"/>
  </r>
  <r>
    <x v="478"/>
  </r>
  <r>
    <x v="637"/>
  </r>
  <r>
    <x v="631"/>
  </r>
  <r>
    <x v="493"/>
  </r>
  <r>
    <x v="653"/>
  </r>
  <r>
    <x v="653"/>
  </r>
  <r>
    <x v="654"/>
  </r>
  <r>
    <x v="8"/>
  </r>
  <r>
    <x v="508"/>
  </r>
  <r>
    <x v="474"/>
  </r>
  <r>
    <x v="655"/>
  </r>
  <r>
    <x v="656"/>
  </r>
  <r>
    <x v="493"/>
  </r>
  <r>
    <x v="513"/>
  </r>
  <r>
    <x v="491"/>
  </r>
  <r>
    <x v="631"/>
  </r>
  <r>
    <x v="631"/>
  </r>
  <r>
    <x v="654"/>
  </r>
  <r>
    <x v="508"/>
  </r>
  <r>
    <x v="634"/>
  </r>
  <r>
    <x v="478"/>
  </r>
  <r>
    <x v="620"/>
  </r>
  <r>
    <x v="620"/>
  </r>
  <r>
    <x v="620"/>
  </r>
  <r>
    <x v="620"/>
  </r>
  <r>
    <x v="620"/>
  </r>
  <r>
    <x v="620"/>
  </r>
  <r>
    <x v="513"/>
  </r>
  <r>
    <x v="493"/>
  </r>
  <r>
    <x v="493"/>
  </r>
  <r>
    <x v="493"/>
  </r>
  <r>
    <x v="645"/>
  </r>
  <r>
    <x v="635"/>
  </r>
  <r>
    <x v="635"/>
  </r>
  <r>
    <x v="635"/>
  </r>
  <r>
    <x v="635"/>
  </r>
  <r>
    <x v="635"/>
  </r>
  <r>
    <x v="635"/>
  </r>
  <r>
    <x v="657"/>
  </r>
  <r>
    <x v="649"/>
  </r>
  <r>
    <x v="513"/>
  </r>
  <r>
    <x v="513"/>
  </r>
  <r>
    <x v="493"/>
  </r>
  <r>
    <x v="409"/>
  </r>
  <r>
    <x v="103"/>
  </r>
  <r>
    <x v="510"/>
  </r>
  <r>
    <x v="658"/>
  </r>
  <r>
    <x v="409"/>
  </r>
  <r>
    <x v="170"/>
  </r>
  <r>
    <x v="409"/>
  </r>
  <r>
    <x v="506"/>
  </r>
  <r>
    <x v="528"/>
  </r>
  <r>
    <x v="616"/>
  </r>
  <r>
    <x v="507"/>
  </r>
  <r>
    <x v="507"/>
  </r>
  <r>
    <x v="82"/>
  </r>
  <r>
    <x v="82"/>
  </r>
  <r>
    <x v="82"/>
  </r>
  <r>
    <x v="434"/>
  </r>
  <r>
    <x v="607"/>
  </r>
  <r>
    <x v="613"/>
  </r>
  <r>
    <x v="616"/>
  </r>
  <r>
    <x v="471"/>
  </r>
  <r>
    <x v="659"/>
  </r>
  <r>
    <x v="507"/>
  </r>
  <r>
    <x v="507"/>
  </r>
  <r>
    <x v="82"/>
  </r>
  <r>
    <x v="82"/>
  </r>
  <r>
    <x v="82"/>
  </r>
  <r>
    <x v="290"/>
  </r>
  <r>
    <x v="507"/>
  </r>
  <r>
    <x v="507"/>
  </r>
  <r>
    <x v="82"/>
  </r>
  <r>
    <x v="82"/>
  </r>
  <r>
    <x v="82"/>
  </r>
  <r>
    <x v="507"/>
  </r>
  <r>
    <x v="507"/>
  </r>
  <r>
    <x v="624"/>
  </r>
  <r>
    <x v="559"/>
  </r>
  <r>
    <x v="559"/>
  </r>
  <r>
    <x v="659"/>
  </r>
  <r>
    <x v="507"/>
  </r>
  <r>
    <x v="507"/>
  </r>
  <r>
    <x v="82"/>
  </r>
  <r>
    <x v="82"/>
  </r>
  <r>
    <x v="82"/>
  </r>
  <r>
    <x v="409"/>
  </r>
  <r>
    <x v="409"/>
  </r>
  <r>
    <x v="409"/>
  </r>
  <r>
    <x v="507"/>
  </r>
  <r>
    <x v="507"/>
  </r>
  <r>
    <x v="660"/>
  </r>
  <r>
    <x v="660"/>
  </r>
  <r>
    <x v="660"/>
  </r>
  <r>
    <x v="507"/>
  </r>
  <r>
    <x v="507"/>
  </r>
  <r>
    <x v="507"/>
  </r>
  <r>
    <x v="622"/>
  </r>
  <r>
    <x v="509"/>
  </r>
  <r>
    <x v="507"/>
  </r>
  <r>
    <x v="507"/>
  </r>
  <r>
    <x v="8"/>
  </r>
  <r>
    <x v="82"/>
  </r>
  <r>
    <x v="82"/>
  </r>
  <r>
    <x v="82"/>
  </r>
  <r>
    <x v="17"/>
  </r>
  <r>
    <x v="121"/>
  </r>
  <r>
    <x v="661"/>
  </r>
  <r>
    <x v="661"/>
  </r>
  <r>
    <x v="661"/>
  </r>
  <r>
    <x v="507"/>
  </r>
  <r>
    <x v="662"/>
  </r>
  <r>
    <x v="507"/>
  </r>
  <r>
    <x v="507"/>
  </r>
  <r>
    <x v="8"/>
  </r>
  <r>
    <x v="82"/>
  </r>
  <r>
    <x v="82"/>
  </r>
  <r>
    <x v="82"/>
  </r>
  <r>
    <x v="507"/>
  </r>
  <r>
    <x v="507"/>
  </r>
  <r>
    <x v="507"/>
  </r>
  <r>
    <x v="82"/>
  </r>
  <r>
    <x v="82"/>
  </r>
  <r>
    <x v="82"/>
  </r>
  <r>
    <x v="410"/>
  </r>
  <r>
    <x v="82"/>
  </r>
  <r>
    <x v="82"/>
  </r>
  <r>
    <x v="82"/>
  </r>
  <r>
    <x v="663"/>
  </r>
  <r>
    <x v="663"/>
  </r>
  <r>
    <x v="507"/>
  </r>
  <r>
    <x v="82"/>
  </r>
  <r>
    <x v="82"/>
  </r>
  <r>
    <x v="82"/>
  </r>
  <r>
    <x v="507"/>
  </r>
  <r>
    <x v="507"/>
  </r>
  <r>
    <x v="507"/>
  </r>
  <r>
    <x v="507"/>
  </r>
  <r>
    <x v="82"/>
  </r>
  <r>
    <x v="559"/>
  </r>
  <r>
    <x v="507"/>
  </r>
  <r>
    <x v="507"/>
  </r>
  <r>
    <x v="507"/>
  </r>
  <r>
    <x v="507"/>
  </r>
  <r>
    <x v="507"/>
  </r>
  <r>
    <x v="663"/>
  </r>
  <r>
    <x v="613"/>
  </r>
  <r>
    <x v="507"/>
  </r>
  <r>
    <x v="507"/>
  </r>
  <r>
    <x v="507"/>
  </r>
  <r>
    <x v="82"/>
  </r>
  <r>
    <x v="507"/>
  </r>
  <r>
    <x v="507"/>
  </r>
  <r>
    <x v="507"/>
  </r>
  <r>
    <x v="465"/>
  </r>
  <r>
    <x v="466"/>
  </r>
  <r>
    <x v="466"/>
  </r>
  <r>
    <x v="467"/>
  </r>
  <r>
    <x v="467"/>
  </r>
  <r>
    <x v="467"/>
  </r>
  <r>
    <x v="467"/>
  </r>
  <r>
    <x v="467"/>
  </r>
  <r>
    <x v="467"/>
  </r>
  <r>
    <x v="468"/>
  </r>
  <r>
    <x v="468"/>
  </r>
  <r>
    <x v="468"/>
  </r>
  <r>
    <x v="468"/>
  </r>
  <r>
    <x v="468"/>
  </r>
  <r>
    <x v="468"/>
  </r>
  <r>
    <x v="468"/>
  </r>
  <r>
    <x v="468"/>
  </r>
  <r>
    <x v="469"/>
  </r>
  <r>
    <x v="470"/>
  </r>
  <r>
    <x v="471"/>
  </r>
  <r>
    <x v="472"/>
  </r>
  <r>
    <x v="473"/>
  </r>
  <r>
    <x v="474"/>
  </r>
  <r>
    <x v="474"/>
  </r>
  <r>
    <x v="466"/>
  </r>
  <r>
    <x v="466"/>
  </r>
  <r>
    <x v="475"/>
  </r>
  <r>
    <x v="466"/>
  </r>
  <r>
    <x v="470"/>
  </r>
  <r>
    <x v="146"/>
  </r>
  <r>
    <x v="476"/>
  </r>
  <r>
    <x v="472"/>
  </r>
  <r>
    <x v="477"/>
  </r>
  <r>
    <x v="478"/>
  </r>
  <r>
    <x v="472"/>
  </r>
  <r>
    <x v="479"/>
  </r>
  <r>
    <x v="480"/>
  </r>
  <r>
    <x v="481"/>
  </r>
  <r>
    <x v="482"/>
  </r>
  <r>
    <x v="482"/>
  </r>
  <r>
    <x v="482"/>
  </r>
  <r>
    <x v="482"/>
  </r>
  <r>
    <x v="482"/>
  </r>
  <r>
    <x v="482"/>
  </r>
  <r>
    <x v="483"/>
  </r>
  <r>
    <x v="484"/>
  </r>
  <r>
    <x v="472"/>
  </r>
  <r>
    <x v="478"/>
  </r>
  <r>
    <x v="485"/>
  </r>
  <r>
    <x v="465"/>
  </r>
  <r>
    <x v="473"/>
  </r>
  <r>
    <x v="473"/>
  </r>
  <r>
    <x v="472"/>
  </r>
  <r>
    <x v="486"/>
  </r>
  <r>
    <x v="472"/>
  </r>
  <r>
    <x v="487"/>
  </r>
  <r>
    <x v="487"/>
  </r>
  <r>
    <x v="487"/>
  </r>
  <r>
    <x v="472"/>
  </r>
  <r>
    <x v="475"/>
  </r>
  <r>
    <x v="475"/>
  </r>
  <r>
    <x v="488"/>
  </r>
  <r>
    <x v="477"/>
  </r>
  <r>
    <x v="480"/>
  </r>
  <r>
    <x v="480"/>
  </r>
  <r>
    <x v="262"/>
  </r>
  <r>
    <x v="262"/>
  </r>
  <r>
    <x v="262"/>
  </r>
  <r>
    <x v="465"/>
  </r>
  <r>
    <x v="168"/>
  </r>
  <r>
    <x v="168"/>
  </r>
  <r>
    <x v="168"/>
  </r>
  <r>
    <x v="103"/>
  </r>
  <r>
    <x v="170"/>
  </r>
  <r>
    <x v="103"/>
  </r>
  <r>
    <x v="168"/>
  </r>
  <r>
    <x v="374"/>
  </r>
  <r>
    <x v="349"/>
  </r>
  <r>
    <x v="170"/>
  </r>
  <r>
    <x v="170"/>
  </r>
  <r>
    <x v="170"/>
  </r>
  <r>
    <x v="103"/>
  </r>
  <r>
    <x v="103"/>
  </r>
  <r>
    <x v="77"/>
  </r>
  <r>
    <x v="170"/>
  </r>
  <r>
    <x v="262"/>
  </r>
  <r>
    <x v="262"/>
  </r>
  <r>
    <x v="258"/>
  </r>
  <r>
    <x v="431"/>
  </r>
  <r>
    <x v="103"/>
  </r>
  <r>
    <x v="168"/>
  </r>
  <r>
    <x v="103"/>
  </r>
  <r>
    <x v="103"/>
  </r>
  <r>
    <x v="168"/>
  </r>
  <r>
    <x v="168"/>
  </r>
  <r>
    <x v="262"/>
  </r>
  <r>
    <x v="8"/>
  </r>
  <r>
    <x v="170"/>
  </r>
  <r>
    <x v="103"/>
  </r>
  <r>
    <x v="146"/>
  </r>
  <r>
    <x v="250"/>
  </r>
  <r>
    <x v="489"/>
  </r>
  <r>
    <x v="467"/>
  </r>
  <r>
    <x v="467"/>
  </r>
  <r>
    <x v="467"/>
  </r>
  <r>
    <x v="490"/>
  </r>
  <r>
    <x v="467"/>
  </r>
  <r>
    <x v="467"/>
  </r>
  <r>
    <x v="469"/>
  </r>
  <r>
    <x v="491"/>
  </r>
  <r>
    <x v="472"/>
  </r>
  <r>
    <x v="473"/>
  </r>
  <r>
    <x v="477"/>
  </r>
  <r>
    <x v="477"/>
  </r>
  <r>
    <x v="492"/>
  </r>
  <r>
    <x v="492"/>
  </r>
  <r>
    <x v="475"/>
  </r>
  <r>
    <x v="470"/>
  </r>
  <r>
    <x v="146"/>
  </r>
  <r>
    <x v="472"/>
  </r>
  <r>
    <x v="477"/>
  </r>
  <r>
    <x v="493"/>
  </r>
  <r>
    <x v="494"/>
  </r>
  <r>
    <x v="472"/>
  </r>
  <r>
    <x v="495"/>
  </r>
  <r>
    <x v="481"/>
  </r>
  <r>
    <x v="496"/>
  </r>
  <r>
    <x v="497"/>
  </r>
  <r>
    <x v="482"/>
  </r>
  <r>
    <x v="482"/>
  </r>
  <r>
    <x v="482"/>
  </r>
  <r>
    <x v="482"/>
  </r>
  <r>
    <x v="482"/>
  </r>
  <r>
    <x v="482"/>
  </r>
  <r>
    <x v="498"/>
  </r>
  <r>
    <x v="474"/>
  </r>
  <r>
    <x v="471"/>
  </r>
  <r>
    <x v="474"/>
  </r>
  <r>
    <x v="473"/>
  </r>
  <r>
    <x v="499"/>
  </r>
  <r>
    <x v="472"/>
  </r>
  <r>
    <x v="470"/>
  </r>
  <r>
    <x v="472"/>
  </r>
  <r>
    <x v="500"/>
  </r>
  <r>
    <x v="500"/>
  </r>
  <r>
    <x v="500"/>
  </r>
  <r>
    <x v="488"/>
  </r>
  <r>
    <x v="478"/>
  </r>
  <r>
    <x v="465"/>
  </r>
  <r>
    <x v="465"/>
  </r>
  <r>
    <x v="103"/>
  </r>
  <r>
    <x v="103"/>
  </r>
  <r>
    <x v="103"/>
  </r>
  <r>
    <x v="465"/>
  </r>
  <r>
    <x v="146"/>
  </r>
  <r>
    <x v="146"/>
  </r>
  <r>
    <x v="146"/>
  </r>
  <r>
    <x v="170"/>
  </r>
  <r>
    <x v="501"/>
  </r>
  <r>
    <x v="502"/>
  </r>
  <r>
    <x v="369"/>
  </r>
  <r>
    <x v="167"/>
  </r>
  <r>
    <x v="167"/>
  </r>
  <r>
    <x v="167"/>
  </r>
  <r>
    <x v="246"/>
  </r>
  <r>
    <x v="246"/>
  </r>
  <r>
    <x v="431"/>
  </r>
  <r>
    <x v="146"/>
  </r>
  <r>
    <x v="146"/>
  </r>
  <r>
    <x v="146"/>
  </r>
  <r>
    <x v="103"/>
  </r>
  <r>
    <x v="8"/>
  </r>
  <r>
    <x v="103"/>
  </r>
  <r>
    <x v="664"/>
  </r>
  <r>
    <x v="103"/>
  </r>
  <r>
    <x v="146"/>
  </r>
  <r>
    <x v="497"/>
  </r>
  <r>
    <x v="497"/>
  </r>
  <r>
    <x v="496"/>
  </r>
  <r>
    <x v="496"/>
  </r>
  <r>
    <x v="496"/>
  </r>
  <r>
    <x v="496"/>
  </r>
  <r>
    <x v="496"/>
  </r>
  <r>
    <x v="496"/>
  </r>
  <r>
    <x v="496"/>
  </r>
  <r>
    <x v="496"/>
  </r>
  <r>
    <x v="496"/>
  </r>
  <r>
    <x v="496"/>
  </r>
  <r>
    <x v="503"/>
  </r>
  <r>
    <x v="503"/>
  </r>
  <r>
    <x v="496"/>
  </r>
  <r>
    <x v="504"/>
  </r>
  <r>
    <x v="505"/>
  </r>
  <r>
    <x v="505"/>
  </r>
  <r>
    <x v="505"/>
  </r>
  <r>
    <x v="505"/>
  </r>
  <r>
    <x v="505"/>
  </r>
  <r>
    <x v="506"/>
  </r>
  <r>
    <x v="507"/>
  </r>
  <r>
    <x v="507"/>
  </r>
  <r>
    <x v="508"/>
  </r>
  <r>
    <x v="509"/>
  </r>
  <r>
    <x v="474"/>
  </r>
  <r>
    <x v="499"/>
  </r>
  <r>
    <x v="510"/>
  </r>
  <r>
    <x v="510"/>
  </r>
  <r>
    <x v="474"/>
  </r>
  <r>
    <x v="486"/>
  </r>
  <r>
    <x v="511"/>
  </r>
  <r>
    <x v="512"/>
  </r>
  <r>
    <x v="506"/>
  </r>
  <r>
    <x v="513"/>
  </r>
  <r>
    <x v="494"/>
  </r>
  <r>
    <x v="465"/>
  </r>
  <r>
    <x v="514"/>
  </r>
  <r>
    <x v="486"/>
  </r>
  <r>
    <x v="496"/>
  </r>
  <r>
    <x v="497"/>
  </r>
  <r>
    <x v="488"/>
  </r>
  <r>
    <x v="488"/>
  </r>
  <r>
    <x v="488"/>
  </r>
  <r>
    <x v="488"/>
  </r>
  <r>
    <x v="488"/>
  </r>
  <r>
    <x v="488"/>
  </r>
  <r>
    <x v="498"/>
  </r>
  <r>
    <x v="493"/>
  </r>
  <r>
    <x v="489"/>
  </r>
  <r>
    <x v="515"/>
  </r>
  <r>
    <x v="472"/>
  </r>
  <r>
    <x v="474"/>
  </r>
  <r>
    <x v="472"/>
  </r>
  <r>
    <x v="474"/>
  </r>
  <r>
    <x v="474"/>
  </r>
  <r>
    <x v="474"/>
  </r>
  <r>
    <x v="516"/>
  </r>
  <r>
    <x v="488"/>
  </r>
  <r>
    <x v="513"/>
  </r>
  <r>
    <x v="517"/>
  </r>
  <r>
    <x v="517"/>
  </r>
  <r>
    <x v="167"/>
  </r>
  <r>
    <x v="167"/>
  </r>
  <r>
    <x v="167"/>
  </r>
  <r>
    <x v="465"/>
  </r>
  <r>
    <x v="8"/>
  </r>
  <r>
    <x v="410"/>
  </r>
  <r>
    <x v="167"/>
  </r>
  <r>
    <x v="94"/>
  </r>
  <r>
    <x v="57"/>
  </r>
  <r>
    <x v="518"/>
  </r>
  <r>
    <x v="519"/>
  </r>
  <r>
    <x v="497"/>
  </r>
  <r>
    <x v="146"/>
  </r>
  <r>
    <x v="146"/>
  </r>
  <r>
    <x v="77"/>
  </r>
  <r>
    <x v="8"/>
  </r>
  <r>
    <x v="103"/>
  </r>
  <r>
    <x v="665"/>
  </r>
  <r>
    <x v="103"/>
  </r>
  <r>
    <x v="497"/>
  </r>
  <r>
    <x v="497"/>
  </r>
  <r>
    <x v="497"/>
  </r>
  <r>
    <x v="520"/>
  </r>
  <r>
    <x v="520"/>
  </r>
  <r>
    <x v="520"/>
  </r>
  <r>
    <x v="520"/>
  </r>
  <r>
    <x v="520"/>
  </r>
  <r>
    <x v="520"/>
  </r>
  <r>
    <x v="520"/>
  </r>
  <r>
    <x v="520"/>
  </r>
  <r>
    <x v="520"/>
  </r>
  <r>
    <x v="520"/>
  </r>
  <r>
    <x v="506"/>
  </r>
  <r>
    <x v="506"/>
  </r>
  <r>
    <x v="496"/>
  </r>
  <r>
    <x v="474"/>
  </r>
  <r>
    <x v="474"/>
  </r>
  <r>
    <x v="474"/>
  </r>
  <r>
    <x v="474"/>
  </r>
  <r>
    <x v="474"/>
  </r>
  <r>
    <x v="521"/>
  </r>
  <r>
    <x v="522"/>
  </r>
  <r>
    <x v="522"/>
  </r>
  <r>
    <x v="523"/>
  </r>
  <r>
    <x v="523"/>
  </r>
  <r>
    <x v="465"/>
  </r>
  <r>
    <x v="513"/>
  </r>
  <r>
    <x v="513"/>
  </r>
  <r>
    <x v="496"/>
  </r>
  <r>
    <x v="496"/>
  </r>
  <r>
    <x v="474"/>
  </r>
  <r>
    <x v="492"/>
  </r>
  <r>
    <x v="524"/>
  </r>
  <r>
    <x v="525"/>
  </r>
  <r>
    <x v="526"/>
  </r>
  <r>
    <x v="513"/>
  </r>
  <r>
    <x v="489"/>
  </r>
  <r>
    <x v="527"/>
  </r>
  <r>
    <x v="506"/>
  </r>
  <r>
    <x v="506"/>
  </r>
  <r>
    <x v="528"/>
  </r>
  <r>
    <x v="481"/>
  </r>
  <r>
    <x v="529"/>
  </r>
  <r>
    <x v="482"/>
  </r>
  <r>
    <x v="482"/>
  </r>
  <r>
    <x v="482"/>
  </r>
  <r>
    <x v="482"/>
  </r>
  <r>
    <x v="482"/>
  </r>
  <r>
    <x v="482"/>
  </r>
  <r>
    <x v="530"/>
  </r>
  <r>
    <x v="531"/>
  </r>
  <r>
    <x v="532"/>
  </r>
  <r>
    <x v="488"/>
  </r>
  <r>
    <x v="509"/>
  </r>
  <r>
    <x v="473"/>
  </r>
  <r>
    <x v="526"/>
  </r>
  <r>
    <x v="506"/>
  </r>
  <r>
    <x v="533"/>
  </r>
  <r>
    <x v="472"/>
  </r>
  <r>
    <x v="534"/>
  </r>
  <r>
    <x v="534"/>
  </r>
  <r>
    <x v="534"/>
  </r>
  <r>
    <x v="523"/>
  </r>
  <r>
    <x v="535"/>
  </r>
  <r>
    <x v="488"/>
  </r>
  <r>
    <x v="493"/>
  </r>
  <r>
    <x v="506"/>
  </r>
  <r>
    <x v="506"/>
  </r>
  <r>
    <x v="8"/>
  </r>
  <r>
    <x v="522"/>
  </r>
  <r>
    <x v="536"/>
  </r>
  <r>
    <x v="536"/>
  </r>
  <r>
    <x v="246"/>
  </r>
  <r>
    <x v="246"/>
  </r>
  <r>
    <x v="246"/>
  </r>
  <r>
    <x v="470"/>
  </r>
  <r>
    <x v="94"/>
  </r>
  <r>
    <x v="537"/>
  </r>
  <r>
    <x v="537"/>
  </r>
  <r>
    <x v="17"/>
  </r>
  <r>
    <x v="246"/>
  </r>
  <r>
    <x v="538"/>
  </r>
  <r>
    <x v="168"/>
  </r>
  <r>
    <x v="497"/>
  </r>
  <r>
    <x v="146"/>
  </r>
  <r>
    <x v="146"/>
  </r>
  <r>
    <x v="170"/>
  </r>
  <r>
    <x v="8"/>
  </r>
  <r>
    <x v="103"/>
  </r>
  <r>
    <x v="666"/>
  </r>
  <r>
    <x v="497"/>
  </r>
  <r>
    <x v="217"/>
  </r>
  <r>
    <x v="539"/>
  </r>
  <r>
    <x v="506"/>
  </r>
  <r>
    <x v="506"/>
  </r>
  <r>
    <x v="496"/>
  </r>
  <r>
    <x v="490"/>
  </r>
  <r>
    <x v="490"/>
  </r>
  <r>
    <x v="490"/>
  </r>
  <r>
    <x v="490"/>
  </r>
  <r>
    <x v="522"/>
  </r>
  <r>
    <x v="522"/>
  </r>
  <r>
    <x v="535"/>
  </r>
  <r>
    <x v="535"/>
  </r>
  <r>
    <x v="540"/>
  </r>
  <r>
    <x v="540"/>
  </r>
  <r>
    <x v="540"/>
  </r>
  <r>
    <x v="540"/>
  </r>
  <r>
    <x v="540"/>
  </r>
  <r>
    <x v="540"/>
  </r>
  <r>
    <x v="540"/>
  </r>
  <r>
    <x v="540"/>
  </r>
  <r>
    <x v="541"/>
  </r>
  <r>
    <x v="472"/>
  </r>
  <r>
    <x v="506"/>
  </r>
  <r>
    <x v="506"/>
  </r>
  <r>
    <x v="506"/>
  </r>
  <r>
    <x v="528"/>
  </r>
  <r>
    <x v="496"/>
  </r>
  <r>
    <x v="496"/>
  </r>
  <r>
    <x v="474"/>
  </r>
  <r>
    <x v="542"/>
  </r>
  <r>
    <x v="533"/>
  </r>
  <r>
    <x v="521"/>
  </r>
  <r>
    <x v="494"/>
  </r>
  <r>
    <x v="514"/>
  </r>
  <r>
    <x v="506"/>
  </r>
  <r>
    <x v="506"/>
  </r>
  <r>
    <x v="543"/>
  </r>
  <r>
    <x v="496"/>
  </r>
  <r>
    <x v="486"/>
  </r>
  <r>
    <x v="529"/>
  </r>
  <r>
    <x v="544"/>
  </r>
  <r>
    <x v="544"/>
  </r>
  <r>
    <x v="544"/>
  </r>
  <r>
    <x v="544"/>
  </r>
  <r>
    <x v="544"/>
  </r>
  <r>
    <x v="544"/>
  </r>
  <r>
    <x v="496"/>
  </r>
  <r>
    <x v="497"/>
  </r>
  <r>
    <x v="526"/>
  </r>
  <r>
    <x v="488"/>
  </r>
  <r>
    <x v="499"/>
  </r>
  <r>
    <x v="526"/>
  </r>
  <r>
    <x v="496"/>
  </r>
  <r>
    <x v="491"/>
  </r>
  <r>
    <x v="526"/>
  </r>
  <r>
    <x v="545"/>
  </r>
  <r>
    <x v="545"/>
  </r>
  <r>
    <x v="545"/>
  </r>
  <r>
    <x v="540"/>
  </r>
  <r>
    <x v="546"/>
  </r>
  <r>
    <x v="547"/>
  </r>
  <r>
    <x v="506"/>
  </r>
  <r>
    <x v="506"/>
  </r>
  <r>
    <x v="8"/>
  </r>
  <r>
    <x v="522"/>
  </r>
  <r>
    <x v="489"/>
  </r>
  <r>
    <x v="489"/>
  </r>
  <r>
    <x v="548"/>
  </r>
  <r>
    <x v="537"/>
  </r>
  <r>
    <x v="497"/>
  </r>
  <r>
    <x v="497"/>
  </r>
  <r>
    <x v="497"/>
  </r>
  <r>
    <x v="537"/>
  </r>
  <r>
    <x v="537"/>
  </r>
  <r>
    <x v="8"/>
  </r>
  <r>
    <x v="549"/>
  </r>
  <r>
    <x v="168"/>
  </r>
  <r>
    <x v="497"/>
  </r>
  <r>
    <x v="550"/>
  </r>
  <r>
    <x v="550"/>
  </r>
  <r>
    <x v="551"/>
  </r>
  <r>
    <x v="103"/>
  </r>
  <r>
    <x v="573"/>
  </r>
  <r>
    <x v="573"/>
  </r>
  <r>
    <x v="497"/>
  </r>
  <r>
    <x v="8"/>
  </r>
  <r>
    <x v="552"/>
  </r>
  <r>
    <x v="553"/>
  </r>
  <r>
    <x v="553"/>
  </r>
  <r>
    <x v="496"/>
  </r>
  <r>
    <x v="554"/>
  </r>
  <r>
    <x v="554"/>
  </r>
  <r>
    <x v="555"/>
  </r>
  <r>
    <x v="490"/>
  </r>
  <r>
    <x v="490"/>
  </r>
  <r>
    <x v="490"/>
  </r>
  <r>
    <x v="490"/>
  </r>
  <r>
    <x v="506"/>
  </r>
  <r>
    <x v="507"/>
  </r>
  <r>
    <x v="507"/>
  </r>
  <r>
    <x v="506"/>
  </r>
  <r>
    <x v="506"/>
  </r>
  <r>
    <x v="523"/>
  </r>
  <r>
    <x v="523"/>
  </r>
  <r>
    <x v="523"/>
  </r>
  <r>
    <x v="523"/>
  </r>
  <r>
    <x v="523"/>
  </r>
  <r>
    <x v="523"/>
  </r>
  <r>
    <x v="523"/>
  </r>
  <r>
    <x v="523"/>
  </r>
  <r>
    <x v="556"/>
  </r>
  <r>
    <x v="557"/>
  </r>
  <r>
    <x v="521"/>
  </r>
  <r>
    <x v="521"/>
  </r>
  <r>
    <x v="521"/>
  </r>
  <r>
    <x v="528"/>
  </r>
  <r>
    <x v="529"/>
  </r>
  <r>
    <x v="529"/>
  </r>
  <r>
    <x v="558"/>
  </r>
  <r>
    <x v="528"/>
  </r>
  <r>
    <x v="496"/>
  </r>
  <r>
    <x v="528"/>
  </r>
  <r>
    <x v="494"/>
  </r>
  <r>
    <x v="559"/>
  </r>
  <r>
    <x v="559"/>
  </r>
  <r>
    <x v="496"/>
  </r>
  <r>
    <x v="536"/>
  </r>
  <r>
    <x v="544"/>
  </r>
  <r>
    <x v="544"/>
  </r>
  <r>
    <x v="544"/>
  </r>
  <r>
    <x v="544"/>
  </r>
  <r>
    <x v="544"/>
  </r>
  <r>
    <x v="544"/>
  </r>
  <r>
    <x v="496"/>
  </r>
  <r>
    <x v="497"/>
  </r>
  <r>
    <x v="560"/>
  </r>
  <r>
    <x v="499"/>
  </r>
  <r>
    <x v="496"/>
  </r>
  <r>
    <x v="510"/>
  </r>
  <r>
    <x v="526"/>
  </r>
  <r>
    <x v="510"/>
  </r>
  <r>
    <x v="510"/>
  </r>
  <r>
    <x v="510"/>
  </r>
  <r>
    <x v="561"/>
  </r>
  <r>
    <x v="562"/>
  </r>
  <r>
    <x v="547"/>
  </r>
  <r>
    <x v="506"/>
  </r>
  <r>
    <x v="506"/>
  </r>
  <r>
    <x v="8"/>
  </r>
  <r>
    <x v="496"/>
  </r>
  <r>
    <x v="563"/>
  </r>
  <r>
    <x v="563"/>
  </r>
  <r>
    <x v="548"/>
  </r>
  <r>
    <x v="537"/>
  </r>
  <r>
    <x v="497"/>
  </r>
  <r>
    <x v="497"/>
  </r>
  <r>
    <x v="497"/>
  </r>
  <r>
    <x v="8"/>
  </r>
  <r>
    <x v="8"/>
  </r>
  <r>
    <x v="8"/>
  </r>
  <r>
    <x v="8"/>
  </r>
  <r>
    <x v="8"/>
  </r>
  <r>
    <x v="518"/>
  </r>
  <r>
    <x v="518"/>
  </r>
  <r>
    <x v="518"/>
  </r>
  <r>
    <x v="518"/>
  </r>
  <r>
    <x v="564"/>
  </r>
  <r>
    <x v="564"/>
  </r>
  <r>
    <x v="564"/>
  </r>
  <r>
    <x v="497"/>
  </r>
  <r>
    <x v="497"/>
  </r>
  <r>
    <x v="8"/>
  </r>
  <r>
    <x v="497"/>
  </r>
  <r>
    <x v="8"/>
  </r>
  <r>
    <x v="8"/>
  </r>
  <r>
    <x v="103"/>
  </r>
  <r>
    <x v="8"/>
  </r>
  <r>
    <x v="217"/>
  </r>
  <r>
    <x v="562"/>
  </r>
  <r>
    <x v="521"/>
  </r>
  <r>
    <x v="521"/>
  </r>
  <r>
    <x v="529"/>
  </r>
  <r>
    <x v="510"/>
  </r>
  <r>
    <x v="510"/>
  </r>
  <r>
    <x v="510"/>
  </r>
  <r>
    <x v="510"/>
  </r>
  <r>
    <x v="521"/>
  </r>
  <r>
    <x v="522"/>
  </r>
  <r>
    <x v="522"/>
  </r>
  <r>
    <x v="565"/>
  </r>
  <r>
    <x v="565"/>
  </r>
  <r>
    <x v="535"/>
  </r>
  <r>
    <x v="535"/>
  </r>
  <r>
    <x v="535"/>
  </r>
  <r>
    <x v="535"/>
  </r>
  <r>
    <x v="535"/>
  </r>
  <r>
    <x v="535"/>
  </r>
  <r>
    <x v="535"/>
  </r>
  <r>
    <x v="535"/>
  </r>
  <r>
    <x v="489"/>
  </r>
  <r>
    <x v="510"/>
  </r>
  <r>
    <x v="506"/>
  </r>
  <r>
    <x v="506"/>
  </r>
  <r>
    <x v="543"/>
  </r>
  <r>
    <x v="529"/>
  </r>
  <r>
    <x v="529"/>
  </r>
  <r>
    <x v="496"/>
  </r>
  <r>
    <x v="566"/>
  </r>
  <r>
    <x v="528"/>
  </r>
  <r>
    <x v="559"/>
  </r>
  <r>
    <x v="559"/>
  </r>
  <r>
    <x v="506"/>
  </r>
  <r>
    <x v="481"/>
  </r>
  <r>
    <x v="547"/>
  </r>
  <r>
    <x v="547"/>
  </r>
  <r>
    <x v="547"/>
  </r>
  <r>
    <x v="547"/>
  </r>
  <r>
    <x v="547"/>
  </r>
  <r>
    <x v="547"/>
  </r>
  <r>
    <x v="567"/>
  </r>
  <r>
    <x v="568"/>
  </r>
  <r>
    <x v="560"/>
  </r>
  <r>
    <x v="569"/>
  </r>
  <r>
    <x v="570"/>
  </r>
  <r>
    <x v="571"/>
  </r>
  <r>
    <x v="496"/>
  </r>
  <r>
    <x v="572"/>
  </r>
  <r>
    <x v="572"/>
  </r>
  <r>
    <x v="572"/>
  </r>
  <r>
    <x v="547"/>
  </r>
  <r>
    <x v="496"/>
  </r>
  <r>
    <x v="496"/>
  </r>
  <r>
    <x v="497"/>
  </r>
  <r>
    <x v="496"/>
  </r>
  <r>
    <x v="508"/>
  </r>
  <r>
    <x v="8"/>
  </r>
  <r>
    <x v="497"/>
  </r>
  <r>
    <x v="497"/>
  </r>
  <r>
    <x v="497"/>
  </r>
  <r>
    <x v="573"/>
  </r>
  <r>
    <x v="573"/>
  </r>
  <r>
    <x v="573"/>
  </r>
  <r>
    <x v="8"/>
  </r>
  <r>
    <x v="8"/>
  </r>
  <r>
    <x v="538"/>
  </r>
  <r>
    <x v="8"/>
  </r>
  <r>
    <x v="8"/>
  </r>
  <r>
    <x v="574"/>
  </r>
  <r>
    <x v="575"/>
  </r>
  <r>
    <x v="497"/>
  </r>
  <r>
    <x v="217"/>
  </r>
  <r>
    <x v="531"/>
  </r>
  <r>
    <x v="531"/>
  </r>
  <r>
    <x v="221"/>
  </r>
  <r>
    <x v="431"/>
  </r>
  <r>
    <x v="529"/>
  </r>
  <r>
    <x v="496"/>
  </r>
  <r>
    <x v="496"/>
  </r>
  <r>
    <x v="576"/>
  </r>
  <r>
    <x v="576"/>
  </r>
  <r>
    <x v="521"/>
  </r>
  <r>
    <x v="521"/>
  </r>
  <r>
    <x v="565"/>
  </r>
  <r>
    <x v="565"/>
  </r>
  <r>
    <x v="565"/>
  </r>
  <r>
    <x v="565"/>
  </r>
  <r>
    <x v="565"/>
  </r>
  <r>
    <x v="565"/>
  </r>
  <r>
    <x v="565"/>
  </r>
  <r>
    <x v="565"/>
  </r>
  <r>
    <x v="530"/>
  </r>
  <r>
    <x v="530"/>
  </r>
  <r>
    <x v="577"/>
  </r>
  <r>
    <x v="510"/>
  </r>
  <r>
    <x v="506"/>
  </r>
  <r>
    <x v="506"/>
  </r>
  <r>
    <x v="528"/>
  </r>
  <r>
    <x v="542"/>
  </r>
  <r>
    <x v="530"/>
  </r>
  <r>
    <x v="521"/>
  </r>
  <r>
    <x v="521"/>
  </r>
  <r>
    <x v="506"/>
  </r>
  <r>
    <x v="533"/>
  </r>
  <r>
    <x v="529"/>
  </r>
  <r>
    <x v="578"/>
  </r>
  <r>
    <x v="510"/>
  </r>
  <r>
    <x v="499"/>
  </r>
  <r>
    <x v="496"/>
  </r>
  <r>
    <x v="579"/>
  </r>
  <r>
    <x v="579"/>
  </r>
  <r>
    <x v="579"/>
  </r>
  <r>
    <x v="496"/>
  </r>
  <r>
    <x v="496"/>
  </r>
  <r>
    <x v="497"/>
  </r>
  <r>
    <x v="522"/>
  </r>
  <r>
    <x v="8"/>
  </r>
  <r>
    <x v="497"/>
  </r>
  <r>
    <x v="497"/>
  </r>
  <r>
    <x v="497"/>
  </r>
  <r>
    <x v="531"/>
  </r>
  <r>
    <x v="531"/>
  </r>
  <r>
    <x v="531"/>
  </r>
  <r>
    <x v="94"/>
  </r>
  <r>
    <x v="537"/>
  </r>
  <r>
    <x v="518"/>
  </r>
  <r>
    <x v="518"/>
  </r>
  <r>
    <x v="519"/>
  </r>
  <r>
    <x v="580"/>
  </r>
  <r>
    <x v="8"/>
  </r>
  <r>
    <x v="497"/>
  </r>
  <r>
    <x v="8"/>
  </r>
  <r>
    <x v="261"/>
  </r>
  <r>
    <x v="582"/>
  </r>
  <r>
    <x v="582"/>
  </r>
  <r>
    <x v="529"/>
  </r>
  <r>
    <x v="496"/>
  </r>
  <r>
    <x v="496"/>
  </r>
  <r>
    <x v="562"/>
  </r>
  <r>
    <x v="562"/>
  </r>
  <r>
    <x v="562"/>
  </r>
  <r>
    <x v="562"/>
  </r>
  <r>
    <x v="562"/>
  </r>
  <r>
    <x v="562"/>
  </r>
  <r>
    <x v="562"/>
  </r>
  <r>
    <x v="562"/>
  </r>
  <r>
    <x v="562"/>
  </r>
  <r>
    <x v="562"/>
  </r>
  <r>
    <x v="508"/>
  </r>
  <r>
    <x v="542"/>
  </r>
  <r>
    <x v="526"/>
  </r>
  <r>
    <x v="521"/>
  </r>
  <r>
    <x v="521"/>
  </r>
  <r>
    <x v="510"/>
  </r>
  <r>
    <x v="529"/>
  </r>
  <r>
    <x v="521"/>
  </r>
  <r>
    <x v="543"/>
  </r>
  <r>
    <x v="581"/>
  </r>
  <r>
    <x v="496"/>
  </r>
  <r>
    <x v="521"/>
  </r>
  <r>
    <x v="521"/>
  </r>
  <r>
    <x v="529"/>
  </r>
  <r>
    <x v="533"/>
  </r>
  <r>
    <x v="529"/>
  </r>
  <r>
    <x v="547"/>
  </r>
  <r>
    <x v="506"/>
  </r>
  <r>
    <x v="496"/>
  </r>
  <r>
    <x v="522"/>
  </r>
  <r>
    <x v="521"/>
  </r>
  <r>
    <x v="521"/>
  </r>
  <r>
    <x v="529"/>
  </r>
  <r>
    <x v="8"/>
  </r>
  <r>
    <x v="582"/>
  </r>
  <r>
    <x v="582"/>
  </r>
  <r>
    <x v="582"/>
  </r>
  <r>
    <x v="583"/>
  </r>
  <r>
    <x v="8"/>
  </r>
  <r>
    <x v="537"/>
  </r>
  <r>
    <x v="8"/>
  </r>
  <r>
    <x v="8"/>
  </r>
  <r>
    <x v="584"/>
  </r>
  <r>
    <x v="497"/>
  </r>
  <r>
    <x v="8"/>
  </r>
  <r>
    <x v="497"/>
  </r>
  <r>
    <x v="585"/>
  </r>
  <r>
    <x v="8"/>
  </r>
  <r>
    <x v="19"/>
  </r>
  <r>
    <x v="529"/>
  </r>
  <r>
    <x v="529"/>
  </r>
  <r>
    <x v="529"/>
  </r>
  <r>
    <x v="506"/>
  </r>
  <r>
    <x v="567"/>
  </r>
  <r>
    <x v="567"/>
  </r>
  <r>
    <x v="576"/>
  </r>
  <r>
    <x v="529"/>
  </r>
  <r>
    <x v="496"/>
  </r>
  <r>
    <x v="529"/>
  </r>
  <r>
    <x v="563"/>
  </r>
  <r>
    <x v="576"/>
  </r>
  <r>
    <x v="586"/>
  </r>
  <r>
    <x v="521"/>
  </r>
  <r>
    <x v="496"/>
  </r>
  <r>
    <x v="522"/>
  </r>
  <r>
    <x v="521"/>
  </r>
  <r>
    <x v="521"/>
  </r>
  <r>
    <x v="529"/>
  </r>
  <r>
    <x v="8"/>
  </r>
  <r>
    <x v="568"/>
  </r>
  <r>
    <x v="568"/>
  </r>
  <r>
    <x v="568"/>
  </r>
  <r>
    <x v="497"/>
  </r>
  <r>
    <x v="336"/>
  </r>
  <r>
    <x v="8"/>
  </r>
  <r>
    <x v="529"/>
  </r>
  <r>
    <x v="529"/>
  </r>
  <r>
    <x v="496"/>
  </r>
  <r>
    <x v="576"/>
  </r>
  <r>
    <x v="576"/>
  </r>
  <r>
    <x v="521"/>
  </r>
  <r>
    <x v="496"/>
  </r>
  <r>
    <x v="521"/>
  </r>
  <r>
    <x v="523"/>
  </r>
  <r>
    <x v="523"/>
  </r>
  <r>
    <x v="523"/>
  </r>
  <r>
    <x v="523"/>
  </r>
  <r>
    <x v="523"/>
  </r>
  <r>
    <x v="523"/>
  </r>
  <r>
    <x v="529"/>
  </r>
  <r>
    <x v="529"/>
  </r>
  <r>
    <x v="521"/>
  </r>
  <r>
    <x v="521"/>
  </r>
  <r>
    <x v="583"/>
  </r>
  <r>
    <x v="497"/>
  </r>
  <r>
    <x v="531"/>
  </r>
  <r>
    <x v="586"/>
  </r>
  <r>
    <x v="586"/>
  </r>
  <r>
    <x v="497"/>
  </r>
  <r>
    <x v="535"/>
  </r>
  <r>
    <x v="496"/>
  </r>
  <r>
    <x v="587"/>
  </r>
  <r>
    <x v="496"/>
  </r>
  <r>
    <x v="521"/>
  </r>
  <r>
    <x v="540"/>
  </r>
  <r>
    <x v="540"/>
  </r>
  <r>
    <x v="540"/>
  </r>
  <r>
    <x v="540"/>
  </r>
  <r>
    <x v="540"/>
  </r>
  <r>
    <x v="540"/>
  </r>
  <r>
    <x v="529"/>
  </r>
  <r>
    <x v="529"/>
  </r>
  <r>
    <x v="522"/>
  </r>
  <r>
    <x v="529"/>
  </r>
  <r>
    <x v="529"/>
  </r>
  <r>
    <x v="588"/>
  </r>
  <r>
    <x v="586"/>
  </r>
  <r>
    <x v="497"/>
  </r>
  <r>
    <x v="546"/>
  </r>
  <r>
    <x v="589"/>
  </r>
  <r>
    <x v="8"/>
  </r>
  <r>
    <x v="496"/>
  </r>
  <r>
    <x v="535"/>
  </r>
  <r>
    <x v="535"/>
  </r>
  <r>
    <x v="535"/>
  </r>
  <r>
    <x v="535"/>
  </r>
  <r>
    <x v="535"/>
  </r>
  <r>
    <x v="535"/>
  </r>
  <r>
    <x v="529"/>
  </r>
  <r>
    <x v="576"/>
  </r>
  <r>
    <x v="529"/>
  </r>
  <r>
    <x v="529"/>
  </r>
  <r>
    <x v="586"/>
  </r>
  <r>
    <x v="586"/>
  </r>
  <r>
    <x v="586"/>
  </r>
  <r>
    <x v="590"/>
  </r>
  <r>
    <x v="667"/>
  </r>
  <r>
    <x v="591"/>
  </r>
  <r>
    <x v="592"/>
  </r>
  <r>
    <x v="543"/>
  </r>
  <r>
    <x v="523"/>
  </r>
  <r>
    <x v="523"/>
  </r>
  <r>
    <x v="523"/>
  </r>
  <r>
    <x v="523"/>
  </r>
  <r>
    <x v="523"/>
  </r>
  <r>
    <x v="523"/>
  </r>
  <r>
    <x v="529"/>
  </r>
  <r>
    <x v="577"/>
  </r>
  <r>
    <x v="586"/>
  </r>
  <r>
    <x v="351"/>
  </r>
  <r>
    <x v="667"/>
  </r>
  <r>
    <x v="581"/>
  </r>
  <r>
    <x v="593"/>
  </r>
  <r>
    <x v="448"/>
  </r>
  <r>
    <x v="567"/>
  </r>
  <r>
    <x v="565"/>
  </r>
  <r>
    <x v="565"/>
  </r>
  <r>
    <x v="565"/>
  </r>
  <r>
    <x v="565"/>
  </r>
  <r>
    <x v="565"/>
  </r>
  <r>
    <x v="565"/>
  </r>
  <r>
    <x v="521"/>
  </r>
  <r>
    <x v="431"/>
  </r>
  <r>
    <x v="497"/>
  </r>
  <r>
    <x v="497"/>
  </r>
  <r>
    <x v="521"/>
  </r>
  <r>
    <x v="529"/>
  </r>
  <r>
    <x v="561"/>
  </r>
  <r>
    <x v="561"/>
  </r>
  <r>
    <x v="561"/>
  </r>
  <r>
    <x v="561"/>
  </r>
  <r>
    <x v="561"/>
  </r>
  <r>
    <x v="561"/>
  </r>
  <r>
    <x v="83"/>
  </r>
  <r>
    <x v="497"/>
  </r>
  <r>
    <x v="529"/>
  </r>
  <r>
    <x v="529"/>
  </r>
  <r>
    <x v="217"/>
  </r>
  <r>
    <x v="537"/>
  </r>
  <r>
    <x v="529"/>
  </r>
  <r>
    <x v="587"/>
  </r>
  <r>
    <x v="529"/>
  </r>
  <r>
    <x v="431"/>
  </r>
  <r>
    <x v="537"/>
  </r>
  <r>
    <x v="576"/>
  </r>
  <r>
    <x v="83"/>
  </r>
  <r>
    <x v="384"/>
  </r>
  <r>
    <x v="94"/>
  </r>
  <r>
    <x v="83"/>
  </r>
  <r>
    <x v="594"/>
  </r>
  <r>
    <x v="552"/>
  </r>
  <r>
    <x v="554"/>
  </r>
  <r>
    <x v="554"/>
  </r>
  <r>
    <x v="474"/>
  </r>
  <r>
    <x v="474"/>
  </r>
  <r>
    <x v="474"/>
  </r>
  <r>
    <x v="474"/>
  </r>
  <r>
    <x v="474"/>
  </r>
  <r>
    <x v="474"/>
  </r>
  <r>
    <x v="508"/>
  </r>
  <r>
    <x v="528"/>
  </r>
  <r>
    <x v="595"/>
  </r>
  <r>
    <x v="528"/>
  </r>
  <r>
    <x v="528"/>
  </r>
  <r>
    <x v="596"/>
  </r>
  <r>
    <x v="597"/>
  </r>
  <r>
    <x v="598"/>
  </r>
  <r>
    <x v="448"/>
  </r>
  <r>
    <x v="599"/>
  </r>
  <r>
    <x v="600"/>
  </r>
  <r>
    <x v="595"/>
  </r>
  <r>
    <x v="528"/>
  </r>
  <r>
    <x v="477"/>
  </r>
  <r>
    <x v="601"/>
  </r>
  <r>
    <x v="601"/>
  </r>
  <r>
    <x v="601"/>
  </r>
  <r>
    <x v="601"/>
  </r>
  <r>
    <x v="601"/>
  </r>
  <r>
    <x v="601"/>
  </r>
  <r>
    <x v="474"/>
  </r>
  <r>
    <x v="168"/>
  </r>
  <r>
    <x v="602"/>
  </r>
  <r>
    <x v="552"/>
  </r>
  <r>
    <x v="603"/>
  </r>
  <r>
    <x v="477"/>
  </r>
  <r>
    <x v="603"/>
  </r>
  <r>
    <x v="604"/>
  </r>
  <r>
    <x v="605"/>
  </r>
  <r>
    <x v="606"/>
  </r>
  <r>
    <x v="506"/>
  </r>
  <r>
    <x v="506"/>
  </r>
  <r>
    <x v="8"/>
  </r>
  <r>
    <x v="8"/>
  </r>
  <r>
    <x v="8"/>
  </r>
  <r>
    <x v="508"/>
  </r>
  <r>
    <x v="94"/>
  </r>
  <r>
    <x v="117"/>
  </r>
  <r>
    <x v="607"/>
  </r>
  <r>
    <x v="564"/>
  </r>
  <r>
    <x v="564"/>
  </r>
  <r>
    <x v="564"/>
  </r>
  <r>
    <x v="431"/>
  </r>
  <r>
    <x v="8"/>
  </r>
  <r>
    <x v="8"/>
  </r>
  <r>
    <x v="82"/>
  </r>
  <r>
    <x v="8"/>
  </r>
  <r>
    <x v="8"/>
  </r>
  <r>
    <x v="407"/>
  </r>
  <r>
    <x v="607"/>
  </r>
  <r>
    <x v="8"/>
  </r>
  <r>
    <x v="8"/>
  </r>
  <r>
    <x v="608"/>
  </r>
  <r>
    <x v="474"/>
  </r>
  <r>
    <x v="474"/>
  </r>
  <r>
    <x v="474"/>
  </r>
  <r>
    <x v="510"/>
  </r>
  <r>
    <x v="474"/>
  </r>
  <r>
    <x v="474"/>
  </r>
  <r>
    <x v="508"/>
  </r>
  <r>
    <x v="543"/>
  </r>
  <r>
    <x v="595"/>
  </r>
  <r>
    <x v="543"/>
  </r>
  <r>
    <x v="543"/>
  </r>
  <r>
    <x v="596"/>
  </r>
  <r>
    <x v="528"/>
  </r>
  <r>
    <x v="8"/>
  </r>
  <r>
    <x v="599"/>
  </r>
  <r>
    <x v="595"/>
  </r>
  <r>
    <x v="600"/>
  </r>
  <r>
    <x v="595"/>
  </r>
  <r>
    <x v="477"/>
  </r>
  <r>
    <x v="477"/>
  </r>
  <r>
    <x v="146"/>
  </r>
  <r>
    <x v="601"/>
  </r>
  <r>
    <x v="601"/>
  </r>
  <r>
    <x v="601"/>
  </r>
  <r>
    <x v="601"/>
  </r>
  <r>
    <x v="601"/>
  </r>
  <r>
    <x v="601"/>
  </r>
  <r>
    <x v="602"/>
  </r>
  <r>
    <x v="609"/>
  </r>
  <r>
    <x v="506"/>
  </r>
  <r>
    <x v="609"/>
  </r>
  <r>
    <x v="506"/>
  </r>
  <r>
    <x v="506"/>
  </r>
  <r>
    <x v="8"/>
  </r>
  <r>
    <x v="8"/>
  </r>
  <r>
    <x v="8"/>
  </r>
  <r>
    <x v="508"/>
  </r>
  <r>
    <x v="94"/>
  </r>
  <r>
    <x v="610"/>
  </r>
  <r>
    <x v="323"/>
  </r>
  <r>
    <x v="323"/>
  </r>
  <r>
    <x v="82"/>
  </r>
  <r>
    <x v="261"/>
  </r>
  <r>
    <x v="409"/>
  </r>
  <r>
    <x v="409"/>
  </r>
  <r>
    <x v="170"/>
  </r>
  <r>
    <x v="8"/>
  </r>
  <r>
    <x v="217"/>
  </r>
  <r>
    <x v="8"/>
  </r>
  <r>
    <x v="8"/>
  </r>
  <r>
    <x v="528"/>
  </r>
  <r>
    <x v="528"/>
  </r>
  <r>
    <x v="528"/>
  </r>
  <r>
    <x v="528"/>
  </r>
  <r>
    <x v="528"/>
  </r>
  <r>
    <x v="528"/>
  </r>
  <r>
    <x v="528"/>
  </r>
  <r>
    <x v="528"/>
  </r>
  <r>
    <x v="528"/>
  </r>
  <r>
    <x v="528"/>
  </r>
  <r>
    <x v="611"/>
  </r>
  <r>
    <x v="611"/>
  </r>
  <r>
    <x v="478"/>
  </r>
  <r>
    <x v="474"/>
  </r>
  <r>
    <x v="474"/>
  </r>
  <r>
    <x v="474"/>
  </r>
  <r>
    <x v="474"/>
  </r>
  <r>
    <x v="474"/>
  </r>
  <r>
    <x v="612"/>
  </r>
  <r>
    <x v="477"/>
  </r>
  <r>
    <x v="146"/>
  </r>
  <r>
    <x v="613"/>
  </r>
  <r>
    <x v="595"/>
  </r>
  <r>
    <x v="528"/>
  </r>
  <r>
    <x v="595"/>
  </r>
  <r>
    <x v="477"/>
  </r>
  <r>
    <x v="478"/>
  </r>
  <r>
    <x v="103"/>
  </r>
  <r>
    <x v="602"/>
  </r>
  <r>
    <x v="608"/>
  </r>
  <r>
    <x v="603"/>
  </r>
  <r>
    <x v="603"/>
  </r>
  <r>
    <x v="480"/>
  </r>
  <r>
    <x v="480"/>
  </r>
  <r>
    <x v="262"/>
  </r>
  <r>
    <x v="262"/>
  </r>
  <r>
    <x v="262"/>
  </r>
  <r>
    <x v="508"/>
  </r>
  <r>
    <x v="614"/>
  </r>
  <r>
    <x v="103"/>
  </r>
  <r>
    <x v="117"/>
  </r>
  <r>
    <x v="168"/>
  </r>
  <r>
    <x v="146"/>
  </r>
  <r>
    <x v="585"/>
  </r>
  <r>
    <x v="607"/>
  </r>
  <r>
    <x v="8"/>
  </r>
  <r>
    <x v="8"/>
  </r>
  <r>
    <x v="8"/>
  </r>
  <r>
    <x v="612"/>
  </r>
  <r>
    <x v="612"/>
  </r>
  <r>
    <x v="477"/>
  </r>
  <r>
    <x v="615"/>
  </r>
  <r>
    <x v="470"/>
  </r>
  <r>
    <x v="470"/>
  </r>
  <r>
    <x v="616"/>
  </r>
  <r>
    <x v="468"/>
  </r>
  <r>
    <x v="468"/>
  </r>
  <r>
    <x v="597"/>
  </r>
  <r>
    <x v="478"/>
  </r>
  <r>
    <x v="103"/>
  </r>
  <r>
    <x v="599"/>
  </r>
  <r>
    <x v="543"/>
  </r>
  <r>
    <x v="557"/>
  </r>
  <r>
    <x v="617"/>
  </r>
  <r>
    <x v="617"/>
  </r>
  <r>
    <x v="477"/>
  </r>
  <r>
    <x v="513"/>
  </r>
  <r>
    <x v="601"/>
  </r>
  <r>
    <x v="601"/>
  </r>
  <r>
    <x v="601"/>
  </r>
  <r>
    <x v="601"/>
  </r>
  <r>
    <x v="601"/>
  </r>
  <r>
    <x v="601"/>
  </r>
  <r>
    <x v="474"/>
  </r>
  <r>
    <x v="618"/>
  </r>
  <r>
    <x v="619"/>
  </r>
  <r>
    <x v="513"/>
  </r>
  <r>
    <x v="609"/>
  </r>
  <r>
    <x v="616"/>
  </r>
  <r>
    <x v="620"/>
  </r>
  <r>
    <x v="620"/>
  </r>
  <r>
    <x v="77"/>
  </r>
  <r>
    <x v="477"/>
  </r>
  <r>
    <x v="470"/>
  </r>
  <r>
    <x v="470"/>
  </r>
  <r>
    <x v="146"/>
  </r>
  <r>
    <x v="146"/>
  </r>
  <r>
    <x v="146"/>
  </r>
  <r>
    <x v="508"/>
  </r>
  <r>
    <x v="81"/>
  </r>
  <r>
    <x v="146"/>
  </r>
  <r>
    <x v="146"/>
  </r>
  <r>
    <x v="146"/>
  </r>
  <r>
    <x v="8"/>
  </r>
  <r>
    <x v="168"/>
  </r>
  <r>
    <x v="8"/>
  </r>
  <r>
    <x v="8"/>
  </r>
  <r>
    <x v="594"/>
  </r>
  <r>
    <x v="409"/>
  </r>
  <r>
    <x v="8"/>
  </r>
  <r>
    <x v="665"/>
  </r>
  <r>
    <x v="552"/>
  </r>
  <r>
    <x v="471"/>
  </r>
  <r>
    <x v="471"/>
  </r>
  <r>
    <x v="621"/>
  </r>
  <r>
    <x v="510"/>
  </r>
  <r>
    <x v="510"/>
  </r>
  <r>
    <x v="510"/>
  </r>
  <r>
    <x v="510"/>
  </r>
  <r>
    <x v="465"/>
  </r>
  <r>
    <x v="465"/>
  </r>
  <r>
    <x v="620"/>
  </r>
  <r>
    <x v="620"/>
  </r>
  <r>
    <x v="622"/>
  </r>
  <r>
    <x v="595"/>
  </r>
  <r>
    <x v="617"/>
  </r>
  <r>
    <x v="617"/>
  </r>
  <r>
    <x v="617"/>
  </r>
  <r>
    <x v="478"/>
  </r>
  <r>
    <x v="478"/>
  </r>
  <r>
    <x v="623"/>
  </r>
  <r>
    <x v="513"/>
  </r>
  <r>
    <x v="624"/>
  </r>
  <r>
    <x v="557"/>
  </r>
  <r>
    <x v="557"/>
  </r>
  <r>
    <x v="617"/>
  </r>
  <r>
    <x v="617"/>
  </r>
  <r>
    <x v="466"/>
  </r>
  <r>
    <x v="477"/>
  </r>
  <r>
    <x v="493"/>
  </r>
  <r>
    <x v="625"/>
  </r>
  <r>
    <x v="625"/>
  </r>
  <r>
    <x v="625"/>
  </r>
  <r>
    <x v="625"/>
  </r>
  <r>
    <x v="625"/>
  </r>
  <r>
    <x v="625"/>
  </r>
  <r>
    <x v="477"/>
  </r>
  <r>
    <x v="146"/>
  </r>
  <r>
    <x v="556"/>
  </r>
  <r>
    <x v="626"/>
  </r>
  <r>
    <x v="468"/>
  </r>
  <r>
    <x v="521"/>
  </r>
  <r>
    <x v="618"/>
  </r>
  <r>
    <x v="616"/>
  </r>
  <r>
    <x v="627"/>
  </r>
  <r>
    <x v="627"/>
  </r>
  <r>
    <x v="628"/>
  </r>
  <r>
    <x v="478"/>
  </r>
  <r>
    <x v="521"/>
  </r>
  <r>
    <x v="521"/>
  </r>
  <r>
    <x v="493"/>
  </r>
  <r>
    <x v="103"/>
  </r>
  <r>
    <x v="103"/>
  </r>
  <r>
    <x v="103"/>
  </r>
  <r>
    <x v="103"/>
  </r>
  <r>
    <x v="168"/>
  </r>
  <r>
    <x v="168"/>
  </r>
  <r>
    <x v="77"/>
  </r>
  <r>
    <x v="453"/>
  </r>
  <r>
    <x v="146"/>
  </r>
  <r>
    <x v="629"/>
  </r>
  <r>
    <x v="629"/>
  </r>
  <r>
    <x v="407"/>
  </r>
  <r>
    <x v="77"/>
  </r>
  <r>
    <x v="611"/>
  </r>
  <r>
    <x v="611"/>
  </r>
  <r>
    <x v="620"/>
  </r>
  <r>
    <x v="510"/>
  </r>
  <r>
    <x v="510"/>
  </r>
  <r>
    <x v="510"/>
  </r>
  <r>
    <x v="510"/>
  </r>
  <r>
    <x v="612"/>
  </r>
  <r>
    <x v="612"/>
  </r>
  <r>
    <x v="612"/>
  </r>
  <r>
    <x v="630"/>
  </r>
  <r>
    <x v="630"/>
  </r>
  <r>
    <x v="630"/>
  </r>
  <r>
    <x v="631"/>
  </r>
  <r>
    <x v="631"/>
  </r>
  <r>
    <x v="468"/>
  </r>
  <r>
    <x v="557"/>
  </r>
  <r>
    <x v="465"/>
  </r>
  <r>
    <x v="477"/>
  </r>
  <r>
    <x v="625"/>
  </r>
  <r>
    <x v="625"/>
  </r>
  <r>
    <x v="625"/>
  </r>
  <r>
    <x v="625"/>
  </r>
  <r>
    <x v="625"/>
  </r>
  <r>
    <x v="625"/>
  </r>
  <r>
    <x v="474"/>
  </r>
  <r>
    <x v="168"/>
  </r>
  <r>
    <x v="556"/>
  </r>
  <r>
    <x v="478"/>
  </r>
  <r>
    <x v="626"/>
  </r>
  <r>
    <x v="632"/>
  </r>
  <r>
    <x v="632"/>
  </r>
  <r>
    <x v="633"/>
  </r>
  <r>
    <x v="623"/>
  </r>
  <r>
    <x v="491"/>
  </r>
  <r>
    <x v="491"/>
  </r>
  <r>
    <x v="513"/>
  </r>
  <r>
    <x v="170"/>
  </r>
  <r>
    <x v="170"/>
  </r>
  <r>
    <x v="170"/>
  </r>
  <r>
    <x v="170"/>
  </r>
  <r>
    <x v="634"/>
  </r>
  <r>
    <x v="634"/>
  </r>
  <r>
    <x v="117"/>
  </r>
  <r>
    <x v="117"/>
  </r>
  <r>
    <x v="117"/>
  </r>
  <r>
    <x v="117"/>
  </r>
  <r>
    <x v="168"/>
  </r>
  <r>
    <x v="409"/>
  </r>
  <r>
    <x v="668"/>
  </r>
  <r>
    <x v="407"/>
  </r>
  <r>
    <x v="615"/>
  </r>
  <r>
    <x v="615"/>
  </r>
  <r>
    <x v="493"/>
  </r>
  <r>
    <x v="615"/>
  </r>
  <r>
    <x v="491"/>
  </r>
  <r>
    <x v="491"/>
  </r>
  <r>
    <x v="635"/>
  </r>
  <r>
    <x v="635"/>
  </r>
  <r>
    <x v="620"/>
  </r>
  <r>
    <x v="620"/>
  </r>
  <r>
    <x v="620"/>
  </r>
  <r>
    <x v="620"/>
  </r>
  <r>
    <x v="620"/>
  </r>
  <r>
    <x v="620"/>
  </r>
  <r>
    <x v="620"/>
  </r>
  <r>
    <x v="620"/>
  </r>
  <r>
    <x v="622"/>
  </r>
  <r>
    <x v="636"/>
  </r>
  <r>
    <x v="636"/>
  </r>
  <r>
    <x v="493"/>
  </r>
  <r>
    <x v="493"/>
  </r>
  <r>
    <x v="478"/>
  </r>
  <r>
    <x v="637"/>
  </r>
  <r>
    <x v="513"/>
  </r>
  <r>
    <x v="556"/>
  </r>
  <r>
    <x v="477"/>
  </r>
  <r>
    <x v="468"/>
  </r>
  <r>
    <x v="468"/>
  </r>
  <r>
    <x v="170"/>
  </r>
  <r>
    <x v="638"/>
  </r>
  <r>
    <x v="628"/>
  </r>
  <r>
    <x v="146"/>
  </r>
  <r>
    <x v="146"/>
  </r>
  <r>
    <x v="146"/>
  </r>
  <r>
    <x v="639"/>
  </r>
  <r>
    <x v="186"/>
  </r>
  <r>
    <x v="640"/>
  </r>
  <r>
    <x v="186"/>
  </r>
  <r>
    <x v="251"/>
  </r>
  <r>
    <x v="640"/>
  </r>
  <r>
    <x v="146"/>
  </r>
  <r>
    <x v="293"/>
  </r>
  <r>
    <x v="8"/>
  </r>
  <r>
    <x v="8"/>
  </r>
  <r>
    <x v="407"/>
  </r>
  <r>
    <x v="513"/>
  </r>
  <r>
    <x v="468"/>
  </r>
  <r>
    <x v="468"/>
  </r>
  <r>
    <x v="615"/>
  </r>
  <r>
    <x v="615"/>
  </r>
  <r>
    <x v="635"/>
  </r>
  <r>
    <x v="635"/>
  </r>
  <r>
    <x v="635"/>
  </r>
  <r>
    <x v="635"/>
  </r>
  <r>
    <x v="635"/>
  </r>
  <r>
    <x v="635"/>
  </r>
  <r>
    <x v="635"/>
  </r>
  <r>
    <x v="635"/>
  </r>
  <r>
    <x v="641"/>
  </r>
  <r>
    <x v="612"/>
  </r>
  <r>
    <x v="515"/>
  </r>
  <r>
    <x v="630"/>
  </r>
  <r>
    <x v="630"/>
  </r>
  <r>
    <x v="642"/>
  </r>
  <r>
    <x v="513"/>
  </r>
  <r>
    <x v="513"/>
  </r>
  <r>
    <x v="510"/>
  </r>
  <r>
    <x v="478"/>
  </r>
  <r>
    <x v="478"/>
  </r>
  <r>
    <x v="478"/>
  </r>
  <r>
    <x v="103"/>
  </r>
  <r>
    <x v="513"/>
  </r>
  <r>
    <x v="643"/>
  </r>
  <r>
    <x v="170"/>
  </r>
  <r>
    <x v="170"/>
  </r>
  <r>
    <x v="170"/>
  </r>
  <r>
    <x v="81"/>
  </r>
  <r>
    <x v="103"/>
  </r>
  <r>
    <x v="117"/>
  </r>
  <r>
    <x v="117"/>
  </r>
  <r>
    <x v="262"/>
  </r>
  <r>
    <x v="644"/>
  </r>
  <r>
    <x v="478"/>
  </r>
  <r>
    <x v="478"/>
  </r>
  <r>
    <x v="645"/>
  </r>
  <r>
    <x v="557"/>
  </r>
  <r>
    <x v="646"/>
  </r>
  <r>
    <x v="646"/>
  </r>
  <r>
    <x v="631"/>
  </r>
  <r>
    <x v="615"/>
  </r>
  <r>
    <x v="570"/>
  </r>
  <r>
    <x v="471"/>
  </r>
  <r>
    <x v="630"/>
  </r>
  <r>
    <x v="630"/>
  </r>
  <r>
    <x v="492"/>
  </r>
  <r>
    <x v="513"/>
  </r>
  <r>
    <x v="510"/>
  </r>
  <r>
    <x v="647"/>
  </r>
  <r>
    <x v="478"/>
  </r>
  <r>
    <x v="465"/>
  </r>
  <r>
    <x v="635"/>
  </r>
  <r>
    <x v="635"/>
  </r>
  <r>
    <x v="623"/>
  </r>
  <r>
    <x v="648"/>
  </r>
  <r>
    <x v="634"/>
  </r>
  <r>
    <x v="170"/>
  </r>
  <r>
    <x v="251"/>
  </r>
  <r>
    <x v="186"/>
  </r>
  <r>
    <x v="103"/>
  </r>
  <r>
    <x v="77"/>
  </r>
  <r>
    <x v="146"/>
  </r>
  <r>
    <x v="8"/>
  </r>
  <r>
    <x v="635"/>
  </r>
  <r>
    <x v="631"/>
  </r>
  <r>
    <x v="631"/>
  </r>
  <r>
    <x v="649"/>
  </r>
  <r>
    <x v="493"/>
  </r>
  <r>
    <x v="477"/>
  </r>
  <r>
    <x v="489"/>
  </r>
  <r>
    <x v="513"/>
  </r>
  <r>
    <x v="650"/>
  </r>
  <r>
    <x v="477"/>
  </r>
  <r>
    <x v="470"/>
  </r>
  <r>
    <x v="651"/>
  </r>
  <r>
    <x v="651"/>
  </r>
  <r>
    <x v="638"/>
  </r>
  <r>
    <x v="77"/>
  </r>
  <r>
    <x v="349"/>
  </r>
  <r>
    <x v="82"/>
  </r>
  <r>
    <x v="493"/>
  </r>
  <r>
    <x v="493"/>
  </r>
  <r>
    <x v="477"/>
  </r>
  <r>
    <x v="652"/>
  </r>
  <r>
    <x v="478"/>
  </r>
  <r>
    <x v="637"/>
  </r>
  <r>
    <x v="631"/>
  </r>
  <r>
    <x v="493"/>
  </r>
  <r>
    <x v="653"/>
  </r>
  <r>
    <x v="653"/>
  </r>
  <r>
    <x v="654"/>
  </r>
  <r>
    <x v="8"/>
  </r>
  <r>
    <x v="146"/>
  </r>
  <r>
    <x v="508"/>
  </r>
  <r>
    <x v="474"/>
  </r>
  <r>
    <x v="655"/>
  </r>
  <r>
    <x v="656"/>
  </r>
  <r>
    <x v="493"/>
  </r>
  <r>
    <x v="513"/>
  </r>
  <r>
    <x v="491"/>
  </r>
  <r>
    <x v="631"/>
  </r>
  <r>
    <x v="631"/>
  </r>
  <r>
    <x v="654"/>
  </r>
  <r>
    <x v="103"/>
  </r>
  <r>
    <x v="508"/>
  </r>
  <r>
    <x v="634"/>
  </r>
  <r>
    <x v="478"/>
  </r>
  <r>
    <x v="620"/>
  </r>
  <r>
    <x v="620"/>
  </r>
  <r>
    <x v="620"/>
  </r>
  <r>
    <x v="620"/>
  </r>
  <r>
    <x v="620"/>
  </r>
  <r>
    <x v="620"/>
  </r>
  <r>
    <x v="513"/>
  </r>
  <r>
    <x v="493"/>
  </r>
  <r>
    <x v="493"/>
  </r>
  <r>
    <x v="146"/>
  </r>
  <r>
    <x v="493"/>
  </r>
  <r>
    <x v="103"/>
  </r>
  <r>
    <x v="645"/>
  </r>
  <r>
    <x v="635"/>
  </r>
  <r>
    <x v="635"/>
  </r>
  <r>
    <x v="635"/>
  </r>
  <r>
    <x v="635"/>
  </r>
  <r>
    <x v="635"/>
  </r>
  <r>
    <x v="635"/>
  </r>
  <r>
    <x v="657"/>
  </r>
  <r>
    <x v="251"/>
  </r>
  <r>
    <x v="649"/>
  </r>
  <r>
    <x v="513"/>
  </r>
  <r>
    <x v="669"/>
  </r>
  <r>
    <x v="513"/>
  </r>
  <r>
    <x v="493"/>
  </r>
  <r>
    <x v="409"/>
  </r>
  <r>
    <x v="103"/>
  </r>
  <r>
    <x v="510"/>
  </r>
  <r>
    <x v="658"/>
  </r>
  <r>
    <x v="409"/>
  </r>
  <r>
    <x v="170"/>
  </r>
  <r>
    <x v="409"/>
  </r>
  <r>
    <x v="81"/>
  </r>
  <r>
    <x v="409"/>
  </r>
  <r>
    <x v="506"/>
  </r>
  <r>
    <x v="528"/>
  </r>
  <r>
    <x v="616"/>
  </r>
  <r>
    <x v="507"/>
  </r>
  <r>
    <x v="507"/>
  </r>
  <r>
    <x v="82"/>
  </r>
  <r>
    <x v="82"/>
  </r>
  <r>
    <x v="82"/>
  </r>
  <r>
    <x v="434"/>
  </r>
  <r>
    <x v="607"/>
  </r>
  <r>
    <x v="607"/>
  </r>
  <r>
    <x v="613"/>
  </r>
  <r>
    <x v="616"/>
  </r>
  <r>
    <x v="471"/>
  </r>
  <r>
    <x v="659"/>
  </r>
  <r>
    <x v="507"/>
  </r>
  <r>
    <x v="507"/>
  </r>
  <r>
    <x v="82"/>
  </r>
  <r>
    <x v="82"/>
  </r>
  <r>
    <x v="82"/>
  </r>
  <r>
    <x v="290"/>
  </r>
  <r>
    <x v="507"/>
  </r>
  <r>
    <x v="507"/>
  </r>
  <r>
    <x v="82"/>
  </r>
  <r>
    <x v="82"/>
  </r>
  <r>
    <x v="82"/>
  </r>
  <r>
    <x v="409"/>
  </r>
  <r>
    <x v="507"/>
  </r>
  <r>
    <x v="507"/>
  </r>
  <r>
    <x v="624"/>
  </r>
  <r>
    <x v="559"/>
  </r>
  <r>
    <x v="559"/>
  </r>
  <r>
    <x v="659"/>
  </r>
  <r>
    <x v="507"/>
  </r>
  <r>
    <x v="507"/>
  </r>
  <r>
    <x v="82"/>
  </r>
  <r>
    <x v="82"/>
  </r>
  <r>
    <x v="82"/>
  </r>
  <r>
    <x v="409"/>
  </r>
  <r>
    <x v="409"/>
  </r>
  <r>
    <x v="409"/>
  </r>
  <r>
    <x v="409"/>
  </r>
  <r>
    <x v="507"/>
  </r>
  <r>
    <x v="507"/>
  </r>
  <r>
    <x v="660"/>
  </r>
  <r>
    <x v="660"/>
  </r>
  <r>
    <x v="660"/>
  </r>
  <r>
    <x v="507"/>
  </r>
  <r>
    <x v="507"/>
  </r>
  <r>
    <x v="507"/>
  </r>
  <r>
    <x v="622"/>
  </r>
  <r>
    <x v="509"/>
  </r>
  <r>
    <x v="507"/>
  </r>
  <r>
    <x v="507"/>
  </r>
  <r>
    <x v="8"/>
  </r>
  <r>
    <x v="82"/>
  </r>
  <r>
    <x v="82"/>
  </r>
  <r>
    <x v="82"/>
  </r>
  <r>
    <x v="17"/>
  </r>
  <r>
    <x v="121"/>
  </r>
  <r>
    <x v="661"/>
  </r>
  <r>
    <x v="661"/>
  </r>
  <r>
    <x v="661"/>
  </r>
  <r>
    <x v="507"/>
  </r>
  <r>
    <x v="662"/>
  </r>
  <r>
    <x v="507"/>
  </r>
  <r>
    <x v="507"/>
  </r>
  <r>
    <x v="8"/>
  </r>
  <r>
    <x v="82"/>
  </r>
  <r>
    <x v="82"/>
  </r>
  <r>
    <x v="82"/>
  </r>
  <r>
    <x v="507"/>
  </r>
  <r>
    <x v="507"/>
  </r>
  <r>
    <x v="507"/>
  </r>
  <r>
    <x v="82"/>
  </r>
  <r>
    <x v="82"/>
  </r>
  <r>
    <x v="82"/>
  </r>
  <r>
    <x v="410"/>
  </r>
  <r>
    <x v="82"/>
  </r>
  <r>
    <x v="82"/>
  </r>
  <r>
    <x v="82"/>
  </r>
  <r>
    <x v="663"/>
  </r>
  <r>
    <x v="663"/>
  </r>
  <r>
    <x v="507"/>
  </r>
  <r>
    <x v="82"/>
  </r>
  <r>
    <x v="82"/>
  </r>
  <r>
    <x v="82"/>
  </r>
  <r>
    <x v="507"/>
  </r>
  <r>
    <x v="507"/>
  </r>
  <r>
    <x v="507"/>
  </r>
  <r>
    <x v="507"/>
  </r>
  <r>
    <x v="82"/>
  </r>
  <r>
    <x v="409"/>
  </r>
  <r>
    <x v="559"/>
  </r>
  <r>
    <x v="507"/>
  </r>
  <r>
    <x v="507"/>
  </r>
  <r>
    <x v="507"/>
  </r>
  <r>
    <x v="507"/>
  </r>
  <r>
    <x v="507"/>
  </r>
  <r>
    <x v="663"/>
  </r>
  <r>
    <x v="376"/>
  </r>
  <r>
    <x v="613"/>
  </r>
  <r>
    <x v="507"/>
  </r>
  <r>
    <x v="507"/>
  </r>
  <r>
    <x v="507"/>
  </r>
  <r>
    <x v="82"/>
  </r>
  <r>
    <x v="507"/>
  </r>
  <r>
    <x v="507"/>
  </r>
  <r>
    <x v="507"/>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5">
  <r>
    <x v="0"/>
  </r>
  <r>
    <x v="1"/>
  </r>
  <r>
    <x v="1"/>
  </r>
  <r>
    <x v="1"/>
  </r>
  <r>
    <x v="1"/>
  </r>
  <r>
    <x v="1"/>
  </r>
  <r>
    <x v="1"/>
  </r>
  <r>
    <x v="1"/>
  </r>
  <r>
    <x v="2"/>
  </r>
  <r>
    <x v="3"/>
  </r>
  <r>
    <x v="4"/>
  </r>
  <r>
    <x v="5"/>
  </r>
  <r>
    <x v="5"/>
  </r>
  <r>
    <x v="5"/>
  </r>
  <r>
    <x v="5"/>
  </r>
  <r>
    <x v="5"/>
  </r>
  <r>
    <x v="6"/>
  </r>
  <r>
    <x v="6"/>
  </r>
  <r>
    <x v="6"/>
  </r>
  <r>
    <x v="7"/>
  </r>
  <r>
    <x v="8"/>
  </r>
  <r>
    <x v="9"/>
  </r>
  <r>
    <x v="10"/>
  </r>
  <r>
    <x v="11"/>
  </r>
  <r>
    <x v="12"/>
  </r>
  <r>
    <x v="13"/>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4"/>
  </r>
  <r>
    <x v="15"/>
  </r>
  <r>
    <x v="16"/>
  </r>
  <r>
    <x v="16"/>
  </r>
  <r>
    <x v="17"/>
  </r>
  <r>
    <x v="17"/>
  </r>
  <r>
    <x v="17"/>
  </r>
  <r>
    <x v="17"/>
  </r>
  <r>
    <x v="17"/>
  </r>
  <r>
    <x v="17"/>
  </r>
  <r>
    <x v="17"/>
  </r>
  <r>
    <x v="17"/>
  </r>
  <r>
    <x v="17"/>
  </r>
  <r>
    <x v="17"/>
  </r>
  <r>
    <x v="17"/>
  </r>
  <r>
    <x v="18"/>
  </r>
  <r>
    <x v="18"/>
  </r>
  <r>
    <x v="18"/>
  </r>
  <r>
    <x v="18"/>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19"/>
  </r>
  <r>
    <x v="20"/>
  </r>
  <r>
    <x v="20"/>
  </r>
  <r>
    <x v="20"/>
  </r>
  <r>
    <x v="20"/>
  </r>
  <r>
    <x v="20"/>
  </r>
  <r>
    <x v="20"/>
  </r>
  <r>
    <x v="20"/>
  </r>
  <r>
    <x v="20"/>
  </r>
  <r>
    <x v="20"/>
  </r>
  <r>
    <x v="20"/>
  </r>
  <r>
    <x v="20"/>
  </r>
  <r>
    <x v="20"/>
  </r>
  <r>
    <x v="20"/>
  </r>
  <r>
    <x v="20"/>
  </r>
  <r>
    <x v="21"/>
  </r>
  <r>
    <x v="22"/>
  </r>
  <r>
    <x v="22"/>
  </r>
  <r>
    <x v="22"/>
  </r>
  <r>
    <x v="22"/>
  </r>
  <r>
    <x v="22"/>
  </r>
  <r>
    <x v="22"/>
  </r>
  <r>
    <x v="22"/>
  </r>
  <r>
    <x v="22"/>
  </r>
  <r>
    <x v="22"/>
  </r>
  <r>
    <x v="22"/>
  </r>
  <r>
    <x v="22"/>
  </r>
  <r>
    <x v="22"/>
  </r>
  <r>
    <x v="22"/>
  </r>
  <r>
    <x v="22"/>
  </r>
  <r>
    <x v="22"/>
  </r>
  <r>
    <x v="22"/>
  </r>
  <r>
    <x v="22"/>
  </r>
  <r>
    <x v="23"/>
  </r>
  <r>
    <x v="23"/>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2">
  <r>
    <x v="0"/>
  </r>
  <r>
    <x v="1"/>
  </r>
  <r>
    <x v="1"/>
  </r>
  <r>
    <x v="1"/>
  </r>
  <r>
    <x v="1"/>
  </r>
  <r>
    <x v="1"/>
  </r>
  <r>
    <x v="1"/>
  </r>
  <r>
    <x v="1"/>
  </r>
  <r>
    <x v="1"/>
  </r>
  <r>
    <x v="2"/>
  </r>
  <r>
    <x v="2"/>
  </r>
  <r>
    <x v="3"/>
  </r>
  <r>
    <x v="3"/>
  </r>
  <r>
    <x v="3"/>
  </r>
  <r>
    <x v="3"/>
  </r>
  <r>
    <x v="3"/>
  </r>
  <r>
    <x v="4"/>
  </r>
  <r>
    <x v="4"/>
  </r>
  <r>
    <x v="4"/>
  </r>
  <r>
    <x v="5"/>
  </r>
  <r>
    <x v="6"/>
  </r>
  <r>
    <x v="7"/>
  </r>
  <r>
    <x v="8"/>
  </r>
  <r>
    <x v="9"/>
  </r>
  <r>
    <x v="10"/>
  </r>
  <r>
    <x v="10"/>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11"/>
  </r>
  <r>
    <x v="12"/>
  </r>
  <r>
    <x v="13"/>
  </r>
  <r>
    <x v="14"/>
  </r>
  <r>
    <x v="14"/>
  </r>
  <r>
    <x v="14"/>
  </r>
  <r>
    <x v="14"/>
  </r>
  <r>
    <x v="14"/>
  </r>
  <r>
    <x v="14"/>
  </r>
  <r>
    <x v="14"/>
  </r>
  <r>
    <x v="14"/>
  </r>
  <r>
    <x v="14"/>
  </r>
  <r>
    <x v="14"/>
  </r>
  <r>
    <x v="14"/>
  </r>
  <r>
    <x v="15"/>
  </r>
  <r>
    <x v="15"/>
  </r>
  <r>
    <x v="15"/>
  </r>
  <r>
    <x v="15"/>
  </r>
  <r>
    <x v="16"/>
  </r>
  <r>
    <x v="16"/>
  </r>
  <r>
    <x v="16"/>
  </r>
  <r>
    <x v="16"/>
  </r>
  <r>
    <x v="16"/>
  </r>
  <r>
    <x v="16"/>
  </r>
  <r>
    <x v="16"/>
  </r>
  <r>
    <x v="16"/>
  </r>
  <r>
    <x v="16"/>
  </r>
  <r>
    <x v="16"/>
  </r>
  <r>
    <x v="16"/>
  </r>
  <r>
    <x v="14"/>
  </r>
  <r>
    <x v="16"/>
  </r>
  <r>
    <x v="16"/>
  </r>
  <r>
    <x v="16"/>
  </r>
  <r>
    <x v="16"/>
  </r>
  <r>
    <x v="16"/>
  </r>
  <r>
    <x v="16"/>
  </r>
  <r>
    <x v="16"/>
  </r>
  <r>
    <x v="16"/>
  </r>
  <r>
    <x v="16"/>
  </r>
  <r>
    <x v="16"/>
  </r>
  <r>
    <x v="16"/>
  </r>
  <r>
    <x v="16"/>
  </r>
  <r>
    <x v="16"/>
  </r>
  <r>
    <x v="16"/>
  </r>
  <r>
    <x v="16"/>
  </r>
  <r>
    <x v="16"/>
  </r>
  <r>
    <x v="16"/>
  </r>
  <r>
    <x v="16"/>
  </r>
  <r>
    <x v="16"/>
  </r>
  <r>
    <x v="16"/>
  </r>
  <r>
    <x v="16"/>
  </r>
  <r>
    <x v="16"/>
  </r>
  <r>
    <x v="16"/>
  </r>
  <r>
    <x v="16"/>
  </r>
  <r>
    <x v="16"/>
  </r>
  <r>
    <x v="16"/>
  </r>
  <r>
    <x v="16"/>
  </r>
  <r>
    <x v="16"/>
  </r>
  <r>
    <x v="16"/>
  </r>
  <r>
    <x v="16"/>
  </r>
  <r>
    <x v="16"/>
  </r>
  <r>
    <x v="16"/>
  </r>
  <r>
    <x v="16"/>
  </r>
  <r>
    <x v="16"/>
  </r>
  <r>
    <x v="16"/>
  </r>
  <r>
    <x v="16"/>
  </r>
  <r>
    <x v="16"/>
  </r>
  <r>
    <x v="16"/>
  </r>
  <r>
    <x v="16"/>
  </r>
  <r>
    <x v="16"/>
  </r>
  <r>
    <x v="16"/>
  </r>
  <r>
    <x v="17"/>
  </r>
  <r>
    <x v="17"/>
  </r>
  <r>
    <x v="17"/>
  </r>
  <r>
    <x v="17"/>
  </r>
  <r>
    <x v="17"/>
  </r>
  <r>
    <x v="17"/>
  </r>
  <r>
    <x v="17"/>
  </r>
  <r>
    <x v="17"/>
  </r>
  <r>
    <x v="17"/>
  </r>
  <r>
    <x v="17"/>
  </r>
  <r>
    <x v="17"/>
  </r>
  <r>
    <x v="17"/>
  </r>
  <r>
    <x v="17"/>
  </r>
  <r>
    <x v="17"/>
  </r>
  <r>
    <x v="18"/>
  </r>
  <r>
    <x v="19"/>
  </r>
  <r>
    <x v="19"/>
  </r>
  <r>
    <x v="19"/>
  </r>
  <r>
    <x v="19"/>
  </r>
  <r>
    <x v="20"/>
  </r>
  <r>
    <x v="2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B793BBD-9B58-42E1-959F-BE14B043479B}" name="Collection"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rowHeaderCaption="Collection">
  <location ref="A1:B9" firstHeaderRow="1" firstDataRow="1" firstDataCol="1"/>
  <pivotFields count="35">
    <pivotField showAll="0"/>
    <pivotField showAll="0"/>
    <pivotField showAll="0"/>
    <pivotField showAll="0"/>
    <pivotField showAll="0"/>
    <pivotField showAll="0"/>
    <pivotField showAll="0"/>
    <pivotField showAll="0"/>
    <pivotField axis="axisRow" dataField="1" showAll="0" sortType="ascending">
      <items count="9">
        <item x="6"/>
        <item x="0"/>
        <item x="1"/>
        <item x="4"/>
        <item x="2"/>
        <item x="3"/>
        <item x="7"/>
        <item h="1" x="5"/>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8"/>
  </rowFields>
  <rowItems count="8">
    <i>
      <x v="6"/>
    </i>
    <i>
      <x v="3"/>
    </i>
    <i>
      <x/>
    </i>
    <i>
      <x v="5"/>
    </i>
    <i>
      <x v="4"/>
    </i>
    <i>
      <x v="2"/>
    </i>
    <i>
      <x v="1"/>
    </i>
    <i t="grand">
      <x/>
    </i>
  </rowItems>
  <colItems count="1">
    <i/>
  </colItems>
  <dataFields count="1">
    <dataField name="Counts" fld="8" subtotal="count" baseField="0" baseItem="0"/>
  </dataFields>
  <chartFormats count="8">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8" count="1" selected="0">
            <x v="0"/>
          </reference>
        </references>
      </pivotArea>
    </chartFormat>
    <chartFormat chart="2" format="2">
      <pivotArea type="data" outline="0" fieldPosition="0">
        <references count="2">
          <reference field="4294967294" count="1" selected="0">
            <x v="0"/>
          </reference>
          <reference field="8" count="1" selected="0">
            <x v="1"/>
          </reference>
        </references>
      </pivotArea>
    </chartFormat>
    <chartFormat chart="2" format="3">
      <pivotArea type="data" outline="0" fieldPosition="0">
        <references count="2">
          <reference field="4294967294" count="1" selected="0">
            <x v="0"/>
          </reference>
          <reference field="8" count="1" selected="0">
            <x v="2"/>
          </reference>
        </references>
      </pivotArea>
    </chartFormat>
    <chartFormat chart="2" format="4">
      <pivotArea type="data" outline="0" fieldPosition="0">
        <references count="2">
          <reference field="4294967294" count="1" selected="0">
            <x v="0"/>
          </reference>
          <reference field="8" count="1" selected="0">
            <x v="3"/>
          </reference>
        </references>
      </pivotArea>
    </chartFormat>
    <chartFormat chart="2" format="5">
      <pivotArea type="data" outline="0" fieldPosition="0">
        <references count="2">
          <reference field="4294967294" count="1" selected="0">
            <x v="0"/>
          </reference>
          <reference field="8" count="1" selected="0">
            <x v="4"/>
          </reference>
        </references>
      </pivotArea>
    </chartFormat>
    <chartFormat chart="2" format="6">
      <pivotArea type="data" outline="0" fieldPosition="0">
        <references count="2">
          <reference field="4294967294" count="1" selected="0">
            <x v="0"/>
          </reference>
          <reference field="8" count="1" selected="0">
            <x v="5"/>
          </reference>
        </references>
      </pivotArea>
    </chartFormat>
    <chartFormat chart="2" format="7">
      <pivotArea type="data" outline="0" fieldPosition="0">
        <references count="2">
          <reference field="4294967294" count="1" selected="0">
            <x v="0"/>
          </reference>
          <reference field="8" count="1" selected="0">
            <x v="6"/>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BD8781B-1E9D-4BC6-A149-7726B95B630F}" name="SeriesN" cacheId="1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Series Title (N)">
  <location ref="T1:U19" firstHeaderRow="1" firstDataRow="1" firstDataCol="1"/>
  <pivotFields count="1">
    <pivotField axis="axisRow" dataField="1" showAll="0" sortType="ascending">
      <items count="22">
        <item h="1" x="19"/>
        <item h="1" x="2"/>
        <item x="1"/>
        <item x="10"/>
        <item h="1" x="20"/>
        <item x="18"/>
        <item x="16"/>
        <item x="14"/>
        <item x="4"/>
        <item x="6"/>
        <item x="8"/>
        <item x="17"/>
        <item x="5"/>
        <item x="9"/>
        <item x="3"/>
        <item x="7"/>
        <item x="11"/>
        <item x="15"/>
        <item x="12"/>
        <item x="13"/>
        <item x="0"/>
        <item t="default"/>
      </items>
      <autoSortScope>
        <pivotArea dataOnly="0" outline="0" fieldPosition="0">
          <references count="1">
            <reference field="4294967294" count="1" selected="0">
              <x v="0"/>
            </reference>
          </references>
        </pivotArea>
      </autoSortScope>
    </pivotField>
  </pivotFields>
  <rowFields count="1">
    <field x="0"/>
  </rowFields>
  <rowItems count="18">
    <i>
      <x v="20"/>
    </i>
    <i>
      <x v="12"/>
    </i>
    <i>
      <x v="19"/>
    </i>
    <i>
      <x v="5"/>
    </i>
    <i>
      <x v="9"/>
    </i>
    <i>
      <x v="13"/>
    </i>
    <i>
      <x v="18"/>
    </i>
    <i>
      <x v="15"/>
    </i>
    <i>
      <x v="10"/>
    </i>
    <i>
      <x v="16"/>
    </i>
    <i>
      <x v="3"/>
    </i>
    <i>
      <x v="8"/>
    </i>
    <i>
      <x v="17"/>
    </i>
    <i>
      <x v="14"/>
    </i>
    <i>
      <x v="2"/>
    </i>
    <i>
      <x v="7"/>
    </i>
    <i>
      <x v="11"/>
    </i>
    <i>
      <x v="6"/>
    </i>
  </rowItems>
  <colItems count="1">
    <i/>
  </colItems>
  <dataFields count="1">
    <dataField name="Counts"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0B3DC4C-8064-434C-90EE-E6D6362B76A9}" name="SeriesRE" cacheId="1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eries Title (RE)">
  <location ref="D1:E22" firstHeaderRow="1" firstDataRow="1" firstDataCol="1"/>
  <pivotFields count="1">
    <pivotField axis="axisRow" dataField="1" showAll="0" sortType="ascending">
      <items count="25">
        <item h="1" x="22"/>
        <item x="1"/>
        <item x="2"/>
        <item x="3"/>
        <item x="12"/>
        <item x="13"/>
        <item h="1" x="14"/>
        <item h="1" x="23"/>
        <item x="21"/>
        <item x="19"/>
        <item x="17"/>
        <item x="6"/>
        <item x="8"/>
        <item x="10"/>
        <item x="20"/>
        <item x="7"/>
        <item x="11"/>
        <item x="5"/>
        <item x="9"/>
        <item x="4"/>
        <item x="15"/>
        <item x="18"/>
        <item x="16"/>
        <item x="0"/>
        <item t="default"/>
      </items>
      <autoSortScope>
        <pivotArea dataOnly="0" outline="0" fieldPosition="0">
          <references count="1">
            <reference field="4294967294" count="1" selected="0">
              <x v="0"/>
            </reference>
          </references>
        </pivotArea>
      </autoSortScope>
    </pivotField>
  </pivotFields>
  <rowFields count="1">
    <field x="0"/>
  </rowFields>
  <rowItems count="21">
    <i>
      <x v="13"/>
    </i>
    <i>
      <x v="2"/>
    </i>
    <i>
      <x v="15"/>
    </i>
    <i>
      <x v="3"/>
    </i>
    <i>
      <x v="16"/>
    </i>
    <i>
      <x v="5"/>
    </i>
    <i>
      <x v="8"/>
    </i>
    <i>
      <x v="4"/>
    </i>
    <i>
      <x v="20"/>
    </i>
    <i>
      <x v="23"/>
    </i>
    <i>
      <x v="12"/>
    </i>
    <i>
      <x v="19"/>
    </i>
    <i>
      <x v="18"/>
    </i>
    <i>
      <x v="22"/>
    </i>
    <i>
      <x v="11"/>
    </i>
    <i>
      <x v="21"/>
    </i>
    <i>
      <x v="17"/>
    </i>
    <i>
      <x v="1"/>
    </i>
    <i>
      <x v="10"/>
    </i>
    <i>
      <x v="14"/>
    </i>
    <i>
      <x v="9"/>
    </i>
  </rowItems>
  <colItems count="1">
    <i/>
  </colItems>
  <dataFields count="1">
    <dataField name="Counts" fld="0"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8608010-D283-4937-96CE-28DAF74C4BE2}" name="PubN" cacheId="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Publishers (N)">
  <location ref="M1:N2" firstHeaderRow="1" firstDataRow="1" firstDataCol="1"/>
  <pivotFields count="35">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5">
        <item h="1" x="1"/>
        <item x="0"/>
        <item h="1" x="3"/>
        <item h="1" x="2"/>
        <item t="default"/>
      </items>
    </pivotField>
    <pivotField showAll="0"/>
    <pivotField showAll="0"/>
    <pivotField showAll="0"/>
    <pivotField showAll="0"/>
    <pivotField showAll="0"/>
    <pivotField showAll="0"/>
    <pivotField showAll="0"/>
    <pivotField showAll="0"/>
  </pivotFields>
  <rowFields count="1">
    <field x="26"/>
  </rowFields>
  <rowItems count="1">
    <i>
      <x v="1"/>
    </i>
  </rowItems>
  <colItems count="1">
    <i/>
  </colItems>
  <dataFields count="1">
    <dataField name="Counts" fld="26"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C682A80-344F-4A28-94D9-D308E8F14126}" name="PubRE"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Publishers (RE)">
  <location ref="A1:B37" firstHeaderRow="1" firstDataRow="1" firstDataCol="1"/>
  <pivotFields count="35">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sortType="ascending">
      <items count="39">
        <item x="17"/>
        <item x="21"/>
        <item x="0"/>
        <item x="4"/>
        <item x="31"/>
        <item x="30"/>
        <item x="15"/>
        <item x="9"/>
        <item x="11"/>
        <item x="10"/>
        <item x="26"/>
        <item x="24"/>
        <item x="29"/>
        <item x="28"/>
        <item x="23"/>
        <item x="14"/>
        <item x="8"/>
        <item x="6"/>
        <item x="5"/>
        <item x="27"/>
        <item x="3"/>
        <item x="18"/>
        <item x="20"/>
        <item x="7"/>
        <item x="12"/>
        <item x="13"/>
        <item x="22"/>
        <item x="25"/>
        <item x="2"/>
        <item x="32"/>
        <item x="1"/>
        <item x="19"/>
        <item x="16"/>
        <item h="1" x="37"/>
        <item x="33"/>
        <item x="34"/>
        <item x="35"/>
        <item h="1" x="3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s>
  <rowFields count="1">
    <field x="25"/>
  </rowFields>
  <rowItems count="36">
    <i>
      <x v="17"/>
    </i>
    <i>
      <x/>
    </i>
    <i>
      <x v="1"/>
    </i>
    <i>
      <x v="3"/>
    </i>
    <i>
      <x v="19"/>
    </i>
    <i>
      <x v="5"/>
    </i>
    <i>
      <x v="6"/>
    </i>
    <i>
      <x v="7"/>
    </i>
    <i>
      <x v="8"/>
    </i>
    <i>
      <x v="21"/>
    </i>
    <i>
      <x v="10"/>
    </i>
    <i>
      <x v="11"/>
    </i>
    <i>
      <x v="13"/>
    </i>
    <i>
      <x v="15"/>
    </i>
    <i>
      <x v="23"/>
    </i>
    <i>
      <x v="36"/>
    </i>
    <i>
      <x v="24"/>
    </i>
    <i>
      <x v="35"/>
    </i>
    <i>
      <x v="25"/>
    </i>
    <i>
      <x v="34"/>
    </i>
    <i>
      <x v="26"/>
    </i>
    <i>
      <x v="4"/>
    </i>
    <i>
      <x v="27"/>
    </i>
    <i>
      <x v="16"/>
    </i>
    <i>
      <x v="31"/>
    </i>
    <i>
      <x v="9"/>
    </i>
    <i>
      <x v="32"/>
    </i>
    <i>
      <x v="22"/>
    </i>
    <i>
      <x v="29"/>
    </i>
    <i>
      <x v="14"/>
    </i>
    <i>
      <x v="20"/>
    </i>
    <i>
      <x v="18"/>
    </i>
    <i>
      <x v="12"/>
    </i>
    <i>
      <x v="2"/>
    </i>
    <i>
      <x v="28"/>
    </i>
    <i>
      <x v="30"/>
    </i>
  </rowItems>
  <colItems count="1">
    <i/>
  </colItems>
  <dataFields count="1">
    <dataField name="Counts" fld="25"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0AE1FA9-CAD1-4BB3-A5E1-657111C2B819}" name="dates"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Pub Dates">
  <location ref="A1:B21" firstHeaderRow="1" firstDataRow="1" firstDataCol="1"/>
  <pivotFields count="35">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sortType="ascending">
      <items count="24">
        <item x="13"/>
        <item x="19"/>
        <item x="8"/>
        <item x="9"/>
        <item x="11"/>
        <item x="0"/>
        <item x="2"/>
        <item x="4"/>
        <item x="14"/>
        <item x="18"/>
        <item x="15"/>
        <item x="16"/>
        <item x="20"/>
        <item x="1"/>
        <item x="3"/>
        <item x="10"/>
        <item x="6"/>
        <item x="12"/>
        <item x="5"/>
        <item x="17"/>
        <item h="1" x="7"/>
        <item h="1" x="22"/>
        <item h="1" x="2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s>
  <rowFields count="1">
    <field x="27"/>
  </rowFields>
  <rowItems count="20">
    <i>
      <x v="9"/>
    </i>
    <i>
      <x v="8"/>
    </i>
    <i>
      <x v="19"/>
    </i>
    <i>
      <x/>
    </i>
    <i>
      <x v="3"/>
    </i>
    <i>
      <x v="1"/>
    </i>
    <i>
      <x v="2"/>
    </i>
    <i>
      <x v="11"/>
    </i>
    <i>
      <x v="4"/>
    </i>
    <i>
      <x v="17"/>
    </i>
    <i>
      <x v="10"/>
    </i>
    <i>
      <x v="16"/>
    </i>
    <i>
      <x v="15"/>
    </i>
    <i>
      <x v="12"/>
    </i>
    <i>
      <x v="18"/>
    </i>
    <i>
      <x v="13"/>
    </i>
    <i>
      <x v="14"/>
    </i>
    <i>
      <x v="7"/>
    </i>
    <i>
      <x v="5"/>
    </i>
    <i>
      <x v="6"/>
    </i>
  </rowItems>
  <colItems count="1">
    <i/>
  </colItems>
  <dataFields count="1">
    <dataField name="Counts" fld="27" subtotal="count" baseField="0" baseItem="0"/>
  </dataFields>
  <formats count="2">
    <format dxfId="1">
      <pivotArea field="27" type="button" dataOnly="0" labelOnly="1" outline="0" axis="axisRow" fieldPosition="0"/>
    </format>
    <format dxfId="0">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C9E3378-3151-4CCD-83A4-4882936DFF8A}" name="decades"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Q1:R3" firstHeaderRow="1" firstDataRow="1" firstDataCol="1"/>
  <pivotFields count="1">
    <pivotField axis="axisRow" dataField="1" showAll="0">
      <items count="303">
        <item h="1" x="0"/>
        <item h="1"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t="default"/>
      </items>
    </pivotField>
  </pivotFields>
  <rowFields count="1">
    <field x="0"/>
  </rowFields>
  <rowItems count="2">
    <i>
      <x v="202"/>
    </i>
    <i>
      <x v="203"/>
    </i>
  </rowItems>
  <colItems count="1">
    <i/>
  </colItems>
  <dataFields count="1">
    <dataField name="Counts" fld="0" subtotal="count" baseField="0" baseItem="0"/>
  </dataFields>
  <formats count="2">
    <format dxfId="3">
      <pivotArea field="0" type="button" dataOnly="0" labelOnly="1" outline="0" axis="axisRow" fieldPosition="0"/>
    </format>
    <format dxfId="2">
      <pivotArea field="0" type="button" dataOnly="0" labelOnly="1" outline="0" axis="axisRow"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77F4BD3-86C2-4AA2-9826-A488A1B85A38}" name="Subjects" cacheId="8"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 rowHeaderCaption="Subjects">
  <location ref="B4:C169" firstHeaderRow="1" firstDataRow="1" firstDataCol="1"/>
  <pivotFields count="1">
    <pivotField axis="axisRow" dataField="1" showAll="0" sortType="ascending">
      <items count="746">
        <item m="1" x="627"/>
        <item m="1" x="410"/>
        <item m="1" x="178"/>
        <item x="90"/>
        <item m="1" x="512"/>
        <item m="1" x="459"/>
        <item m="1" x="485"/>
        <item m="1" x="248"/>
        <item m="1" x="711"/>
        <item m="1" x="671"/>
        <item m="1" x="618"/>
        <item m="1" x="310"/>
        <item m="1" x="199"/>
        <item m="1" x="167"/>
        <item m="1" x="535"/>
        <item m="1" x="604"/>
        <item m="1" x="639"/>
        <item m="1" x="663"/>
        <item m="1" x="176"/>
        <item m="1" x="476"/>
        <item m="1" x="471"/>
        <item m="1" x="453"/>
        <item m="1" x="638"/>
        <item m="1" x="544"/>
        <item m="1" x="224"/>
        <item m="1" x="735"/>
        <item m="1" x="278"/>
        <item m="1" x="445"/>
        <item m="1" x="204"/>
        <item m="1" x="164"/>
        <item m="1" x="227"/>
        <item m="1" x="484"/>
        <item m="1" x="704"/>
        <item m="1" x="579"/>
        <item m="1" x="707"/>
        <item m="1" x="385"/>
        <item m="1" x="330"/>
        <item m="1" x="452"/>
        <item m="1" x="518"/>
        <item m="1" x="576"/>
        <item m="1" x="322"/>
        <item m="1" x="434"/>
        <item m="1" x="422"/>
        <item m="1" x="563"/>
        <item m="1" x="259"/>
        <item m="1" x="252"/>
        <item m="1" x="505"/>
        <item m="1" x="526"/>
        <item m="1" x="462"/>
        <item m="1" x="326"/>
        <item m="1" x="264"/>
        <item m="1" x="253"/>
        <item m="1" x="219"/>
        <item m="1" x="319"/>
        <item m="1" x="201"/>
        <item m="1" x="415"/>
        <item m="1" x="706"/>
        <item m="1" x="569"/>
        <item m="1" x="603"/>
        <item m="1" x="209"/>
        <item m="1" x="302"/>
        <item m="1" x="297"/>
        <item m="1" x="275"/>
        <item m="1" x="379"/>
        <item m="1" x="477"/>
        <item m="1" x="233"/>
        <item m="1" x="424"/>
        <item m="1" x="615"/>
        <item m="1" x="185"/>
        <item m="1" x="491"/>
        <item m="1" x="458"/>
        <item m="1" x="463"/>
        <item m="1" x="412"/>
        <item m="1" x="272"/>
        <item m="1" x="664"/>
        <item m="1" x="393"/>
        <item m="1" x="291"/>
        <item m="1" x="367"/>
        <item m="1" x="743"/>
        <item m="1" x="555"/>
        <item m="1" x="551"/>
        <item m="1" x="180"/>
        <item m="1" x="360"/>
        <item m="1" x="580"/>
        <item m="1" x="548"/>
        <item m="1" x="413"/>
        <item m="1" x="732"/>
        <item m="1" x="632"/>
        <item x="97"/>
        <item m="1" x="601"/>
        <item m="1" x="172"/>
        <item m="1" x="428"/>
        <item m="1" x="675"/>
        <item m="1" x="218"/>
        <item m="1" x="509"/>
        <item m="1" x="241"/>
        <item m="1" x="182"/>
        <item m="1" x="308"/>
        <item m="1" x="220"/>
        <item m="1" x="472"/>
        <item m="1" x="285"/>
        <item m="1" x="688"/>
        <item m="1" x="298"/>
        <item m="1" x="520"/>
        <item m="1" x="715"/>
        <item m="1" x="519"/>
        <item m="1" x="474"/>
        <item m="1" x="502"/>
        <item m="1" x="342"/>
        <item m="1" x="269"/>
        <item m="1" x="348"/>
        <item m="1" x="279"/>
        <item m="1" x="307"/>
        <item m="1" x="634"/>
        <item m="1" x="478"/>
        <item m="1" x="490"/>
        <item m="1" x="407"/>
        <item m="1" x="388"/>
        <item m="1" x="562"/>
        <item m="1" x="590"/>
        <item m="1" x="655"/>
        <item m="1" x="193"/>
        <item x="62"/>
        <item m="1" x="628"/>
        <item m="1" x="620"/>
        <item m="1" x="397"/>
        <item m="1" x="670"/>
        <item m="1" x="626"/>
        <item m="1" x="647"/>
        <item m="1" x="557"/>
        <item m="1" x="641"/>
        <item m="1" x="723"/>
        <item m="1" x="395"/>
        <item m="1" x="266"/>
        <item m="1" x="514"/>
        <item m="1" x="493"/>
        <item m="1" x="552"/>
        <item m="1" x="371"/>
        <item m="1" x="195"/>
        <item m="1" x="602"/>
        <item m="1" x="311"/>
        <item m="1" x="611"/>
        <item m="1" x="553"/>
        <item m="1" x="738"/>
        <item m="1" x="392"/>
        <item m="1" x="288"/>
        <item m="1" x="470"/>
        <item m="1" x="243"/>
        <item m="1" x="736"/>
        <item m="1" x="633"/>
        <item m="1" x="528"/>
        <item m="1" x="443"/>
        <item m="1" x="352"/>
        <item m="1" x="396"/>
        <item m="1" x="301"/>
        <item m="1" x="568"/>
        <item m="1" x="411"/>
        <item m="1" x="652"/>
        <item m="1" x="592"/>
        <item m="1" x="728"/>
        <item m="1" x="566"/>
        <item x="8"/>
        <item m="1" x="364"/>
        <item m="1" x="722"/>
        <item m="1" x="245"/>
        <item m="1" x="621"/>
        <item m="1" x="733"/>
        <item m="1" x="374"/>
        <item m="1" x="720"/>
        <item m="1" x="404"/>
        <item m="1" x="377"/>
        <item m="1" x="384"/>
        <item m="1" x="713"/>
        <item m="1" x="703"/>
        <item m="1" x="581"/>
        <item m="1" x="546"/>
        <item m="1" x="691"/>
        <item m="1" x="398"/>
        <item m="1" x="363"/>
        <item m="1" x="517"/>
        <item m="1" x="313"/>
        <item m="1" x="305"/>
        <item m="1" x="394"/>
        <item m="1" x="296"/>
        <item m="1" x="455"/>
        <item m="1" x="651"/>
        <item m="1" x="635"/>
        <item m="1" x="242"/>
        <item m="1" x="667"/>
        <item m="1" x="504"/>
        <item m="1" x="721"/>
        <item m="1" x="482"/>
        <item m="1" x="373"/>
        <item m="1" x="693"/>
        <item m="1" x="320"/>
        <item m="1" x="389"/>
        <item m="1" x="694"/>
        <item m="1" x="488"/>
        <item m="1" x="699"/>
        <item m="1" x="418"/>
        <item m="1" x="642"/>
        <item m="1" x="610"/>
        <item m="1" x="702"/>
        <item m="1" x="448"/>
        <item m="1" x="287"/>
        <item m="1" x="698"/>
        <item m="1" x="657"/>
        <item m="1" x="529"/>
        <item m="1" x="613"/>
        <item m="1" x="225"/>
        <item m="1" x="656"/>
        <item m="1" x="542"/>
        <item m="1" x="235"/>
        <item m="1" x="281"/>
        <item m="1" x="619"/>
        <item m="1" x="538"/>
        <item m="1" x="725"/>
        <item m="1" x="636"/>
        <item m="1" x="649"/>
        <item m="1" x="558"/>
        <item m="1" x="547"/>
        <item m="1" x="433"/>
        <item m="1" x="294"/>
        <item m="1" x="349"/>
        <item m="1" x="304"/>
        <item m="1" x="417"/>
        <item m="1" x="744"/>
        <item m="1" x="650"/>
        <item m="1" x="356"/>
        <item m="1" x="175"/>
        <item m="1" x="695"/>
        <item m="1" x="668"/>
        <item m="1" x="333"/>
        <item m="1" x="630"/>
        <item m="1" x="525"/>
        <item m="1" x="587"/>
        <item m="1" x="573"/>
        <item m="1" x="221"/>
        <item m="1" x="734"/>
        <item m="1" x="681"/>
        <item m="1" x="589"/>
        <item m="1" x="427"/>
        <item m="1" x="554"/>
        <item m="1" x="690"/>
        <item m="1" x="583"/>
        <item m="1" x="268"/>
        <item m="1" x="606"/>
        <item m="1" x="444"/>
        <item m="1" x="244"/>
        <item m="1" x="400"/>
        <item m="1" x="658"/>
        <item m="1" x="402"/>
        <item m="1" x="700"/>
        <item m="1" x="230"/>
        <item m="1" x="499"/>
        <item m="1" x="309"/>
        <item m="1" x="372"/>
        <item m="1" x="665"/>
        <item m="1" x="403"/>
        <item x="143"/>
        <item m="1" x="454"/>
        <item m="1" x="431"/>
        <item m="1" x="206"/>
        <item m="1" x="231"/>
        <item m="1" x="596"/>
        <item m="1" x="376"/>
        <item m="1" x="254"/>
        <item m="1" x="506"/>
        <item m="1" x="532"/>
        <item m="1" x="350"/>
        <item m="1" x="421"/>
        <item m="1" x="549"/>
        <item m="1" x="591"/>
        <item m="1" x="292"/>
        <item m="1" x="680"/>
        <item m="1" x="343"/>
        <item m="1" x="306"/>
        <item m="1" x="584"/>
        <item m="1" x="280"/>
        <item m="1" x="263"/>
        <item m="1" x="501"/>
        <item m="1" x="370"/>
        <item m="1" x="273"/>
        <item m="1" x="483"/>
        <item m="1" x="409"/>
        <item m="1" x="624"/>
        <item m="1" x="435"/>
        <item m="1" x="513"/>
        <item m="1" x="324"/>
        <item m="1" x="629"/>
        <item m="1" x="315"/>
        <item m="1" x="202"/>
        <item m="1" x="223"/>
        <item m="1" x="637"/>
        <item m="1" x="598"/>
        <item m="1" x="511"/>
        <item m="1" x="510"/>
        <item m="1" x="344"/>
        <item m="1" x="679"/>
        <item m="1" x="716"/>
        <item m="1" x="341"/>
        <item m="1" x="545"/>
        <item m="1" x="329"/>
        <item m="1" x="340"/>
        <item m="1" x="588"/>
        <item m="1" x="726"/>
        <item m="1" x="170"/>
        <item m="1" x="473"/>
        <item m="1" x="258"/>
        <item m="1" x="267"/>
        <item m="1" x="375"/>
        <item m="1" x="339"/>
        <item m="1" x="460"/>
        <item m="1" x="609"/>
        <item m="1" x="481"/>
        <item m="1" x="197"/>
        <item m="1" x="362"/>
        <item m="1" x="446"/>
        <item m="1" x="612"/>
        <item m="1" x="441"/>
        <item m="1" x="284"/>
        <item m="1" x="217"/>
        <item m="1" x="354"/>
        <item m="1" x="696"/>
        <item m="1" x="646"/>
        <item m="1" x="574"/>
        <item m="1" x="173"/>
        <item m="1" x="575"/>
        <item m="1" x="216"/>
        <item m="1" x="401"/>
        <item m="1" x="429"/>
        <item m="1" x="487"/>
        <item m="1" x="449"/>
        <item m="1" x="457"/>
        <item m="1" x="191"/>
        <item m="1" x="556"/>
        <item m="1" x="399"/>
        <item m="1" x="358"/>
        <item x="108"/>
        <item m="1" x="660"/>
        <item m="1" x="708"/>
        <item m="1" x="705"/>
        <item m="1" x="265"/>
        <item m="1" x="622"/>
        <item m="1" x="570"/>
        <item m="1" x="560"/>
        <item m="1" x="465"/>
        <item m="1" x="212"/>
        <item m="1" x="262"/>
        <item m="1" x="533"/>
        <item m="1" x="731"/>
        <item m="1" x="317"/>
        <item m="1" x="709"/>
        <item m="1" x="572"/>
        <item m="1" x="177"/>
        <item m="1" x="673"/>
        <item m="1" x="299"/>
        <item m="1" x="286"/>
        <item m="1" x="492"/>
        <item m="1" x="617"/>
        <item m="1" x="567"/>
        <item m="1" x="661"/>
        <item m="1" x="659"/>
        <item m="1" x="337"/>
        <item m="1" x="442"/>
        <item m="1" x="261"/>
        <item m="1" x="608"/>
        <item m="1" x="597"/>
        <item m="1" x="318"/>
        <item m="1" x="210"/>
        <item m="1" x="355"/>
        <item m="1" x="295"/>
        <item m="1" x="678"/>
        <item m="1" x="662"/>
        <item m="1" x="351"/>
        <item m="1" x="208"/>
        <item m="1" x="737"/>
        <item m="1" x="425"/>
        <item m="1" x="205"/>
        <item m="1" x="729"/>
        <item m="1" x="336"/>
        <item x="96"/>
        <item m="1" x="719"/>
        <item m="1" x="171"/>
        <item m="1" x="381"/>
        <item x="33"/>
        <item m="1" x="211"/>
        <item m="1" x="536"/>
        <item m="1" x="689"/>
        <item m="1" x="541"/>
        <item m="1" x="674"/>
        <item m="1" x="430"/>
        <item m="1" x="521"/>
        <item m="1" x="169"/>
        <item m="1" x="408"/>
        <item m="1" x="246"/>
        <item m="1" x="214"/>
        <item m="1" x="577"/>
        <item m="1" x="277"/>
        <item m="1" x="274"/>
        <item m="1" x="438"/>
        <item m="1" x="631"/>
        <item m="1" x="539"/>
        <item m="1" x="595"/>
        <item m="1" x="522"/>
        <item m="1" x="236"/>
        <item m="1" x="357"/>
        <item m="1" x="165"/>
        <item m="1" x="654"/>
        <item m="1" x="260"/>
        <item m="1" x="686"/>
        <item m="1" x="237"/>
        <item m="1" x="323"/>
        <item m="1" x="303"/>
        <item m="1" x="293"/>
        <item m="1" x="486"/>
        <item m="1" x="420"/>
        <item m="1" x="387"/>
        <item m="1" x="503"/>
        <item m="1" x="467"/>
        <item m="1" x="386"/>
        <item m="1" x="338"/>
        <item m="1" x="255"/>
        <item m="1" x="353"/>
        <item m="1" x="203"/>
        <item m="1" x="198"/>
        <item m="1" x="495"/>
        <item m="1" x="436"/>
        <item m="1" x="515"/>
        <item m="1" x="644"/>
        <item m="1" x="701"/>
        <item m="1" x="368"/>
        <item m="1" x="327"/>
        <item m="1" x="600"/>
        <item m="1" x="537"/>
        <item m="1" x="247"/>
        <item m="1" x="382"/>
        <item m="1" x="365"/>
        <item m="1" x="276"/>
        <item m="1" x="179"/>
        <item m="1" x="194"/>
        <item m="1" x="229"/>
        <item m="1" x="423"/>
        <item m="1" x="282"/>
        <item m="1" x="312"/>
        <item x="0"/>
        <item x="1"/>
        <item x="2"/>
        <item x="3"/>
        <item x="4"/>
        <item x="5"/>
        <item x="6"/>
        <item x="7"/>
        <item x="9"/>
        <item x="10"/>
        <item x="11"/>
        <item x="12"/>
        <item x="13"/>
        <item x="14"/>
        <item x="15"/>
        <item x="16"/>
        <item x="17"/>
        <item x="18"/>
        <item x="19"/>
        <item x="20"/>
        <item x="21"/>
        <item x="22"/>
        <item x="23"/>
        <item x="24"/>
        <item x="25"/>
        <item x="26"/>
        <item x="27"/>
        <item x="28"/>
        <item x="29"/>
        <item x="30"/>
        <item x="31"/>
        <item x="32"/>
        <item x="34"/>
        <item x="35"/>
        <item x="36"/>
        <item x="37"/>
        <item x="38"/>
        <item x="39"/>
        <item x="40"/>
        <item x="41"/>
        <item x="42"/>
        <item x="43"/>
        <item x="44"/>
        <item x="45"/>
        <item x="46"/>
        <item x="47"/>
        <item x="48"/>
        <item x="49"/>
        <item x="50"/>
        <item x="51"/>
        <item x="52"/>
        <item x="53"/>
        <item x="54"/>
        <item x="55"/>
        <item x="56"/>
        <item x="57"/>
        <item x="58"/>
        <item x="59"/>
        <item x="60"/>
        <item x="61"/>
        <item x="63"/>
        <item x="64"/>
        <item x="65"/>
        <item x="66"/>
        <item x="67"/>
        <item x="68"/>
        <item x="69"/>
        <item x="70"/>
        <item x="71"/>
        <item x="72"/>
        <item x="73"/>
        <item x="74"/>
        <item x="75"/>
        <item x="76"/>
        <item x="77"/>
        <item x="78"/>
        <item x="79"/>
        <item x="80"/>
        <item x="81"/>
        <item x="89"/>
        <item x="91"/>
        <item x="92"/>
        <item x="93"/>
        <item x="94"/>
        <item x="95"/>
        <item x="98"/>
        <item x="99"/>
        <item x="100"/>
        <item x="101"/>
        <item x="102"/>
        <item x="103"/>
        <item x="104"/>
        <item x="105"/>
        <item x="106"/>
        <item x="107"/>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4"/>
        <item x="145"/>
        <item x="146"/>
        <item x="147"/>
        <item x="148"/>
        <item x="149"/>
        <item x="150"/>
        <item x="151"/>
        <item x="152"/>
        <item x="153"/>
        <item x="154"/>
        <item x="155"/>
        <item x="156"/>
        <item m="1" x="714"/>
        <item m="1" x="740"/>
        <item m="1" x="234"/>
        <item m="1" x="496"/>
        <item m="1" x="332"/>
        <item m="1" x="289"/>
        <item m="1" x="677"/>
        <item m="1" x="516"/>
        <item m="1" x="625"/>
        <item m="1" x="334"/>
        <item m="1" x="190"/>
        <item m="1" x="419"/>
        <item m="1" x="523"/>
        <item m="1" x="685"/>
        <item m="1" x="741"/>
        <item m="1" x="184"/>
        <item m="1" x="718"/>
        <item m="1" x="290"/>
        <item m="1" x="325"/>
        <item m="1" x="466"/>
        <item m="1" x="710"/>
        <item m="1" x="222"/>
        <item m="1" x="586"/>
        <item m="1" x="682"/>
        <item m="1" x="593"/>
        <item m="1" x="683"/>
        <item m="1" x="390"/>
        <item m="1" x="316"/>
        <item m="1" x="168"/>
        <item m="1" x="300"/>
        <item m="1" x="648"/>
        <item m="1" x="426"/>
        <item m="1" x="489"/>
        <item m="1" x="464"/>
        <item m="1" x="500"/>
        <item m="1" x="440"/>
        <item m="1" x="607"/>
        <item m="1" x="692"/>
        <item m="1" x="335"/>
        <item m="1" x="599"/>
        <item m="1" x="187"/>
        <item m="1" x="712"/>
        <item m="1" x="616"/>
        <item m="1" x="369"/>
        <item m="1" x="226"/>
        <item m="1" x="605"/>
        <item m="1" x="614"/>
        <item m="1" x="550"/>
        <item m="1" x="192"/>
        <item m="1" x="666"/>
        <item m="1" x="432"/>
        <item m="1" x="527"/>
        <item m="1" x="697"/>
        <item m="1" x="391"/>
        <item m="1" x="186"/>
        <item m="1" x="571"/>
        <item m="1" x="414"/>
        <item m="1" x="196"/>
        <item m="1" x="207"/>
        <item m="1" x="676"/>
        <item m="1" x="366"/>
        <item m="1" x="183"/>
        <item m="1" x="447"/>
        <item m="1" x="456"/>
        <item m="1" x="531"/>
        <item m="1" x="653"/>
        <item m="1" x="270"/>
        <item m="1" x="530"/>
        <item m="1" x="451"/>
        <item m="1" x="561"/>
        <item m="1" x="717"/>
        <item m="1" x="359"/>
        <item m="1" x="380"/>
        <item m="1" x="250"/>
        <item m="1" x="475"/>
        <item m="1" x="345"/>
        <item m="1" x="174"/>
        <item m="1" x="238"/>
        <item m="1" x="578"/>
        <item m="1" x="524"/>
        <item m="1" x="739"/>
        <item m="1" x="378"/>
        <item m="1" x="687"/>
        <item m="1" x="228"/>
        <item m="1" x="406"/>
        <item m="1" x="331"/>
        <item m="1" x="469"/>
        <item m="1" x="232"/>
        <item m="1" x="540"/>
        <item m="1" x="166"/>
        <item m="1" x="479"/>
        <item m="1" x="742"/>
        <item m="1" x="727"/>
        <item m="1" x="188"/>
        <item m="1" x="256"/>
        <item m="1" x="724"/>
        <item m="1" x="439"/>
        <item m="1" x="383"/>
        <item m="1" x="559"/>
        <item m="1" x="215"/>
        <item m="1" x="645"/>
        <item m="1" x="321"/>
        <item m="1" x="361"/>
        <item m="1" x="240"/>
        <item m="1" x="684"/>
        <item m="1" x="582"/>
        <item m="1" x="494"/>
        <item m="1" x="416"/>
        <item m="1" x="437"/>
        <item m="1" x="640"/>
        <item m="1" x="534"/>
        <item m="1" x="181"/>
        <item m="1" x="543"/>
        <item m="1" x="257"/>
        <item m="1" x="730"/>
        <item m="1" x="507"/>
        <item m="1" x="314"/>
        <item m="1" x="461"/>
        <item m="1" x="251"/>
        <item m="1" x="405"/>
        <item m="1" x="480"/>
        <item m="1" x="497"/>
        <item m="1" x="564"/>
        <item m="1" x="468"/>
        <item m="1" x="271"/>
        <item m="1" x="328"/>
        <item m="1" x="623"/>
        <item m="1" x="283"/>
        <item m="1" x="672"/>
        <item m="1" x="200"/>
        <item m="1" x="594"/>
        <item m="1" x="450"/>
        <item m="1" x="508"/>
        <item m="1" x="213"/>
        <item m="1" x="565"/>
        <item m="1" x="249"/>
        <item m="1" x="189"/>
        <item x="82"/>
        <item x="83"/>
        <item x="84"/>
        <item x="85"/>
        <item x="86"/>
        <item x="87"/>
        <item x="157"/>
        <item x="158"/>
        <item x="159"/>
        <item x="160"/>
        <item x="161"/>
        <item x="162"/>
        <item x="163"/>
        <item m="1" x="585"/>
        <item m="1" x="643"/>
        <item m="1" x="347"/>
        <item m="1" x="669"/>
        <item m="1" x="498"/>
        <item m="1" x="239"/>
        <item m="1" x="346"/>
        <item x="88"/>
        <item t="default"/>
      </items>
      <autoSortScope>
        <pivotArea dataOnly="0" outline="0" fieldPosition="0">
          <references count="1">
            <reference field="4294967294" count="1" selected="0">
              <x v="0"/>
            </reference>
          </references>
        </pivotArea>
      </autoSortScope>
    </pivotField>
  </pivotFields>
  <rowFields count="1">
    <field x="0"/>
  </rowFields>
  <rowItems count="165">
    <i>
      <x v="518"/>
    </i>
    <i>
      <x v="519"/>
    </i>
    <i>
      <x v="522"/>
    </i>
    <i>
      <x v="523"/>
    </i>
    <i>
      <x v="259"/>
    </i>
    <i>
      <x v="524"/>
    </i>
    <i>
      <x v="531"/>
    </i>
    <i>
      <x v="736"/>
    </i>
    <i>
      <x v="532"/>
    </i>
    <i>
      <x v="449"/>
    </i>
    <i>
      <x v="533"/>
    </i>
    <i>
      <x v="452"/>
    </i>
    <i>
      <x v="534"/>
    </i>
    <i>
      <x v="457"/>
    </i>
    <i>
      <x v="537"/>
    </i>
    <i>
      <x v="459"/>
    </i>
    <i>
      <x v="538"/>
    </i>
    <i>
      <x v="463"/>
    </i>
    <i>
      <x v="539"/>
    </i>
    <i>
      <x v="466"/>
    </i>
    <i>
      <x v="540"/>
    </i>
    <i>
      <x v="468"/>
    </i>
    <i>
      <x v="541"/>
    </i>
    <i>
      <x v="470"/>
    </i>
    <i>
      <x v="542"/>
    </i>
    <i>
      <x v="472"/>
    </i>
    <i>
      <x v="543"/>
    </i>
    <i>
      <x v="475"/>
    </i>
    <i>
      <x v="544"/>
    </i>
    <i>
      <x v="477"/>
    </i>
    <i>
      <x v="545"/>
    </i>
    <i>
      <x v="480"/>
    </i>
    <i>
      <x v="546"/>
    </i>
    <i>
      <x v="482"/>
    </i>
    <i>
      <x v="547"/>
    </i>
    <i>
      <x v="484"/>
    </i>
    <i>
      <x v="548"/>
    </i>
    <i>
      <x v="486"/>
    </i>
    <i>
      <x v="549"/>
    </i>
    <i>
      <x v="489"/>
    </i>
    <i>
      <x v="550"/>
    </i>
    <i>
      <x v="491"/>
    </i>
    <i>
      <x v="551"/>
    </i>
    <i>
      <x v="494"/>
    </i>
    <i>
      <x v="553"/>
    </i>
    <i>
      <x v="496"/>
    </i>
    <i>
      <x v="554"/>
    </i>
    <i>
      <x v="501"/>
    </i>
    <i>
      <x v="555"/>
    </i>
    <i>
      <x v="510"/>
    </i>
    <i>
      <x v="556"/>
    </i>
    <i>
      <x v="512"/>
    </i>
    <i>
      <x v="557"/>
    </i>
    <i>
      <x v="515"/>
    </i>
    <i>
      <x v="558"/>
    </i>
    <i>
      <x v="122"/>
    </i>
    <i>
      <x v="559"/>
    </i>
    <i>
      <x v="521"/>
    </i>
    <i>
      <x v="560"/>
    </i>
    <i>
      <x v="525"/>
    </i>
    <i>
      <x v="561"/>
    </i>
    <i>
      <x v="528"/>
    </i>
    <i>
      <x v="563"/>
    </i>
    <i>
      <x v="530"/>
    </i>
    <i>
      <x v="564"/>
    </i>
    <i>
      <x v="451"/>
    </i>
    <i>
      <x v="567"/>
    </i>
    <i>
      <x v="458"/>
    </i>
    <i>
      <x v="568"/>
    </i>
    <i>
      <x v="465"/>
    </i>
    <i>
      <x v="570"/>
    </i>
    <i>
      <x v="469"/>
    </i>
    <i>
      <x v="571"/>
    </i>
    <i>
      <x v="474"/>
    </i>
    <i>
      <x v="572"/>
    </i>
    <i>
      <x v="478"/>
    </i>
    <i>
      <x v="574"/>
    </i>
    <i>
      <x v="483"/>
    </i>
    <i>
      <x v="575"/>
    </i>
    <i>
      <x v="487"/>
    </i>
    <i>
      <x v="577"/>
    </i>
    <i>
      <x v="493"/>
    </i>
    <i>
      <x v="579"/>
    </i>
    <i>
      <x v="500"/>
    </i>
    <i>
      <x v="580"/>
    </i>
    <i>
      <x v="511"/>
    </i>
    <i>
      <x v="581"/>
    </i>
    <i>
      <x v="517"/>
    </i>
    <i>
      <x v="582"/>
    </i>
    <i>
      <x v="385"/>
    </i>
    <i>
      <x v="583"/>
    </i>
    <i>
      <x v="529"/>
    </i>
    <i>
      <x v="584"/>
    </i>
    <i>
      <x v="456"/>
    </i>
    <i>
      <x v="585"/>
    </i>
    <i>
      <x v="467"/>
    </i>
    <i>
      <x v="586"/>
    </i>
    <i>
      <x v="476"/>
    </i>
    <i>
      <x v="724"/>
    </i>
    <i>
      <x v="485"/>
    </i>
    <i>
      <x v="725"/>
    </i>
    <i>
      <x v="495"/>
    </i>
    <i>
      <x v="726"/>
    </i>
    <i>
      <x v="514"/>
    </i>
    <i>
      <x v="727"/>
    </i>
    <i>
      <x v="526"/>
    </i>
    <i>
      <x v="728"/>
    </i>
    <i>
      <x v="460"/>
    </i>
    <i>
      <x v="729"/>
    </i>
    <i>
      <x v="481"/>
    </i>
    <i>
      <x v="730"/>
    </i>
    <i>
      <x v="509"/>
    </i>
    <i>
      <x v="731"/>
    </i>
    <i>
      <x v="446"/>
    </i>
    <i>
      <x v="732"/>
    </i>
    <i>
      <x v="490"/>
    </i>
    <i>
      <x v="733"/>
    </i>
    <i>
      <x v="471"/>
    </i>
    <i>
      <x v="734"/>
    </i>
    <i>
      <x v="520"/>
    </i>
    <i>
      <x v="735"/>
    </i>
    <i>
      <x v="381"/>
    </i>
    <i>
      <x v="536"/>
    </i>
    <i>
      <x v="464"/>
    </i>
    <i>
      <x v="506"/>
    </i>
    <i>
      <x v="507"/>
    </i>
    <i>
      <x v="516"/>
    </i>
    <i>
      <x v="462"/>
    </i>
    <i>
      <x v="498"/>
    </i>
    <i>
      <x v="488"/>
    </i>
    <i>
      <x v="3"/>
    </i>
    <i>
      <x v="578"/>
    </i>
    <i>
      <x v="565"/>
    </i>
    <i>
      <x v="744"/>
    </i>
    <i>
      <x v="473"/>
    </i>
    <i>
      <x v="447"/>
    </i>
    <i>
      <x v="448"/>
    </i>
    <i>
      <x v="497"/>
    </i>
    <i>
      <x v="566"/>
    </i>
    <i>
      <x v="576"/>
    </i>
    <i>
      <x v="535"/>
    </i>
    <i>
      <x v="513"/>
    </i>
    <i>
      <x v="505"/>
    </i>
    <i>
      <x v="492"/>
    </i>
    <i>
      <x v="499"/>
    </i>
    <i>
      <x v="338"/>
    </i>
    <i>
      <x v="562"/>
    </i>
    <i>
      <x v="502"/>
    </i>
    <i>
      <x v="88"/>
    </i>
    <i>
      <x v="569"/>
    </i>
    <i>
      <x v="504"/>
    </i>
    <i>
      <x v="527"/>
    </i>
    <i>
      <x v="573"/>
    </i>
    <i>
      <x v="450"/>
    </i>
    <i>
      <x v="503"/>
    </i>
    <i>
      <x v="552"/>
    </i>
    <i>
      <x v="479"/>
    </i>
    <i>
      <x v="453"/>
    </i>
    <i>
      <x v="508"/>
    </i>
    <i>
      <x v="461"/>
    </i>
    <i>
      <x v="455"/>
    </i>
    <i>
      <x v="454"/>
    </i>
    <i>
      <x v="161"/>
    </i>
    <i>
      <x v="445"/>
    </i>
    <i t="grand">
      <x/>
    </i>
  </rowItems>
  <colItems count="1">
    <i/>
  </colItems>
  <dataFields count="1">
    <dataField name="Counts"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538858D-9E86-4262-BD4B-8713C8F08D5D}" name="SubSubjects" cacheId="9"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ubject Facets">
  <location ref="O4:P675" firstHeaderRow="1" firstDataRow="1" firstDataCol="1"/>
  <pivotFields count="1">
    <pivotField axis="axisRow" dataField="1" showAll="0" sortType="ascending">
      <items count="671">
        <item x="656"/>
        <item x="623"/>
        <item x="637"/>
        <item x="494"/>
        <item x="650"/>
        <item x="638"/>
        <item x="652"/>
        <item x="657"/>
        <item x="647"/>
        <item x="514"/>
        <item x="611"/>
        <item x="615"/>
        <item x="645"/>
        <item x="649"/>
        <item x="509"/>
        <item x="560"/>
        <item x="471"/>
        <item x="498"/>
        <item x="570"/>
        <item x="515"/>
        <item x="653"/>
        <item x="632"/>
        <item x="600"/>
        <item x="541"/>
        <item x="523"/>
        <item x="546"/>
        <item x="512"/>
        <item x="578"/>
        <item x="563"/>
        <item x="536"/>
        <item x="608"/>
        <item x="552"/>
        <item x="561"/>
        <item x="508"/>
        <item x="548"/>
        <item x="468"/>
        <item x="466"/>
        <item x="631"/>
        <item x="492"/>
        <item x="565"/>
        <item x="540"/>
        <item x="535"/>
        <item x="553"/>
        <item x="486"/>
        <item x="467"/>
        <item x="490"/>
        <item x="493"/>
        <item x="489"/>
        <item x="547"/>
        <item x="510"/>
        <item x="526"/>
        <item x="571"/>
        <item x="659"/>
        <item x="662"/>
        <item x="480"/>
        <item x="503"/>
        <item x="646"/>
        <item x="636"/>
        <item x="602"/>
        <item x="556"/>
        <item x="558"/>
        <item x="473"/>
        <item x="579"/>
        <item x="589"/>
        <item x="592"/>
        <item x="496"/>
        <item x="543"/>
        <item x="521"/>
        <item x="557"/>
        <item x="516"/>
        <item x="663"/>
        <item x="661"/>
        <item x="559"/>
        <item x="660"/>
        <item x="528"/>
        <item x="506"/>
        <item x="595"/>
        <item x="587"/>
        <item x="530"/>
        <item x="477"/>
        <item x="470"/>
        <item x="619"/>
        <item x="612"/>
        <item x="513"/>
        <item x="491"/>
        <item x="527"/>
        <item x="651"/>
        <item x="644"/>
        <item x="635"/>
        <item x="630"/>
        <item x="613"/>
        <item x="604"/>
        <item x="591"/>
        <item x="469"/>
        <item x="539"/>
        <item x="562"/>
        <item x="478"/>
        <item x="465"/>
        <item x="488"/>
        <item x="475"/>
        <item x="474"/>
        <item x="472"/>
        <item x="483"/>
        <item x="524"/>
        <item x="641"/>
        <item x="534"/>
        <item x="642"/>
        <item x="481"/>
        <item x="555"/>
        <item x="504"/>
        <item x="622"/>
        <item x="596"/>
        <item x="569"/>
        <item x="485"/>
        <item x="616"/>
        <item x="476"/>
        <item x="532"/>
        <item x="554"/>
        <item x="542"/>
        <item x="581"/>
        <item x="606"/>
        <item x="625"/>
        <item x="601"/>
        <item x="545"/>
        <item x="500"/>
        <item x="505"/>
        <item x="605"/>
        <item x="599"/>
        <item x="522"/>
        <item x="520"/>
        <item x="529"/>
        <item x="499"/>
        <item x="624"/>
        <item x="655"/>
        <item x="482"/>
        <item x="658"/>
        <item x="544"/>
        <item x="603"/>
        <item x="618"/>
        <item x="609"/>
        <item x="626"/>
        <item x="593"/>
        <item x="507"/>
        <item x="567"/>
        <item x="572"/>
        <item x="487"/>
        <item x="495"/>
        <item x="627"/>
        <item x="621"/>
        <item x="620"/>
        <item x="617"/>
        <item x="576"/>
        <item x="598"/>
        <item x="479"/>
        <item x="533"/>
        <item x="577"/>
        <item x="517"/>
        <item x="597"/>
        <item x="194"/>
        <item x="186"/>
        <item x="160"/>
        <item x="293"/>
        <item x="153"/>
        <item x="399"/>
        <item x="251"/>
        <item x="356"/>
        <item x="249"/>
        <item x="231"/>
        <item x="335"/>
        <item x="375"/>
        <item x="654"/>
        <item x="669"/>
        <item x="76"/>
        <item x="314"/>
        <item x="81"/>
        <item x="255"/>
        <item x="355"/>
        <item x="324"/>
        <item x="610"/>
        <item x="607"/>
        <item x="218"/>
        <item x="409"/>
        <item x="407"/>
        <item x="633"/>
        <item x="144"/>
        <item x="276"/>
        <item x="421"/>
        <item x="419"/>
        <item x="16"/>
        <item x="137"/>
        <item x="259"/>
        <item x="10"/>
        <item x="311"/>
        <item x="282"/>
        <item x="5"/>
        <item x="197"/>
        <item x="333"/>
        <item x="463"/>
        <item x="279"/>
        <item x="209"/>
        <item x="345"/>
        <item x="104"/>
        <item x="147"/>
        <item x="247"/>
        <item x="354"/>
        <item x="182"/>
        <item x="283"/>
        <item x="325"/>
        <item x="323"/>
        <item x="284"/>
        <item x="629"/>
        <item x="666"/>
        <item x="550"/>
        <item x="246"/>
        <item x="417"/>
        <item x="451"/>
        <item x="445"/>
        <item x="290"/>
        <item x="434"/>
        <item x="221"/>
        <item x="243"/>
        <item x="461"/>
        <item x="73"/>
        <item x="19"/>
        <item x="136"/>
        <item x="366"/>
        <item x="398"/>
        <item x="450"/>
        <item x="411"/>
        <item x="358"/>
        <item x="98"/>
        <item x="112"/>
        <item x="268"/>
        <item x="170"/>
        <item x="227"/>
        <item x="665"/>
        <item x="300"/>
        <item x="416"/>
        <item x="93"/>
        <item x="106"/>
        <item x="415"/>
        <item x="189"/>
        <item x="83"/>
        <item x="70"/>
        <item x="7"/>
        <item x="50"/>
        <item x="49"/>
        <item x="280"/>
        <item x="353"/>
        <item x="343"/>
        <item x="101"/>
        <item x="511"/>
        <item x="74"/>
        <item x="418"/>
        <item x="176"/>
        <item x="225"/>
        <item x="207"/>
        <item x="185"/>
        <item x="438"/>
        <item x="435"/>
        <item x="277"/>
        <item x="321"/>
        <item x="132"/>
        <item x="414"/>
        <item x="178"/>
        <item x="265"/>
        <item x="222"/>
        <item x="385"/>
        <item x="412"/>
        <item x="40"/>
        <item x="538"/>
        <item x="549"/>
        <item x="211"/>
        <item x="117"/>
        <item x="396"/>
        <item x="447"/>
        <item x="119"/>
        <item x="174"/>
        <item x="20"/>
        <item x="0"/>
        <item x="62"/>
        <item x="142"/>
        <item x="378"/>
        <item x="60"/>
        <item x="223"/>
        <item x="80"/>
        <item x="374"/>
        <item x="41"/>
        <item x="165"/>
        <item x="640"/>
        <item x="262"/>
        <item x="193"/>
        <item x="2"/>
        <item x="459"/>
        <item x="422"/>
        <item x="403"/>
        <item x="462"/>
        <item x="55"/>
        <item x="143"/>
        <item x="191"/>
        <item x="330"/>
        <item x="58"/>
        <item x="454"/>
        <item x="428"/>
        <item x="64"/>
        <item x="337"/>
        <item x="11"/>
        <item x="342"/>
        <item x="429"/>
        <item x="401"/>
        <item x="233"/>
        <item x="141"/>
        <item x="320"/>
        <item x="21"/>
        <item x="350"/>
        <item x="203"/>
        <item x="347"/>
        <item x="245"/>
        <item x="405"/>
        <item x="382"/>
        <item x="381"/>
        <item x="289"/>
        <item x="184"/>
        <item x="367"/>
        <item x="109"/>
        <item x="667"/>
        <item x="363"/>
        <item x="497"/>
        <item x="33"/>
        <item x="195"/>
        <item x="235"/>
        <item x="393"/>
        <item x="110"/>
        <item x="261"/>
        <item x="220"/>
        <item x="126"/>
        <item x="303"/>
        <item x="275"/>
        <item x="4"/>
        <item x="131"/>
        <item x="78"/>
        <item x="391"/>
        <item x="240"/>
        <item x="299"/>
        <item x="230"/>
        <item x="256"/>
        <item x="205"/>
        <item x="177"/>
        <item x="329"/>
        <item x="52"/>
        <item x="648"/>
        <item x="306"/>
        <item x="392"/>
        <item x="51"/>
        <item x="359"/>
        <item x="444"/>
        <item x="341"/>
        <item x="440"/>
        <item x="179"/>
        <item x="181"/>
        <item x="42"/>
        <item x="17"/>
        <item x="8"/>
        <item x="453"/>
        <item x="574"/>
        <item x="263"/>
        <item x="294"/>
        <item x="430"/>
        <item x="443"/>
        <item x="614"/>
        <item x="288"/>
        <item x="388"/>
        <item x="352"/>
        <item x="111"/>
        <item x="441"/>
        <item x="322"/>
        <item x="89"/>
        <item x="9"/>
        <item x="531"/>
        <item x="455"/>
        <item x="406"/>
        <item x="146"/>
        <item x="130"/>
        <item x="258"/>
        <item x="292"/>
        <item x="260"/>
        <item x="452"/>
        <item x="634"/>
        <item x="436"/>
        <item x="234"/>
        <item x="331"/>
        <item x="426"/>
        <item x="397"/>
        <item x="427"/>
        <item x="328"/>
        <item x="157"/>
        <item x="364"/>
        <item x="39"/>
        <item x="129"/>
        <item x="384"/>
        <item x="180"/>
        <item x="162"/>
        <item x="278"/>
        <item x="103"/>
        <item x="102"/>
        <item x="250"/>
        <item x="168"/>
        <item x="236"/>
        <item x="583"/>
        <item x="183"/>
        <item x="14"/>
        <item x="63"/>
        <item x="45"/>
        <item x="86"/>
        <item x="100"/>
        <item x="30"/>
        <item x="248"/>
        <item x="54"/>
        <item x="138"/>
        <item x="37"/>
        <item x="61"/>
        <item x="140"/>
        <item x="56"/>
        <item x="3"/>
        <item x="668"/>
        <item x="301"/>
        <item x="270"/>
        <item x="338"/>
        <item x="584"/>
        <item x="315"/>
        <item x="224"/>
        <item x="206"/>
        <item x="28"/>
        <item x="122"/>
        <item x="156"/>
        <item x="580"/>
        <item x="291"/>
        <item x="484"/>
        <item x="566"/>
        <item x="525"/>
        <item x="457"/>
        <item x="460"/>
        <item x="308"/>
        <item x="267"/>
        <item x="6"/>
        <item x="204"/>
        <item x="107"/>
        <item x="232"/>
        <item x="212"/>
        <item x="361"/>
        <item x="425"/>
        <item x="594"/>
        <item x="118"/>
        <item x="79"/>
        <item x="266"/>
        <item x="387"/>
        <item x="442"/>
        <item x="404"/>
        <item x="84"/>
        <item x="439"/>
        <item x="432"/>
        <item x="69"/>
        <item x="351"/>
        <item x="149"/>
        <item x="35"/>
        <item x="237"/>
        <item x="446"/>
        <item x="166"/>
        <item x="502"/>
        <item x="92"/>
        <item x="365"/>
        <item x="226"/>
        <item x="340"/>
        <item x="272"/>
        <item x="449"/>
        <item x="551"/>
        <item x="123"/>
        <item x="66"/>
        <item x="46"/>
        <item x="67"/>
        <item x="71"/>
        <item x="13"/>
        <item x="85"/>
        <item x="125"/>
        <item x="22"/>
        <item x="72"/>
        <item x="400"/>
        <item x="313"/>
        <item x="357"/>
        <item x="316"/>
        <item x="380"/>
        <item x="201"/>
        <item x="286"/>
        <item x="518"/>
        <item x="59"/>
        <item x="370"/>
        <item x="386"/>
        <item x="318"/>
        <item x="336"/>
        <item x="273"/>
        <item x="38"/>
        <item x="161"/>
        <item x="36"/>
        <item x="105"/>
        <item x="48"/>
        <item x="44"/>
        <item x="395"/>
        <item x="190"/>
        <item x="150"/>
        <item x="148"/>
        <item x="198"/>
        <item x="200"/>
        <item x="334"/>
        <item x="346"/>
        <item x="501"/>
        <item x="433"/>
        <item x="376"/>
        <item x="585"/>
        <item x="464"/>
        <item x="192"/>
        <item x="664"/>
        <item x="94"/>
        <item x="188"/>
        <item x="368"/>
        <item x="373"/>
        <item x="244"/>
        <item x="15"/>
        <item x="91"/>
        <item x="12"/>
        <item x="134"/>
        <item x="296"/>
        <item x="377"/>
        <item x="1"/>
        <item x="29"/>
        <item x="344"/>
        <item x="424"/>
        <item x="269"/>
        <item x="298"/>
        <item x="208"/>
        <item x="305"/>
        <item x="113"/>
        <item x="643"/>
        <item x="115"/>
        <item x="639"/>
        <item x="229"/>
        <item x="309"/>
        <item x="87"/>
        <item x="383"/>
        <item x="285"/>
        <item x="362"/>
        <item x="25"/>
        <item x="139"/>
        <item x="155"/>
        <item x="173"/>
        <item x="413"/>
        <item x="537"/>
        <item x="588"/>
        <item x="219"/>
        <item x="108"/>
        <item x="27"/>
        <item x="228"/>
        <item x="135"/>
        <item x="408"/>
        <item x="349"/>
        <item x="371"/>
        <item x="369"/>
        <item x="575"/>
        <item x="172"/>
        <item x="199"/>
        <item x="310"/>
        <item x="26"/>
        <item x="90"/>
        <item x="169"/>
        <item x="389"/>
        <item x="215"/>
        <item x="564"/>
        <item x="96"/>
        <item x="95"/>
        <item x="24"/>
        <item x="23"/>
        <item x="402"/>
        <item x="151"/>
        <item x="437"/>
        <item x="120"/>
        <item x="145"/>
        <item x="519"/>
        <item x="295"/>
        <item x="217"/>
        <item x="264"/>
        <item x="431"/>
        <item x="239"/>
        <item x="158"/>
        <item x="171"/>
        <item x="164"/>
        <item x="82"/>
        <item x="568"/>
        <item x="32"/>
        <item x="410"/>
        <item x="163"/>
        <item x="360"/>
        <item x="31"/>
        <item x="394"/>
        <item x="65"/>
        <item x="99"/>
        <item x="582"/>
        <item x="573"/>
        <item x="34"/>
        <item x="18"/>
        <item x="332"/>
        <item x="128"/>
        <item x="423"/>
        <item x="390"/>
        <item x="304"/>
        <item x="628"/>
        <item x="77"/>
        <item x="159"/>
        <item x="586"/>
        <item x="196"/>
        <item x="133"/>
        <item x="458"/>
        <item x="448"/>
        <item x="47"/>
        <item x="88"/>
        <item x="420"/>
        <item x="127"/>
        <item x="297"/>
        <item x="241"/>
        <item x="307"/>
        <item x="57"/>
        <item x="121"/>
        <item x="68"/>
        <item x="124"/>
        <item x="590"/>
        <item x="312"/>
        <item x="271"/>
        <item x="281"/>
        <item x="339"/>
        <item x="254"/>
        <item x="152"/>
        <item x="348"/>
        <item x="213"/>
        <item x="253"/>
        <item x="372"/>
        <item x="187"/>
        <item x="154"/>
        <item x="167"/>
        <item x="97"/>
        <item x="114"/>
        <item x="43"/>
        <item x="302"/>
        <item x="326"/>
        <item x="257"/>
        <item x="274"/>
        <item x="202"/>
        <item x="238"/>
        <item x="456"/>
        <item x="242"/>
        <item x="252"/>
        <item x="379"/>
        <item x="317"/>
        <item x="319"/>
        <item x="216"/>
        <item x="53"/>
        <item x="287"/>
        <item x="210"/>
        <item x="116"/>
        <item x="214"/>
        <item x="175"/>
        <item x="327"/>
        <item x="75"/>
        <item t="default"/>
      </items>
      <autoSortScope>
        <pivotArea dataOnly="0" outline="0" fieldPosition="0">
          <references count="1">
            <reference field="4294967294" count="1" selected="0">
              <x v="0"/>
            </reference>
          </references>
        </pivotArea>
      </autoSortScope>
    </pivotField>
  </pivotFields>
  <rowFields count="1">
    <field x="0"/>
  </rowFields>
  <rowItems count="671">
    <i>
      <x v="203"/>
    </i>
    <i>
      <x v="334"/>
    </i>
    <i>
      <x v="204"/>
    </i>
    <i>
      <x v="241"/>
    </i>
    <i>
      <x v="244"/>
    </i>
    <i>
      <x v="158"/>
    </i>
    <i>
      <x v="247"/>
    </i>
    <i>
      <x v="162"/>
    </i>
    <i>
      <x v="248"/>
    </i>
    <i>
      <x v="166"/>
    </i>
    <i>
      <x v="249"/>
    </i>
    <i>
      <x v="169"/>
    </i>
    <i>
      <x v="250"/>
    </i>
    <i>
      <x v="173"/>
    </i>
    <i>
      <x v="257"/>
    </i>
    <i>
      <x v="184"/>
    </i>
    <i>
      <x v="261"/>
    </i>
    <i>
      <x v="188"/>
    </i>
    <i>
      <x v="264"/>
    </i>
    <i>
      <x v="192"/>
    </i>
    <i>
      <x v="265"/>
    </i>
    <i>
      <x v="196"/>
    </i>
    <i>
      <x v="266"/>
    </i>
    <i>
      <x v="199"/>
    </i>
    <i>
      <x v="267"/>
    </i>
    <i>
      <x v="201"/>
    </i>
    <i>
      <x v="269"/>
    </i>
    <i>
      <x v="205"/>
    </i>
    <i>
      <x v="272"/>
    </i>
    <i>
      <x v="211"/>
    </i>
    <i>
      <x v="276"/>
    </i>
    <i>
      <x v="230"/>
    </i>
    <i>
      <x v="281"/>
    </i>
    <i>
      <x v="232"/>
    </i>
    <i>
      <x v="282"/>
    </i>
    <i>
      <x v="239"/>
    </i>
    <i>
      <x v="285"/>
    </i>
    <i>
      <x v="160"/>
    </i>
    <i>
      <x v="297"/>
    </i>
    <i>
      <x v="168"/>
    </i>
    <i>
      <x v="298"/>
    </i>
    <i>
      <x v="177"/>
    </i>
    <i>
      <x v="299"/>
    </i>
    <i>
      <x v="189"/>
    </i>
    <i>
      <x v="300"/>
    </i>
    <i>
      <x v="198"/>
    </i>
    <i>
      <x v="305"/>
    </i>
    <i>
      <x v="202"/>
    </i>
    <i>
      <x v="311"/>
    </i>
    <i>
      <x v="229"/>
    </i>
    <i>
      <x v="312"/>
    </i>
    <i>
      <x v="238"/>
    </i>
    <i>
      <x v="313"/>
    </i>
    <i>
      <x v="165"/>
    </i>
    <i>
      <x v="314"/>
    </i>
    <i>
      <x v="185"/>
    </i>
    <i>
      <x v="320"/>
    </i>
    <i>
      <x v="200"/>
    </i>
    <i>
      <x v="321"/>
    </i>
    <i>
      <x v="231"/>
    </i>
    <i>
      <x v="322"/>
    </i>
    <i>
      <x v="171"/>
    </i>
    <i>
      <x v="323"/>
    </i>
    <i>
      <x v="207"/>
    </i>
    <i>
      <x v="324"/>
    </i>
    <i>
      <x v="193"/>
    </i>
    <i>
      <x v="326"/>
    </i>
    <i>
      <x v="332"/>
    </i>
    <i>
      <x v="328"/>
    </i>
    <i>
      <x v="502"/>
    </i>
    <i>
      <x v="335"/>
    </i>
    <i>
      <x v="503"/>
    </i>
    <i>
      <x v="337"/>
    </i>
    <i>
      <x v="522"/>
    </i>
    <i>
      <x v="523"/>
    </i>
    <i>
      <x v="340"/>
    </i>
    <i>
      <x v="524"/>
    </i>
    <i>
      <x v="344"/>
    </i>
    <i>
      <x v="525"/>
    </i>
    <i>
      <x v="349"/>
    </i>
    <i>
      <x v="527"/>
    </i>
    <i>
      <x v="353"/>
    </i>
    <i>
      <x v="528"/>
    </i>
    <i>
      <x v="356"/>
    </i>
    <i>
      <x v="529"/>
    </i>
    <i>
      <x v="373"/>
    </i>
    <i>
      <x v="533"/>
    </i>
    <i>
      <x v="385"/>
    </i>
    <i>
      <x v="536"/>
    </i>
    <i>
      <x v="394"/>
    </i>
    <i>
      <x v="537"/>
    </i>
    <i>
      <x v="396"/>
    </i>
    <i>
      <x v="538"/>
    </i>
    <i>
      <x v="398"/>
    </i>
    <i>
      <x v="540"/>
    </i>
    <i>
      <x v="414"/>
    </i>
    <i>
      <x v="542"/>
    </i>
    <i>
      <x v="419"/>
    </i>
    <i>
      <x v="544"/>
    </i>
    <i>
      <x v="424"/>
    </i>
    <i>
      <x v="545"/>
    </i>
    <i>
      <x v="426"/>
    </i>
    <i>
      <x v="546"/>
    </i>
    <i>
      <x v="429"/>
    </i>
    <i>
      <x v="547"/>
    </i>
    <i>
      <x v="432"/>
    </i>
    <i>
      <x v="548"/>
    </i>
    <i>
      <x v="436"/>
    </i>
    <i>
      <x v="549"/>
    </i>
    <i>
      <x v="446"/>
    </i>
    <i>
      <x v="550"/>
    </i>
    <i>
      <x v="448"/>
    </i>
    <i>
      <x v="551"/>
    </i>
    <i>
      <x v="463"/>
    </i>
    <i>
      <x v="552"/>
    </i>
    <i>
      <x v="465"/>
    </i>
    <i>
      <x v="553"/>
    </i>
    <i>
      <x v="470"/>
    </i>
    <i>
      <x v="559"/>
    </i>
    <i>
      <x v="472"/>
    </i>
    <i>
      <x v="560"/>
    </i>
    <i>
      <x v="476"/>
    </i>
    <i>
      <x v="564"/>
    </i>
    <i>
      <x v="484"/>
    </i>
    <i>
      <x v="568"/>
    </i>
    <i>
      <x v="488"/>
    </i>
    <i>
      <x v="569"/>
    </i>
    <i>
      <x v="491"/>
    </i>
    <i>
      <x v="570"/>
    </i>
    <i>
      <x v="495"/>
    </i>
    <i>
      <x v="577"/>
    </i>
    <i>
      <x v="497"/>
    </i>
    <i>
      <x v="579"/>
    </i>
    <i>
      <x v="501"/>
    </i>
    <i>
      <x v="581"/>
    </i>
    <i>
      <x v="338"/>
    </i>
    <i>
      <x v="584"/>
    </i>
    <i>
      <x v="507"/>
    </i>
    <i>
      <x v="590"/>
    </i>
    <i>
      <x v="510"/>
    </i>
    <i>
      <x v="591"/>
    </i>
    <i>
      <x v="520"/>
    </i>
    <i>
      <x v="593"/>
    </i>
    <i>
      <x v="342"/>
    </i>
    <i>
      <x v="596"/>
    </i>
    <i>
      <x v="351"/>
    </i>
    <i>
      <x v="598"/>
    </i>
    <i>
      <x v="366"/>
    </i>
    <i>
      <x v="599"/>
    </i>
    <i>
      <x v="390"/>
    </i>
    <i>
      <x v="600"/>
    </i>
    <i>
      <x v="397"/>
    </i>
    <i>
      <x v="609"/>
    </i>
    <i>
      <x v="418"/>
    </i>
    <i>
      <x v="612"/>
    </i>
    <i>
      <x v="425"/>
    </i>
    <i>
      <x v="621"/>
    </i>
    <i>
      <x v="431"/>
    </i>
    <i>
      <x v="622"/>
    </i>
    <i>
      <x v="444"/>
    </i>
    <i>
      <x v="625"/>
    </i>
    <i>
      <x v="449"/>
    </i>
    <i>
      <x v="626"/>
    </i>
    <i>
      <x v="469"/>
    </i>
    <i>
      <x v="627"/>
    </i>
    <i>
      <x v="473"/>
    </i>
    <i>
      <x v="630"/>
    </i>
    <i>
      <x v="487"/>
    </i>
    <i>
      <x v="635"/>
    </i>
    <i>
      <x v="492"/>
    </i>
    <i>
      <x v="636"/>
    </i>
    <i>
      <x v="499"/>
    </i>
    <i>
      <x v="637"/>
    </i>
    <i>
      <x v="339"/>
    </i>
    <i>
      <x v="638"/>
    </i>
    <i>
      <x v="512"/>
    </i>
    <i>
      <x v="639"/>
    </i>
    <i>
      <x v="348"/>
    </i>
    <i>
      <x v="642"/>
    </i>
    <i>
      <x v="375"/>
    </i>
    <i>
      <x v="646"/>
    </i>
    <i>
      <x v="409"/>
    </i>
    <i>
      <x v="649"/>
    </i>
    <i>
      <x v="427"/>
    </i>
    <i>
      <x v="650"/>
    </i>
    <i>
      <x v="447"/>
    </i>
    <i>
      <x v="651"/>
    </i>
    <i>
      <x v="471"/>
    </i>
    <i>
      <x v="653"/>
    </i>
    <i>
      <x v="490"/>
    </i>
    <i>
      <x v="654"/>
    </i>
    <i>
      <x v="336"/>
    </i>
    <i>
      <x v="656"/>
    </i>
    <i>
      <x v="668"/>
    </i>
    <i>
      <x v="657"/>
    </i>
    <i>
      <x v="395"/>
    </i>
    <i>
      <x v="658"/>
    </i>
    <i>
      <x v="433"/>
    </i>
    <i>
      <x v="659"/>
    </i>
    <i>
      <x v="478"/>
    </i>
    <i>
      <x v="660"/>
    </i>
    <i>
      <x v="509"/>
    </i>
    <i>
      <x v="661"/>
    </i>
    <i>
      <x v="421"/>
    </i>
    <i>
      <x v="663"/>
    </i>
    <i>
      <x v="496"/>
    </i>
    <i>
      <x v="665"/>
    </i>
    <i>
      <x v="464"/>
    </i>
    <i>
      <x v="666"/>
    </i>
    <i>
      <x v="354"/>
    </i>
    <i>
      <x v="667"/>
    </i>
    <i>
      <x v="6"/>
    </i>
    <i>
      <x v="277"/>
    </i>
    <i>
      <x v="219"/>
    </i>
    <i>
      <x v="278"/>
    </i>
    <i>
      <x v="224"/>
    </i>
    <i>
      <x v="178"/>
    </i>
    <i>
      <x v="116"/>
    </i>
    <i>
      <x v="183"/>
    </i>
    <i>
      <x v="126"/>
    </i>
    <i>
      <x v="81"/>
    </i>
    <i>
      <x v="235"/>
    </i>
    <i>
      <x v="287"/>
    </i>
    <i>
      <x v="141"/>
    </i>
    <i>
      <x v="288"/>
    </i>
    <i>
      <x v="243"/>
    </i>
    <i>
      <x v="292"/>
    </i>
    <i>
      <x v="152"/>
    </i>
    <i>
      <x v="85"/>
    </i>
    <i>
      <x v="8"/>
    </i>
    <i>
      <x v="87"/>
    </i>
    <i>
      <x v="251"/>
    </i>
    <i>
      <x v="91"/>
    </i>
    <i>
      <x v="26"/>
    </i>
    <i>
      <x v="190"/>
    </i>
    <i>
      <x v="51"/>
    </i>
    <i>
      <x v="304"/>
    </i>
    <i>
      <x v="53"/>
    </i>
    <i>
      <x v="92"/>
    </i>
    <i>
      <x v="63"/>
    </i>
    <i>
      <x v="307"/>
    </i>
    <i>
      <x v="64"/>
    </i>
    <i>
      <x v="94"/>
    </i>
    <i>
      <x v="222"/>
    </i>
    <i>
      <x v="102"/>
    </i>
    <i>
      <x v="120"/>
    </i>
    <i>
      <x v="103"/>
    </i>
    <i>
      <x v="135"/>
    </i>
    <i>
      <x v="104"/>
    </i>
    <i>
      <x v="148"/>
    </i>
    <i>
      <x v="315"/>
    </i>
    <i>
      <x v="23"/>
    </i>
    <i>
      <x v="317"/>
    </i>
    <i>
      <x v="27"/>
    </i>
    <i>
      <x v="319"/>
    </i>
    <i>
      <x v="60"/>
    </i>
    <i>
      <x v="106"/>
    </i>
    <i>
      <x v="69"/>
    </i>
    <i>
      <x v="108"/>
    </i>
    <i>
      <x v="133"/>
    </i>
    <i>
      <x v="109"/>
    </i>
    <i>
      <x v="153"/>
    </i>
    <i>
      <x v="4"/>
    </i>
    <i>
      <x/>
    </i>
    <i>
      <x v="7"/>
    </i>
    <i>
      <x v="225"/>
    </i>
    <i>
      <x v="325"/>
    </i>
    <i>
      <x v="252"/>
    </i>
    <i>
      <x v="112"/>
    </i>
    <i>
      <x v="146"/>
    </i>
    <i>
      <x v="113"/>
    </i>
    <i>
      <x v="271"/>
    </i>
    <i>
      <x v="115"/>
    </i>
    <i>
      <x v="504"/>
    </i>
    <i>
      <x v="669"/>
    </i>
    <i>
      <x v="477"/>
    </i>
    <i>
      <x v="370"/>
    </i>
    <i>
      <x v="558"/>
    </i>
    <i>
      <x v="369"/>
    </i>
    <i>
      <x v="482"/>
    </i>
    <i>
      <x v="561"/>
    </i>
    <i>
      <x v="489"/>
    </i>
    <i>
      <x v="479"/>
    </i>
    <i>
      <x v="347"/>
    </i>
    <i>
      <x v="481"/>
    </i>
    <i>
      <x v="500"/>
    </i>
    <i>
      <x v="475"/>
    </i>
    <i>
      <x v="402"/>
    </i>
    <i>
      <x v="566"/>
    </i>
    <i>
      <x v="511"/>
    </i>
    <i>
      <x v="435"/>
    </i>
    <i>
      <x v="514"/>
    </i>
    <i>
      <x v="571"/>
    </i>
    <i>
      <x v="410"/>
    </i>
    <i>
      <x v="576"/>
    </i>
    <i>
      <x v="532"/>
    </i>
    <i>
      <x v="372"/>
    </i>
    <i>
      <x v="541"/>
    </i>
    <i>
      <x v="578"/>
    </i>
    <i>
      <x v="420"/>
    </i>
    <i>
      <x v="437"/>
    </i>
    <i>
      <x v="365"/>
    </i>
    <i>
      <x v="438"/>
    </i>
    <i>
      <x v="556"/>
    </i>
    <i>
      <x v="439"/>
    </i>
    <i>
      <x v="384"/>
    </i>
    <i>
      <x v="586"/>
    </i>
    <i>
      <x v="494"/>
    </i>
    <i>
      <x v="588"/>
    </i>
    <i>
      <x v="505"/>
    </i>
    <i>
      <x v="592"/>
    </i>
    <i>
      <x v="513"/>
    </i>
    <i>
      <x v="350"/>
    </i>
    <i>
      <x v="413"/>
    </i>
    <i>
      <x v="345"/>
    </i>
    <i>
      <x v="543"/>
    </i>
    <i>
      <x v="624"/>
    </i>
    <i>
      <x v="428"/>
    </i>
    <i>
      <x v="631"/>
    </i>
    <i>
      <x v="483"/>
    </i>
    <i>
      <x v="632"/>
    </i>
    <i>
      <x v="508"/>
    </i>
    <i>
      <x v="633"/>
    </i>
    <i>
      <x v="539"/>
    </i>
    <i>
      <x v="634"/>
    </i>
    <i>
      <x v="557"/>
    </i>
    <i>
      <x v="458"/>
    </i>
    <i>
      <x v="516"/>
    </i>
    <i>
      <x v="643"/>
    </i>
    <i>
      <x v="343"/>
    </i>
    <i>
      <x v="462"/>
    </i>
    <i>
      <x v="364"/>
    </i>
    <i>
      <x v="468"/>
    </i>
    <i>
      <x v="167"/>
    </i>
    <i>
      <x v="195"/>
    </i>
    <i>
      <x v="206"/>
    </i>
    <i>
      <x v="161"/>
    </i>
    <i>
      <x v="223"/>
    </i>
    <i>
      <x v="310"/>
    </i>
    <i>
      <x v="255"/>
    </i>
    <i>
      <x v="175"/>
    </i>
    <i>
      <x v="286"/>
    </i>
    <i>
      <x v="565"/>
    </i>
    <i>
      <x v="629"/>
    </i>
    <i>
      <x v="664"/>
    </i>
    <i>
      <x v="498"/>
    </i>
    <i>
      <x v="662"/>
    </i>
    <i>
      <x v="567"/>
    </i>
    <i>
      <x v="401"/>
    </i>
    <i>
      <x v="434"/>
    </i>
    <i>
      <x v="608"/>
    </i>
    <i>
      <x v="485"/>
    </i>
    <i>
      <x v="452"/>
    </i>
    <i>
      <x v="644"/>
    </i>
    <i>
      <x v="399"/>
    </i>
    <i>
      <x v="461"/>
    </i>
    <i>
      <x v="615"/>
    </i>
    <i>
      <x v="652"/>
    </i>
    <i>
      <x v="534"/>
    </i>
    <i>
      <x v="574"/>
    </i>
    <i>
      <x v="526"/>
    </i>
    <i>
      <x v="519"/>
    </i>
    <i>
      <x v="132"/>
    </i>
    <i>
      <x v="86"/>
    </i>
    <i>
      <x v="138"/>
    </i>
    <i>
      <x v="246"/>
    </i>
    <i>
      <x v="15"/>
    </i>
    <i>
      <x v="147"/>
    </i>
    <i>
      <x v="260"/>
    </i>
    <i>
      <x v="156"/>
    </i>
    <i>
      <x v="17"/>
    </i>
    <i>
      <x v="42"/>
    </i>
    <i>
      <x v="176"/>
    </i>
    <i>
      <x v="18"/>
    </i>
    <i>
      <x v="180"/>
    </i>
    <i>
      <x v="93"/>
    </i>
    <i>
      <x v="9"/>
    </i>
    <i>
      <x v="19"/>
    </i>
    <i>
      <x v="56"/>
    </i>
    <i>
      <x v="270"/>
    </i>
    <i>
      <x v="12"/>
    </i>
    <i>
      <x v="280"/>
    </i>
    <i>
      <x v="13"/>
    </i>
    <i>
      <x v="20"/>
    </i>
    <i>
      <x v="77"/>
    </i>
    <i>
      <x v="21"/>
    </i>
    <i>
      <x v="30"/>
    </i>
    <i>
      <x v="283"/>
    </i>
    <i>
      <x v="157"/>
    </i>
    <i>
      <x v="284"/>
    </i>
    <i>
      <x v="316"/>
    </i>
    <i>
      <x v="22"/>
    </i>
    <i>
      <x v="55"/>
    </i>
    <i>
      <x v="5"/>
    </i>
    <i>
      <x v="210"/>
    </i>
    <i>
      <x v="289"/>
    </i>
    <i>
      <x v="34"/>
    </i>
    <i>
      <x v="291"/>
    </i>
    <i>
      <x v="170"/>
    </i>
    <i>
      <x v="25"/>
    </i>
    <i>
      <x v="57"/>
    </i>
    <i>
      <x v="111"/>
    </i>
    <i>
      <x v="155"/>
    </i>
    <i>
      <x v="2"/>
    </i>
    <i>
      <x v="212"/>
    </i>
    <i>
      <x v="140"/>
    </i>
    <i>
      <x v="52"/>
    </i>
    <i>
      <x v="119"/>
    </i>
    <i>
      <x v="454"/>
    </i>
    <i>
      <x v="602"/>
    </i>
    <i>
      <x v="613"/>
    </i>
    <i>
      <x v="572"/>
    </i>
    <i>
      <x v="416"/>
    </i>
    <i>
      <x v="408"/>
    </i>
    <i>
      <x v="641"/>
    </i>
    <i>
      <x v="467"/>
    </i>
    <i>
      <x v="451"/>
    </i>
    <i>
      <x v="585"/>
    </i>
    <i>
      <x v="640"/>
    </i>
    <i>
      <x v="383"/>
    </i>
    <i>
      <x v="530"/>
    </i>
    <i>
      <x v="411"/>
    </i>
    <i>
      <x v="517"/>
    </i>
    <i>
      <x v="415"/>
    </i>
    <i>
      <x v="262"/>
    </i>
    <i>
      <x v="333"/>
    </i>
    <i>
      <x v="194"/>
    </i>
    <i>
      <x v="453"/>
    </i>
    <i>
      <x v="583"/>
    </i>
    <i>
      <x v="417"/>
    </i>
    <i>
      <x v="430"/>
    </i>
    <i>
      <x v="358"/>
    </i>
    <i>
      <x v="144"/>
    </i>
    <i>
      <x v="145"/>
    </i>
    <i>
      <x v="329"/>
    </i>
    <i>
      <x v="14"/>
    </i>
    <i>
      <x v="90"/>
    </i>
    <i>
      <x v="28"/>
    </i>
    <i>
      <x v="105"/>
    </i>
    <i>
      <x v="29"/>
    </i>
    <i>
      <x v="71"/>
    </i>
    <i>
      <x v="118"/>
    </i>
    <i>
      <x v="62"/>
    </i>
    <i>
      <x v="58"/>
    </i>
    <i>
      <x v="256"/>
    </i>
    <i>
      <x v="1"/>
    </i>
    <i>
      <x v="70"/>
    </i>
    <i>
      <x v="330"/>
    </i>
    <i>
      <x v="110"/>
    </i>
    <i>
      <x v="123"/>
    </i>
    <i>
      <x v="73"/>
    </i>
    <i>
      <x v="124"/>
    </i>
    <i>
      <x v="139"/>
    </i>
    <i>
      <x v="127"/>
    </i>
    <i>
      <x v="480"/>
    </i>
    <i>
      <x v="531"/>
    </i>
    <i>
      <x v="628"/>
    </i>
    <i>
      <x v="423"/>
    </i>
    <i>
      <x v="346"/>
    </i>
    <i>
      <x v="164"/>
    </i>
    <i>
      <x v="179"/>
    </i>
    <i>
      <x v="563"/>
    </i>
    <i>
      <x v="603"/>
    </i>
    <i>
      <x v="422"/>
    </i>
    <i>
      <x v="78"/>
    </i>
    <i>
      <x v="99"/>
    </i>
    <i>
      <x v="275"/>
    </i>
    <i>
      <x v="331"/>
    </i>
    <i>
      <x v="137"/>
    </i>
    <i>
      <x v="31"/>
    </i>
    <i>
      <x v="117"/>
    </i>
    <i>
      <x v="59"/>
    </i>
    <i>
      <x v="228"/>
    </i>
    <i>
      <x v="197"/>
    </i>
    <i>
      <x v="38"/>
    </i>
    <i>
      <x v="10"/>
    </i>
    <i>
      <x v="154"/>
    </i>
    <i>
      <x v="107"/>
    </i>
    <i>
      <x v="143"/>
    </i>
    <i>
      <x v="293"/>
    </i>
    <i>
      <x v="226"/>
    </i>
    <i>
      <x v="294"/>
    </i>
    <i>
      <x v="253"/>
    </i>
    <i>
      <x v="295"/>
    </i>
    <i>
      <x v="186"/>
    </i>
    <i>
      <x v="303"/>
    </i>
    <i>
      <x v="258"/>
    </i>
    <i>
      <x v="3"/>
    </i>
    <i>
      <x v="240"/>
    </i>
    <i>
      <x v="43"/>
    </i>
    <i>
      <x v="573"/>
    </i>
    <i>
      <x v="623"/>
    </i>
    <i>
      <x v="610"/>
    </i>
    <i>
      <x v="474"/>
    </i>
    <i>
      <x v="535"/>
    </i>
    <i>
      <x v="367"/>
    </i>
    <i>
      <x v="357"/>
    </i>
    <i>
      <x v="359"/>
    </i>
    <i>
      <x v="456"/>
    </i>
    <i>
      <x v="601"/>
    </i>
    <i>
      <x v="459"/>
    </i>
    <i>
      <x v="605"/>
    </i>
    <i>
      <x v="515"/>
    </i>
    <i>
      <x v="441"/>
    </i>
    <i>
      <x v="393"/>
    </i>
    <i>
      <x v="374"/>
    </i>
    <i>
      <x v="387"/>
    </i>
    <i>
      <x v="607"/>
    </i>
    <i>
      <x v="648"/>
    </i>
    <i>
      <x v="604"/>
    </i>
    <i>
      <x v="466"/>
    </i>
    <i>
      <x v="595"/>
    </i>
    <i>
      <x v="655"/>
    </i>
    <i>
      <x v="412"/>
    </i>
    <i>
      <x v="159"/>
    </i>
    <i>
      <x v="131"/>
    </i>
    <i>
      <x v="125"/>
    </i>
    <i>
      <x v="54"/>
    </i>
    <i>
      <x v="114"/>
    </i>
    <i>
      <x v="442"/>
    </i>
    <i>
      <x v="587"/>
    </i>
    <i>
      <x v="377"/>
    </i>
    <i>
      <x v="618"/>
    </i>
    <i>
      <x v="443"/>
    </i>
    <i>
      <x v="174"/>
    </i>
    <i>
      <x v="376"/>
    </i>
    <i>
      <x v="68"/>
    </i>
    <i>
      <x v="61"/>
    </i>
    <i>
      <x v="16"/>
    </i>
    <i>
      <x v="36"/>
    </i>
    <i>
      <x v="217"/>
    </i>
    <i>
      <x v="400"/>
    </i>
    <i>
      <x v="575"/>
    </i>
    <i>
      <x v="647"/>
    </i>
    <i>
      <x v="361"/>
    </i>
    <i>
      <x v="620"/>
    </i>
    <i>
      <x v="389"/>
    </i>
    <i>
      <x v="378"/>
    </i>
    <i>
      <x v="220"/>
    </i>
    <i>
      <x v="405"/>
    </i>
    <i>
      <x v="236"/>
    </i>
    <i>
      <x v="72"/>
    </i>
    <i>
      <x v="47"/>
    </i>
    <i>
      <x v="150"/>
    </i>
    <i>
      <x v="89"/>
    </i>
    <i>
      <x v="234"/>
    </i>
    <i>
      <x v="82"/>
    </i>
    <i>
      <x v="32"/>
    </i>
    <i>
      <x v="11"/>
    </i>
    <i>
      <x v="50"/>
    </i>
    <i>
      <x v="84"/>
    </i>
    <i>
      <x v="493"/>
    </i>
    <i>
      <x v="616"/>
    </i>
    <i>
      <x v="360"/>
    </i>
    <i>
      <x v="445"/>
    </i>
    <i>
      <x v="407"/>
    </i>
    <i>
      <x v="306"/>
    </i>
    <i>
      <x v="151"/>
    </i>
    <i>
      <x v="237"/>
    </i>
    <i>
      <x v="227"/>
    </i>
    <i>
      <x v="296"/>
    </i>
    <i>
      <x v="187"/>
    </i>
    <i>
      <x v="172"/>
    </i>
    <i>
      <x v="309"/>
    </i>
    <i>
      <x v="66"/>
    </i>
    <i>
      <x v="37"/>
    </i>
    <i>
      <x v="214"/>
    </i>
    <i>
      <x v="76"/>
    </i>
    <i>
      <x v="455"/>
    </i>
    <i>
      <x v="506"/>
    </i>
    <i>
      <x v="460"/>
    </i>
    <i>
      <x v="450"/>
    </i>
    <i>
      <x v="341"/>
    </i>
    <i>
      <x v="371"/>
    </i>
    <i>
      <x v="380"/>
    </i>
    <i>
      <x v="368"/>
    </i>
    <i>
      <x v="440"/>
    </i>
    <i>
      <x v="582"/>
    </i>
    <i>
      <x v="208"/>
    </i>
    <i>
      <x v="382"/>
    </i>
    <i>
      <x v="45"/>
    </i>
    <i>
      <x v="213"/>
    </i>
    <i>
      <x v="191"/>
    </i>
    <i>
      <x v="209"/>
    </i>
    <i>
      <x v="80"/>
    </i>
    <i>
      <x v="129"/>
    </i>
    <i>
      <x v="48"/>
    </i>
    <i>
      <x v="617"/>
    </i>
    <i>
      <x v="555"/>
    </i>
    <i>
      <x v="245"/>
    </i>
    <i>
      <x v="606"/>
    </i>
    <i>
      <x v="645"/>
    </i>
    <i>
      <x v="44"/>
    </i>
    <i>
      <x v="33"/>
    </i>
    <i>
      <x v="301"/>
    </i>
    <i>
      <x v="273"/>
    </i>
    <i>
      <x v="221"/>
    </i>
    <i>
      <x v="95"/>
    </i>
    <i>
      <x v="98"/>
    </i>
    <i>
      <x v="128"/>
    </i>
    <i>
      <x v="121"/>
    </i>
    <i>
      <x v="216"/>
    </i>
    <i>
      <x v="136"/>
    </i>
    <i>
      <x v="518"/>
    </i>
    <i>
      <x v="619"/>
    </i>
    <i>
      <x v="611"/>
    </i>
    <i>
      <x v="355"/>
    </i>
    <i>
      <x v="388"/>
    </i>
    <i>
      <x v="97"/>
    </i>
    <i>
      <x v="182"/>
    </i>
    <i>
      <x v="614"/>
    </i>
    <i>
      <x v="40"/>
    </i>
    <i>
      <x v="101"/>
    </i>
    <i>
      <x v="35"/>
    </i>
    <i>
      <x v="263"/>
    </i>
    <i>
      <x v="290"/>
    </i>
    <i>
      <x v="39"/>
    </i>
    <i>
      <x v="302"/>
    </i>
    <i>
      <x v="215"/>
    </i>
    <i>
      <x v="457"/>
    </i>
    <i>
      <x v="379"/>
    </i>
    <i>
      <x v="580"/>
    </i>
    <i>
      <x v="46"/>
    </i>
    <i>
      <x v="134"/>
    </i>
    <i>
      <x v="41"/>
    </i>
    <i>
      <x v="122"/>
    </i>
    <i>
      <x v="88"/>
    </i>
    <i>
      <x v="96"/>
    </i>
    <i>
      <x v="149"/>
    </i>
    <i>
      <x v="486"/>
    </i>
    <i>
      <x v="83"/>
    </i>
    <i>
      <x v="352"/>
    </i>
    <i>
      <x v="79"/>
    </i>
    <i>
      <x v="391"/>
    </i>
    <i>
      <x v="589"/>
    </i>
    <i>
      <x v="521"/>
    </i>
    <i>
      <x v="24"/>
    </i>
    <i>
      <x v="74"/>
    </i>
    <i>
      <x v="268"/>
    </i>
    <i>
      <x v="259"/>
    </i>
    <i>
      <x v="308"/>
    </i>
    <i>
      <x v="279"/>
    </i>
    <i>
      <x v="363"/>
    </i>
    <i>
      <x v="242"/>
    </i>
    <i>
      <x v="49"/>
    </i>
    <i>
      <x v="562"/>
    </i>
    <i>
      <x v="163"/>
    </i>
    <i>
      <x v="67"/>
    </i>
    <i>
      <x v="597"/>
    </i>
    <i>
      <x v="254"/>
    </i>
    <i>
      <x v="75"/>
    </i>
    <i>
      <x v="100"/>
    </i>
    <i>
      <x v="130"/>
    </i>
    <i>
      <x v="327"/>
    </i>
    <i>
      <x v="404"/>
    </i>
    <i>
      <x v="554"/>
    </i>
    <i>
      <x v="233"/>
    </i>
    <i>
      <x v="181"/>
    </i>
    <i>
      <x v="142"/>
    </i>
    <i>
      <x v="406"/>
    </i>
    <i>
      <x v="392"/>
    </i>
    <i>
      <x v="65"/>
    </i>
    <i>
      <x v="594"/>
    </i>
    <i>
      <x v="403"/>
    </i>
    <i>
      <x v="218"/>
    </i>
    <i>
      <x v="318"/>
    </i>
    <i>
      <x v="386"/>
    </i>
    <i>
      <x v="274"/>
    </i>
    <i>
      <x v="362"/>
    </i>
    <i>
      <x v="381"/>
    </i>
    <i t="grand">
      <x/>
    </i>
  </rowItems>
  <colItems count="1">
    <i/>
  </colItems>
  <dataFields count="1">
    <dataField name="Counts"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6">
  <rv s="0">
    <v>en-US</v>
    <v>av554c</v>
    <v>268435456</v>
    <v>1</v>
    <v>Powered by Refinitiv</v>
    <v>0</v>
    <v>CNY/USD</v>
    <v>2</v>
    <v>3</v>
    <v>Finance</v>
    <v>4</v>
    <v>0.14940000000000001</v>
    <v>0.13639999999999999</v>
    <v>1.63E-4</v>
    <v>1.189E-3</v>
    <v>USD</v>
    <v>CNY</v>
    <v>0.1376</v>
    <v>Currency Pair</v>
    <v>45156.666006944448</v>
    <v>0.1371</v>
    <v>Chinese Renminbi/US Dollar FX Cross Rate</v>
    <v>0.1376</v>
    <v>0.1371</v>
    <v>0.13730000000000001</v>
    <v>CNYUSD</v>
    <v>CNY/USD</v>
  </rv>
  <rv s="1">
    <v>0</v>
  </rv>
  <rv s="0">
    <v>en-US</v>
    <v>ave8h7</v>
    <v>268435456</v>
    <v>1</v>
    <v>Powered by Refinitiv</v>
    <v>0</v>
    <v>JPY/USD</v>
    <v>2</v>
    <v>3</v>
    <v>Finance</v>
    <v>4</v>
    <v>7.8600000000000007E-3</v>
    <v>6.5799999999999999E-3</v>
    <v>2.4000000000000001E-5</v>
    <v>3.5010000000000002E-3</v>
    <v>USD</v>
    <v>JPY</v>
    <v>6.8989999999999998E-3</v>
    <v>Currency Pair</v>
    <v>45156.855567129627</v>
    <v>6.855E-3</v>
    <v>Japanese Yen/US Dollar FX Cross Rate</v>
    <v>6.855E-3</v>
    <v>6.8560000000000001E-3</v>
    <v>6.8799999999999998E-3</v>
    <v>JPYUSD</v>
    <v>JPY/USD</v>
  </rv>
  <rv s="1">
    <v>2</v>
  </rv>
  <rv s="0">
    <v>en-US</v>
    <v>avffww</v>
    <v>268435456</v>
    <v>1</v>
    <v>Powered by Refinitiv</v>
    <v>0</v>
    <v>KRW/USD</v>
    <v>2</v>
    <v>3</v>
    <v>Finance</v>
    <v>4</v>
    <v>8.2220000000000004E-4</v>
    <v>6.9090000000000004E-4</v>
    <v>-1.1200000000000001E-6</v>
    <v>-1.5010000000000002E-3</v>
    <v>USD</v>
    <v>KRW</v>
    <v>7.5040000000000003E-4</v>
    <v>Currency Pair</v>
    <v>45156.855393518519</v>
    <v>7.4390000000000003E-4</v>
    <v>Korean Won/US Dollar FX Cross Rate</v>
    <v>7.4620000000000003E-4</v>
    <v>7.4609999999999998E-4</v>
    <v>7.45E-4</v>
    <v>KRWUSD</v>
    <v>KRW/USD</v>
  </rv>
  <rv s="1">
    <v>4</v>
  </rv>
</rvData>
</file>

<file path=xl/richData/rdrichvaluestructure.xml><?xml version="1.0" encoding="utf-8"?>
<rvStructures xmlns="http://schemas.microsoft.com/office/spreadsheetml/2017/richdata" count="2">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From currency" t="s"/>
    <k n="High"/>
    <k n="Instrument type" t="s"/>
    <k n="Last trade time"/>
    <k n="Low"/>
    <k n="Name" t="s"/>
    <k n="Open"/>
    <k n="Previous close"/>
    <k n="Price"/>
    <k n="Ticker symbol" t="s"/>
    <k n="UniqueName" t="s"/>
  </s>
  <s t="_linkedentity">
    <k n="%cvi" t="r"/>
  </s>
</rvStructures>
</file>

<file path=xl/richData/rdsupportingpropertybag.xml><?xml version="1.0" encoding="utf-8"?>
<supportingPropertyBags xmlns="http://schemas.microsoft.com/office/spreadsheetml/2017/richdata2">
  <spbArrays count="1">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spbArrays>
  <spbData count="5">
    <spb s="0">
      <v>0</v>
      <v>Name</v>
    </spb>
    <spb s="1">
      <v>0</v>
      <v>0</v>
      <v>0</v>
    </spb>
    <spb s="2">
      <v>1</v>
      <v>1</v>
    </spb>
    <spb s="3">
      <v>1</v>
      <v>1</v>
      <v>2</v>
      <v>1</v>
      <v>1</v>
      <v>1</v>
      <v>3</v>
      <v>1</v>
      <v>1</v>
      <v>1</v>
      <v>4</v>
      <v>5</v>
    </spb>
    <spb s="4">
      <v>GMT</v>
    </spb>
  </spbData>
</supportingPropertyBags>
</file>

<file path=xl/richData/rdsupportingpropertybagstructure.xml><?xml version="1.0" encoding="utf-8"?>
<spbStructures xmlns="http://schemas.microsoft.com/office/spreadsheetml/2017/richdata2" count="5">
  <s>
    <k n="^Order" t="spba"/>
    <k n="TitleProperty" t="s"/>
  </s>
  <s>
    <k n="ShowInCardView" t="b"/>
    <k n="ShowInDotNotation" t="b"/>
    <k n="ShowInAutoComplete" t="b"/>
  </s>
  <s>
    <k n="UniqueName" t="spb"/>
    <k n="`%ProviderInfo" t="spb"/>
  </s>
  <s>
    <k n="Low" t="i"/>
    <k n="High" t="i"/>
    <k n="Name" t="i"/>
    <k n="Open" t="i"/>
    <k n="Price" t="i"/>
    <k n="Change" t="i"/>
    <k n="Change (%)" t="i"/>
    <k n="52 week low" t="i"/>
    <k n="52 week high" t="i"/>
    <k n="Previous close" t="i"/>
    <k n="Last trade time" t="i"/>
    <k n="`%EntityServiceId" t="i"/>
  </s>
  <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14" formatCode="0.00%"/>
    </x:dxf>
    <x:dxf>
      <x:numFmt numFmtId="27" formatCode="m/d/yyyy\ h:mm"/>
    </x:dxf>
    <x:dxf>
      <x:numFmt numFmtId="2" formatCode="0.00"/>
    </x:dxf>
    <x:dxf>
      <x:numFmt numFmtId="0" formatCode="General"/>
    </x:dxf>
  </dxfs>
  <richProperties>
    <rPr n="NumberFormat" t="s"/>
    <rPr n="IsTitleField" t="b"/>
  </richProperties>
  <richStyles>
    <rSty dxfid="3">
      <rpv i="0">_([$$-en-US]* #,##0.00_);_([$$-en-US]* (#,##0.00);_([$$-en-US]* "-"??_);_(@_)</rpv>
    </rSty>
    <rSty>
      <rpv i="1">1</rpv>
    </rSty>
    <rSty dxfid="0"/>
    <rSty dxfid="1"/>
    <rSty dxfid="2">
      <rpv i="0">0.00</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CBC0E3-DBE3-410C-AE35-D79B57EB35CC}" name="Donation" displayName="Donation" ref="A6:AI200" headerRowDxfId="76" dataDxfId="75" totalsRowDxfId="73" tableBorderDxfId="74">
  <autoFilter ref="A6:AI200" xr:uid="{52CBC0E3-DBE3-410C-AE35-D79B57EB35CC}"/>
  <sortState xmlns:xlrd2="http://schemas.microsoft.com/office/spreadsheetml/2017/richdata2" ref="A7:AI196">
    <sortCondition ref="X6:X196"/>
  </sortState>
  <tableColumns count="35">
    <tableColumn id="1" xr3:uid="{D81E40CE-D985-4517-BB0C-6065A464FD57}" name="Key" totalsRowLabel="Total" dataDxfId="72" totalsRowDxfId="71"/>
    <tableColumn id="3" xr3:uid="{207A4FB8-E769-4452-BA8D-8980550BD4CA}" name="b" dataDxfId="70" totalsRowDxfId="69"/>
    <tableColumn id="4" xr3:uid="{398898F3-A048-426B-AE2A-CDF1B456BFB8}" name="c" dataDxfId="68" totalsRowDxfId="67"/>
    <tableColumn id="5" xr3:uid="{2E4933B4-1F76-4EEA-BFBB-A3987053C1B2}" name="d" dataDxfId="66" totalsRowDxfId="65"/>
    <tableColumn id="6" xr3:uid="{4C3EEF23-3CD5-409E-98EC-952B149AE3EF}" name="e" dataDxfId="64" totalsRowDxfId="63"/>
    <tableColumn id="2" xr3:uid="{F9D229F3-CFA6-489F-A45F-0AE2D33A3D7C}" name="f" dataDxfId="62"/>
    <tableColumn id="7" xr3:uid="{15AF4CA7-AA8A-41B8-8426-498DC9166F51}" name="Note" dataDxfId="61" totalsRowDxfId="60"/>
    <tableColumn id="8" xr3:uid="{C8117656-131C-491A-B09F-D3ACFDCC5CD7}" name="URL for Price Check" dataDxfId="59" totalsRowDxfId="58" dataCellStyle="Hyperlink"/>
    <tableColumn id="9" xr3:uid="{9934EBF9-63E9-49B9-9BCF-CE727E48B33F}" name="Collection" dataDxfId="57" totalsRowDxfId="56"/>
    <tableColumn id="29" xr3:uid="{725EBDF7-AB0E-435C-9514-7D4B0CA9A4C3}" name="Volume / Issue" dataDxfId="55" totalsRowDxfId="54"/>
    <tableColumn id="32" xr3:uid="{9BEF1969-6BCF-482E-A264-CD595C291315}" name="Total_x000a_Vols" dataDxfId="53" totalsRowDxfId="52"/>
    <tableColumn id="11" xr3:uid="{82C39321-9B8F-4983-84A2-75C629EBDC71}" name="Dupe ISBN Check" dataDxfId="51" totalsRowDxfId="50" dataCellStyle="Hyperlink"/>
    <tableColumn id="12" xr3:uid="{0C7ADA8E-FCA2-489D-BC5C-CE31E6124C4E}" name="Dupe_x000a_Title_x000a_Check" dataDxfId="49" totalsRowDxfId="48" dataCellStyle="Hyperlink"/>
    <tableColumn id="13" xr3:uid="{A896DC71-0A7D-4568-9EB7-5F5256815B19}" name="Dupe Check in FS" dataDxfId="47" totalsRowDxfId="46"/>
    <tableColumn id="14" xr3:uid="{1366D349-A031-4F45-A417-3AD905F1494E}" name="ISBN13#/_x000a_ISSN#" dataDxfId="45" totalsRowDxfId="44"/>
    <tableColumn id="15" xr3:uid="{D16A51C9-5934-4CF4-9D39-C61F6BE68445}" name="ISBN10#/_x000a_ISSN#" dataDxfId="43" totalsRowDxfId="42"/>
    <tableColumn id="16" xr3:uid="{90F130C0-7993-4534-A8CB-0EB3DE3B9BAE}" name="OCLC#" dataDxfId="41" totalsRowDxfId="40"/>
    <tableColumn id="26" xr3:uid="{877032F6-F961-42D3-A781-3F6A8E705222}" name="Langauge" dataDxfId="39" totalsRowDxfId="38"/>
    <tableColumn id="10" xr3:uid="{C1880AEC-B3D2-44CA-B4AD-6E99AB08135A}" name="Translated Title (Unofficial)" dataDxfId="37" totalsRowDxfId="36"/>
    <tableColumn id="17" xr3:uid="{2E7B0064-BBB3-48F0-8E10-31F0F854831C}" name="Title (R/E)" dataDxfId="35" totalsRowDxfId="34"/>
    <tableColumn id="18" xr3:uid="{22F24C81-9CBB-47F5-9C0A-FCB5C26470FF}" name="Title (N)" dataDxfId="33" totalsRowDxfId="32"/>
    <tableColumn id="19" xr3:uid="{68D91129-9076-42DE-98EA-0899BFA79FE4}" name="Creator (R/E)" dataDxfId="31" totalsRowDxfId="30"/>
    <tableColumn id="20" xr3:uid="{8DA1683F-F3BE-4BC0-BC16-A425EA4F9D4C}" name="Creator (N)" dataDxfId="29" totalsRowDxfId="28"/>
    <tableColumn id="21" xr3:uid="{15B92BA3-A3D3-41B9-8977-B8DDF4CC0865}" name="Series (R/E)" dataDxfId="27" totalsRowDxfId="26"/>
    <tableColumn id="31" xr3:uid="{DCD6400C-178C-43D6-B3B0-4473A95AAD9A}" name="Series (N)" dataDxfId="25" totalsRowDxfId="24"/>
    <tableColumn id="22" xr3:uid="{12EAC821-F7E7-4155-99EE-CDD7A7109A09}" name="Publisher (R/E)" dataDxfId="23" totalsRowDxfId="22"/>
    <tableColumn id="23" xr3:uid="{DBD4EA94-FAC5-4364-865C-F41975F554AC}" name="Publisher (N)" dataDxfId="21" totalsRowDxfId="20"/>
    <tableColumn id="24" xr3:uid="{D85F4E25-7BB4-4E43-9C6C-CA85EA1892FB}" name="Pub Date (RE)" dataDxfId="19" totalsRowDxfId="18"/>
    <tableColumn id="33" xr3:uid="{44418A63-7973-45C2-859A-BBB35B753A49}" name="Pub Date (N)" dataDxfId="17" totalsRowDxfId="16"/>
    <tableColumn id="35" xr3:uid="{E721FFEB-981F-4FCA-A732-CB60A547E3BC}" name="Edition (RE)" dataDxfId="15" totalsRowDxfId="14"/>
    <tableColumn id="34" xr3:uid="{5706995F-8296-4524-A39A-78847C8775B4}" name="Edition (N)" dataDxfId="13" totalsRowDxfId="12"/>
    <tableColumn id="30" xr3:uid="{3C9E2392-8EB4-441F-92A7-19E605F64542}" name="Subject Headings" dataDxfId="11" totalsRowDxfId="10"/>
    <tableColumn id="25" xr3:uid="{2C8043B3-3DEF-4DC4-915C-88BBA411C889}" name="USD Estimate" dataDxfId="9" totalsRowDxfId="8"/>
    <tableColumn id="27" xr3:uid="{DE2559B4-6485-4927-9E60-ED86038A6C1C}" name="Currency" dataDxfId="7" totalsRowDxfId="6"/>
    <tableColumn id="28" xr3:uid="{BC838B1E-7DE1-4931-9ACA-C1B143781380}" name="Local Value Estimate" totalsRowFunction="count" dataDxfId="5" totalsRowDxfId="4"/>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5.bin"/><Relationship Id="rId1" Type="http://schemas.openxmlformats.org/officeDocument/2006/relationships/pivotTable" Target="../pivotTables/pivotTable1.xml"/><Relationship Id="rId5" Type="http://schemas.openxmlformats.org/officeDocument/2006/relationships/ctrlProp" Target="../ctrlProps/ctrlProp3.xml"/><Relationship Id="rId4"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rinterSettings" Target="../printerSettings/printerSettings6.bin"/><Relationship Id="rId7" Type="http://schemas.openxmlformats.org/officeDocument/2006/relationships/ctrlProp" Target="../ctrlProps/ctrlProp5.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ctrlProp" Target="../ctrlProps/ctrlProp4.xml"/><Relationship Id="rId5" Type="http://schemas.openxmlformats.org/officeDocument/2006/relationships/vmlDrawing" Target="../drawings/vmlDrawing3.vml"/><Relationship Id="rId10" Type="http://schemas.openxmlformats.org/officeDocument/2006/relationships/ctrlProp" Target="../ctrlProps/ctrlProp8.xml"/><Relationship Id="rId4" Type="http://schemas.openxmlformats.org/officeDocument/2006/relationships/drawing" Target="../drawings/drawing3.xml"/><Relationship Id="rId9"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drawing" Target="../drawings/drawing4.xml"/><Relationship Id="rId7" Type="http://schemas.openxmlformats.org/officeDocument/2006/relationships/ctrlProp" Target="../ctrlProps/ctrlProp11.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4.vml"/><Relationship Id="rId9" Type="http://schemas.openxmlformats.org/officeDocument/2006/relationships/ctrlProp" Target="../ctrlProps/ctrlProp1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printerSettings" Target="../printerSettings/printerSettings7.bin"/><Relationship Id="rId7" Type="http://schemas.openxmlformats.org/officeDocument/2006/relationships/ctrlProp" Target="../ctrlProps/ctrlProp15.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ctrlProp" Target="../ctrlProps/ctrlProp14.xml"/><Relationship Id="rId5" Type="http://schemas.openxmlformats.org/officeDocument/2006/relationships/vmlDrawing" Target="../drawings/vmlDrawing5.vml"/><Relationship Id="rId10" Type="http://schemas.openxmlformats.org/officeDocument/2006/relationships/ctrlProp" Target="../ctrlProps/ctrlProp18.xml"/><Relationship Id="rId4" Type="http://schemas.openxmlformats.org/officeDocument/2006/relationships/drawing" Target="../drawings/drawing5.xml"/><Relationship Id="rId9" Type="http://schemas.openxmlformats.org/officeDocument/2006/relationships/ctrlProp" Target="../ctrlProps/ctrlProp1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printerSettings" Target="../printerSettings/printerSettings8.bin"/><Relationship Id="rId7" Type="http://schemas.openxmlformats.org/officeDocument/2006/relationships/ctrlProp" Target="../ctrlProps/ctrlProp20.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openxmlformats.org/officeDocument/2006/relationships/ctrlProp" Target="../ctrlProps/ctrlProp19.xml"/><Relationship Id="rId5" Type="http://schemas.openxmlformats.org/officeDocument/2006/relationships/vmlDrawing" Target="../drawings/vmlDrawing6.vml"/><Relationship Id="rId10" Type="http://schemas.openxmlformats.org/officeDocument/2006/relationships/ctrlProp" Target="../ctrlProps/ctrlProp23.xml"/><Relationship Id="rId4" Type="http://schemas.openxmlformats.org/officeDocument/2006/relationships/drawing" Target="../drawings/drawing6.xml"/><Relationship Id="rId9"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hyperlink" Target="https://experts.colorado.edu/display/fisid_152869" TargetMode="External"/><Relationship Id="rId2" Type="http://schemas.openxmlformats.org/officeDocument/2006/relationships/hyperlink" Target="mailto:adam.lisbon@colorado.edu" TargetMode="External"/><Relationship Id="rId1" Type="http://schemas.openxmlformats.org/officeDocument/2006/relationships/hyperlink" Target="https://creativecommons.org/licenses/by-nc/4.0/" TargetMode="External"/><Relationship Id="rId6" Type="http://schemas.openxmlformats.org/officeDocument/2006/relationships/drawing" Target="../drawings/drawing7.xml"/><Relationship Id="rId5" Type="http://schemas.openxmlformats.org/officeDocument/2006/relationships/hyperlink" Target="https://github.com/ahlisbon/CJKmaterialProcessing" TargetMode="External"/><Relationship Id="rId4" Type="http://schemas.openxmlformats.org/officeDocument/2006/relationships/hyperlink" Target="https://www.linkedin.com/in/adam-lisbon-90a7b3106/"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pageSetUpPr autoPageBreaks="0"/>
  </sheetPr>
  <dimension ref="A1:AP2000"/>
  <sheetViews>
    <sheetView tabSelected="1" zoomScaleNormal="100" workbookViewId="0">
      <pane ySplit="6" topLeftCell="A7" activePane="bottomLeft" state="frozen"/>
      <selection pane="bottomLeft" activeCell="A2" sqref="A2"/>
    </sheetView>
  </sheetViews>
  <sheetFormatPr defaultColWidth="9.140625" defaultRowHeight="17.100000000000001" customHeight="1" x14ac:dyDescent="0.25"/>
  <cols>
    <col min="1" max="1" width="7.7109375" style="133" customWidth="1"/>
    <col min="2" max="2" width="2.7109375" style="95" customWidth="1"/>
    <col min="3" max="4" width="2.7109375" style="91" customWidth="1"/>
    <col min="5" max="5" width="2.7109375" style="178" customWidth="1"/>
    <col min="6" max="6" width="2.7109375" style="179" customWidth="1"/>
    <col min="7" max="7" width="20.7109375" style="55" customWidth="1"/>
    <col min="8" max="8" width="7.7109375" style="124" customWidth="1"/>
    <col min="9" max="9" width="8.7109375" style="53" customWidth="1"/>
    <col min="10" max="10" width="7.7109375" style="61" customWidth="1"/>
    <col min="11" max="11" width="7.7109375" style="89" customWidth="1"/>
    <col min="12" max="13" width="7.7109375" style="109" customWidth="1"/>
    <col min="14" max="14" width="7.7109375" style="53" customWidth="1"/>
    <col min="15" max="15" width="16.7109375" style="54" customWidth="1"/>
    <col min="16" max="16" width="14.7109375" style="53" customWidth="1"/>
    <col min="17" max="17" width="14.7109375" style="4" customWidth="1"/>
    <col min="18" max="18" width="10.7109375" style="47" customWidth="1"/>
    <col min="19" max="19" width="15.7109375" style="82" customWidth="1"/>
    <col min="20" max="27" width="15.7109375" style="55" customWidth="1"/>
    <col min="28" max="29" width="9.7109375" style="53" customWidth="1"/>
    <col min="30" max="31" width="12.7109375" style="55" customWidth="1"/>
    <col min="32" max="32" width="15.7109375" style="55" customWidth="1"/>
    <col min="33" max="33" width="10.7109375" style="110" customWidth="1"/>
    <col min="34" max="34" width="3.7109375" style="56" customWidth="1"/>
    <col min="35" max="35" width="10.7109375" style="113" customWidth="1"/>
    <col min="36" max="36" width="3.7109375" style="56" customWidth="1"/>
    <col min="37" max="37" width="12.7109375" style="85" customWidth="1"/>
    <col min="38" max="38" width="12.7109375" style="60" customWidth="1"/>
    <col min="39" max="42" width="12.7109375" style="1" customWidth="1"/>
    <col min="43" max="16384" width="9.140625" style="1"/>
  </cols>
  <sheetData>
    <row r="1" spans="1:42" s="6" customFormat="1" ht="20.100000000000001" customHeight="1" x14ac:dyDescent="0.25">
      <c r="A1" s="134" t="s">
        <v>1372</v>
      </c>
      <c r="B1" s="135"/>
      <c r="C1" s="135"/>
      <c r="D1" s="135"/>
      <c r="E1" s="135"/>
      <c r="F1" s="135"/>
      <c r="G1" s="135"/>
      <c r="H1" s="170"/>
      <c r="I1" s="144" t="s">
        <v>118</v>
      </c>
      <c r="J1" s="135"/>
      <c r="K1" s="135"/>
      <c r="L1" s="171"/>
      <c r="M1" s="171"/>
      <c r="N1" s="135"/>
      <c r="O1" s="136"/>
      <c r="P1" s="135"/>
      <c r="Q1" s="136"/>
      <c r="R1" s="135"/>
      <c r="S1" s="135"/>
      <c r="T1" s="135"/>
      <c r="U1" s="135"/>
      <c r="V1" s="135"/>
      <c r="W1" s="135"/>
      <c r="X1" s="135"/>
      <c r="Y1" s="135"/>
      <c r="Z1" s="135"/>
      <c r="AA1" s="135"/>
      <c r="AB1" s="135"/>
      <c r="AC1" s="135"/>
      <c r="AD1" s="135"/>
      <c r="AE1" s="135"/>
      <c r="AF1" s="137"/>
      <c r="AG1" s="197" t="s">
        <v>0</v>
      </c>
      <c r="AH1" s="198"/>
      <c r="AI1" s="199"/>
      <c r="AJ1" s="105"/>
      <c r="AK1" s="195" t="s">
        <v>161</v>
      </c>
      <c r="AL1" s="196"/>
      <c r="AM1" s="195" t="s">
        <v>162</v>
      </c>
      <c r="AN1" s="196"/>
      <c r="AO1" s="195" t="s">
        <v>163</v>
      </c>
      <c r="AP1" s="196"/>
    </row>
    <row r="2" spans="1:42" s="6" customFormat="1" ht="20.100000000000001" customHeight="1" x14ac:dyDescent="0.25">
      <c r="A2" s="138"/>
      <c r="B2" s="139"/>
      <c r="C2" s="139"/>
      <c r="D2" s="139"/>
      <c r="E2" s="141"/>
      <c r="F2" s="139"/>
      <c r="G2" s="141"/>
      <c r="H2" s="172"/>
      <c r="I2" s="143" t="s">
        <v>118</v>
      </c>
      <c r="J2" s="139"/>
      <c r="K2" s="139"/>
      <c r="L2" s="173"/>
      <c r="M2" s="173"/>
      <c r="N2" s="139"/>
      <c r="O2" s="140"/>
      <c r="P2" s="139"/>
      <c r="Q2" s="140"/>
      <c r="R2" s="141"/>
      <c r="S2" s="141"/>
      <c r="T2" s="139"/>
      <c r="U2" s="139"/>
      <c r="V2" s="139"/>
      <c r="W2" s="139"/>
      <c r="X2" s="139"/>
      <c r="Y2" s="139"/>
      <c r="Z2" s="139"/>
      <c r="AA2" s="139"/>
      <c r="AB2" s="139"/>
      <c r="AC2" s="139"/>
      <c r="AD2" s="139"/>
      <c r="AE2" s="139"/>
      <c r="AF2" s="142"/>
      <c r="AG2" s="194">
        <f>SUM(AG7:AG200)</f>
        <v>0</v>
      </c>
      <c r="AH2" s="106"/>
      <c r="AI2" s="112"/>
      <c r="AJ2" s="105"/>
      <c r="AK2" s="125" t="e" vm="1">
        <v>#VALUE!</v>
      </c>
      <c r="AL2" s="126" cm="1">
        <f t="array" ref="AL2">_FV(AK2,"Price",TRUE)</f>
        <v>0.13730000000000001</v>
      </c>
      <c r="AM2" s="125" t="e" vm="2">
        <v>#VALUE!</v>
      </c>
      <c r="AN2" s="126" cm="1">
        <f t="array" ref="AN2">_FV(AM2,"Price",TRUE)</f>
        <v>6.8799999999999998E-3</v>
      </c>
      <c r="AO2" s="125" t="e" vm="3">
        <v>#VALUE!</v>
      </c>
      <c r="AP2" s="126" cm="1">
        <f t="array" ref="AP2">_FV(AO2,"Price",TRUE)</f>
        <v>7.45E-4</v>
      </c>
    </row>
    <row r="3" spans="1:42" s="55" customFormat="1" ht="20.100000000000001" customHeight="1" x14ac:dyDescent="0.25">
      <c r="A3" s="93"/>
      <c r="B3" s="94" t="s">
        <v>2</v>
      </c>
      <c r="C3" s="96"/>
      <c r="D3" s="96"/>
      <c r="E3" s="98"/>
      <c r="F3" s="98"/>
      <c r="G3" s="98"/>
      <c r="H3" s="174"/>
      <c r="I3" s="122" t="s">
        <v>118</v>
      </c>
      <c r="J3" s="97" t="s">
        <v>1</v>
      </c>
      <c r="K3" s="101"/>
      <c r="L3" s="97" t="s">
        <v>3</v>
      </c>
      <c r="M3" s="175"/>
      <c r="N3" s="107"/>
      <c r="O3" s="94" t="s">
        <v>4</v>
      </c>
      <c r="P3" s="96"/>
      <c r="Q3" s="96"/>
      <c r="R3" s="97" t="s">
        <v>5</v>
      </c>
      <c r="S3" s="98"/>
      <c r="T3" s="98"/>
      <c r="U3" s="98"/>
      <c r="V3" s="98"/>
      <c r="W3" s="98"/>
      <c r="X3" s="98"/>
      <c r="Y3" s="98"/>
      <c r="Z3" s="98"/>
      <c r="AA3" s="98"/>
      <c r="AB3" s="98"/>
      <c r="AC3" s="98"/>
      <c r="AD3" s="98"/>
      <c r="AE3" s="98"/>
      <c r="AF3" s="101"/>
      <c r="AG3" s="97" t="s">
        <v>6</v>
      </c>
      <c r="AH3" s="98"/>
      <c r="AI3" s="104"/>
      <c r="AJ3" s="114"/>
      <c r="AK3" s="127"/>
      <c r="AL3" s="127"/>
    </row>
    <row r="4" spans="1:42" s="53" customFormat="1" ht="14.1" customHeight="1" x14ac:dyDescent="0.25">
      <c r="A4" s="182">
        <v>1</v>
      </c>
      <c r="B4" s="183" t="s">
        <v>7</v>
      </c>
      <c r="C4" s="182" t="s">
        <v>8</v>
      </c>
      <c r="D4" s="182" t="s">
        <v>9</v>
      </c>
      <c r="E4" s="182" t="s">
        <v>10</v>
      </c>
      <c r="F4" s="182" t="s">
        <v>11</v>
      </c>
      <c r="G4" s="182" t="s">
        <v>50</v>
      </c>
      <c r="H4" s="182">
        <v>8</v>
      </c>
      <c r="I4" s="182">
        <v>9</v>
      </c>
      <c r="J4" s="183" t="s">
        <v>119</v>
      </c>
      <c r="K4" s="182" t="s">
        <v>12</v>
      </c>
      <c r="L4" s="183" t="s">
        <v>136</v>
      </c>
      <c r="M4" s="182" t="s">
        <v>137</v>
      </c>
      <c r="N4" s="182" t="s">
        <v>52</v>
      </c>
      <c r="O4" s="183" t="s">
        <v>138</v>
      </c>
      <c r="P4" s="182" t="s">
        <v>139</v>
      </c>
      <c r="Q4" s="182" t="s">
        <v>13</v>
      </c>
      <c r="R4" s="183" t="s">
        <v>14</v>
      </c>
      <c r="S4" s="182" t="s">
        <v>15</v>
      </c>
      <c r="T4" s="182" t="s">
        <v>16</v>
      </c>
      <c r="U4" s="182" t="s">
        <v>17</v>
      </c>
      <c r="V4" s="182" t="s">
        <v>18</v>
      </c>
      <c r="W4" s="182" t="s">
        <v>19</v>
      </c>
      <c r="X4" s="182" t="s">
        <v>20</v>
      </c>
      <c r="Y4" s="182" t="s">
        <v>21</v>
      </c>
      <c r="Z4" s="182" t="s">
        <v>22</v>
      </c>
      <c r="AA4" s="182" t="s">
        <v>23</v>
      </c>
      <c r="AB4" s="182" t="s">
        <v>24</v>
      </c>
      <c r="AC4" s="182" t="s">
        <v>25</v>
      </c>
      <c r="AD4" s="182" t="s">
        <v>140</v>
      </c>
      <c r="AE4" s="182" t="s">
        <v>141</v>
      </c>
      <c r="AF4" s="184" t="s">
        <v>142</v>
      </c>
      <c r="AG4" s="182">
        <v>33</v>
      </c>
      <c r="AH4" s="182" t="s">
        <v>147</v>
      </c>
      <c r="AI4" s="185">
        <v>35</v>
      </c>
      <c r="AJ4" s="115"/>
    </row>
    <row r="5" spans="1:42" s="53" customFormat="1" ht="14.1" customHeight="1" x14ac:dyDescent="0.25">
      <c r="A5" s="182" t="s">
        <v>159</v>
      </c>
      <c r="B5" s="183" t="s">
        <v>159</v>
      </c>
      <c r="C5" s="182" t="s">
        <v>159</v>
      </c>
      <c r="D5" s="182" t="s">
        <v>159</v>
      </c>
      <c r="E5" s="182" t="s">
        <v>159</v>
      </c>
      <c r="F5" s="182" t="s">
        <v>159</v>
      </c>
      <c r="G5" s="182" t="s">
        <v>314</v>
      </c>
      <c r="H5" s="182" t="s">
        <v>74</v>
      </c>
      <c r="I5" s="182" t="s">
        <v>314</v>
      </c>
      <c r="J5" s="183" t="s">
        <v>74</v>
      </c>
      <c r="K5" s="182" t="s">
        <v>74</v>
      </c>
      <c r="L5" s="183" t="s">
        <v>74</v>
      </c>
      <c r="M5" s="182" t="s">
        <v>74</v>
      </c>
      <c r="N5" s="182" t="s">
        <v>74</v>
      </c>
      <c r="O5" s="183" t="s">
        <v>74</v>
      </c>
      <c r="P5" s="182" t="s">
        <v>74</v>
      </c>
      <c r="Q5" s="182" t="s">
        <v>74</v>
      </c>
      <c r="R5" s="183" t="s">
        <v>74</v>
      </c>
      <c r="S5" s="182" t="s">
        <v>74</v>
      </c>
      <c r="T5" s="182" t="s">
        <v>160</v>
      </c>
      <c r="U5" s="182" t="s">
        <v>74</v>
      </c>
      <c r="V5" s="182" t="s">
        <v>74</v>
      </c>
      <c r="W5" s="182" t="s">
        <v>74</v>
      </c>
      <c r="X5" s="182" t="s">
        <v>74</v>
      </c>
      <c r="Y5" s="182" t="s">
        <v>74</v>
      </c>
      <c r="Z5" s="182" t="s">
        <v>74</v>
      </c>
      <c r="AA5" s="182" t="s">
        <v>74</v>
      </c>
      <c r="AB5" s="182" t="s">
        <v>74</v>
      </c>
      <c r="AC5" s="182" t="s">
        <v>74</v>
      </c>
      <c r="AD5" s="182" t="s">
        <v>74</v>
      </c>
      <c r="AE5" s="182" t="s">
        <v>74</v>
      </c>
      <c r="AF5" s="184" t="s">
        <v>74</v>
      </c>
      <c r="AG5" s="182" t="s">
        <v>74</v>
      </c>
      <c r="AH5" s="182" t="s">
        <v>74</v>
      </c>
      <c r="AI5" s="185" t="s">
        <v>74</v>
      </c>
      <c r="AJ5" s="115"/>
    </row>
    <row r="6" spans="1:42" s="53" customFormat="1" ht="39.950000000000003" customHeight="1" x14ac:dyDescent="0.25">
      <c r="A6" s="81" t="s">
        <v>26</v>
      </c>
      <c r="B6" s="180" t="s">
        <v>73</v>
      </c>
      <c r="C6" s="181" t="s">
        <v>150</v>
      </c>
      <c r="D6" s="181" t="s">
        <v>151</v>
      </c>
      <c r="E6" s="177" t="s">
        <v>1267</v>
      </c>
      <c r="F6" s="177" t="s">
        <v>152</v>
      </c>
      <c r="G6" s="86" t="s">
        <v>27</v>
      </c>
      <c r="H6" s="3" t="s">
        <v>28</v>
      </c>
      <c r="I6" s="81" t="s">
        <v>29</v>
      </c>
      <c r="J6" s="176" t="s">
        <v>1266</v>
      </c>
      <c r="K6" s="88" t="s">
        <v>149</v>
      </c>
      <c r="L6" s="176" t="s">
        <v>1264</v>
      </c>
      <c r="M6" s="87" t="s">
        <v>30</v>
      </c>
      <c r="N6" s="48" t="s">
        <v>1265</v>
      </c>
      <c r="O6" s="86" t="s">
        <v>31</v>
      </c>
      <c r="P6" s="3" t="s">
        <v>32</v>
      </c>
      <c r="Q6" s="87" t="s">
        <v>33</v>
      </c>
      <c r="R6" s="176" t="s">
        <v>134</v>
      </c>
      <c r="S6" s="128" t="s">
        <v>135</v>
      </c>
      <c r="T6" s="48" t="s">
        <v>34</v>
      </c>
      <c r="U6" s="81" t="s">
        <v>35</v>
      </c>
      <c r="V6" s="3" t="s">
        <v>36</v>
      </c>
      <c r="W6" s="87" t="s">
        <v>37</v>
      </c>
      <c r="X6" s="3" t="s">
        <v>38</v>
      </c>
      <c r="Y6" s="87" t="s">
        <v>39</v>
      </c>
      <c r="Z6" s="3" t="s">
        <v>40</v>
      </c>
      <c r="AA6" s="87" t="s">
        <v>41</v>
      </c>
      <c r="AB6" s="48" t="s">
        <v>143</v>
      </c>
      <c r="AC6" s="81" t="s">
        <v>144</v>
      </c>
      <c r="AD6" s="48" t="s">
        <v>145</v>
      </c>
      <c r="AE6" s="81" t="s">
        <v>146</v>
      </c>
      <c r="AF6" s="129" t="s">
        <v>315</v>
      </c>
      <c r="AG6" s="81" t="s">
        <v>165</v>
      </c>
      <c r="AH6" s="130" t="s">
        <v>166</v>
      </c>
      <c r="AI6" s="131" t="s">
        <v>164</v>
      </c>
      <c r="AJ6" s="115"/>
    </row>
    <row r="7" spans="1:42" ht="17.100000000000001" customHeight="1" x14ac:dyDescent="0.25">
      <c r="C7" s="92"/>
      <c r="D7" s="92"/>
      <c r="F7" s="108"/>
      <c r="H7" s="123"/>
      <c r="N7" s="100"/>
      <c r="O7" s="50"/>
      <c r="Q7" s="51"/>
      <c r="R7" s="103"/>
      <c r="T7" s="49"/>
      <c r="U7" s="49"/>
      <c r="V7" s="49"/>
      <c r="W7" s="49"/>
      <c r="X7" s="49"/>
      <c r="Y7" s="49"/>
      <c r="Z7" s="49"/>
      <c r="AA7" s="49"/>
      <c r="AB7" s="100"/>
      <c r="AC7" s="100"/>
      <c r="AD7" s="49"/>
      <c r="AE7" s="49"/>
      <c r="AF7" s="102"/>
      <c r="AG7" s="52"/>
      <c r="AH7" s="116"/>
      <c r="AI7" s="117"/>
      <c r="AJ7" s="57" t="s">
        <v>46</v>
      </c>
      <c r="AK7" s="58"/>
      <c r="AL7" s="58"/>
    </row>
    <row r="8" spans="1:42" ht="17.100000000000001" customHeight="1" x14ac:dyDescent="0.25">
      <c r="H8" s="123"/>
      <c r="N8" s="100"/>
      <c r="AF8" s="90"/>
      <c r="AG8" s="52"/>
      <c r="AH8" s="118"/>
      <c r="AI8" s="119"/>
      <c r="AJ8" s="57" t="s">
        <v>46</v>
      </c>
      <c r="AK8" s="58"/>
      <c r="AL8" s="58"/>
    </row>
    <row r="9" spans="1:42" ht="17.100000000000001" customHeight="1" x14ac:dyDescent="0.25">
      <c r="H9" s="123"/>
      <c r="N9" s="100"/>
      <c r="AF9" s="90"/>
      <c r="AG9" s="52"/>
      <c r="AH9" s="118"/>
      <c r="AI9" s="119"/>
      <c r="AJ9" s="57" t="s">
        <v>46</v>
      </c>
      <c r="AK9" s="58"/>
      <c r="AL9" s="58"/>
    </row>
    <row r="10" spans="1:42" ht="17.100000000000001" customHeight="1" x14ac:dyDescent="0.25">
      <c r="H10" s="123"/>
      <c r="N10" s="100"/>
      <c r="AF10" s="90"/>
      <c r="AG10" s="52"/>
      <c r="AH10" s="118"/>
      <c r="AI10" s="119"/>
      <c r="AJ10" s="57" t="s">
        <v>46</v>
      </c>
      <c r="AK10" s="58"/>
      <c r="AL10" s="58"/>
    </row>
    <row r="11" spans="1:42" ht="17.100000000000001" customHeight="1" x14ac:dyDescent="0.25">
      <c r="H11" s="123"/>
      <c r="N11" s="100"/>
      <c r="T11" s="49"/>
      <c r="AF11" s="90"/>
      <c r="AG11" s="52"/>
      <c r="AH11" s="118"/>
      <c r="AI11" s="119"/>
      <c r="AJ11" s="57" t="s">
        <v>46</v>
      </c>
      <c r="AK11" s="58"/>
      <c r="AL11" s="58"/>
    </row>
    <row r="12" spans="1:42" ht="17.100000000000001" customHeight="1" x14ac:dyDescent="0.25">
      <c r="H12" s="123"/>
      <c r="N12" s="100"/>
      <c r="T12" s="49"/>
      <c r="AF12" s="90"/>
      <c r="AG12" s="52"/>
      <c r="AH12" s="118"/>
      <c r="AI12" s="119"/>
      <c r="AJ12" s="57" t="s">
        <v>46</v>
      </c>
      <c r="AK12" s="58"/>
      <c r="AL12" s="58"/>
    </row>
    <row r="13" spans="1:42" ht="17.100000000000001" customHeight="1" x14ac:dyDescent="0.25">
      <c r="H13" s="123"/>
      <c r="N13" s="100"/>
      <c r="AF13" s="90"/>
      <c r="AG13" s="52"/>
      <c r="AH13" s="118"/>
      <c r="AI13" s="119"/>
      <c r="AJ13" s="57" t="s">
        <v>46</v>
      </c>
      <c r="AK13" s="58"/>
      <c r="AL13" s="58"/>
    </row>
    <row r="14" spans="1:42" ht="17.100000000000001" customHeight="1" x14ac:dyDescent="0.25">
      <c r="H14" s="123"/>
      <c r="N14" s="100"/>
      <c r="AF14" s="90"/>
      <c r="AG14" s="52"/>
      <c r="AH14" s="116"/>
      <c r="AI14" s="119"/>
      <c r="AJ14" s="57" t="s">
        <v>46</v>
      </c>
      <c r="AK14" s="58"/>
      <c r="AL14" s="58"/>
    </row>
    <row r="15" spans="1:42" ht="17.100000000000001" customHeight="1" x14ac:dyDescent="0.25">
      <c r="H15" s="123"/>
      <c r="N15" s="100"/>
      <c r="T15" s="49"/>
      <c r="AF15" s="90"/>
      <c r="AG15" s="52"/>
      <c r="AH15" s="118"/>
      <c r="AI15" s="119"/>
      <c r="AJ15" s="57" t="s">
        <v>46</v>
      </c>
      <c r="AK15" s="58"/>
      <c r="AL15" s="58"/>
    </row>
    <row r="16" spans="1:42" ht="17.100000000000001" customHeight="1" x14ac:dyDescent="0.25">
      <c r="C16" s="92"/>
      <c r="D16" s="92"/>
      <c r="F16" s="108"/>
      <c r="H16" s="123"/>
      <c r="N16" s="100"/>
      <c r="O16" s="50"/>
      <c r="P16" s="100"/>
      <c r="Q16" s="51"/>
      <c r="T16" s="49"/>
      <c r="U16" s="64"/>
      <c r="V16" s="49"/>
      <c r="W16" s="49"/>
      <c r="X16" s="49"/>
      <c r="Y16" s="49"/>
      <c r="Z16" s="49"/>
      <c r="AA16" s="49"/>
      <c r="AB16" s="100"/>
      <c r="AF16" s="102"/>
      <c r="AG16" s="52"/>
      <c r="AH16" s="116"/>
      <c r="AI16" s="117"/>
      <c r="AJ16" s="57" t="s">
        <v>46</v>
      </c>
      <c r="AK16" s="58"/>
      <c r="AL16" s="58"/>
    </row>
    <row r="17" spans="3:38" ht="17.100000000000001" customHeight="1" x14ac:dyDescent="0.25">
      <c r="H17" s="123"/>
      <c r="N17" s="100"/>
      <c r="AF17" s="90"/>
      <c r="AG17" s="52"/>
      <c r="AH17" s="118"/>
      <c r="AI17" s="119"/>
      <c r="AJ17" s="57" t="s">
        <v>46</v>
      </c>
      <c r="AK17" s="58"/>
      <c r="AL17" s="58"/>
    </row>
    <row r="18" spans="3:38" ht="17.100000000000001" customHeight="1" x14ac:dyDescent="0.25">
      <c r="H18" s="123"/>
      <c r="N18" s="100"/>
      <c r="AF18" s="90"/>
      <c r="AG18" s="52"/>
      <c r="AH18" s="118"/>
      <c r="AI18" s="119"/>
      <c r="AJ18" s="57" t="s">
        <v>46</v>
      </c>
      <c r="AK18" s="58"/>
      <c r="AL18" s="58"/>
    </row>
    <row r="19" spans="3:38" ht="17.100000000000001" customHeight="1" x14ac:dyDescent="0.25">
      <c r="H19" s="123"/>
      <c r="N19" s="100"/>
      <c r="AF19" s="90"/>
      <c r="AG19" s="52"/>
      <c r="AH19" s="118"/>
      <c r="AI19" s="119"/>
      <c r="AJ19" s="57" t="s">
        <v>46</v>
      </c>
      <c r="AK19" s="58"/>
      <c r="AL19" s="58"/>
    </row>
    <row r="20" spans="3:38" ht="17.100000000000001" customHeight="1" x14ac:dyDescent="0.25">
      <c r="H20" s="123"/>
      <c r="N20" s="100"/>
      <c r="AF20" s="90"/>
      <c r="AG20" s="52"/>
      <c r="AH20" s="118"/>
      <c r="AI20" s="119"/>
      <c r="AJ20" s="57" t="s">
        <v>46</v>
      </c>
      <c r="AK20" s="58"/>
      <c r="AL20" s="58"/>
    </row>
    <row r="21" spans="3:38" ht="17.100000000000001" customHeight="1" x14ac:dyDescent="0.25">
      <c r="H21" s="123"/>
      <c r="N21" s="100"/>
      <c r="AF21" s="90"/>
      <c r="AG21" s="52"/>
      <c r="AH21" s="118"/>
      <c r="AI21" s="119"/>
      <c r="AJ21" s="57" t="s">
        <v>46</v>
      </c>
      <c r="AK21" s="58"/>
      <c r="AL21" s="58"/>
    </row>
    <row r="22" spans="3:38" ht="17.100000000000001" customHeight="1" x14ac:dyDescent="0.25">
      <c r="H22" s="123"/>
      <c r="N22" s="100"/>
      <c r="AF22" s="90"/>
      <c r="AG22" s="52"/>
      <c r="AH22" s="118"/>
      <c r="AI22" s="119"/>
      <c r="AJ22" s="57" t="s">
        <v>46</v>
      </c>
      <c r="AK22" s="58"/>
      <c r="AL22" s="58"/>
    </row>
    <row r="23" spans="3:38" ht="17.100000000000001" customHeight="1" x14ac:dyDescent="0.25">
      <c r="C23" s="92"/>
      <c r="D23" s="92"/>
      <c r="F23" s="108"/>
      <c r="H23" s="123"/>
      <c r="N23" s="100"/>
      <c r="O23" s="50"/>
      <c r="P23" s="100"/>
      <c r="Q23" s="51"/>
      <c r="T23" s="49"/>
      <c r="U23" s="64"/>
      <c r="V23" s="49"/>
      <c r="W23" s="49"/>
      <c r="X23" s="49"/>
      <c r="Y23" s="49"/>
      <c r="Z23" s="49"/>
      <c r="AA23" s="49"/>
      <c r="AB23" s="100"/>
      <c r="AF23" s="102"/>
      <c r="AG23" s="52"/>
      <c r="AH23" s="116"/>
      <c r="AI23" s="117"/>
      <c r="AJ23" s="57"/>
      <c r="AK23" s="58"/>
      <c r="AL23" s="58"/>
    </row>
    <row r="24" spans="3:38" ht="17.100000000000001" customHeight="1" x14ac:dyDescent="0.25">
      <c r="H24" s="123"/>
      <c r="N24" s="100"/>
      <c r="AF24" s="90"/>
      <c r="AG24" s="52"/>
      <c r="AH24" s="118"/>
      <c r="AI24" s="119"/>
      <c r="AJ24" s="57"/>
      <c r="AK24" s="58"/>
      <c r="AL24" s="58"/>
    </row>
    <row r="25" spans="3:38" ht="17.100000000000001" customHeight="1" x14ac:dyDescent="0.25">
      <c r="H25" s="123"/>
      <c r="N25" s="100"/>
      <c r="AF25" s="90"/>
      <c r="AG25" s="52"/>
      <c r="AH25" s="118"/>
      <c r="AI25" s="119"/>
      <c r="AJ25" s="57"/>
      <c r="AK25" s="58"/>
      <c r="AL25" s="58"/>
    </row>
    <row r="26" spans="3:38" ht="17.100000000000001" customHeight="1" x14ac:dyDescent="0.25">
      <c r="H26" s="123"/>
      <c r="N26" s="100"/>
      <c r="AF26" s="90"/>
      <c r="AG26" s="52"/>
      <c r="AH26" s="118"/>
      <c r="AI26" s="119"/>
      <c r="AJ26" s="57" t="s">
        <v>46</v>
      </c>
      <c r="AK26" s="58"/>
      <c r="AL26" s="58"/>
    </row>
    <row r="27" spans="3:38" ht="17.100000000000001" customHeight="1" x14ac:dyDescent="0.25">
      <c r="H27" s="123"/>
      <c r="N27" s="100"/>
      <c r="AF27" s="90"/>
      <c r="AG27" s="52"/>
      <c r="AH27" s="118"/>
      <c r="AI27" s="119"/>
      <c r="AJ27" s="57" t="s">
        <v>46</v>
      </c>
      <c r="AK27" s="58"/>
      <c r="AL27" s="59"/>
    </row>
    <row r="28" spans="3:38" ht="17.100000000000001" customHeight="1" x14ac:dyDescent="0.25">
      <c r="H28" s="123"/>
      <c r="N28" s="100"/>
      <c r="AF28" s="90"/>
      <c r="AG28" s="52"/>
      <c r="AH28" s="118"/>
      <c r="AI28" s="119"/>
      <c r="AJ28" s="57" t="s">
        <v>46</v>
      </c>
      <c r="AK28" s="58"/>
      <c r="AL28" s="58"/>
    </row>
    <row r="29" spans="3:38" ht="17.100000000000001" customHeight="1" x14ac:dyDescent="0.25">
      <c r="H29" s="123"/>
      <c r="N29" s="100"/>
      <c r="AF29" s="90"/>
      <c r="AG29" s="52"/>
      <c r="AH29" s="118"/>
      <c r="AI29" s="119"/>
      <c r="AJ29" s="57" t="s">
        <v>46</v>
      </c>
      <c r="AK29" s="58"/>
      <c r="AL29" s="58"/>
    </row>
    <row r="30" spans="3:38" ht="17.100000000000001" customHeight="1" x14ac:dyDescent="0.25">
      <c r="C30" s="92"/>
      <c r="D30" s="92"/>
      <c r="F30" s="108"/>
      <c r="H30" s="123"/>
      <c r="N30" s="100"/>
      <c r="O30" s="50"/>
      <c r="P30" s="100"/>
      <c r="Q30" s="51"/>
      <c r="T30" s="49"/>
      <c r="U30" s="49"/>
      <c r="V30" s="49"/>
      <c r="W30" s="49"/>
      <c r="X30" s="49"/>
      <c r="Y30" s="49"/>
      <c r="Z30" s="49"/>
      <c r="AA30" s="49"/>
      <c r="AB30" s="100"/>
      <c r="AF30" s="102"/>
      <c r="AG30" s="52"/>
      <c r="AH30" s="116"/>
      <c r="AI30" s="117"/>
      <c r="AJ30" s="57" t="s">
        <v>46</v>
      </c>
      <c r="AK30" s="58"/>
      <c r="AL30" s="58"/>
    </row>
    <row r="31" spans="3:38" ht="17.100000000000001" customHeight="1" x14ac:dyDescent="0.25">
      <c r="H31" s="123"/>
      <c r="N31" s="100"/>
      <c r="AF31" s="90"/>
      <c r="AG31" s="52"/>
      <c r="AH31" s="118"/>
      <c r="AI31" s="119"/>
      <c r="AJ31" s="57" t="s">
        <v>46</v>
      </c>
      <c r="AK31" s="58"/>
      <c r="AL31" s="58"/>
    </row>
    <row r="32" spans="3:38" ht="17.100000000000001" customHeight="1" x14ac:dyDescent="0.25">
      <c r="C32" s="92"/>
      <c r="D32" s="92"/>
      <c r="F32" s="108"/>
      <c r="H32" s="123"/>
      <c r="N32" s="100"/>
      <c r="O32" s="50"/>
      <c r="P32" s="100"/>
      <c r="Q32" s="51"/>
      <c r="R32" s="103"/>
      <c r="T32" s="49"/>
      <c r="U32" s="49"/>
      <c r="V32" s="49"/>
      <c r="W32" s="49"/>
      <c r="X32" s="49"/>
      <c r="Y32" s="49"/>
      <c r="Z32" s="49"/>
      <c r="AA32" s="49"/>
      <c r="AB32" s="100"/>
      <c r="AC32" s="100"/>
      <c r="AD32" s="49"/>
      <c r="AE32" s="49"/>
      <c r="AF32" s="102"/>
      <c r="AG32" s="52"/>
      <c r="AH32" s="116"/>
      <c r="AI32" s="117"/>
      <c r="AJ32" s="57" t="s">
        <v>46</v>
      </c>
      <c r="AK32" s="58"/>
      <c r="AL32" s="58"/>
    </row>
    <row r="33" spans="3:38" ht="17.100000000000001" customHeight="1" x14ac:dyDescent="0.25">
      <c r="C33" s="92"/>
      <c r="D33" s="92"/>
      <c r="F33" s="108"/>
      <c r="H33" s="123"/>
      <c r="N33" s="100"/>
      <c r="O33" s="50"/>
      <c r="P33" s="100"/>
      <c r="Q33" s="51"/>
      <c r="T33" s="49"/>
      <c r="U33" s="49"/>
      <c r="V33" s="49"/>
      <c r="W33" s="49"/>
      <c r="X33" s="49"/>
      <c r="Y33" s="49"/>
      <c r="Z33" s="49"/>
      <c r="AA33" s="49"/>
      <c r="AB33" s="100"/>
      <c r="AF33" s="102"/>
      <c r="AG33" s="52"/>
      <c r="AH33" s="116"/>
      <c r="AI33" s="117"/>
      <c r="AJ33" s="57" t="s">
        <v>46</v>
      </c>
      <c r="AK33" s="58"/>
      <c r="AL33" s="58"/>
    </row>
    <row r="34" spans="3:38" ht="17.100000000000001" customHeight="1" x14ac:dyDescent="0.25">
      <c r="C34" s="92"/>
      <c r="D34" s="92"/>
      <c r="F34" s="108"/>
      <c r="H34" s="123"/>
      <c r="N34" s="100"/>
      <c r="O34" s="50"/>
      <c r="P34" s="100"/>
      <c r="Q34" s="51"/>
      <c r="T34" s="49"/>
      <c r="U34" s="49"/>
      <c r="V34" s="49"/>
      <c r="W34" s="49"/>
      <c r="X34" s="49"/>
      <c r="Y34" s="49"/>
      <c r="Z34" s="49"/>
      <c r="AA34" s="49"/>
      <c r="AB34" s="100"/>
      <c r="AF34" s="102"/>
      <c r="AG34" s="52"/>
      <c r="AH34" s="116"/>
      <c r="AI34" s="117"/>
      <c r="AJ34" s="57" t="s">
        <v>46</v>
      </c>
      <c r="AK34" s="58"/>
      <c r="AL34" s="58"/>
    </row>
    <row r="35" spans="3:38" ht="17.100000000000001" customHeight="1" x14ac:dyDescent="0.25">
      <c r="C35" s="92"/>
      <c r="D35" s="92"/>
      <c r="F35" s="108"/>
      <c r="H35" s="123"/>
      <c r="N35" s="100"/>
      <c r="O35" s="50"/>
      <c r="P35" s="100"/>
      <c r="Q35" s="51"/>
      <c r="T35" s="49"/>
      <c r="U35" s="49"/>
      <c r="V35" s="49"/>
      <c r="W35" s="49"/>
      <c r="X35" s="49"/>
      <c r="Y35" s="49"/>
      <c r="Z35" s="49"/>
      <c r="AA35" s="49"/>
      <c r="AB35" s="100"/>
      <c r="AF35" s="102"/>
      <c r="AG35" s="52"/>
      <c r="AH35" s="116"/>
      <c r="AI35" s="117"/>
      <c r="AJ35" s="57" t="s">
        <v>46</v>
      </c>
      <c r="AK35" s="58"/>
      <c r="AL35" s="58"/>
    </row>
    <row r="36" spans="3:38" ht="17.100000000000001" customHeight="1" x14ac:dyDescent="0.25">
      <c r="H36" s="123"/>
      <c r="N36" s="100"/>
      <c r="AF36" s="90"/>
      <c r="AG36" s="52"/>
      <c r="AH36" s="118"/>
      <c r="AI36" s="119"/>
      <c r="AJ36" s="57" t="s">
        <v>46</v>
      </c>
      <c r="AK36" s="58"/>
      <c r="AL36" s="58"/>
    </row>
    <row r="37" spans="3:38" ht="17.100000000000001" customHeight="1" x14ac:dyDescent="0.25">
      <c r="H37" s="123"/>
      <c r="N37" s="100"/>
      <c r="AF37" s="90"/>
      <c r="AG37" s="52"/>
      <c r="AH37" s="118"/>
      <c r="AI37" s="119"/>
      <c r="AJ37" s="57" t="s">
        <v>46</v>
      </c>
      <c r="AK37" s="58"/>
      <c r="AL37" s="58"/>
    </row>
    <row r="38" spans="3:38" ht="17.100000000000001" customHeight="1" x14ac:dyDescent="0.25">
      <c r="H38" s="123"/>
      <c r="N38" s="100"/>
      <c r="AF38" s="90"/>
      <c r="AG38" s="52"/>
      <c r="AH38" s="118"/>
      <c r="AI38" s="119"/>
      <c r="AJ38" s="57" t="s">
        <v>46</v>
      </c>
      <c r="AK38" s="58"/>
      <c r="AL38" s="58"/>
    </row>
    <row r="39" spans="3:38" ht="17.100000000000001" customHeight="1" x14ac:dyDescent="0.25">
      <c r="C39" s="92"/>
      <c r="D39" s="92"/>
      <c r="F39" s="108"/>
      <c r="H39" s="123"/>
      <c r="N39" s="100"/>
      <c r="O39" s="50"/>
      <c r="P39" s="100"/>
      <c r="Q39" s="51"/>
      <c r="T39" s="49"/>
      <c r="U39" s="49"/>
      <c r="V39" s="49"/>
      <c r="W39" s="49"/>
      <c r="X39" s="49"/>
      <c r="Y39" s="49"/>
      <c r="Z39" s="49"/>
      <c r="AA39" s="49"/>
      <c r="AB39" s="100"/>
      <c r="AF39" s="102"/>
      <c r="AG39" s="52"/>
      <c r="AH39" s="116"/>
      <c r="AI39" s="117"/>
      <c r="AJ39" s="57" t="s">
        <v>46</v>
      </c>
      <c r="AK39" s="58"/>
      <c r="AL39" s="58"/>
    </row>
    <row r="40" spans="3:38" ht="17.100000000000001" customHeight="1" x14ac:dyDescent="0.25">
      <c r="C40" s="92"/>
      <c r="D40" s="92"/>
      <c r="F40" s="108"/>
      <c r="H40" s="123"/>
      <c r="N40" s="100"/>
      <c r="O40" s="50"/>
      <c r="P40" s="100"/>
      <c r="Q40" s="51"/>
      <c r="T40" s="49"/>
      <c r="U40" s="49"/>
      <c r="V40" s="49"/>
      <c r="W40" s="49"/>
      <c r="X40" s="49"/>
      <c r="Y40" s="49"/>
      <c r="Z40" s="49"/>
      <c r="AA40" s="49"/>
      <c r="AB40" s="100"/>
      <c r="AF40" s="102"/>
      <c r="AG40" s="52"/>
      <c r="AH40" s="116"/>
      <c r="AI40" s="117"/>
      <c r="AJ40" s="57" t="s">
        <v>46</v>
      </c>
      <c r="AK40" s="58"/>
      <c r="AL40" s="58"/>
    </row>
    <row r="41" spans="3:38" ht="17.100000000000001" customHeight="1" x14ac:dyDescent="0.25">
      <c r="C41" s="92"/>
      <c r="D41" s="92"/>
      <c r="F41" s="108"/>
      <c r="H41" s="123"/>
      <c r="N41" s="100"/>
      <c r="O41" s="50"/>
      <c r="P41" s="100"/>
      <c r="Q41" s="51"/>
      <c r="T41" s="49"/>
      <c r="V41" s="49"/>
      <c r="W41" s="49"/>
      <c r="X41" s="49"/>
      <c r="Y41" s="49"/>
      <c r="Z41" s="49"/>
      <c r="AA41" s="49"/>
      <c r="AB41" s="100"/>
      <c r="AF41" s="102"/>
      <c r="AG41" s="52"/>
      <c r="AH41" s="116"/>
      <c r="AI41" s="117"/>
      <c r="AJ41" s="57" t="s">
        <v>46</v>
      </c>
      <c r="AK41" s="58"/>
      <c r="AL41" s="58"/>
    </row>
    <row r="42" spans="3:38" ht="17.100000000000001" customHeight="1" x14ac:dyDescent="0.25">
      <c r="H42" s="123"/>
      <c r="N42" s="100"/>
      <c r="O42" s="50"/>
      <c r="P42" s="100"/>
      <c r="Q42" s="51"/>
      <c r="T42" s="49"/>
      <c r="AF42" s="90"/>
      <c r="AG42" s="52"/>
      <c r="AH42" s="118"/>
      <c r="AI42" s="119"/>
      <c r="AJ42" s="57" t="s">
        <v>46</v>
      </c>
      <c r="AK42" s="58"/>
      <c r="AL42" s="58"/>
    </row>
    <row r="43" spans="3:38" ht="17.100000000000001" customHeight="1" x14ac:dyDescent="0.25">
      <c r="H43" s="123"/>
      <c r="N43" s="100"/>
      <c r="T43" s="49"/>
      <c r="AF43" s="90"/>
      <c r="AG43" s="52"/>
      <c r="AH43" s="118"/>
      <c r="AI43" s="119"/>
      <c r="AJ43" s="57" t="s">
        <v>46</v>
      </c>
      <c r="AK43" s="58"/>
      <c r="AL43" s="58"/>
    </row>
    <row r="44" spans="3:38" ht="17.100000000000001" customHeight="1" x14ac:dyDescent="0.25">
      <c r="H44" s="123"/>
      <c r="N44" s="100"/>
      <c r="AF44" s="90"/>
      <c r="AG44" s="52"/>
      <c r="AH44" s="118"/>
      <c r="AI44" s="119"/>
      <c r="AJ44" s="57" t="s">
        <v>46</v>
      </c>
      <c r="AK44" s="58"/>
      <c r="AL44" s="58"/>
    </row>
    <row r="45" spans="3:38" ht="17.100000000000001" customHeight="1" x14ac:dyDescent="0.25">
      <c r="C45" s="92"/>
      <c r="D45" s="92"/>
      <c r="F45" s="108"/>
      <c r="H45" s="123"/>
      <c r="N45" s="100"/>
      <c r="T45" s="49"/>
      <c r="V45" s="49"/>
      <c r="W45" s="49"/>
      <c r="X45" s="49"/>
      <c r="Y45" s="49"/>
      <c r="Z45" s="49"/>
      <c r="AA45" s="49"/>
      <c r="AB45" s="100"/>
      <c r="AF45" s="102"/>
      <c r="AG45" s="52"/>
      <c r="AH45" s="116"/>
      <c r="AI45" s="117"/>
      <c r="AJ45" s="57" t="s">
        <v>46</v>
      </c>
      <c r="AK45" s="58"/>
      <c r="AL45" s="58"/>
    </row>
    <row r="46" spans="3:38" ht="17.100000000000001" customHeight="1" x14ac:dyDescent="0.25">
      <c r="C46" s="92"/>
      <c r="D46" s="92"/>
      <c r="F46" s="108"/>
      <c r="H46" s="123"/>
      <c r="N46" s="100"/>
      <c r="T46" s="49"/>
      <c r="U46" s="64"/>
      <c r="V46" s="49"/>
      <c r="W46" s="49"/>
      <c r="X46" s="49"/>
      <c r="Y46" s="49"/>
      <c r="Z46" s="49"/>
      <c r="AA46" s="49"/>
      <c r="AB46" s="100"/>
      <c r="AF46" s="102"/>
      <c r="AG46" s="52"/>
      <c r="AH46" s="116"/>
      <c r="AI46" s="117"/>
      <c r="AJ46" s="57" t="s">
        <v>46</v>
      </c>
      <c r="AK46" s="58"/>
      <c r="AL46" s="58"/>
    </row>
    <row r="47" spans="3:38" ht="17.100000000000001" customHeight="1" x14ac:dyDescent="0.25">
      <c r="C47" s="92"/>
      <c r="D47" s="92"/>
      <c r="F47" s="108"/>
      <c r="H47" s="123"/>
      <c r="N47" s="100"/>
      <c r="O47" s="50"/>
      <c r="P47" s="100"/>
      <c r="Q47" s="51"/>
      <c r="T47" s="49"/>
      <c r="U47" s="64"/>
      <c r="V47" s="49"/>
      <c r="W47" s="49"/>
      <c r="X47" s="49"/>
      <c r="Y47" s="49"/>
      <c r="Z47" s="49"/>
      <c r="AA47" s="49"/>
      <c r="AB47" s="100"/>
      <c r="AF47" s="102"/>
      <c r="AG47" s="52"/>
      <c r="AH47" s="116"/>
      <c r="AI47" s="117"/>
      <c r="AJ47" s="57" t="s">
        <v>46</v>
      </c>
      <c r="AK47" s="58"/>
      <c r="AL47" s="58"/>
    </row>
    <row r="48" spans="3:38" ht="17.100000000000001" customHeight="1" x14ac:dyDescent="0.25">
      <c r="H48" s="123"/>
      <c r="N48" s="100"/>
      <c r="AF48" s="90"/>
      <c r="AG48" s="52"/>
      <c r="AH48" s="118"/>
      <c r="AI48" s="119"/>
      <c r="AJ48" s="57" t="s">
        <v>46</v>
      </c>
      <c r="AK48" s="58"/>
      <c r="AL48" s="58"/>
    </row>
    <row r="49" spans="3:38" ht="17.100000000000001" customHeight="1" x14ac:dyDescent="0.25">
      <c r="H49" s="123"/>
      <c r="N49" s="100"/>
      <c r="AF49" s="90"/>
      <c r="AG49" s="52"/>
      <c r="AH49" s="118"/>
      <c r="AI49" s="119"/>
      <c r="AJ49" s="57" t="s">
        <v>46</v>
      </c>
      <c r="AK49" s="58"/>
      <c r="AL49" s="58"/>
    </row>
    <row r="50" spans="3:38" ht="17.100000000000001" customHeight="1" x14ac:dyDescent="0.25">
      <c r="H50" s="123"/>
      <c r="N50" s="100"/>
      <c r="AF50" s="90"/>
      <c r="AG50" s="52"/>
      <c r="AH50" s="118"/>
      <c r="AI50" s="119"/>
      <c r="AJ50" s="57" t="s">
        <v>46</v>
      </c>
      <c r="AK50" s="58"/>
      <c r="AL50" s="58"/>
    </row>
    <row r="51" spans="3:38" ht="17.100000000000001" customHeight="1" x14ac:dyDescent="0.25">
      <c r="H51" s="123"/>
      <c r="N51" s="100"/>
      <c r="AF51" s="90"/>
      <c r="AG51" s="52"/>
      <c r="AH51" s="118"/>
      <c r="AI51" s="119"/>
      <c r="AJ51" s="57" t="s">
        <v>46</v>
      </c>
      <c r="AK51" s="58"/>
      <c r="AL51" s="58"/>
    </row>
    <row r="52" spans="3:38" ht="17.100000000000001" customHeight="1" x14ac:dyDescent="0.25">
      <c r="H52" s="123"/>
      <c r="N52" s="100"/>
      <c r="AF52" s="90"/>
      <c r="AG52" s="52"/>
      <c r="AH52" s="118"/>
      <c r="AI52" s="119"/>
      <c r="AJ52" s="57" t="s">
        <v>46</v>
      </c>
      <c r="AK52" s="58"/>
      <c r="AL52" s="58"/>
    </row>
    <row r="53" spans="3:38" ht="17.100000000000001" customHeight="1" x14ac:dyDescent="0.25">
      <c r="H53" s="123"/>
      <c r="N53" s="100"/>
      <c r="AF53" s="90"/>
      <c r="AG53" s="52"/>
      <c r="AH53" s="118"/>
      <c r="AI53" s="119"/>
      <c r="AJ53" s="57" t="s">
        <v>46</v>
      </c>
      <c r="AK53" s="58"/>
      <c r="AL53" s="58"/>
    </row>
    <row r="54" spans="3:38" ht="17.100000000000001" customHeight="1" x14ac:dyDescent="0.25">
      <c r="H54" s="123"/>
      <c r="N54" s="100"/>
      <c r="AF54" s="90"/>
      <c r="AG54" s="52"/>
      <c r="AH54" s="118"/>
      <c r="AI54" s="119"/>
      <c r="AJ54" s="57" t="s">
        <v>46</v>
      </c>
      <c r="AK54" s="58"/>
      <c r="AL54" s="58"/>
    </row>
    <row r="55" spans="3:38" ht="17.100000000000001" customHeight="1" x14ac:dyDescent="0.25">
      <c r="H55" s="123"/>
      <c r="N55" s="100"/>
      <c r="AF55" s="90"/>
      <c r="AG55" s="52"/>
      <c r="AH55" s="118"/>
      <c r="AI55" s="119"/>
      <c r="AJ55" s="57" t="s">
        <v>46</v>
      </c>
      <c r="AK55" s="58"/>
      <c r="AL55" s="58"/>
    </row>
    <row r="56" spans="3:38" ht="17.100000000000001" customHeight="1" x14ac:dyDescent="0.25">
      <c r="H56" s="123"/>
      <c r="N56" s="100"/>
      <c r="O56" s="79"/>
      <c r="U56" s="78"/>
      <c r="AF56" s="90"/>
      <c r="AG56" s="52"/>
      <c r="AH56" s="118"/>
      <c r="AI56" s="119"/>
      <c r="AJ56" s="57" t="s">
        <v>46</v>
      </c>
      <c r="AK56" s="58"/>
      <c r="AL56" s="58"/>
    </row>
    <row r="57" spans="3:38" ht="17.100000000000001" customHeight="1" x14ac:dyDescent="0.25">
      <c r="H57" s="123"/>
      <c r="N57" s="100"/>
      <c r="AF57" s="90"/>
      <c r="AG57" s="52"/>
      <c r="AH57" s="118"/>
      <c r="AI57" s="119"/>
      <c r="AJ57" s="57" t="s">
        <v>46</v>
      </c>
      <c r="AK57" s="58"/>
      <c r="AL57" s="58"/>
    </row>
    <row r="58" spans="3:38" ht="17.100000000000001" customHeight="1" x14ac:dyDescent="0.25">
      <c r="H58" s="123"/>
      <c r="N58" s="100"/>
      <c r="T58" s="49"/>
      <c r="AF58" s="90"/>
      <c r="AG58" s="52"/>
      <c r="AH58" s="118"/>
      <c r="AI58" s="119"/>
      <c r="AJ58" s="57" t="s">
        <v>46</v>
      </c>
      <c r="AK58" s="58"/>
      <c r="AL58" s="58"/>
    </row>
    <row r="59" spans="3:38" ht="17.100000000000001" customHeight="1" x14ac:dyDescent="0.25">
      <c r="C59" s="92"/>
      <c r="D59" s="92"/>
      <c r="F59" s="108"/>
      <c r="H59" s="123"/>
      <c r="N59" s="100"/>
      <c r="O59" s="50"/>
      <c r="P59" s="100"/>
      <c r="T59" s="49"/>
      <c r="U59" s="49"/>
      <c r="V59" s="49"/>
      <c r="W59" s="49"/>
      <c r="X59" s="49"/>
      <c r="Y59" s="49"/>
      <c r="Z59" s="49"/>
      <c r="AA59" s="49"/>
      <c r="AB59" s="100"/>
      <c r="AF59" s="90"/>
      <c r="AG59" s="52"/>
      <c r="AH59" s="116"/>
      <c r="AI59" s="117"/>
      <c r="AJ59" s="57" t="s">
        <v>46</v>
      </c>
      <c r="AK59" s="58"/>
      <c r="AL59" s="58"/>
    </row>
    <row r="60" spans="3:38" ht="17.100000000000001" customHeight="1" x14ac:dyDescent="0.25">
      <c r="C60" s="92"/>
      <c r="D60" s="92"/>
      <c r="F60" s="108"/>
      <c r="H60" s="123"/>
      <c r="N60" s="100"/>
      <c r="O60" s="50"/>
      <c r="P60" s="100"/>
      <c r="T60" s="49"/>
      <c r="U60" s="49"/>
      <c r="V60" s="49"/>
      <c r="W60" s="49"/>
      <c r="X60" s="49"/>
      <c r="Y60" s="49"/>
      <c r="Z60" s="49"/>
      <c r="AA60" s="49"/>
      <c r="AB60" s="100"/>
      <c r="AF60" s="90"/>
      <c r="AG60" s="52"/>
      <c r="AH60" s="116"/>
      <c r="AI60" s="117"/>
      <c r="AJ60" s="57" t="s">
        <v>46</v>
      </c>
      <c r="AK60" s="58"/>
      <c r="AL60" s="58"/>
    </row>
    <row r="61" spans="3:38" ht="17.100000000000001" customHeight="1" x14ac:dyDescent="0.25">
      <c r="C61" s="92"/>
      <c r="D61" s="92"/>
      <c r="F61" s="108"/>
      <c r="H61" s="123"/>
      <c r="N61" s="100"/>
      <c r="O61" s="50"/>
      <c r="P61" s="100"/>
      <c r="T61" s="49"/>
      <c r="U61" s="49"/>
      <c r="V61" s="49"/>
      <c r="W61" s="49"/>
      <c r="X61" s="49"/>
      <c r="Y61" s="49"/>
      <c r="Z61" s="49"/>
      <c r="AA61" s="49"/>
      <c r="AB61" s="100"/>
      <c r="AF61" s="90"/>
      <c r="AG61" s="52"/>
      <c r="AH61" s="116"/>
      <c r="AI61" s="117"/>
      <c r="AJ61" s="57" t="s">
        <v>46</v>
      </c>
      <c r="AK61" s="58"/>
      <c r="AL61" s="58"/>
    </row>
    <row r="62" spans="3:38" ht="17.100000000000001" customHeight="1" x14ac:dyDescent="0.25">
      <c r="C62" s="92"/>
      <c r="D62" s="92"/>
      <c r="F62" s="108"/>
      <c r="H62" s="123"/>
      <c r="N62" s="100"/>
      <c r="O62" s="50"/>
      <c r="P62" s="100"/>
      <c r="T62" s="49"/>
      <c r="U62" s="49"/>
      <c r="V62" s="49"/>
      <c r="W62" s="49"/>
      <c r="X62" s="49"/>
      <c r="Y62" s="49"/>
      <c r="Z62" s="49"/>
      <c r="AA62" s="49"/>
      <c r="AB62" s="100"/>
      <c r="AF62" s="90"/>
      <c r="AG62" s="52"/>
      <c r="AH62" s="116"/>
      <c r="AI62" s="117"/>
      <c r="AJ62" s="57" t="s">
        <v>46</v>
      </c>
      <c r="AK62" s="58"/>
      <c r="AL62" s="58"/>
    </row>
    <row r="63" spans="3:38" ht="17.100000000000001" customHeight="1" x14ac:dyDescent="0.25">
      <c r="H63" s="123"/>
      <c r="N63" s="100"/>
      <c r="AF63" s="90"/>
      <c r="AG63" s="52"/>
      <c r="AH63" s="118"/>
      <c r="AI63" s="119"/>
      <c r="AJ63" s="57" t="s">
        <v>46</v>
      </c>
      <c r="AK63" s="58"/>
      <c r="AL63" s="58"/>
    </row>
    <row r="64" spans="3:38" ht="17.100000000000001" customHeight="1" x14ac:dyDescent="0.25">
      <c r="H64" s="123"/>
      <c r="N64" s="100"/>
      <c r="O64" s="50"/>
      <c r="Q64" s="51"/>
      <c r="U64" s="77"/>
      <c r="AF64" s="90"/>
      <c r="AG64" s="52"/>
      <c r="AH64" s="118"/>
      <c r="AI64" s="119"/>
      <c r="AJ64" s="57" t="s">
        <v>46</v>
      </c>
      <c r="AK64" s="58"/>
      <c r="AL64" s="58"/>
    </row>
    <row r="65" spans="8:38" ht="17.100000000000001" customHeight="1" x14ac:dyDescent="0.25">
      <c r="H65" s="123"/>
      <c r="N65" s="100"/>
      <c r="AF65" s="90"/>
      <c r="AG65" s="52"/>
      <c r="AH65" s="118"/>
      <c r="AI65" s="119"/>
      <c r="AJ65" s="57" t="s">
        <v>46</v>
      </c>
      <c r="AK65" s="58"/>
      <c r="AL65" s="58"/>
    </row>
    <row r="66" spans="8:38" ht="17.100000000000001" customHeight="1" x14ac:dyDescent="0.25">
      <c r="H66" s="123"/>
      <c r="N66" s="100"/>
      <c r="AF66" s="90"/>
      <c r="AG66" s="52"/>
      <c r="AH66" s="118"/>
      <c r="AI66" s="119"/>
      <c r="AJ66" s="57" t="s">
        <v>46</v>
      </c>
      <c r="AK66" s="58"/>
      <c r="AL66" s="58"/>
    </row>
    <row r="67" spans="8:38" ht="17.100000000000001" customHeight="1" x14ac:dyDescent="0.25">
      <c r="H67" s="123"/>
      <c r="N67" s="100"/>
      <c r="AF67" s="90"/>
      <c r="AG67" s="52"/>
      <c r="AH67" s="118"/>
      <c r="AI67" s="119"/>
      <c r="AJ67" s="57" t="s">
        <v>46</v>
      </c>
      <c r="AK67" s="58"/>
      <c r="AL67" s="58"/>
    </row>
    <row r="68" spans="8:38" ht="17.100000000000001" customHeight="1" x14ac:dyDescent="0.25">
      <c r="H68" s="123"/>
      <c r="N68" s="100"/>
      <c r="AF68" s="90"/>
      <c r="AG68" s="52"/>
      <c r="AH68" s="118"/>
      <c r="AI68" s="119"/>
      <c r="AJ68" s="57" t="s">
        <v>46</v>
      </c>
      <c r="AK68" s="58"/>
      <c r="AL68" s="58"/>
    </row>
    <row r="69" spans="8:38" ht="17.100000000000001" customHeight="1" x14ac:dyDescent="0.25">
      <c r="H69" s="123"/>
      <c r="N69" s="100"/>
      <c r="AF69" s="90"/>
      <c r="AG69" s="52"/>
      <c r="AH69" s="118"/>
      <c r="AI69" s="119"/>
      <c r="AJ69" s="57" t="s">
        <v>46</v>
      </c>
      <c r="AK69" s="58"/>
      <c r="AL69" s="58"/>
    </row>
    <row r="70" spans="8:38" ht="17.100000000000001" customHeight="1" x14ac:dyDescent="0.25">
      <c r="H70" s="123"/>
      <c r="N70" s="100"/>
      <c r="AF70" s="90"/>
      <c r="AG70" s="52"/>
      <c r="AH70" s="118"/>
      <c r="AI70" s="119"/>
      <c r="AJ70" s="57" t="s">
        <v>46</v>
      </c>
      <c r="AK70" s="58"/>
      <c r="AL70" s="58"/>
    </row>
    <row r="71" spans="8:38" ht="17.100000000000001" customHeight="1" x14ac:dyDescent="0.25">
      <c r="H71" s="123"/>
      <c r="N71" s="100"/>
      <c r="AF71" s="90"/>
      <c r="AG71" s="52"/>
      <c r="AH71" s="118"/>
      <c r="AI71" s="119"/>
      <c r="AJ71" s="57" t="s">
        <v>46</v>
      </c>
      <c r="AK71" s="58"/>
      <c r="AL71" s="58"/>
    </row>
    <row r="72" spans="8:38" ht="17.100000000000001" customHeight="1" x14ac:dyDescent="0.25">
      <c r="H72" s="123"/>
      <c r="N72" s="100"/>
      <c r="AF72" s="90"/>
      <c r="AG72" s="52"/>
      <c r="AH72" s="118"/>
      <c r="AI72" s="119"/>
      <c r="AJ72" s="57" t="s">
        <v>46</v>
      </c>
      <c r="AK72" s="58"/>
      <c r="AL72" s="58"/>
    </row>
    <row r="73" spans="8:38" ht="17.100000000000001" customHeight="1" x14ac:dyDescent="0.25">
      <c r="H73" s="123"/>
      <c r="N73" s="100"/>
      <c r="AF73" s="90"/>
      <c r="AG73" s="52"/>
      <c r="AH73" s="118"/>
      <c r="AI73" s="119"/>
      <c r="AJ73" s="57" t="s">
        <v>46</v>
      </c>
      <c r="AK73" s="58"/>
      <c r="AL73" s="58"/>
    </row>
    <row r="74" spans="8:38" ht="17.100000000000001" customHeight="1" x14ac:dyDescent="0.25">
      <c r="H74" s="123"/>
      <c r="N74" s="100"/>
      <c r="AF74" s="90"/>
      <c r="AG74" s="52"/>
      <c r="AH74" s="118"/>
      <c r="AI74" s="119"/>
      <c r="AJ74" s="57" t="s">
        <v>46</v>
      </c>
      <c r="AK74" s="58"/>
      <c r="AL74" s="58"/>
    </row>
    <row r="75" spans="8:38" ht="17.100000000000001" customHeight="1" x14ac:dyDescent="0.25">
      <c r="H75" s="123"/>
      <c r="N75" s="100"/>
      <c r="AF75" s="90"/>
      <c r="AG75" s="52"/>
      <c r="AH75" s="116"/>
      <c r="AI75" s="119"/>
      <c r="AJ75" s="57" t="s">
        <v>46</v>
      </c>
      <c r="AK75" s="58"/>
      <c r="AL75" s="58"/>
    </row>
    <row r="76" spans="8:38" ht="17.100000000000001" customHeight="1" x14ac:dyDescent="0.25">
      <c r="H76" s="123"/>
      <c r="N76" s="100"/>
      <c r="AF76" s="90"/>
      <c r="AG76" s="52"/>
      <c r="AH76" s="118"/>
      <c r="AI76" s="119"/>
      <c r="AJ76" s="57" t="s">
        <v>46</v>
      </c>
      <c r="AK76" s="58"/>
      <c r="AL76" s="58"/>
    </row>
    <row r="77" spans="8:38" ht="17.100000000000001" customHeight="1" x14ac:dyDescent="0.25">
      <c r="H77" s="123"/>
      <c r="N77" s="100"/>
      <c r="AF77" s="90"/>
      <c r="AG77" s="52"/>
      <c r="AH77" s="118"/>
      <c r="AI77" s="119"/>
      <c r="AJ77" s="57" t="s">
        <v>46</v>
      </c>
      <c r="AK77" s="58"/>
      <c r="AL77" s="58"/>
    </row>
    <row r="78" spans="8:38" ht="17.100000000000001" customHeight="1" x14ac:dyDescent="0.25">
      <c r="H78" s="123"/>
      <c r="N78" s="100"/>
      <c r="AF78" s="90"/>
      <c r="AG78" s="52"/>
      <c r="AH78" s="118"/>
      <c r="AI78" s="119"/>
      <c r="AJ78" s="57" t="s">
        <v>46</v>
      </c>
      <c r="AK78" s="58"/>
      <c r="AL78" s="58"/>
    </row>
    <row r="79" spans="8:38" ht="17.100000000000001" customHeight="1" x14ac:dyDescent="0.25">
      <c r="H79" s="123"/>
      <c r="N79" s="100"/>
      <c r="AF79" s="90"/>
      <c r="AG79" s="52"/>
      <c r="AH79" s="118"/>
      <c r="AI79" s="119"/>
      <c r="AJ79" s="57" t="s">
        <v>46</v>
      </c>
      <c r="AK79" s="58"/>
      <c r="AL79" s="58"/>
    </row>
    <row r="80" spans="8:38" ht="17.100000000000001" customHeight="1" x14ac:dyDescent="0.25">
      <c r="H80" s="123"/>
      <c r="N80" s="100"/>
      <c r="AF80" s="90"/>
      <c r="AG80" s="52"/>
      <c r="AH80" s="118"/>
      <c r="AI80" s="119"/>
      <c r="AJ80" s="57" t="s">
        <v>46</v>
      </c>
      <c r="AK80" s="58"/>
      <c r="AL80" s="58"/>
    </row>
    <row r="81" spans="3:38" ht="17.100000000000001" customHeight="1" x14ac:dyDescent="0.25">
      <c r="H81" s="123"/>
      <c r="N81" s="100"/>
      <c r="AF81" s="90"/>
      <c r="AG81" s="52"/>
      <c r="AH81" s="118"/>
      <c r="AI81" s="119"/>
      <c r="AJ81" s="57" t="s">
        <v>46</v>
      </c>
      <c r="AK81" s="58"/>
      <c r="AL81" s="58"/>
    </row>
    <row r="82" spans="3:38" ht="17.100000000000001" customHeight="1" x14ac:dyDescent="0.25">
      <c r="C82" s="92"/>
      <c r="D82" s="92"/>
      <c r="F82" s="108"/>
      <c r="H82" s="123"/>
      <c r="N82" s="100"/>
      <c r="P82" s="100"/>
      <c r="Q82" s="51"/>
      <c r="T82" s="49"/>
      <c r="U82" s="49"/>
      <c r="V82" s="49"/>
      <c r="W82" s="49"/>
      <c r="X82" s="49"/>
      <c r="Y82" s="49"/>
      <c r="Z82" s="49"/>
      <c r="AA82" s="49"/>
      <c r="AB82" s="100"/>
      <c r="AF82" s="102"/>
      <c r="AG82" s="52"/>
      <c r="AH82" s="116"/>
      <c r="AI82" s="117"/>
      <c r="AJ82" s="57" t="s">
        <v>46</v>
      </c>
      <c r="AK82" s="58"/>
      <c r="AL82" s="58"/>
    </row>
    <row r="83" spans="3:38" ht="17.100000000000001" customHeight="1" x14ac:dyDescent="0.25">
      <c r="H83" s="123"/>
      <c r="N83" s="100"/>
      <c r="AF83" s="90"/>
      <c r="AG83" s="52"/>
      <c r="AH83" s="118"/>
      <c r="AI83" s="119"/>
      <c r="AJ83" s="57" t="s">
        <v>46</v>
      </c>
      <c r="AK83" s="58"/>
      <c r="AL83" s="58"/>
    </row>
    <row r="84" spans="3:38" ht="17.100000000000001" customHeight="1" x14ac:dyDescent="0.25">
      <c r="H84" s="123"/>
      <c r="N84" s="100"/>
      <c r="AF84" s="90"/>
      <c r="AG84" s="52"/>
      <c r="AH84" s="118"/>
      <c r="AI84" s="119"/>
      <c r="AJ84" s="57" t="s">
        <v>46</v>
      </c>
      <c r="AK84" s="58"/>
      <c r="AL84" s="58"/>
    </row>
    <row r="85" spans="3:38" ht="17.100000000000001" customHeight="1" x14ac:dyDescent="0.25">
      <c r="H85" s="123"/>
      <c r="N85" s="100"/>
      <c r="AF85" s="90"/>
      <c r="AG85" s="52"/>
      <c r="AH85" s="118"/>
      <c r="AI85" s="119"/>
      <c r="AJ85" s="57" t="s">
        <v>46</v>
      </c>
      <c r="AK85" s="58"/>
      <c r="AL85" s="58"/>
    </row>
    <row r="86" spans="3:38" ht="17.100000000000001" customHeight="1" x14ac:dyDescent="0.25">
      <c r="H86" s="123"/>
      <c r="N86" s="100"/>
      <c r="AF86" s="90"/>
      <c r="AG86" s="52"/>
      <c r="AH86" s="118"/>
      <c r="AI86" s="119"/>
      <c r="AJ86" s="57" t="s">
        <v>46</v>
      </c>
      <c r="AK86" s="58"/>
      <c r="AL86" s="58"/>
    </row>
    <row r="87" spans="3:38" ht="17.100000000000001" customHeight="1" x14ac:dyDescent="0.25">
      <c r="H87" s="123"/>
      <c r="N87" s="100"/>
      <c r="AF87" s="90"/>
      <c r="AG87" s="52"/>
      <c r="AH87" s="118"/>
      <c r="AI87" s="119"/>
      <c r="AJ87" s="57" t="s">
        <v>46</v>
      </c>
      <c r="AK87" s="58"/>
      <c r="AL87" s="58"/>
    </row>
    <row r="88" spans="3:38" ht="17.100000000000001" customHeight="1" x14ac:dyDescent="0.25">
      <c r="H88" s="123"/>
      <c r="N88" s="100"/>
      <c r="AF88" s="90"/>
      <c r="AG88" s="52"/>
      <c r="AH88" s="118"/>
      <c r="AI88" s="119"/>
      <c r="AJ88" s="57" t="s">
        <v>46</v>
      </c>
      <c r="AK88" s="58"/>
      <c r="AL88" s="58"/>
    </row>
    <row r="89" spans="3:38" ht="17.100000000000001" customHeight="1" x14ac:dyDescent="0.25">
      <c r="H89" s="123"/>
      <c r="N89" s="100"/>
      <c r="AF89" s="90"/>
      <c r="AG89" s="52"/>
      <c r="AH89" s="118"/>
      <c r="AI89" s="119"/>
      <c r="AJ89" s="57" t="s">
        <v>46</v>
      </c>
      <c r="AK89" s="58"/>
      <c r="AL89" s="58"/>
    </row>
    <row r="90" spans="3:38" ht="17.100000000000001" customHeight="1" x14ac:dyDescent="0.25">
      <c r="H90" s="123"/>
      <c r="N90" s="100"/>
      <c r="AF90" s="90"/>
      <c r="AG90" s="52"/>
      <c r="AH90" s="118"/>
      <c r="AI90" s="119"/>
      <c r="AJ90" s="57" t="s">
        <v>46</v>
      </c>
      <c r="AK90" s="58"/>
      <c r="AL90" s="58"/>
    </row>
    <row r="91" spans="3:38" ht="17.100000000000001" customHeight="1" x14ac:dyDescent="0.25">
      <c r="H91" s="123"/>
      <c r="N91" s="100"/>
      <c r="AF91" s="90"/>
      <c r="AG91" s="52"/>
      <c r="AH91" s="118"/>
      <c r="AI91" s="119"/>
      <c r="AJ91" s="57" t="s">
        <v>46</v>
      </c>
      <c r="AK91" s="58"/>
      <c r="AL91" s="58"/>
    </row>
    <row r="92" spans="3:38" ht="17.100000000000001" customHeight="1" x14ac:dyDescent="0.25">
      <c r="H92" s="123"/>
      <c r="N92" s="100"/>
      <c r="AF92" s="90"/>
      <c r="AG92" s="52"/>
      <c r="AH92" s="118"/>
      <c r="AI92" s="119"/>
      <c r="AJ92" s="57" t="s">
        <v>46</v>
      </c>
      <c r="AK92" s="58"/>
      <c r="AL92" s="58"/>
    </row>
    <row r="93" spans="3:38" ht="17.100000000000001" customHeight="1" x14ac:dyDescent="0.25">
      <c r="H93" s="123"/>
      <c r="N93" s="100"/>
      <c r="O93" s="50"/>
      <c r="AF93" s="90"/>
      <c r="AG93" s="52"/>
      <c r="AH93" s="118"/>
      <c r="AI93" s="119"/>
      <c r="AJ93" s="57" t="s">
        <v>46</v>
      </c>
      <c r="AK93" s="60"/>
      <c r="AL93" s="1"/>
    </row>
    <row r="94" spans="3:38" ht="17.100000000000001" customHeight="1" x14ac:dyDescent="0.25">
      <c r="H94" s="123"/>
      <c r="N94" s="100"/>
      <c r="AF94" s="90"/>
      <c r="AG94" s="52"/>
      <c r="AH94" s="118"/>
      <c r="AI94" s="119"/>
      <c r="AJ94" s="57" t="s">
        <v>46</v>
      </c>
      <c r="AK94" s="60"/>
      <c r="AL94" s="1"/>
    </row>
    <row r="95" spans="3:38" ht="17.100000000000001" customHeight="1" x14ac:dyDescent="0.25">
      <c r="H95" s="123"/>
      <c r="N95" s="100"/>
      <c r="O95" s="50"/>
      <c r="AF95" s="90"/>
      <c r="AG95" s="52"/>
      <c r="AH95" s="118"/>
      <c r="AI95" s="119"/>
      <c r="AJ95" s="57" t="s">
        <v>46</v>
      </c>
      <c r="AK95" s="60"/>
      <c r="AL95" s="1"/>
    </row>
    <row r="96" spans="3:38" ht="17.100000000000001" customHeight="1" x14ac:dyDescent="0.25">
      <c r="H96" s="123"/>
      <c r="N96" s="100"/>
      <c r="AF96" s="90"/>
      <c r="AG96" s="52"/>
      <c r="AH96" s="118"/>
      <c r="AI96" s="119"/>
      <c r="AJ96" s="57" t="s">
        <v>46</v>
      </c>
      <c r="AK96" s="60"/>
      <c r="AL96" s="1"/>
    </row>
    <row r="97" spans="3:38" ht="17.100000000000001" customHeight="1" x14ac:dyDescent="0.25">
      <c r="H97" s="123"/>
      <c r="N97" s="100"/>
      <c r="AF97" s="90"/>
      <c r="AG97" s="52"/>
      <c r="AH97" s="118"/>
      <c r="AI97" s="119"/>
      <c r="AJ97" s="57" t="s">
        <v>46</v>
      </c>
      <c r="AK97" s="60"/>
      <c r="AL97" s="1"/>
    </row>
    <row r="98" spans="3:38" ht="17.100000000000001" customHeight="1" x14ac:dyDescent="0.25">
      <c r="H98" s="123"/>
      <c r="N98" s="100"/>
      <c r="AF98" s="90"/>
      <c r="AG98" s="52"/>
      <c r="AH98" s="116"/>
      <c r="AI98" s="119"/>
      <c r="AJ98" s="57" t="s">
        <v>46</v>
      </c>
      <c r="AK98" s="60"/>
      <c r="AL98" s="1"/>
    </row>
    <row r="99" spans="3:38" ht="17.100000000000001" customHeight="1" x14ac:dyDescent="0.25">
      <c r="H99" s="123"/>
      <c r="N99" s="100"/>
      <c r="AF99" s="90"/>
      <c r="AG99" s="52"/>
      <c r="AH99" s="116"/>
      <c r="AI99" s="119"/>
      <c r="AJ99" s="57" t="s">
        <v>46</v>
      </c>
      <c r="AK99" s="60"/>
      <c r="AL99" s="1"/>
    </row>
    <row r="100" spans="3:38" ht="17.100000000000001" customHeight="1" x14ac:dyDescent="0.25">
      <c r="H100" s="123"/>
      <c r="N100" s="100"/>
      <c r="AF100" s="90"/>
      <c r="AG100" s="52"/>
      <c r="AH100" s="118"/>
      <c r="AI100" s="119"/>
      <c r="AJ100" s="57" t="s">
        <v>46</v>
      </c>
      <c r="AK100" s="60"/>
      <c r="AL100" s="1"/>
    </row>
    <row r="101" spans="3:38" ht="17.100000000000001" customHeight="1" x14ac:dyDescent="0.25">
      <c r="H101" s="123"/>
      <c r="N101" s="100"/>
      <c r="AF101" s="90"/>
      <c r="AG101" s="52"/>
      <c r="AH101" s="118"/>
      <c r="AI101" s="119"/>
      <c r="AJ101" s="57" t="s">
        <v>46</v>
      </c>
      <c r="AK101" s="60"/>
      <c r="AL101" s="1"/>
    </row>
    <row r="102" spans="3:38" ht="17.100000000000001" customHeight="1" x14ac:dyDescent="0.25">
      <c r="H102" s="123"/>
      <c r="N102" s="100"/>
      <c r="AF102" s="90"/>
      <c r="AG102" s="52"/>
      <c r="AH102" s="118"/>
      <c r="AI102" s="119"/>
      <c r="AJ102" s="57" t="s">
        <v>46</v>
      </c>
      <c r="AK102" s="60"/>
      <c r="AL102" s="1"/>
    </row>
    <row r="103" spans="3:38" ht="17.100000000000001" customHeight="1" x14ac:dyDescent="0.25">
      <c r="H103" s="123"/>
      <c r="N103" s="100"/>
      <c r="AF103" s="90"/>
      <c r="AG103" s="52"/>
      <c r="AH103" s="118"/>
      <c r="AI103" s="119"/>
      <c r="AJ103" s="57" t="s">
        <v>46</v>
      </c>
      <c r="AK103" s="60"/>
      <c r="AL103" s="1"/>
    </row>
    <row r="104" spans="3:38" ht="17.100000000000001" customHeight="1" x14ac:dyDescent="0.25">
      <c r="C104" s="92"/>
      <c r="D104" s="92"/>
      <c r="F104" s="108"/>
      <c r="H104" s="123"/>
      <c r="N104" s="100"/>
      <c r="O104" s="50"/>
      <c r="P104" s="100"/>
      <c r="Q104" s="51"/>
      <c r="R104" s="103"/>
      <c r="T104" s="49"/>
      <c r="U104" s="49"/>
      <c r="V104" s="49"/>
      <c r="W104" s="49"/>
      <c r="X104" s="49"/>
      <c r="Y104" s="49"/>
      <c r="Z104" s="49"/>
      <c r="AA104" s="49"/>
      <c r="AB104" s="100"/>
      <c r="AC104" s="100"/>
      <c r="AD104" s="49"/>
      <c r="AE104" s="49"/>
      <c r="AF104" s="102"/>
      <c r="AG104" s="52"/>
      <c r="AH104" s="116"/>
      <c r="AI104" s="117"/>
      <c r="AJ104" s="57" t="s">
        <v>46</v>
      </c>
      <c r="AK104" s="58"/>
      <c r="AL104" s="58"/>
    </row>
    <row r="105" spans="3:38" ht="17.100000000000001" customHeight="1" x14ac:dyDescent="0.25">
      <c r="H105" s="123"/>
      <c r="N105" s="100"/>
      <c r="AF105" s="90"/>
      <c r="AG105" s="52"/>
      <c r="AH105" s="118"/>
      <c r="AI105" s="119"/>
      <c r="AJ105" s="57" t="s">
        <v>46</v>
      </c>
      <c r="AK105" s="60"/>
      <c r="AL105" s="1"/>
    </row>
    <row r="106" spans="3:38" ht="17.100000000000001" customHeight="1" x14ac:dyDescent="0.25">
      <c r="H106" s="123"/>
      <c r="N106" s="100"/>
      <c r="AF106" s="90"/>
      <c r="AG106" s="52"/>
      <c r="AH106" s="118"/>
      <c r="AI106" s="119"/>
      <c r="AJ106" s="57" t="s">
        <v>46</v>
      </c>
      <c r="AK106" s="60"/>
      <c r="AL106" s="1"/>
    </row>
    <row r="107" spans="3:38" ht="17.100000000000001" customHeight="1" x14ac:dyDescent="0.25">
      <c r="H107" s="123"/>
      <c r="N107" s="100"/>
      <c r="AF107" s="90"/>
      <c r="AG107" s="52"/>
      <c r="AH107" s="118"/>
      <c r="AI107" s="119"/>
      <c r="AJ107" s="57" t="s">
        <v>46</v>
      </c>
      <c r="AK107" s="60"/>
      <c r="AL107" s="1"/>
    </row>
    <row r="108" spans="3:38" ht="17.100000000000001" customHeight="1" x14ac:dyDescent="0.25">
      <c r="C108" s="92"/>
      <c r="D108" s="92"/>
      <c r="F108" s="108"/>
      <c r="H108" s="123"/>
      <c r="N108" s="100"/>
      <c r="O108" s="50"/>
      <c r="Q108" s="51"/>
      <c r="R108" s="103"/>
      <c r="T108" s="49"/>
      <c r="U108" s="49"/>
      <c r="V108" s="49"/>
      <c r="W108" s="49"/>
      <c r="X108" s="49"/>
      <c r="Y108" s="49"/>
      <c r="Z108" s="49"/>
      <c r="AA108" s="49"/>
      <c r="AB108" s="100"/>
      <c r="AC108" s="100"/>
      <c r="AD108" s="49"/>
      <c r="AE108" s="49"/>
      <c r="AF108" s="102"/>
      <c r="AG108" s="52"/>
      <c r="AH108" s="116"/>
      <c r="AI108" s="117"/>
      <c r="AJ108" s="57" t="s">
        <v>46</v>
      </c>
      <c r="AK108" s="60"/>
      <c r="AL108" s="1"/>
    </row>
    <row r="109" spans="3:38" ht="17.100000000000001" customHeight="1" x14ac:dyDescent="0.25">
      <c r="H109" s="123"/>
      <c r="N109" s="100"/>
      <c r="AF109" s="90"/>
      <c r="AG109" s="52"/>
      <c r="AH109" s="118"/>
      <c r="AI109" s="119"/>
      <c r="AJ109" s="57" t="s">
        <v>46</v>
      </c>
      <c r="AK109" s="60"/>
      <c r="AL109" s="1"/>
    </row>
    <row r="110" spans="3:38" ht="17.100000000000001" customHeight="1" x14ac:dyDescent="0.25">
      <c r="H110" s="123"/>
      <c r="N110" s="100"/>
      <c r="T110" s="49"/>
      <c r="AF110" s="90"/>
      <c r="AG110" s="52"/>
      <c r="AH110" s="118"/>
      <c r="AI110" s="119"/>
      <c r="AJ110" s="57" t="s">
        <v>46</v>
      </c>
      <c r="AK110" s="60"/>
      <c r="AL110" s="1"/>
    </row>
    <row r="111" spans="3:38" ht="17.100000000000001" customHeight="1" x14ac:dyDescent="0.25">
      <c r="H111" s="123"/>
      <c r="N111" s="100"/>
      <c r="AF111" s="90"/>
      <c r="AG111" s="52"/>
      <c r="AH111" s="118"/>
      <c r="AI111" s="120"/>
      <c r="AJ111" s="57" t="s">
        <v>46</v>
      </c>
      <c r="AK111" s="60"/>
      <c r="AL111" s="1"/>
    </row>
    <row r="112" spans="3:38" ht="17.100000000000001" customHeight="1" x14ac:dyDescent="0.25">
      <c r="H112" s="123"/>
      <c r="N112" s="100"/>
      <c r="AF112" s="90"/>
      <c r="AG112" s="52"/>
      <c r="AH112" s="118"/>
      <c r="AI112" s="120"/>
      <c r="AJ112" s="57" t="s">
        <v>46</v>
      </c>
      <c r="AK112" s="60"/>
      <c r="AL112" s="1"/>
    </row>
    <row r="113" spans="3:38" ht="17.100000000000001" customHeight="1" x14ac:dyDescent="0.25">
      <c r="H113" s="123"/>
      <c r="N113" s="100"/>
      <c r="AF113" s="90"/>
      <c r="AG113" s="52"/>
      <c r="AH113" s="118"/>
      <c r="AI113" s="119"/>
      <c r="AJ113" s="57" t="s">
        <v>46</v>
      </c>
      <c r="AK113" s="60"/>
      <c r="AL113" s="1"/>
    </row>
    <row r="114" spans="3:38" ht="17.100000000000001" customHeight="1" x14ac:dyDescent="0.25">
      <c r="C114" s="92"/>
      <c r="D114" s="92"/>
      <c r="F114" s="108"/>
      <c r="H114" s="123"/>
      <c r="N114" s="100"/>
      <c r="O114" s="50"/>
      <c r="P114" s="100"/>
      <c r="Q114" s="51"/>
      <c r="T114" s="49"/>
      <c r="V114" s="49"/>
      <c r="W114" s="49"/>
      <c r="X114" s="49"/>
      <c r="Y114" s="49"/>
      <c r="Z114" s="49"/>
      <c r="AA114" s="49"/>
      <c r="AB114" s="100"/>
      <c r="AF114" s="102"/>
      <c r="AG114" s="52"/>
      <c r="AH114" s="116"/>
      <c r="AI114" s="117"/>
      <c r="AJ114" s="57" t="s">
        <v>46</v>
      </c>
      <c r="AK114" s="60"/>
      <c r="AL114" s="1"/>
    </row>
    <row r="115" spans="3:38" ht="17.100000000000001" customHeight="1" x14ac:dyDescent="0.25">
      <c r="G115" s="69"/>
      <c r="H115" s="123"/>
      <c r="AF115" s="90"/>
      <c r="AG115" s="52"/>
      <c r="AH115" s="118"/>
      <c r="AI115" s="119"/>
      <c r="AJ115" s="57" t="s">
        <v>46</v>
      </c>
      <c r="AK115" s="60"/>
      <c r="AL115" s="1"/>
    </row>
    <row r="116" spans="3:38" ht="17.100000000000001" customHeight="1" x14ac:dyDescent="0.25">
      <c r="C116" s="92"/>
      <c r="D116" s="92"/>
      <c r="F116" s="108"/>
      <c r="H116" s="123"/>
      <c r="N116" s="100"/>
      <c r="O116" s="50"/>
      <c r="P116" s="100"/>
      <c r="Q116" s="51"/>
      <c r="T116" s="49"/>
      <c r="V116" s="49"/>
      <c r="W116" s="49"/>
      <c r="X116" s="49"/>
      <c r="Y116" s="49"/>
      <c r="Z116" s="49"/>
      <c r="AA116" s="49"/>
      <c r="AB116" s="100"/>
      <c r="AF116" s="102"/>
      <c r="AG116" s="52"/>
      <c r="AH116" s="116"/>
      <c r="AI116" s="117"/>
      <c r="AJ116" s="57" t="s">
        <v>46</v>
      </c>
      <c r="AK116" s="60"/>
      <c r="AL116" s="1"/>
    </row>
    <row r="117" spans="3:38" ht="17.100000000000001" customHeight="1" x14ac:dyDescent="0.25">
      <c r="H117" s="123"/>
      <c r="N117" s="100"/>
      <c r="AF117" s="90"/>
      <c r="AG117" s="52"/>
      <c r="AH117" s="118"/>
      <c r="AI117" s="119"/>
      <c r="AJ117" s="57" t="s">
        <v>46</v>
      </c>
      <c r="AK117" s="60"/>
      <c r="AL117" s="1"/>
    </row>
    <row r="118" spans="3:38" ht="17.100000000000001" customHeight="1" x14ac:dyDescent="0.25">
      <c r="G118" s="69"/>
      <c r="H118" s="123"/>
      <c r="AF118" s="90"/>
      <c r="AG118" s="52"/>
      <c r="AH118" s="118"/>
      <c r="AI118" s="119"/>
      <c r="AJ118" s="57" t="s">
        <v>46</v>
      </c>
      <c r="AK118" s="60"/>
      <c r="AL118" s="1"/>
    </row>
    <row r="119" spans="3:38" ht="17.100000000000001" customHeight="1" x14ac:dyDescent="0.25">
      <c r="C119" s="92"/>
      <c r="D119" s="92"/>
      <c r="F119" s="108"/>
      <c r="H119" s="123"/>
      <c r="N119" s="100"/>
      <c r="O119" s="50"/>
      <c r="P119" s="100"/>
      <c r="Q119" s="51"/>
      <c r="T119" s="49"/>
      <c r="V119" s="49"/>
      <c r="W119" s="49"/>
      <c r="X119" s="49"/>
      <c r="Y119" s="49"/>
      <c r="Z119" s="49"/>
      <c r="AA119" s="49"/>
      <c r="AB119" s="100"/>
      <c r="AF119" s="102"/>
      <c r="AG119" s="52"/>
      <c r="AH119" s="116"/>
      <c r="AI119" s="117"/>
      <c r="AJ119" s="57" t="s">
        <v>46</v>
      </c>
      <c r="AK119" s="60"/>
      <c r="AL119" s="1"/>
    </row>
    <row r="120" spans="3:38" ht="17.100000000000001" customHeight="1" x14ac:dyDescent="0.25">
      <c r="G120" s="69"/>
      <c r="H120" s="123"/>
      <c r="AF120" s="90"/>
      <c r="AG120" s="52"/>
      <c r="AH120" s="118"/>
      <c r="AI120" s="119"/>
      <c r="AJ120" s="57" t="s">
        <v>46</v>
      </c>
      <c r="AK120" s="60"/>
      <c r="AL120" s="1"/>
    </row>
    <row r="121" spans="3:38" ht="17.100000000000001" customHeight="1" x14ac:dyDescent="0.25">
      <c r="H121" s="123"/>
      <c r="N121" s="100"/>
      <c r="AF121" s="90"/>
      <c r="AG121" s="52"/>
      <c r="AH121" s="116"/>
      <c r="AI121" s="119"/>
      <c r="AJ121" s="57" t="s">
        <v>46</v>
      </c>
      <c r="AK121" s="60"/>
      <c r="AL121" s="1"/>
    </row>
    <row r="122" spans="3:38" ht="17.100000000000001" customHeight="1" x14ac:dyDescent="0.25">
      <c r="H122" s="123"/>
      <c r="N122" s="100"/>
      <c r="AF122" s="90"/>
      <c r="AG122" s="52"/>
      <c r="AH122" s="116"/>
      <c r="AI122" s="119"/>
      <c r="AJ122" s="57" t="s">
        <v>46</v>
      </c>
      <c r="AK122" s="60"/>
      <c r="AL122" s="1"/>
    </row>
    <row r="123" spans="3:38" ht="17.100000000000001" customHeight="1" x14ac:dyDescent="0.25">
      <c r="H123" s="123"/>
      <c r="N123" s="100"/>
      <c r="AF123" s="90"/>
      <c r="AG123" s="52"/>
      <c r="AH123" s="116"/>
      <c r="AI123" s="119"/>
      <c r="AJ123" s="57" t="s">
        <v>46</v>
      </c>
      <c r="AK123" s="60"/>
      <c r="AL123" s="1"/>
    </row>
    <row r="124" spans="3:38" ht="17.100000000000001" customHeight="1" x14ac:dyDescent="0.25">
      <c r="H124" s="123"/>
      <c r="N124" s="100"/>
      <c r="AF124" s="90"/>
      <c r="AG124" s="52"/>
      <c r="AH124" s="116"/>
      <c r="AI124" s="119"/>
      <c r="AJ124" s="57" t="s">
        <v>46</v>
      </c>
      <c r="AK124" s="60"/>
      <c r="AL124" s="1"/>
    </row>
    <row r="125" spans="3:38" ht="17.100000000000001" customHeight="1" x14ac:dyDescent="0.25">
      <c r="H125" s="123"/>
      <c r="N125" s="100"/>
      <c r="AF125" s="90"/>
      <c r="AG125" s="52"/>
      <c r="AH125" s="118"/>
      <c r="AI125" s="119"/>
      <c r="AJ125" s="57" t="s">
        <v>46</v>
      </c>
      <c r="AK125" s="60"/>
      <c r="AL125" s="1"/>
    </row>
    <row r="126" spans="3:38" ht="17.100000000000001" customHeight="1" x14ac:dyDescent="0.25">
      <c r="H126" s="123"/>
      <c r="N126" s="100"/>
      <c r="AF126" s="90"/>
      <c r="AG126" s="52"/>
      <c r="AH126" s="118"/>
      <c r="AI126" s="119"/>
      <c r="AJ126" s="57" t="s">
        <v>46</v>
      </c>
      <c r="AK126" s="60"/>
      <c r="AL126" s="1"/>
    </row>
    <row r="127" spans="3:38" ht="17.100000000000001" customHeight="1" x14ac:dyDescent="0.25">
      <c r="H127" s="123"/>
      <c r="N127" s="100"/>
      <c r="AF127" s="90"/>
      <c r="AG127" s="52"/>
      <c r="AH127" s="116"/>
      <c r="AI127" s="119"/>
      <c r="AJ127" s="57" t="s">
        <v>46</v>
      </c>
      <c r="AK127" s="60"/>
      <c r="AL127" s="1"/>
    </row>
    <row r="128" spans="3:38" ht="17.100000000000001" customHeight="1" x14ac:dyDescent="0.25">
      <c r="H128" s="123"/>
      <c r="N128" s="100"/>
      <c r="AF128" s="90"/>
      <c r="AG128" s="52"/>
      <c r="AH128" s="116"/>
      <c r="AI128" s="119"/>
      <c r="AJ128" s="57" t="s">
        <v>46</v>
      </c>
      <c r="AK128" s="60"/>
      <c r="AL128" s="1"/>
    </row>
    <row r="129" spans="3:38" ht="17.100000000000001" customHeight="1" x14ac:dyDescent="0.25">
      <c r="H129" s="123"/>
      <c r="N129" s="100"/>
      <c r="AF129" s="90"/>
      <c r="AG129" s="52"/>
      <c r="AH129" s="118"/>
      <c r="AI129" s="119"/>
      <c r="AJ129" s="57" t="s">
        <v>46</v>
      </c>
      <c r="AK129" s="60"/>
      <c r="AL129" s="1"/>
    </row>
    <row r="130" spans="3:38" ht="17.100000000000001" customHeight="1" x14ac:dyDescent="0.25">
      <c r="H130" s="123"/>
      <c r="N130" s="100"/>
      <c r="AF130" s="90"/>
      <c r="AG130" s="52"/>
      <c r="AH130" s="118"/>
      <c r="AI130" s="119"/>
      <c r="AJ130" s="57" t="s">
        <v>46</v>
      </c>
      <c r="AK130" s="60"/>
      <c r="AL130" s="1"/>
    </row>
    <row r="131" spans="3:38" ht="17.100000000000001" customHeight="1" x14ac:dyDescent="0.25">
      <c r="H131" s="123"/>
      <c r="N131" s="100"/>
      <c r="AF131" s="90"/>
      <c r="AG131" s="52"/>
      <c r="AH131" s="118"/>
      <c r="AI131" s="119"/>
      <c r="AJ131" s="57" t="s">
        <v>46</v>
      </c>
      <c r="AK131" s="60"/>
      <c r="AL131" s="1"/>
    </row>
    <row r="132" spans="3:38" ht="17.100000000000001" customHeight="1" x14ac:dyDescent="0.25">
      <c r="H132" s="123"/>
      <c r="N132" s="100"/>
      <c r="AF132" s="90"/>
      <c r="AG132" s="52"/>
      <c r="AH132" s="118"/>
      <c r="AI132" s="119"/>
      <c r="AJ132" s="57" t="s">
        <v>46</v>
      </c>
      <c r="AK132" s="60"/>
      <c r="AL132" s="1"/>
    </row>
    <row r="133" spans="3:38" ht="17.100000000000001" customHeight="1" x14ac:dyDescent="0.25">
      <c r="H133" s="123"/>
      <c r="N133" s="100"/>
      <c r="AF133" s="90"/>
      <c r="AG133" s="52"/>
      <c r="AH133" s="118"/>
      <c r="AI133" s="119"/>
      <c r="AJ133" s="57"/>
      <c r="AK133" s="60"/>
      <c r="AL133" s="1"/>
    </row>
    <row r="134" spans="3:38" ht="17.100000000000001" customHeight="1" x14ac:dyDescent="0.25">
      <c r="H134" s="123"/>
      <c r="N134" s="100"/>
      <c r="AF134" s="90"/>
      <c r="AG134" s="52"/>
      <c r="AH134" s="118"/>
      <c r="AI134" s="119"/>
      <c r="AJ134" s="57" t="s">
        <v>46</v>
      </c>
      <c r="AK134" s="60"/>
      <c r="AL134" s="1"/>
    </row>
    <row r="135" spans="3:38" ht="17.100000000000001" customHeight="1" x14ac:dyDescent="0.25">
      <c r="H135" s="123"/>
      <c r="N135" s="100"/>
      <c r="AF135" s="90"/>
      <c r="AG135" s="52"/>
      <c r="AH135" s="118"/>
      <c r="AI135" s="119"/>
      <c r="AJ135" s="57" t="s">
        <v>46</v>
      </c>
      <c r="AK135" s="60"/>
      <c r="AL135" s="1"/>
    </row>
    <row r="136" spans="3:38" ht="17.100000000000001" customHeight="1" x14ac:dyDescent="0.25">
      <c r="C136" s="92"/>
      <c r="D136" s="92"/>
      <c r="F136" s="108"/>
      <c r="H136" s="123"/>
      <c r="N136" s="100"/>
      <c r="O136" s="50"/>
      <c r="P136" s="100"/>
      <c r="Q136" s="51"/>
      <c r="T136" s="49"/>
      <c r="V136" s="49"/>
      <c r="W136" s="49"/>
      <c r="X136" s="49"/>
      <c r="Y136" s="49"/>
      <c r="Z136" s="49"/>
      <c r="AA136" s="49"/>
      <c r="AB136" s="100"/>
      <c r="AF136" s="102"/>
      <c r="AG136" s="52"/>
      <c r="AH136" s="116"/>
      <c r="AI136" s="117"/>
      <c r="AJ136" s="57" t="s">
        <v>46</v>
      </c>
      <c r="AK136" s="60"/>
      <c r="AL136" s="1"/>
    </row>
    <row r="137" spans="3:38" ht="17.100000000000001" customHeight="1" x14ac:dyDescent="0.25">
      <c r="C137" s="92"/>
      <c r="D137" s="92"/>
      <c r="F137" s="108"/>
      <c r="H137" s="123"/>
      <c r="N137" s="100"/>
      <c r="O137" s="50"/>
      <c r="P137" s="100"/>
      <c r="Q137" s="51"/>
      <c r="R137" s="103"/>
      <c r="T137" s="49"/>
      <c r="U137" s="49"/>
      <c r="V137" s="49"/>
      <c r="W137" s="49"/>
      <c r="X137" s="49"/>
      <c r="Y137" s="49"/>
      <c r="Z137" s="49"/>
      <c r="AA137" s="49"/>
      <c r="AB137" s="100"/>
      <c r="AC137" s="100"/>
      <c r="AD137" s="49"/>
      <c r="AE137" s="49"/>
      <c r="AF137" s="102"/>
      <c r="AG137" s="52"/>
      <c r="AH137" s="116"/>
      <c r="AI137" s="117"/>
      <c r="AJ137" s="57" t="s">
        <v>46</v>
      </c>
      <c r="AK137" s="60"/>
      <c r="AL137" s="1"/>
    </row>
    <row r="138" spans="3:38" ht="17.100000000000001" customHeight="1" x14ac:dyDescent="0.25">
      <c r="H138" s="123"/>
      <c r="N138" s="100"/>
      <c r="AF138" s="90"/>
      <c r="AG138" s="52"/>
      <c r="AH138" s="118"/>
      <c r="AI138" s="119"/>
      <c r="AJ138" s="57" t="s">
        <v>46</v>
      </c>
      <c r="AK138" s="60"/>
      <c r="AL138" s="1"/>
    </row>
    <row r="139" spans="3:38" ht="17.100000000000001" customHeight="1" x14ac:dyDescent="0.25">
      <c r="H139" s="123"/>
      <c r="N139" s="100"/>
      <c r="AF139" s="90"/>
      <c r="AG139" s="52"/>
      <c r="AH139" s="118"/>
      <c r="AI139" s="119"/>
      <c r="AJ139" s="57" t="s">
        <v>46</v>
      </c>
      <c r="AK139" s="60"/>
      <c r="AL139" s="1"/>
    </row>
    <row r="140" spans="3:38" ht="17.100000000000001" customHeight="1" x14ac:dyDescent="0.25">
      <c r="C140" s="92"/>
      <c r="D140" s="92"/>
      <c r="F140" s="108"/>
      <c r="H140" s="123"/>
      <c r="N140" s="100"/>
      <c r="O140" s="50"/>
      <c r="P140" s="100"/>
      <c r="Q140" s="51"/>
      <c r="T140" s="49"/>
      <c r="U140" s="49"/>
      <c r="V140" s="49"/>
      <c r="W140" s="49"/>
      <c r="X140" s="49"/>
      <c r="Y140" s="49"/>
      <c r="Z140" s="49"/>
      <c r="AA140" s="49"/>
      <c r="AB140" s="100"/>
      <c r="AF140" s="102"/>
      <c r="AG140" s="52"/>
      <c r="AH140" s="116"/>
      <c r="AI140" s="117"/>
      <c r="AJ140" s="57" t="s">
        <v>46</v>
      </c>
      <c r="AK140" s="60"/>
      <c r="AL140" s="1"/>
    </row>
    <row r="141" spans="3:38" ht="17.100000000000001" customHeight="1" x14ac:dyDescent="0.25">
      <c r="H141" s="123"/>
      <c r="N141" s="100"/>
      <c r="AF141" s="90"/>
      <c r="AG141" s="52"/>
      <c r="AH141" s="118"/>
      <c r="AI141" s="119"/>
      <c r="AJ141" s="57" t="s">
        <v>46</v>
      </c>
      <c r="AK141" s="60"/>
      <c r="AL141" s="1"/>
    </row>
    <row r="142" spans="3:38" ht="17.100000000000001" customHeight="1" x14ac:dyDescent="0.25">
      <c r="H142" s="123"/>
      <c r="N142" s="100"/>
      <c r="AF142" s="90"/>
      <c r="AG142" s="52"/>
      <c r="AH142" s="118"/>
      <c r="AI142" s="119"/>
      <c r="AJ142" s="57" t="s">
        <v>46</v>
      </c>
      <c r="AK142" s="60"/>
      <c r="AL142" s="1"/>
    </row>
    <row r="143" spans="3:38" ht="17.100000000000001" customHeight="1" x14ac:dyDescent="0.25">
      <c r="H143" s="123"/>
      <c r="N143" s="100"/>
      <c r="AF143" s="90"/>
      <c r="AG143" s="52"/>
      <c r="AH143" s="118"/>
      <c r="AI143" s="119"/>
      <c r="AJ143" s="57" t="s">
        <v>46</v>
      </c>
      <c r="AK143" s="60"/>
      <c r="AL143" s="1"/>
    </row>
    <row r="144" spans="3:38" ht="17.100000000000001" customHeight="1" x14ac:dyDescent="0.25">
      <c r="H144" s="123"/>
      <c r="N144" s="100"/>
      <c r="AF144" s="90"/>
      <c r="AG144" s="52"/>
      <c r="AH144" s="118"/>
      <c r="AI144" s="119"/>
      <c r="AJ144" s="57" t="s">
        <v>46</v>
      </c>
      <c r="AK144" s="60"/>
      <c r="AL144" s="1"/>
    </row>
    <row r="145" spans="3:38" ht="17.100000000000001" customHeight="1" x14ac:dyDescent="0.25">
      <c r="H145" s="123"/>
      <c r="N145" s="100"/>
      <c r="AF145" s="90"/>
      <c r="AG145" s="52"/>
      <c r="AH145" s="118"/>
      <c r="AI145" s="119"/>
      <c r="AJ145" s="57" t="s">
        <v>46</v>
      </c>
      <c r="AK145" s="60"/>
      <c r="AL145" s="1"/>
    </row>
    <row r="146" spans="3:38" ht="17.100000000000001" customHeight="1" x14ac:dyDescent="0.25">
      <c r="C146" s="92"/>
      <c r="D146" s="92"/>
      <c r="F146" s="108"/>
      <c r="H146" s="123"/>
      <c r="N146" s="100"/>
      <c r="O146" s="50"/>
      <c r="P146" s="100"/>
      <c r="Q146" s="51"/>
      <c r="T146" s="49"/>
      <c r="U146" s="49"/>
      <c r="V146" s="49"/>
      <c r="W146" s="49"/>
      <c r="X146" s="49"/>
      <c r="Y146" s="49"/>
      <c r="Z146" s="49"/>
      <c r="AA146" s="49"/>
      <c r="AB146" s="100"/>
      <c r="AF146" s="102"/>
      <c r="AG146" s="52"/>
      <c r="AH146" s="116"/>
      <c r="AI146" s="117"/>
      <c r="AJ146" s="57" t="s">
        <v>46</v>
      </c>
      <c r="AK146" s="60"/>
      <c r="AL146" s="1"/>
    </row>
    <row r="147" spans="3:38" ht="17.100000000000001" customHeight="1" x14ac:dyDescent="0.25">
      <c r="C147" s="92"/>
      <c r="D147" s="92"/>
      <c r="F147" s="108"/>
      <c r="H147" s="123"/>
      <c r="N147" s="100"/>
      <c r="O147" s="50"/>
      <c r="P147" s="100"/>
      <c r="Q147" s="51"/>
      <c r="T147" s="49"/>
      <c r="U147" s="49"/>
      <c r="V147" s="49"/>
      <c r="W147" s="49"/>
      <c r="X147" s="49"/>
      <c r="Y147" s="49"/>
      <c r="Z147" s="49"/>
      <c r="AA147" s="49"/>
      <c r="AB147" s="100"/>
      <c r="AF147" s="102"/>
      <c r="AG147" s="52"/>
      <c r="AH147" s="116"/>
      <c r="AI147" s="117"/>
      <c r="AJ147" s="57" t="s">
        <v>46</v>
      </c>
      <c r="AK147" s="60"/>
      <c r="AL147" s="1"/>
    </row>
    <row r="148" spans="3:38" ht="17.100000000000001" customHeight="1" x14ac:dyDescent="0.25">
      <c r="C148" s="92"/>
      <c r="D148" s="92"/>
      <c r="F148" s="108"/>
      <c r="H148" s="123"/>
      <c r="N148" s="100"/>
      <c r="O148" s="50"/>
      <c r="P148" s="100"/>
      <c r="Q148" s="51"/>
      <c r="T148" s="49"/>
      <c r="U148" s="49"/>
      <c r="V148" s="49"/>
      <c r="W148" s="49"/>
      <c r="X148" s="49"/>
      <c r="Y148" s="49"/>
      <c r="Z148" s="49"/>
      <c r="AA148" s="49"/>
      <c r="AB148" s="100"/>
      <c r="AF148" s="102"/>
      <c r="AG148" s="52"/>
      <c r="AH148" s="116"/>
      <c r="AI148" s="117"/>
      <c r="AJ148" s="57" t="s">
        <v>46</v>
      </c>
      <c r="AK148" s="60"/>
      <c r="AL148" s="1"/>
    </row>
    <row r="149" spans="3:38" ht="17.100000000000001" customHeight="1" x14ac:dyDescent="0.25">
      <c r="C149" s="92"/>
      <c r="D149" s="92"/>
      <c r="F149" s="108"/>
      <c r="H149" s="123"/>
      <c r="N149" s="100"/>
      <c r="O149" s="50"/>
      <c r="P149" s="100"/>
      <c r="Q149" s="51"/>
      <c r="T149" s="49"/>
      <c r="U149" s="49"/>
      <c r="V149" s="49"/>
      <c r="W149" s="49"/>
      <c r="X149" s="49"/>
      <c r="Y149" s="49"/>
      <c r="Z149" s="49"/>
      <c r="AA149" s="49"/>
      <c r="AB149" s="100"/>
      <c r="AF149" s="102"/>
      <c r="AG149" s="52"/>
      <c r="AH149" s="116"/>
      <c r="AI149" s="117"/>
      <c r="AJ149" s="57" t="s">
        <v>46</v>
      </c>
      <c r="AK149" s="60"/>
      <c r="AL149" s="1"/>
    </row>
    <row r="150" spans="3:38" ht="17.100000000000001" customHeight="1" x14ac:dyDescent="0.25">
      <c r="H150" s="123"/>
      <c r="N150" s="100"/>
      <c r="O150" s="50"/>
      <c r="P150" s="100"/>
      <c r="AF150" s="90"/>
      <c r="AG150" s="52"/>
      <c r="AH150" s="118"/>
      <c r="AI150" s="119"/>
      <c r="AJ150" s="57" t="s">
        <v>46</v>
      </c>
      <c r="AK150" s="60"/>
      <c r="AL150" s="1"/>
    </row>
    <row r="151" spans="3:38" ht="17.100000000000001" customHeight="1" x14ac:dyDescent="0.25">
      <c r="C151" s="92"/>
      <c r="D151" s="92"/>
      <c r="F151" s="108"/>
      <c r="H151" s="123"/>
      <c r="N151" s="100"/>
      <c r="O151" s="50"/>
      <c r="P151" s="100"/>
      <c r="Q151" s="51"/>
      <c r="T151" s="49"/>
      <c r="U151" s="49"/>
      <c r="V151" s="49"/>
      <c r="W151" s="49"/>
      <c r="X151" s="49"/>
      <c r="Y151" s="49"/>
      <c r="Z151" s="49"/>
      <c r="AA151" s="49"/>
      <c r="AB151" s="100"/>
      <c r="AF151" s="102"/>
      <c r="AG151" s="52"/>
      <c r="AH151" s="116"/>
      <c r="AI151" s="117"/>
      <c r="AJ151" s="57" t="s">
        <v>46</v>
      </c>
      <c r="AK151" s="60"/>
      <c r="AL151" s="1"/>
    </row>
    <row r="152" spans="3:38" ht="17.100000000000001" customHeight="1" x14ac:dyDescent="0.25">
      <c r="C152" s="92"/>
      <c r="D152" s="92"/>
      <c r="F152" s="108"/>
      <c r="H152" s="123"/>
      <c r="N152" s="100"/>
      <c r="O152" s="50"/>
      <c r="P152" s="100"/>
      <c r="Q152" s="51"/>
      <c r="T152" s="49"/>
      <c r="U152" s="49"/>
      <c r="V152" s="49"/>
      <c r="W152" s="49"/>
      <c r="X152" s="49"/>
      <c r="Y152" s="49"/>
      <c r="Z152" s="49"/>
      <c r="AA152" s="49"/>
      <c r="AB152" s="100"/>
      <c r="AF152" s="102"/>
      <c r="AG152" s="52"/>
      <c r="AH152" s="116"/>
      <c r="AI152" s="117"/>
      <c r="AJ152" s="57" t="s">
        <v>46</v>
      </c>
      <c r="AK152" s="60"/>
      <c r="AL152" s="1"/>
    </row>
    <row r="153" spans="3:38" ht="17.100000000000001" customHeight="1" x14ac:dyDescent="0.25">
      <c r="C153" s="92"/>
      <c r="D153" s="92"/>
      <c r="F153" s="108"/>
      <c r="H153" s="123"/>
      <c r="N153" s="100"/>
      <c r="O153" s="50"/>
      <c r="P153" s="100"/>
      <c r="Q153" s="51"/>
      <c r="T153" s="49"/>
      <c r="U153" s="49"/>
      <c r="V153" s="49"/>
      <c r="W153" s="49"/>
      <c r="X153" s="49"/>
      <c r="Y153" s="49"/>
      <c r="Z153" s="49"/>
      <c r="AA153" s="49"/>
      <c r="AB153" s="100"/>
      <c r="AF153" s="102"/>
      <c r="AG153" s="52"/>
      <c r="AH153" s="116"/>
      <c r="AI153" s="117"/>
      <c r="AJ153" s="57" t="s">
        <v>46</v>
      </c>
      <c r="AK153" s="60"/>
      <c r="AL153" s="1"/>
    </row>
    <row r="154" spans="3:38" ht="17.100000000000001" customHeight="1" x14ac:dyDescent="0.25">
      <c r="C154" s="92"/>
      <c r="D154" s="92"/>
      <c r="F154" s="108"/>
      <c r="H154" s="123"/>
      <c r="N154" s="100"/>
      <c r="O154" s="50"/>
      <c r="P154" s="100"/>
      <c r="Q154" s="51"/>
      <c r="T154" s="49"/>
      <c r="U154" s="49"/>
      <c r="V154" s="49"/>
      <c r="W154" s="49"/>
      <c r="X154" s="49"/>
      <c r="Y154" s="49"/>
      <c r="Z154" s="49"/>
      <c r="AA154" s="49"/>
      <c r="AB154" s="100"/>
      <c r="AF154" s="102"/>
      <c r="AG154" s="52"/>
      <c r="AH154" s="116"/>
      <c r="AI154" s="117"/>
      <c r="AJ154" s="57" t="s">
        <v>46</v>
      </c>
      <c r="AK154" s="60"/>
      <c r="AL154" s="1"/>
    </row>
    <row r="155" spans="3:38" ht="17.100000000000001" customHeight="1" x14ac:dyDescent="0.25">
      <c r="H155" s="123"/>
      <c r="N155" s="100"/>
      <c r="O155" s="50"/>
      <c r="P155" s="100"/>
      <c r="AF155" s="90"/>
      <c r="AG155" s="52"/>
      <c r="AH155" s="118"/>
      <c r="AI155" s="119"/>
      <c r="AJ155" s="57" t="s">
        <v>46</v>
      </c>
      <c r="AK155" s="60"/>
      <c r="AL155" s="1"/>
    </row>
    <row r="156" spans="3:38" ht="17.100000000000001" customHeight="1" x14ac:dyDescent="0.25">
      <c r="H156" s="123"/>
      <c r="N156" s="100"/>
      <c r="AF156" s="90"/>
      <c r="AG156" s="52"/>
      <c r="AH156" s="118"/>
      <c r="AI156" s="119"/>
      <c r="AJ156" s="57" t="s">
        <v>46</v>
      </c>
      <c r="AK156" s="60"/>
      <c r="AL156" s="1"/>
    </row>
    <row r="157" spans="3:38" ht="17.100000000000001" customHeight="1" x14ac:dyDescent="0.25">
      <c r="H157" s="123"/>
      <c r="N157" s="100"/>
      <c r="AF157" s="90"/>
      <c r="AG157" s="52"/>
      <c r="AH157" s="118"/>
      <c r="AI157" s="119"/>
      <c r="AJ157" s="57" t="s">
        <v>46</v>
      </c>
      <c r="AK157" s="60"/>
      <c r="AL157" s="1"/>
    </row>
    <row r="158" spans="3:38" ht="17.100000000000001" customHeight="1" x14ac:dyDescent="0.25">
      <c r="H158" s="123"/>
      <c r="N158" s="100"/>
      <c r="AF158" s="90"/>
      <c r="AG158" s="52"/>
      <c r="AH158" s="118"/>
      <c r="AI158" s="119"/>
      <c r="AJ158" s="57" t="s">
        <v>46</v>
      </c>
      <c r="AK158" s="60"/>
      <c r="AL158" s="1"/>
    </row>
    <row r="159" spans="3:38" ht="17.100000000000001" customHeight="1" x14ac:dyDescent="0.25">
      <c r="H159" s="123"/>
      <c r="N159" s="100"/>
      <c r="AF159" s="90"/>
      <c r="AG159" s="52"/>
      <c r="AH159" s="118"/>
      <c r="AI159" s="119"/>
      <c r="AJ159" s="57" t="s">
        <v>46</v>
      </c>
      <c r="AK159" s="60"/>
      <c r="AL159" s="1"/>
    </row>
    <row r="160" spans="3:38" ht="17.100000000000001" customHeight="1" x14ac:dyDescent="0.25">
      <c r="H160" s="123"/>
      <c r="N160" s="100"/>
      <c r="T160" s="49"/>
      <c r="AF160" s="90"/>
      <c r="AG160" s="52"/>
      <c r="AH160" s="118"/>
      <c r="AI160" s="119"/>
      <c r="AJ160" s="57" t="s">
        <v>46</v>
      </c>
      <c r="AK160" s="60"/>
      <c r="AL160" s="1"/>
    </row>
    <row r="161" spans="8:38" ht="17.100000000000001" customHeight="1" x14ac:dyDescent="0.25">
      <c r="H161" s="123"/>
      <c r="N161" s="100"/>
      <c r="AF161" s="90"/>
      <c r="AG161" s="52"/>
      <c r="AH161" s="118"/>
      <c r="AI161" s="119"/>
      <c r="AJ161" s="57" t="s">
        <v>46</v>
      </c>
      <c r="AK161" s="60"/>
      <c r="AL161" s="1"/>
    </row>
    <row r="162" spans="8:38" ht="17.100000000000001" customHeight="1" x14ac:dyDescent="0.25">
      <c r="H162" s="123"/>
      <c r="N162" s="100"/>
      <c r="AF162" s="90"/>
      <c r="AG162" s="52"/>
      <c r="AH162" s="118"/>
      <c r="AI162" s="119"/>
      <c r="AJ162" s="57" t="s">
        <v>46</v>
      </c>
      <c r="AK162" s="60"/>
      <c r="AL162" s="1"/>
    </row>
    <row r="163" spans="8:38" ht="17.100000000000001" customHeight="1" x14ac:dyDescent="0.25">
      <c r="H163" s="123"/>
      <c r="N163" s="100"/>
      <c r="AF163" s="90"/>
      <c r="AG163" s="52"/>
      <c r="AH163" s="118"/>
      <c r="AI163" s="119"/>
      <c r="AJ163" s="57" t="s">
        <v>46</v>
      </c>
      <c r="AK163" s="60"/>
      <c r="AL163" s="1"/>
    </row>
    <row r="164" spans="8:38" ht="17.100000000000001" customHeight="1" x14ac:dyDescent="0.25">
      <c r="H164" s="123"/>
      <c r="N164" s="100"/>
      <c r="AF164" s="90"/>
      <c r="AG164" s="52"/>
      <c r="AH164" s="118"/>
      <c r="AI164" s="119"/>
      <c r="AJ164" s="57" t="s">
        <v>46</v>
      </c>
      <c r="AK164" s="60"/>
      <c r="AL164" s="1"/>
    </row>
    <row r="165" spans="8:38" ht="17.100000000000001" customHeight="1" x14ac:dyDescent="0.25">
      <c r="H165" s="123"/>
      <c r="AF165" s="90"/>
      <c r="AG165" s="52"/>
      <c r="AH165" s="118"/>
      <c r="AI165" s="119"/>
      <c r="AJ165" s="57" t="s">
        <v>46</v>
      </c>
      <c r="AK165" s="60"/>
      <c r="AL165" s="1"/>
    </row>
    <row r="166" spans="8:38" ht="17.100000000000001" customHeight="1" x14ac:dyDescent="0.25">
      <c r="H166" s="123"/>
      <c r="N166" s="100"/>
      <c r="AF166" s="90"/>
      <c r="AG166" s="52"/>
      <c r="AH166" s="118"/>
      <c r="AI166" s="119"/>
      <c r="AJ166" s="57" t="s">
        <v>46</v>
      </c>
      <c r="AK166" s="60"/>
      <c r="AL166" s="1"/>
    </row>
    <row r="167" spans="8:38" ht="17.100000000000001" customHeight="1" x14ac:dyDescent="0.25">
      <c r="H167" s="123"/>
      <c r="N167" s="100"/>
      <c r="AF167" s="90"/>
      <c r="AG167" s="52"/>
      <c r="AH167" s="118"/>
      <c r="AI167" s="119"/>
      <c r="AJ167" s="57" t="s">
        <v>46</v>
      </c>
      <c r="AK167" s="60"/>
      <c r="AL167" s="1"/>
    </row>
    <row r="168" spans="8:38" ht="17.100000000000001" customHeight="1" x14ac:dyDescent="0.25">
      <c r="H168" s="123"/>
      <c r="N168" s="100"/>
      <c r="AF168" s="90"/>
      <c r="AG168" s="52"/>
      <c r="AH168" s="118"/>
      <c r="AI168" s="119"/>
      <c r="AJ168" s="57" t="s">
        <v>46</v>
      </c>
      <c r="AK168" s="60"/>
      <c r="AL168" s="1"/>
    </row>
    <row r="169" spans="8:38" ht="17.100000000000001" customHeight="1" x14ac:dyDescent="0.25">
      <c r="H169" s="123"/>
      <c r="N169" s="100"/>
      <c r="AF169" s="90"/>
      <c r="AG169" s="52"/>
      <c r="AH169" s="118"/>
      <c r="AI169" s="119"/>
      <c r="AJ169" s="57" t="s">
        <v>46</v>
      </c>
      <c r="AK169" s="60"/>
      <c r="AL169" s="1"/>
    </row>
    <row r="170" spans="8:38" ht="17.100000000000001" customHeight="1" x14ac:dyDescent="0.25">
      <c r="H170" s="123"/>
      <c r="N170" s="100"/>
      <c r="AF170" s="90"/>
      <c r="AG170" s="52"/>
      <c r="AH170" s="118"/>
      <c r="AI170" s="119"/>
      <c r="AJ170" s="57" t="s">
        <v>46</v>
      </c>
      <c r="AK170" s="60"/>
      <c r="AL170" s="1"/>
    </row>
    <row r="171" spans="8:38" ht="17.100000000000001" customHeight="1" x14ac:dyDescent="0.25">
      <c r="H171" s="123"/>
      <c r="N171" s="100"/>
      <c r="AF171" s="90"/>
      <c r="AG171" s="52"/>
      <c r="AH171" s="118"/>
      <c r="AI171" s="119"/>
      <c r="AJ171" s="57" t="s">
        <v>46</v>
      </c>
      <c r="AK171" s="60"/>
      <c r="AL171" s="1"/>
    </row>
    <row r="172" spans="8:38" ht="17.100000000000001" customHeight="1" x14ac:dyDescent="0.25">
      <c r="H172" s="123"/>
      <c r="N172" s="100"/>
      <c r="AF172" s="90"/>
      <c r="AG172" s="52"/>
      <c r="AH172" s="118"/>
      <c r="AI172" s="119"/>
      <c r="AJ172" s="57" t="s">
        <v>46</v>
      </c>
      <c r="AK172" s="60"/>
      <c r="AL172" s="1"/>
    </row>
    <row r="173" spans="8:38" ht="17.100000000000001" customHeight="1" x14ac:dyDescent="0.25">
      <c r="H173" s="123"/>
      <c r="N173" s="100"/>
      <c r="AF173" s="90"/>
      <c r="AG173" s="52"/>
      <c r="AH173" s="118"/>
      <c r="AI173" s="119"/>
      <c r="AJ173" s="57" t="s">
        <v>46</v>
      </c>
      <c r="AK173" s="60"/>
      <c r="AL173" s="1"/>
    </row>
    <row r="174" spans="8:38" ht="17.100000000000001" customHeight="1" x14ac:dyDescent="0.25">
      <c r="H174" s="123"/>
      <c r="N174" s="100"/>
      <c r="AF174" s="90"/>
      <c r="AG174" s="52"/>
      <c r="AH174" s="118"/>
      <c r="AI174" s="119"/>
      <c r="AJ174" s="57" t="s">
        <v>46</v>
      </c>
      <c r="AK174" s="60"/>
      <c r="AL174" s="1"/>
    </row>
    <row r="175" spans="8:38" ht="17.100000000000001" customHeight="1" x14ac:dyDescent="0.25">
      <c r="H175" s="123"/>
      <c r="N175" s="100"/>
      <c r="T175" s="49"/>
      <c r="AF175" s="90"/>
      <c r="AG175" s="52"/>
      <c r="AH175" s="118"/>
      <c r="AI175" s="119"/>
      <c r="AJ175" s="57" t="s">
        <v>46</v>
      </c>
      <c r="AK175" s="60"/>
      <c r="AL175" s="1"/>
    </row>
    <row r="176" spans="8:38" ht="17.100000000000001" customHeight="1" x14ac:dyDescent="0.25">
      <c r="H176" s="123"/>
      <c r="N176" s="100"/>
      <c r="O176" s="50"/>
      <c r="T176" s="49"/>
      <c r="U176" s="49"/>
      <c r="V176" s="49"/>
      <c r="AF176" s="90"/>
      <c r="AG176" s="52"/>
      <c r="AH176" s="118"/>
      <c r="AI176" s="119"/>
      <c r="AJ176" s="57" t="s">
        <v>46</v>
      </c>
      <c r="AK176" s="60"/>
      <c r="AL176" s="1"/>
    </row>
    <row r="177" spans="3:38" ht="17.100000000000001" customHeight="1" x14ac:dyDescent="0.25">
      <c r="C177" s="92"/>
      <c r="D177" s="92"/>
      <c r="F177" s="108"/>
      <c r="H177" s="123"/>
      <c r="N177" s="100"/>
      <c r="O177" s="50"/>
      <c r="P177" s="100"/>
      <c r="Q177" s="51"/>
      <c r="R177" s="103"/>
      <c r="T177" s="49"/>
      <c r="U177" s="49"/>
      <c r="V177" s="49"/>
      <c r="W177" s="49"/>
      <c r="X177" s="49"/>
      <c r="Y177" s="49"/>
      <c r="Z177" s="49"/>
      <c r="AA177" s="49"/>
      <c r="AB177" s="100"/>
      <c r="AC177" s="100"/>
      <c r="AD177" s="49"/>
      <c r="AE177" s="49"/>
      <c r="AF177" s="102"/>
      <c r="AG177" s="52"/>
      <c r="AH177" s="116"/>
      <c r="AI177" s="117"/>
      <c r="AJ177" s="57" t="s">
        <v>46</v>
      </c>
      <c r="AK177" s="60"/>
      <c r="AL177" s="1"/>
    </row>
    <row r="178" spans="3:38" ht="17.100000000000001" customHeight="1" x14ac:dyDescent="0.25">
      <c r="C178" s="92"/>
      <c r="D178" s="92"/>
      <c r="F178" s="108"/>
      <c r="H178" s="123"/>
      <c r="N178" s="100"/>
      <c r="O178" s="50"/>
      <c r="P178" s="100"/>
      <c r="Q178" s="51"/>
      <c r="R178" s="103"/>
      <c r="T178" s="49"/>
      <c r="U178" s="49"/>
      <c r="V178" s="49"/>
      <c r="W178" s="49"/>
      <c r="X178" s="49"/>
      <c r="Y178" s="49"/>
      <c r="Z178" s="49"/>
      <c r="AA178" s="49"/>
      <c r="AB178" s="100"/>
      <c r="AC178" s="100"/>
      <c r="AD178" s="49"/>
      <c r="AE178" s="49"/>
      <c r="AF178" s="102"/>
      <c r="AG178" s="52"/>
      <c r="AH178" s="116"/>
      <c r="AI178" s="117"/>
      <c r="AJ178" s="57" t="s">
        <v>46</v>
      </c>
      <c r="AK178" s="60"/>
      <c r="AL178" s="1"/>
    </row>
    <row r="179" spans="3:38" ht="17.100000000000001" customHeight="1" x14ac:dyDescent="0.25">
      <c r="H179" s="123"/>
      <c r="N179" s="100"/>
      <c r="AF179" s="90"/>
      <c r="AG179" s="52"/>
      <c r="AH179" s="118"/>
      <c r="AI179" s="119"/>
      <c r="AJ179" s="57" t="s">
        <v>46</v>
      </c>
      <c r="AK179" s="60"/>
      <c r="AL179" s="1"/>
    </row>
    <row r="180" spans="3:38" ht="17.100000000000001" customHeight="1" x14ac:dyDescent="0.25">
      <c r="H180" s="123"/>
      <c r="N180" s="100"/>
      <c r="AF180" s="90"/>
      <c r="AG180" s="52"/>
      <c r="AH180" s="118"/>
      <c r="AI180" s="119"/>
      <c r="AJ180" s="57" t="s">
        <v>46</v>
      </c>
      <c r="AK180" s="60"/>
      <c r="AL180" s="1"/>
    </row>
    <row r="181" spans="3:38" ht="17.100000000000001" customHeight="1" x14ac:dyDescent="0.25">
      <c r="H181" s="123"/>
      <c r="N181" s="100"/>
      <c r="AF181" s="90"/>
      <c r="AG181" s="52"/>
      <c r="AH181" s="118"/>
      <c r="AI181" s="119"/>
      <c r="AJ181" s="57" t="s">
        <v>46</v>
      </c>
      <c r="AK181" s="60"/>
      <c r="AL181" s="1"/>
    </row>
    <row r="182" spans="3:38" ht="17.100000000000001" customHeight="1" x14ac:dyDescent="0.25">
      <c r="H182" s="123"/>
      <c r="N182" s="100"/>
      <c r="AF182" s="90"/>
      <c r="AG182" s="52"/>
      <c r="AH182" s="118"/>
      <c r="AI182" s="119"/>
      <c r="AJ182" s="57" t="s">
        <v>46</v>
      </c>
      <c r="AK182" s="60"/>
      <c r="AL182" s="1"/>
    </row>
    <row r="183" spans="3:38" ht="17.100000000000001" customHeight="1" x14ac:dyDescent="0.25">
      <c r="H183" s="123"/>
      <c r="N183" s="100"/>
      <c r="AF183" s="90"/>
      <c r="AG183" s="52"/>
      <c r="AH183" s="118"/>
      <c r="AI183" s="119"/>
      <c r="AJ183" s="57" t="s">
        <v>46</v>
      </c>
      <c r="AK183" s="60"/>
      <c r="AL183" s="1"/>
    </row>
    <row r="184" spans="3:38" ht="17.100000000000001" customHeight="1" x14ac:dyDescent="0.25">
      <c r="H184" s="123"/>
      <c r="N184" s="100"/>
      <c r="AF184" s="90"/>
      <c r="AG184" s="52"/>
      <c r="AH184" s="118"/>
      <c r="AI184" s="119"/>
      <c r="AJ184" s="57" t="s">
        <v>46</v>
      </c>
      <c r="AK184" s="60"/>
      <c r="AL184" s="1"/>
    </row>
    <row r="185" spans="3:38" ht="17.100000000000001" customHeight="1" x14ac:dyDescent="0.25">
      <c r="H185" s="123"/>
      <c r="N185" s="100"/>
      <c r="AF185" s="90"/>
      <c r="AG185" s="52"/>
      <c r="AH185" s="118"/>
      <c r="AI185" s="119"/>
      <c r="AJ185" s="57" t="s">
        <v>46</v>
      </c>
      <c r="AK185" s="60"/>
      <c r="AL185" s="1"/>
    </row>
    <row r="186" spans="3:38" ht="17.100000000000001" customHeight="1" x14ac:dyDescent="0.25">
      <c r="H186" s="123"/>
      <c r="N186" s="100"/>
      <c r="AF186" s="90"/>
      <c r="AG186" s="52"/>
      <c r="AH186" s="118"/>
      <c r="AI186" s="119"/>
      <c r="AJ186" s="57" t="s">
        <v>46</v>
      </c>
      <c r="AK186" s="60"/>
      <c r="AL186" s="1"/>
    </row>
    <row r="187" spans="3:38" ht="17.100000000000001" customHeight="1" x14ac:dyDescent="0.25">
      <c r="H187" s="123"/>
      <c r="N187" s="100"/>
      <c r="AF187" s="90"/>
      <c r="AG187" s="52"/>
      <c r="AH187" s="118"/>
      <c r="AI187" s="119"/>
      <c r="AJ187" s="57" t="s">
        <v>46</v>
      </c>
      <c r="AK187" s="60"/>
      <c r="AL187" s="1"/>
    </row>
    <row r="188" spans="3:38" ht="17.100000000000001" customHeight="1" x14ac:dyDescent="0.25">
      <c r="H188" s="123"/>
      <c r="N188" s="100"/>
      <c r="AF188" s="90"/>
      <c r="AG188" s="52"/>
      <c r="AH188" s="118"/>
      <c r="AI188" s="119"/>
      <c r="AJ188" s="57" t="s">
        <v>46</v>
      </c>
      <c r="AK188" s="60"/>
      <c r="AL188" s="1"/>
    </row>
    <row r="189" spans="3:38" ht="17.100000000000001" customHeight="1" x14ac:dyDescent="0.25">
      <c r="H189" s="123"/>
      <c r="N189" s="100"/>
      <c r="AF189" s="90"/>
      <c r="AG189" s="52"/>
      <c r="AH189" s="118"/>
      <c r="AI189" s="119"/>
      <c r="AJ189" s="57" t="s">
        <v>46</v>
      </c>
      <c r="AK189" s="60"/>
      <c r="AL189" s="1"/>
    </row>
    <row r="190" spans="3:38" ht="17.100000000000001" customHeight="1" x14ac:dyDescent="0.25">
      <c r="H190" s="123"/>
      <c r="N190" s="100"/>
      <c r="AF190" s="90"/>
      <c r="AG190" s="52"/>
      <c r="AH190" s="118"/>
      <c r="AI190" s="119"/>
      <c r="AJ190" s="57" t="s">
        <v>46</v>
      </c>
      <c r="AK190" s="60"/>
      <c r="AL190" s="1"/>
    </row>
    <row r="191" spans="3:38" ht="17.100000000000001" customHeight="1" x14ac:dyDescent="0.25">
      <c r="H191" s="123"/>
      <c r="N191" s="100"/>
      <c r="AF191" s="90"/>
      <c r="AG191" s="52"/>
      <c r="AH191" s="118"/>
      <c r="AI191" s="119"/>
      <c r="AJ191" s="57" t="s">
        <v>46</v>
      </c>
      <c r="AK191" s="60"/>
      <c r="AL191" s="1"/>
    </row>
    <row r="192" spans="3:38" ht="17.100000000000001" customHeight="1" x14ac:dyDescent="0.25">
      <c r="H192" s="123"/>
      <c r="N192" s="100"/>
      <c r="AF192" s="90"/>
      <c r="AG192" s="52"/>
      <c r="AH192" s="118"/>
      <c r="AI192" s="119"/>
      <c r="AJ192" s="57" t="s">
        <v>46</v>
      </c>
      <c r="AK192" s="60"/>
      <c r="AL192" s="1"/>
    </row>
    <row r="193" spans="1:38" ht="17.100000000000001" customHeight="1" x14ac:dyDescent="0.25">
      <c r="H193" s="123"/>
      <c r="N193" s="100"/>
      <c r="AF193" s="90"/>
      <c r="AG193" s="52"/>
      <c r="AH193" s="118"/>
      <c r="AI193" s="119"/>
      <c r="AJ193" s="57" t="s">
        <v>46</v>
      </c>
      <c r="AK193" s="60"/>
      <c r="AL193" s="1"/>
    </row>
    <row r="194" spans="1:38" ht="17.100000000000001" customHeight="1" x14ac:dyDescent="0.25">
      <c r="H194" s="123"/>
      <c r="N194" s="100"/>
      <c r="AF194" s="90"/>
      <c r="AG194" s="52"/>
      <c r="AH194" s="118"/>
      <c r="AI194" s="119"/>
      <c r="AJ194" s="57" t="s">
        <v>46</v>
      </c>
      <c r="AK194" s="60"/>
      <c r="AL194" s="1"/>
    </row>
    <row r="195" spans="1:38" ht="17.100000000000001" customHeight="1" x14ac:dyDescent="0.25">
      <c r="H195" s="123"/>
      <c r="N195" s="100"/>
      <c r="AF195" s="90"/>
      <c r="AG195" s="52"/>
      <c r="AH195" s="118"/>
      <c r="AI195" s="119"/>
      <c r="AJ195" s="57" t="s">
        <v>46</v>
      </c>
      <c r="AK195" s="60"/>
      <c r="AL195" s="1"/>
    </row>
    <row r="196" spans="1:38" ht="17.100000000000001" customHeight="1" x14ac:dyDescent="0.25">
      <c r="C196" s="92"/>
      <c r="D196" s="92"/>
      <c r="F196" s="108"/>
      <c r="H196" s="123"/>
      <c r="N196" s="100"/>
      <c r="O196" s="50"/>
      <c r="P196" s="100"/>
      <c r="Q196" s="51"/>
      <c r="R196" s="103"/>
      <c r="T196" s="49"/>
      <c r="U196" s="49"/>
      <c r="V196" s="49"/>
      <c r="W196" s="49"/>
      <c r="X196" s="49"/>
      <c r="Y196" s="49"/>
      <c r="Z196" s="49"/>
      <c r="AA196" s="49"/>
      <c r="AB196" s="100"/>
      <c r="AC196" s="100"/>
      <c r="AD196" s="49"/>
      <c r="AE196" s="49"/>
      <c r="AF196" s="102"/>
      <c r="AG196" s="52"/>
      <c r="AH196" s="116"/>
      <c r="AI196" s="117"/>
      <c r="AJ196" s="57" t="s">
        <v>46</v>
      </c>
      <c r="AK196" s="60"/>
      <c r="AL196" s="1"/>
    </row>
    <row r="197" spans="1:38" ht="17.100000000000001" customHeight="1" x14ac:dyDescent="0.25">
      <c r="A197" s="188"/>
      <c r="D197" s="189"/>
      <c r="F197" s="190"/>
      <c r="G197" s="69"/>
      <c r="H197" s="123"/>
      <c r="L197" s="191"/>
      <c r="M197" s="191"/>
      <c r="N197" s="192"/>
      <c r="Q197" s="193"/>
      <c r="T197" s="47"/>
      <c r="AF197" s="90"/>
      <c r="AG197" s="111"/>
      <c r="AH197" s="118"/>
      <c r="AI197" s="119"/>
      <c r="AJ197" s="80" t="s">
        <v>46</v>
      </c>
      <c r="AK197" s="60"/>
      <c r="AL197" s="1"/>
    </row>
    <row r="198" spans="1:38" ht="17.100000000000001" customHeight="1" x14ac:dyDescent="0.25">
      <c r="A198" s="188"/>
      <c r="D198" s="189"/>
      <c r="F198" s="190"/>
      <c r="G198" s="69"/>
      <c r="H198" s="123"/>
      <c r="L198" s="191"/>
      <c r="M198" s="191"/>
      <c r="N198" s="192"/>
      <c r="Q198" s="193"/>
      <c r="T198" s="47"/>
      <c r="AF198" s="90"/>
      <c r="AG198" s="111"/>
      <c r="AH198" s="118"/>
      <c r="AI198" s="119"/>
      <c r="AJ198" s="83"/>
      <c r="AK198" s="80" t="s">
        <v>46</v>
      </c>
    </row>
    <row r="199" spans="1:38" ht="17.100000000000001" customHeight="1" x14ac:dyDescent="0.25">
      <c r="A199" s="188"/>
      <c r="D199" s="189"/>
      <c r="F199" s="190"/>
      <c r="G199" s="69"/>
      <c r="H199" s="123"/>
      <c r="L199" s="191"/>
      <c r="M199" s="191"/>
      <c r="N199" s="192"/>
      <c r="Q199" s="193"/>
      <c r="T199" s="47"/>
      <c r="AF199" s="90"/>
      <c r="AG199" s="111"/>
      <c r="AH199" s="118"/>
      <c r="AI199" s="119"/>
      <c r="AJ199" s="83"/>
      <c r="AK199" s="80" t="s">
        <v>46</v>
      </c>
    </row>
    <row r="200" spans="1:38" ht="17.100000000000001" customHeight="1" x14ac:dyDescent="0.25">
      <c r="A200" s="188"/>
      <c r="D200" s="189"/>
      <c r="F200" s="190"/>
      <c r="G200" s="69"/>
      <c r="H200" s="123"/>
      <c r="L200" s="191"/>
      <c r="M200" s="191"/>
      <c r="N200" s="192"/>
      <c r="Q200" s="193"/>
      <c r="T200" s="47"/>
      <c r="AF200" s="90"/>
      <c r="AG200" s="111"/>
      <c r="AH200" s="118"/>
      <c r="AI200" s="119"/>
      <c r="AJ200" s="83"/>
      <c r="AK200" s="80" t="s">
        <v>46</v>
      </c>
    </row>
    <row r="201" spans="1:38" ht="17.100000000000001" customHeight="1" x14ac:dyDescent="0.25">
      <c r="A201" s="132"/>
      <c r="H201" s="123"/>
      <c r="N201" s="100"/>
      <c r="O201" s="50"/>
      <c r="AH201" s="116"/>
      <c r="AI201" s="120"/>
      <c r="AJ201" s="83"/>
      <c r="AK201" s="80" t="s">
        <v>46</v>
      </c>
    </row>
    <row r="202" spans="1:38" ht="17.100000000000001" customHeight="1" x14ac:dyDescent="0.25">
      <c r="A202" s="132"/>
      <c r="H202" s="123"/>
      <c r="N202" s="100"/>
      <c r="O202" s="50"/>
      <c r="AH202" s="116"/>
      <c r="AI202" s="120"/>
      <c r="AJ202" s="83"/>
      <c r="AK202" s="80" t="s">
        <v>46</v>
      </c>
    </row>
    <row r="203" spans="1:38" ht="17.100000000000001" customHeight="1" x14ac:dyDescent="0.25">
      <c r="A203" s="132"/>
      <c r="H203" s="123"/>
      <c r="N203" s="100"/>
      <c r="O203" s="50"/>
      <c r="AH203" s="116"/>
      <c r="AI203" s="120"/>
      <c r="AJ203" s="83"/>
      <c r="AK203" s="80" t="s">
        <v>46</v>
      </c>
    </row>
    <row r="204" spans="1:38" ht="17.100000000000001" customHeight="1" x14ac:dyDescent="0.25">
      <c r="A204" s="132"/>
      <c r="H204" s="123"/>
      <c r="N204" s="100"/>
      <c r="O204" s="50"/>
      <c r="AH204" s="116"/>
      <c r="AI204" s="120"/>
      <c r="AJ204" s="83"/>
      <c r="AK204" s="80" t="s">
        <v>46</v>
      </c>
    </row>
    <row r="205" spans="1:38" ht="17.100000000000001" customHeight="1" x14ac:dyDescent="0.25">
      <c r="A205" s="132"/>
      <c r="H205" s="123"/>
      <c r="N205" s="100"/>
      <c r="O205" s="50"/>
      <c r="AH205" s="116"/>
      <c r="AI205" s="120"/>
      <c r="AJ205" s="83"/>
      <c r="AK205" s="80" t="s">
        <v>46</v>
      </c>
    </row>
    <row r="206" spans="1:38" ht="17.100000000000001" customHeight="1" x14ac:dyDescent="0.25">
      <c r="A206" s="132"/>
      <c r="H206" s="123"/>
      <c r="N206" s="100"/>
      <c r="O206" s="50"/>
      <c r="AH206" s="116"/>
      <c r="AI206" s="120"/>
      <c r="AJ206" s="83"/>
      <c r="AK206" s="80" t="s">
        <v>46</v>
      </c>
    </row>
    <row r="207" spans="1:38" ht="17.100000000000001" customHeight="1" x14ac:dyDescent="0.25">
      <c r="A207" s="132"/>
      <c r="H207" s="123"/>
      <c r="N207" s="100"/>
      <c r="O207" s="50"/>
      <c r="AH207" s="116"/>
      <c r="AI207" s="120"/>
      <c r="AJ207" s="83"/>
      <c r="AK207" s="80" t="s">
        <v>46</v>
      </c>
    </row>
    <row r="208" spans="1:38" ht="17.100000000000001" customHeight="1" x14ac:dyDescent="0.25">
      <c r="A208" s="132"/>
      <c r="H208" s="123"/>
      <c r="N208" s="100"/>
      <c r="O208" s="50"/>
      <c r="AH208" s="116"/>
      <c r="AI208" s="120"/>
      <c r="AJ208" s="83"/>
      <c r="AK208" s="80" t="s">
        <v>46</v>
      </c>
    </row>
    <row r="209" spans="1:37" ht="17.100000000000001" customHeight="1" x14ac:dyDescent="0.25">
      <c r="A209" s="132"/>
      <c r="H209" s="123"/>
      <c r="N209" s="100"/>
      <c r="O209" s="50"/>
      <c r="AH209" s="116"/>
      <c r="AI209" s="120"/>
      <c r="AJ209" s="83"/>
      <c r="AK209" s="80" t="s">
        <v>46</v>
      </c>
    </row>
    <row r="210" spans="1:37" ht="17.100000000000001" customHeight="1" x14ac:dyDescent="0.25">
      <c r="A210" s="132"/>
      <c r="H210" s="123"/>
      <c r="N210" s="100"/>
      <c r="O210" s="50"/>
      <c r="AH210" s="116"/>
      <c r="AI210" s="120"/>
      <c r="AJ210" s="83"/>
      <c r="AK210" s="80" t="s">
        <v>46</v>
      </c>
    </row>
    <row r="211" spans="1:37" ht="17.100000000000001" customHeight="1" x14ac:dyDescent="0.25">
      <c r="A211" s="132"/>
      <c r="H211" s="123"/>
      <c r="N211" s="100"/>
      <c r="O211" s="50"/>
      <c r="AH211" s="116"/>
      <c r="AI211" s="120"/>
      <c r="AJ211" s="83"/>
      <c r="AK211" s="80" t="s">
        <v>46</v>
      </c>
    </row>
    <row r="212" spans="1:37" ht="17.100000000000001" customHeight="1" x14ac:dyDescent="0.25">
      <c r="A212" s="132"/>
      <c r="H212" s="123"/>
      <c r="N212" s="100"/>
      <c r="O212" s="50"/>
      <c r="AH212" s="116"/>
      <c r="AI212" s="120"/>
      <c r="AJ212" s="83"/>
      <c r="AK212" s="80" t="s">
        <v>46</v>
      </c>
    </row>
    <row r="213" spans="1:37" ht="17.100000000000001" customHeight="1" x14ac:dyDescent="0.25">
      <c r="A213" s="132"/>
      <c r="H213" s="123"/>
      <c r="N213" s="100"/>
      <c r="O213" s="50"/>
      <c r="AH213" s="116"/>
      <c r="AI213" s="120"/>
      <c r="AJ213" s="83"/>
      <c r="AK213" s="80" t="s">
        <v>46</v>
      </c>
    </row>
    <row r="214" spans="1:37" ht="17.100000000000001" customHeight="1" x14ac:dyDescent="0.25">
      <c r="A214" s="132"/>
      <c r="H214" s="123"/>
      <c r="N214" s="100"/>
      <c r="O214" s="50"/>
      <c r="AH214" s="116"/>
      <c r="AI214" s="120"/>
      <c r="AJ214" s="83"/>
      <c r="AK214" s="80" t="s">
        <v>46</v>
      </c>
    </row>
    <row r="215" spans="1:37" ht="17.100000000000001" customHeight="1" x14ac:dyDescent="0.25">
      <c r="A215" s="132"/>
      <c r="H215" s="123"/>
      <c r="N215" s="100"/>
      <c r="O215" s="50"/>
      <c r="AH215" s="116"/>
      <c r="AI215" s="120"/>
      <c r="AJ215" s="83"/>
      <c r="AK215" s="80" t="s">
        <v>46</v>
      </c>
    </row>
    <row r="216" spans="1:37" ht="17.100000000000001" customHeight="1" x14ac:dyDescent="0.25">
      <c r="A216" s="132"/>
      <c r="H216" s="123"/>
      <c r="N216" s="100"/>
      <c r="O216" s="50"/>
      <c r="AH216" s="116"/>
      <c r="AI216" s="120"/>
      <c r="AJ216" s="83"/>
      <c r="AK216" s="80" t="s">
        <v>46</v>
      </c>
    </row>
    <row r="217" spans="1:37" ht="17.100000000000001" customHeight="1" x14ac:dyDescent="0.25">
      <c r="A217" s="132"/>
      <c r="C217" s="92"/>
      <c r="D217" s="92"/>
      <c r="F217" s="108"/>
      <c r="H217" s="123"/>
      <c r="N217" s="100"/>
      <c r="O217" s="50"/>
      <c r="P217" s="100"/>
      <c r="Q217" s="51"/>
      <c r="R217" s="103"/>
      <c r="S217" s="99"/>
      <c r="U217" s="49"/>
      <c r="V217" s="49"/>
      <c r="W217" s="49"/>
      <c r="X217" s="49"/>
      <c r="Y217" s="49"/>
      <c r="Z217" s="49"/>
      <c r="AA217" s="49"/>
      <c r="AB217" s="100"/>
      <c r="AC217" s="100"/>
      <c r="AD217" s="49"/>
      <c r="AE217" s="49"/>
      <c r="AF217" s="49"/>
      <c r="AG217" s="111"/>
      <c r="AH217" s="116"/>
      <c r="AI217" s="121"/>
      <c r="AJ217" s="83"/>
      <c r="AK217" s="80" t="s">
        <v>46</v>
      </c>
    </row>
    <row r="218" spans="1:37" ht="17.100000000000001" customHeight="1" x14ac:dyDescent="0.25">
      <c r="A218" s="132"/>
      <c r="H218" s="123"/>
      <c r="N218" s="100"/>
      <c r="O218" s="50"/>
      <c r="U218" s="49"/>
      <c r="AH218" s="116"/>
      <c r="AI218" s="120"/>
      <c r="AJ218" s="84"/>
      <c r="AK218" s="80" t="s">
        <v>46</v>
      </c>
    </row>
    <row r="219" spans="1:37" ht="17.100000000000001" customHeight="1" x14ac:dyDescent="0.25">
      <c r="A219" s="132"/>
      <c r="H219" s="123"/>
      <c r="N219" s="100"/>
      <c r="O219" s="50"/>
      <c r="U219" s="49"/>
      <c r="AH219" s="116"/>
      <c r="AI219" s="120"/>
      <c r="AJ219" s="83"/>
      <c r="AK219" s="80" t="s">
        <v>46</v>
      </c>
    </row>
    <row r="220" spans="1:37" ht="17.100000000000001" customHeight="1" x14ac:dyDescent="0.25">
      <c r="A220" s="132"/>
      <c r="H220" s="123"/>
      <c r="N220" s="100"/>
      <c r="O220" s="50"/>
      <c r="AH220" s="116"/>
      <c r="AI220" s="120"/>
      <c r="AJ220" s="83"/>
      <c r="AK220" s="80" t="s">
        <v>46</v>
      </c>
    </row>
    <row r="221" spans="1:37" ht="17.100000000000001" customHeight="1" x14ac:dyDescent="0.25">
      <c r="A221" s="132"/>
      <c r="H221" s="123"/>
      <c r="N221" s="100"/>
      <c r="O221" s="50"/>
      <c r="AH221" s="116"/>
      <c r="AI221" s="120"/>
      <c r="AJ221" s="83"/>
      <c r="AK221" s="80" t="s">
        <v>46</v>
      </c>
    </row>
    <row r="222" spans="1:37" ht="17.100000000000001" customHeight="1" x14ac:dyDescent="0.25">
      <c r="A222" s="132"/>
      <c r="H222" s="123"/>
      <c r="N222" s="100"/>
      <c r="O222" s="50"/>
      <c r="AH222" s="116"/>
      <c r="AI222" s="120"/>
      <c r="AJ222" s="83"/>
      <c r="AK222" s="80" t="s">
        <v>46</v>
      </c>
    </row>
    <row r="223" spans="1:37" ht="17.100000000000001" customHeight="1" x14ac:dyDescent="0.25">
      <c r="A223" s="132"/>
      <c r="H223" s="123"/>
      <c r="N223" s="100"/>
      <c r="O223" s="50"/>
      <c r="AH223" s="116"/>
      <c r="AI223" s="120"/>
      <c r="AJ223" s="83"/>
      <c r="AK223" s="80" t="s">
        <v>46</v>
      </c>
    </row>
    <row r="224" spans="1:37" ht="17.100000000000001" customHeight="1" x14ac:dyDescent="0.25">
      <c r="A224" s="132"/>
      <c r="H224" s="123"/>
      <c r="N224" s="100"/>
      <c r="O224" s="50"/>
      <c r="AH224" s="116"/>
      <c r="AI224" s="120"/>
      <c r="AJ224" s="83"/>
      <c r="AK224" s="80" t="s">
        <v>46</v>
      </c>
    </row>
    <row r="225" spans="1:37" ht="17.100000000000001" customHeight="1" x14ac:dyDescent="0.25">
      <c r="A225" s="132"/>
      <c r="H225" s="123"/>
      <c r="N225" s="100"/>
      <c r="O225" s="50"/>
      <c r="AH225" s="116"/>
      <c r="AI225" s="120"/>
      <c r="AJ225" s="83"/>
      <c r="AK225" s="80" t="s">
        <v>46</v>
      </c>
    </row>
    <row r="226" spans="1:37" ht="17.100000000000001" customHeight="1" x14ac:dyDescent="0.25">
      <c r="A226" s="132"/>
      <c r="H226" s="123"/>
      <c r="N226" s="100"/>
      <c r="O226" s="50"/>
      <c r="AH226" s="116"/>
      <c r="AI226" s="120"/>
      <c r="AJ226" s="83"/>
      <c r="AK226" s="80" t="s">
        <v>46</v>
      </c>
    </row>
    <row r="227" spans="1:37" ht="17.100000000000001" customHeight="1" x14ac:dyDescent="0.25">
      <c r="A227" s="132"/>
      <c r="H227" s="123"/>
      <c r="N227" s="100"/>
      <c r="O227" s="50"/>
      <c r="AH227" s="116"/>
      <c r="AI227" s="120"/>
      <c r="AJ227" s="83"/>
      <c r="AK227" s="80" t="s">
        <v>46</v>
      </c>
    </row>
    <row r="228" spans="1:37" ht="17.100000000000001" customHeight="1" x14ac:dyDescent="0.25">
      <c r="A228" s="132"/>
      <c r="H228" s="123"/>
      <c r="N228" s="100"/>
      <c r="O228" s="50"/>
      <c r="AH228" s="116"/>
      <c r="AI228" s="120"/>
      <c r="AJ228" s="83"/>
      <c r="AK228" s="80" t="s">
        <v>46</v>
      </c>
    </row>
    <row r="229" spans="1:37" ht="17.100000000000001" customHeight="1" x14ac:dyDescent="0.25">
      <c r="A229" s="132"/>
      <c r="C229" s="92"/>
      <c r="D229" s="92"/>
      <c r="F229" s="108"/>
      <c r="H229" s="123"/>
      <c r="N229" s="100"/>
      <c r="O229" s="50"/>
      <c r="P229" s="100"/>
      <c r="Q229" s="51"/>
      <c r="R229" s="103"/>
      <c r="S229" s="99"/>
      <c r="U229" s="49"/>
      <c r="V229" s="49"/>
      <c r="W229" s="49"/>
      <c r="X229" s="49"/>
      <c r="Y229" s="49"/>
      <c r="Z229" s="49"/>
      <c r="AA229" s="49"/>
      <c r="AB229" s="100"/>
      <c r="AC229" s="100"/>
      <c r="AD229" s="49"/>
      <c r="AE229" s="49"/>
      <c r="AF229" s="49"/>
      <c r="AG229" s="111"/>
      <c r="AH229" s="116"/>
      <c r="AI229" s="121"/>
      <c r="AJ229" s="83"/>
      <c r="AK229" s="80" t="s">
        <v>46</v>
      </c>
    </row>
    <row r="230" spans="1:37" ht="17.100000000000001" customHeight="1" x14ac:dyDescent="0.25">
      <c r="A230" s="132"/>
      <c r="H230" s="123"/>
      <c r="N230" s="100"/>
      <c r="O230" s="50"/>
      <c r="U230" s="49"/>
      <c r="AH230" s="116"/>
      <c r="AI230" s="120"/>
      <c r="AJ230" s="84"/>
      <c r="AK230" s="80" t="s">
        <v>46</v>
      </c>
    </row>
    <row r="231" spans="1:37" ht="17.100000000000001" customHeight="1" x14ac:dyDescent="0.25">
      <c r="A231" s="132"/>
      <c r="C231" s="92"/>
      <c r="D231" s="92"/>
      <c r="F231" s="108"/>
      <c r="H231" s="123"/>
      <c r="N231" s="100"/>
      <c r="O231" s="50"/>
      <c r="P231" s="100"/>
      <c r="Q231" s="51"/>
      <c r="R231" s="103"/>
      <c r="S231" s="99"/>
      <c r="U231" s="49"/>
      <c r="V231" s="49"/>
      <c r="W231" s="49"/>
      <c r="X231" s="49"/>
      <c r="Y231" s="49"/>
      <c r="Z231" s="49"/>
      <c r="AA231" s="49"/>
      <c r="AB231" s="100"/>
      <c r="AC231" s="100"/>
      <c r="AD231" s="49"/>
      <c r="AE231" s="49"/>
      <c r="AF231" s="49"/>
      <c r="AG231" s="111"/>
      <c r="AH231" s="116"/>
      <c r="AI231" s="121"/>
      <c r="AJ231" s="83"/>
      <c r="AK231" s="80" t="s">
        <v>46</v>
      </c>
    </row>
    <row r="232" spans="1:37" ht="17.100000000000001" customHeight="1" x14ac:dyDescent="0.25">
      <c r="A232" s="132"/>
      <c r="H232" s="123"/>
      <c r="N232" s="100"/>
      <c r="O232" s="50"/>
      <c r="AH232" s="116"/>
      <c r="AI232" s="120"/>
      <c r="AJ232" s="84"/>
      <c r="AK232" s="80" t="s">
        <v>46</v>
      </c>
    </row>
    <row r="233" spans="1:37" ht="17.100000000000001" customHeight="1" x14ac:dyDescent="0.25">
      <c r="A233" s="132"/>
      <c r="H233" s="123"/>
      <c r="N233" s="100"/>
      <c r="O233" s="50"/>
      <c r="AH233" s="116"/>
      <c r="AI233" s="120"/>
      <c r="AJ233" s="83"/>
      <c r="AK233" s="80" t="s">
        <v>46</v>
      </c>
    </row>
    <row r="234" spans="1:37" ht="17.100000000000001" customHeight="1" x14ac:dyDescent="0.25">
      <c r="A234" s="132"/>
      <c r="H234" s="123"/>
      <c r="N234" s="100"/>
      <c r="O234" s="50"/>
      <c r="AH234" s="116"/>
      <c r="AI234" s="120"/>
      <c r="AJ234" s="83"/>
      <c r="AK234" s="80" t="s">
        <v>46</v>
      </c>
    </row>
    <row r="235" spans="1:37" ht="17.100000000000001" customHeight="1" x14ac:dyDescent="0.25">
      <c r="A235" s="132"/>
      <c r="H235" s="123"/>
      <c r="N235" s="100"/>
      <c r="O235" s="50"/>
      <c r="U235" s="49"/>
      <c r="AH235" s="116"/>
      <c r="AI235" s="120"/>
      <c r="AJ235" s="83"/>
      <c r="AK235" s="80" t="s">
        <v>46</v>
      </c>
    </row>
    <row r="236" spans="1:37" ht="17.100000000000001" customHeight="1" x14ac:dyDescent="0.25">
      <c r="A236" s="132"/>
      <c r="H236" s="123"/>
      <c r="N236" s="100"/>
      <c r="O236" s="50"/>
      <c r="AH236" s="116"/>
      <c r="AI236" s="120"/>
      <c r="AJ236" s="83"/>
      <c r="AK236" s="80" t="s">
        <v>46</v>
      </c>
    </row>
    <row r="237" spans="1:37" ht="17.100000000000001" customHeight="1" x14ac:dyDescent="0.25">
      <c r="A237" s="132"/>
      <c r="H237" s="123"/>
      <c r="N237" s="100"/>
      <c r="O237" s="50"/>
      <c r="AH237" s="116"/>
      <c r="AI237" s="120"/>
      <c r="AJ237" s="83"/>
      <c r="AK237" s="80" t="s">
        <v>46</v>
      </c>
    </row>
    <row r="238" spans="1:37" ht="17.100000000000001" customHeight="1" x14ac:dyDescent="0.25">
      <c r="A238" s="132"/>
      <c r="C238" s="92"/>
      <c r="D238" s="92"/>
      <c r="F238" s="108"/>
      <c r="H238" s="123"/>
      <c r="N238" s="100"/>
      <c r="O238" s="50"/>
      <c r="P238" s="100"/>
      <c r="Q238" s="51"/>
      <c r="R238" s="103"/>
      <c r="S238" s="99"/>
      <c r="U238" s="49"/>
      <c r="V238" s="49"/>
      <c r="W238" s="49"/>
      <c r="X238" s="49"/>
      <c r="Y238" s="49"/>
      <c r="Z238" s="49"/>
      <c r="AA238" s="49"/>
      <c r="AB238" s="100"/>
      <c r="AC238" s="100"/>
      <c r="AD238" s="49"/>
      <c r="AE238" s="49"/>
      <c r="AF238" s="49"/>
      <c r="AG238" s="111"/>
      <c r="AH238" s="116"/>
      <c r="AI238" s="121"/>
      <c r="AJ238" s="83"/>
      <c r="AK238" s="80" t="s">
        <v>46</v>
      </c>
    </row>
    <row r="239" spans="1:37" ht="17.100000000000001" customHeight="1" x14ac:dyDescent="0.25">
      <c r="A239" s="132"/>
      <c r="H239" s="123"/>
      <c r="N239" s="100"/>
      <c r="O239" s="50"/>
      <c r="AH239" s="116"/>
      <c r="AI239" s="120"/>
      <c r="AJ239" s="84"/>
      <c r="AK239" s="80" t="s">
        <v>46</v>
      </c>
    </row>
    <row r="240" spans="1:37" ht="17.100000000000001" customHeight="1" x14ac:dyDescent="0.25">
      <c r="A240" s="132"/>
      <c r="H240" s="123"/>
      <c r="N240" s="100"/>
      <c r="O240" s="50"/>
      <c r="AH240" s="116"/>
      <c r="AI240" s="120"/>
      <c r="AJ240" s="83"/>
      <c r="AK240" s="80" t="s">
        <v>46</v>
      </c>
    </row>
    <row r="241" spans="1:37" ht="17.100000000000001" customHeight="1" x14ac:dyDescent="0.25">
      <c r="A241" s="132"/>
      <c r="H241" s="123"/>
      <c r="N241" s="100"/>
      <c r="O241" s="50"/>
      <c r="AH241" s="116"/>
      <c r="AI241" s="120"/>
      <c r="AJ241" s="83"/>
      <c r="AK241" s="80" t="s">
        <v>46</v>
      </c>
    </row>
    <row r="242" spans="1:37" ht="17.100000000000001" customHeight="1" x14ac:dyDescent="0.25">
      <c r="A242" s="132"/>
      <c r="H242" s="123"/>
      <c r="N242" s="100"/>
      <c r="O242" s="50"/>
      <c r="AH242" s="116"/>
      <c r="AI242" s="120"/>
      <c r="AJ242" s="83"/>
      <c r="AK242" s="80" t="s">
        <v>46</v>
      </c>
    </row>
    <row r="243" spans="1:37" ht="17.100000000000001" customHeight="1" x14ac:dyDescent="0.25">
      <c r="A243" s="132"/>
      <c r="H243" s="123"/>
      <c r="N243" s="100"/>
      <c r="O243" s="50"/>
      <c r="AH243" s="116"/>
      <c r="AI243" s="120"/>
      <c r="AJ243" s="83"/>
      <c r="AK243" s="80" t="s">
        <v>46</v>
      </c>
    </row>
    <row r="244" spans="1:37" ht="17.100000000000001" customHeight="1" x14ac:dyDescent="0.25">
      <c r="A244" s="132"/>
      <c r="H244" s="123"/>
      <c r="N244" s="100"/>
      <c r="O244" s="50"/>
      <c r="U244" s="49"/>
      <c r="AH244" s="116"/>
      <c r="AI244" s="120"/>
      <c r="AJ244" s="83"/>
      <c r="AK244" s="80" t="s">
        <v>46</v>
      </c>
    </row>
    <row r="245" spans="1:37" ht="17.100000000000001" customHeight="1" x14ac:dyDescent="0.25">
      <c r="A245" s="132"/>
      <c r="H245" s="123"/>
      <c r="N245" s="100"/>
      <c r="O245" s="50"/>
      <c r="AH245" s="116"/>
      <c r="AI245" s="120"/>
      <c r="AJ245" s="83"/>
      <c r="AK245" s="80" t="s">
        <v>46</v>
      </c>
    </row>
    <row r="246" spans="1:37" ht="17.100000000000001" customHeight="1" x14ac:dyDescent="0.25">
      <c r="A246" s="132"/>
      <c r="H246" s="123"/>
      <c r="N246" s="100"/>
      <c r="O246" s="50"/>
      <c r="AH246" s="116"/>
      <c r="AI246" s="120"/>
      <c r="AJ246" s="83"/>
      <c r="AK246" s="80" t="s">
        <v>46</v>
      </c>
    </row>
    <row r="247" spans="1:37" ht="17.100000000000001" customHeight="1" x14ac:dyDescent="0.25">
      <c r="A247" s="132"/>
      <c r="H247" s="123"/>
      <c r="N247" s="100"/>
      <c r="O247" s="50"/>
      <c r="AH247" s="116"/>
      <c r="AI247" s="120"/>
      <c r="AJ247" s="83"/>
      <c r="AK247" s="80" t="s">
        <v>46</v>
      </c>
    </row>
    <row r="248" spans="1:37" ht="17.100000000000001" customHeight="1" x14ac:dyDescent="0.25">
      <c r="A248" s="132"/>
      <c r="H248" s="123"/>
      <c r="N248" s="100"/>
      <c r="O248" s="50"/>
      <c r="AH248" s="116"/>
      <c r="AI248" s="120"/>
      <c r="AJ248" s="83"/>
      <c r="AK248" s="80" t="s">
        <v>46</v>
      </c>
    </row>
    <row r="249" spans="1:37" ht="17.100000000000001" customHeight="1" x14ac:dyDescent="0.25">
      <c r="A249" s="132"/>
      <c r="H249" s="123"/>
      <c r="N249" s="100"/>
      <c r="O249" s="50"/>
      <c r="AH249" s="116"/>
      <c r="AI249" s="120"/>
      <c r="AJ249" s="83"/>
      <c r="AK249" s="80" t="s">
        <v>46</v>
      </c>
    </row>
    <row r="250" spans="1:37" ht="17.100000000000001" customHeight="1" x14ac:dyDescent="0.25">
      <c r="A250" s="132"/>
      <c r="H250" s="123"/>
      <c r="N250" s="100"/>
      <c r="O250" s="50"/>
      <c r="AH250" s="116"/>
      <c r="AI250" s="120"/>
      <c r="AJ250" s="83"/>
      <c r="AK250" s="80" t="s">
        <v>46</v>
      </c>
    </row>
    <row r="251" spans="1:37" ht="17.100000000000001" customHeight="1" x14ac:dyDescent="0.25">
      <c r="A251" s="132"/>
      <c r="H251" s="123"/>
      <c r="N251" s="100"/>
      <c r="O251" s="50"/>
      <c r="AH251" s="116"/>
      <c r="AI251" s="120"/>
      <c r="AJ251" s="83"/>
      <c r="AK251" s="80" t="s">
        <v>46</v>
      </c>
    </row>
    <row r="252" spans="1:37" ht="17.100000000000001" customHeight="1" x14ac:dyDescent="0.25">
      <c r="A252" s="132"/>
      <c r="H252" s="123"/>
      <c r="N252" s="100"/>
      <c r="O252" s="50"/>
      <c r="AH252" s="116"/>
      <c r="AI252" s="120"/>
      <c r="AJ252" s="83"/>
      <c r="AK252" s="80" t="s">
        <v>46</v>
      </c>
    </row>
    <row r="253" spans="1:37" ht="17.100000000000001" customHeight="1" x14ac:dyDescent="0.25">
      <c r="A253" s="132"/>
      <c r="H253" s="123"/>
      <c r="N253" s="100"/>
      <c r="O253" s="50"/>
      <c r="AH253" s="116"/>
      <c r="AI253" s="120"/>
      <c r="AJ253" s="83"/>
      <c r="AK253" s="80" t="s">
        <v>46</v>
      </c>
    </row>
    <row r="254" spans="1:37" ht="17.100000000000001" customHeight="1" x14ac:dyDescent="0.25">
      <c r="A254" s="132"/>
      <c r="H254" s="123"/>
      <c r="N254" s="100"/>
      <c r="O254" s="50"/>
      <c r="AH254" s="116"/>
      <c r="AI254" s="120"/>
      <c r="AJ254" s="83"/>
      <c r="AK254" s="80" t="s">
        <v>46</v>
      </c>
    </row>
    <row r="255" spans="1:37" ht="17.100000000000001" customHeight="1" x14ac:dyDescent="0.25">
      <c r="A255" s="132"/>
      <c r="H255" s="123"/>
      <c r="N255" s="100"/>
      <c r="O255" s="50"/>
      <c r="AH255" s="116"/>
      <c r="AI255" s="120"/>
      <c r="AJ255" s="83"/>
      <c r="AK255" s="80" t="s">
        <v>46</v>
      </c>
    </row>
    <row r="256" spans="1:37" ht="17.100000000000001" customHeight="1" x14ac:dyDescent="0.25">
      <c r="A256" s="132"/>
      <c r="H256" s="123"/>
      <c r="N256" s="100"/>
      <c r="O256" s="50"/>
      <c r="U256" s="49"/>
      <c r="AH256" s="116"/>
      <c r="AI256" s="120"/>
      <c r="AJ256" s="83"/>
      <c r="AK256" s="80" t="s">
        <v>46</v>
      </c>
    </row>
    <row r="257" spans="1:37" ht="17.100000000000001" customHeight="1" x14ac:dyDescent="0.25">
      <c r="A257" s="132"/>
      <c r="H257" s="123"/>
      <c r="N257" s="100"/>
      <c r="O257" s="50"/>
      <c r="AH257" s="116"/>
      <c r="AI257" s="120"/>
      <c r="AJ257" s="83"/>
      <c r="AK257" s="80" t="s">
        <v>46</v>
      </c>
    </row>
    <row r="258" spans="1:37" ht="17.100000000000001" customHeight="1" x14ac:dyDescent="0.25">
      <c r="A258" s="132"/>
      <c r="H258" s="123"/>
      <c r="N258" s="100"/>
      <c r="O258" s="50"/>
      <c r="AH258" s="116"/>
      <c r="AI258" s="120"/>
      <c r="AJ258" s="83"/>
      <c r="AK258" s="80" t="s">
        <v>46</v>
      </c>
    </row>
    <row r="259" spans="1:37" ht="17.100000000000001" customHeight="1" x14ac:dyDescent="0.25">
      <c r="A259" s="132"/>
      <c r="H259" s="123"/>
      <c r="N259" s="100"/>
      <c r="O259" s="50"/>
      <c r="AH259" s="116"/>
      <c r="AI259" s="120"/>
      <c r="AJ259" s="83"/>
      <c r="AK259" s="80" t="s">
        <v>46</v>
      </c>
    </row>
    <row r="260" spans="1:37" ht="17.100000000000001" customHeight="1" x14ac:dyDescent="0.25">
      <c r="A260" s="132"/>
      <c r="H260" s="123"/>
      <c r="N260" s="100"/>
      <c r="O260" s="50"/>
      <c r="AH260" s="116"/>
      <c r="AI260" s="120"/>
      <c r="AJ260" s="83"/>
      <c r="AK260" s="80" t="s">
        <v>46</v>
      </c>
    </row>
    <row r="261" spans="1:37" ht="17.100000000000001" customHeight="1" x14ac:dyDescent="0.25">
      <c r="A261" s="132"/>
      <c r="H261" s="123"/>
      <c r="N261" s="100"/>
      <c r="O261" s="50"/>
      <c r="AH261" s="116"/>
      <c r="AI261" s="120"/>
      <c r="AJ261" s="83"/>
      <c r="AK261" s="80" t="s">
        <v>46</v>
      </c>
    </row>
    <row r="262" spans="1:37" ht="17.100000000000001" customHeight="1" x14ac:dyDescent="0.25">
      <c r="A262" s="132"/>
      <c r="H262" s="123"/>
      <c r="N262" s="100"/>
      <c r="O262" s="50"/>
      <c r="AH262" s="116"/>
      <c r="AI262" s="120"/>
      <c r="AJ262" s="83"/>
      <c r="AK262" s="80" t="s">
        <v>46</v>
      </c>
    </row>
    <row r="263" spans="1:37" ht="17.100000000000001" customHeight="1" x14ac:dyDescent="0.25">
      <c r="A263" s="132"/>
      <c r="H263" s="123"/>
      <c r="N263" s="100"/>
      <c r="O263" s="50"/>
      <c r="AH263" s="116"/>
      <c r="AI263" s="120"/>
      <c r="AJ263" s="83"/>
      <c r="AK263" s="80" t="s">
        <v>46</v>
      </c>
    </row>
    <row r="264" spans="1:37" ht="17.100000000000001" customHeight="1" x14ac:dyDescent="0.25">
      <c r="A264" s="132"/>
      <c r="H264" s="123"/>
      <c r="N264" s="100"/>
      <c r="O264" s="50"/>
      <c r="AH264" s="116"/>
      <c r="AI264" s="120"/>
      <c r="AJ264" s="83"/>
      <c r="AK264" s="80" t="s">
        <v>46</v>
      </c>
    </row>
    <row r="265" spans="1:37" ht="17.100000000000001" customHeight="1" x14ac:dyDescent="0.25">
      <c r="A265" s="132"/>
      <c r="H265" s="123"/>
      <c r="N265" s="100"/>
      <c r="O265" s="50"/>
      <c r="U265" s="49"/>
      <c r="AH265" s="116"/>
      <c r="AI265" s="120"/>
      <c r="AJ265" s="83"/>
      <c r="AK265" s="80" t="s">
        <v>46</v>
      </c>
    </row>
    <row r="266" spans="1:37" ht="17.100000000000001" customHeight="1" x14ac:dyDescent="0.25">
      <c r="A266" s="132"/>
      <c r="H266" s="123"/>
      <c r="N266" s="100"/>
      <c r="O266" s="50"/>
      <c r="U266" s="49"/>
      <c r="AH266" s="116"/>
      <c r="AI266" s="120"/>
      <c r="AJ266" s="83"/>
      <c r="AK266" s="80" t="s">
        <v>46</v>
      </c>
    </row>
    <row r="267" spans="1:37" ht="17.100000000000001" customHeight="1" x14ac:dyDescent="0.25">
      <c r="A267" s="132"/>
      <c r="H267" s="123"/>
      <c r="N267" s="100"/>
      <c r="O267" s="50"/>
      <c r="AH267" s="116"/>
      <c r="AI267" s="120"/>
      <c r="AJ267" s="83"/>
      <c r="AK267" s="80" t="s">
        <v>46</v>
      </c>
    </row>
    <row r="268" spans="1:37" ht="17.100000000000001" customHeight="1" x14ac:dyDescent="0.25">
      <c r="A268" s="132"/>
      <c r="H268" s="123"/>
      <c r="N268" s="100"/>
      <c r="O268" s="50"/>
      <c r="AH268" s="116"/>
      <c r="AI268" s="120"/>
      <c r="AJ268" s="83"/>
      <c r="AK268" s="80" t="s">
        <v>46</v>
      </c>
    </row>
    <row r="269" spans="1:37" ht="17.100000000000001" customHeight="1" x14ac:dyDescent="0.25">
      <c r="A269" s="132"/>
      <c r="H269" s="123"/>
      <c r="N269" s="100"/>
      <c r="O269" s="50"/>
      <c r="AH269" s="116"/>
      <c r="AI269" s="120"/>
      <c r="AJ269" s="83"/>
      <c r="AK269" s="80" t="s">
        <v>46</v>
      </c>
    </row>
    <row r="270" spans="1:37" ht="17.100000000000001" customHeight="1" x14ac:dyDescent="0.25">
      <c r="A270" s="132"/>
      <c r="H270" s="123"/>
      <c r="N270" s="100"/>
      <c r="O270" s="50"/>
      <c r="U270" s="49"/>
      <c r="AH270" s="116"/>
      <c r="AI270" s="120"/>
      <c r="AJ270" s="83"/>
      <c r="AK270" s="80" t="s">
        <v>46</v>
      </c>
    </row>
    <row r="271" spans="1:37" ht="17.100000000000001" customHeight="1" x14ac:dyDescent="0.25">
      <c r="A271" s="132"/>
      <c r="C271" s="92"/>
      <c r="D271" s="92"/>
      <c r="F271" s="108"/>
      <c r="H271" s="123"/>
      <c r="N271" s="100"/>
      <c r="O271" s="50"/>
      <c r="P271" s="100"/>
      <c r="Q271" s="51"/>
      <c r="R271" s="103"/>
      <c r="S271" s="99"/>
      <c r="U271" s="49"/>
      <c r="V271" s="49"/>
      <c r="W271" s="49"/>
      <c r="X271" s="49"/>
      <c r="Y271" s="49"/>
      <c r="Z271" s="49"/>
      <c r="AA271" s="49"/>
      <c r="AB271" s="100"/>
      <c r="AC271" s="100"/>
      <c r="AD271" s="49"/>
      <c r="AE271" s="49"/>
      <c r="AF271" s="49"/>
      <c r="AG271" s="111"/>
      <c r="AH271" s="116"/>
      <c r="AI271" s="121"/>
      <c r="AJ271" s="83"/>
      <c r="AK271" s="80" t="s">
        <v>46</v>
      </c>
    </row>
    <row r="272" spans="1:37" ht="17.100000000000001" customHeight="1" x14ac:dyDescent="0.25">
      <c r="A272" s="132"/>
      <c r="C272" s="92"/>
      <c r="D272" s="92"/>
      <c r="F272" s="108"/>
      <c r="H272" s="123"/>
      <c r="N272" s="100"/>
      <c r="O272" s="50"/>
      <c r="P272" s="100"/>
      <c r="Q272" s="51"/>
      <c r="R272" s="103"/>
      <c r="S272" s="99"/>
      <c r="U272" s="49"/>
      <c r="V272" s="49"/>
      <c r="W272" s="49"/>
      <c r="X272" s="49"/>
      <c r="Y272" s="49"/>
      <c r="Z272" s="49"/>
      <c r="AA272" s="49"/>
      <c r="AB272" s="100"/>
      <c r="AC272" s="100"/>
      <c r="AD272" s="49"/>
      <c r="AE272" s="49"/>
      <c r="AF272" s="49"/>
      <c r="AG272" s="111"/>
      <c r="AH272" s="116"/>
      <c r="AI272" s="121"/>
      <c r="AJ272" s="84"/>
      <c r="AK272" s="80" t="s">
        <v>46</v>
      </c>
    </row>
    <row r="273" spans="1:37" ht="17.100000000000001" customHeight="1" x14ac:dyDescent="0.25">
      <c r="A273" s="132"/>
      <c r="H273" s="123"/>
      <c r="N273" s="100"/>
      <c r="O273" s="50"/>
      <c r="AH273" s="116"/>
      <c r="AI273" s="120"/>
      <c r="AJ273" s="84"/>
      <c r="AK273" s="80" t="s">
        <v>46</v>
      </c>
    </row>
    <row r="274" spans="1:37" ht="17.100000000000001" customHeight="1" x14ac:dyDescent="0.25">
      <c r="A274" s="132"/>
      <c r="H274" s="123"/>
      <c r="N274" s="100"/>
      <c r="O274" s="50"/>
      <c r="AH274" s="116"/>
      <c r="AI274" s="120"/>
      <c r="AJ274" s="83"/>
      <c r="AK274" s="80" t="s">
        <v>46</v>
      </c>
    </row>
    <row r="275" spans="1:37" ht="17.100000000000001" customHeight="1" x14ac:dyDescent="0.25">
      <c r="A275" s="132"/>
      <c r="H275" s="123"/>
      <c r="N275" s="100"/>
      <c r="O275" s="50"/>
      <c r="AH275" s="116"/>
      <c r="AI275" s="120"/>
      <c r="AJ275" s="83"/>
      <c r="AK275" s="80" t="s">
        <v>46</v>
      </c>
    </row>
    <row r="276" spans="1:37" ht="17.100000000000001" customHeight="1" x14ac:dyDescent="0.25">
      <c r="A276" s="132"/>
      <c r="H276" s="123"/>
      <c r="N276" s="100"/>
      <c r="O276" s="50"/>
      <c r="AH276" s="116"/>
      <c r="AI276" s="120"/>
      <c r="AJ276" s="83"/>
      <c r="AK276" s="80" t="s">
        <v>46</v>
      </c>
    </row>
    <row r="277" spans="1:37" ht="17.100000000000001" customHeight="1" x14ac:dyDescent="0.25">
      <c r="A277" s="132"/>
      <c r="H277" s="123"/>
      <c r="N277" s="100"/>
      <c r="O277" s="50"/>
      <c r="AH277" s="116"/>
      <c r="AI277" s="120"/>
      <c r="AJ277" s="83"/>
      <c r="AK277" s="80" t="s">
        <v>46</v>
      </c>
    </row>
    <row r="278" spans="1:37" ht="17.100000000000001" customHeight="1" x14ac:dyDescent="0.25">
      <c r="A278" s="132"/>
      <c r="H278" s="123"/>
      <c r="N278" s="100"/>
      <c r="O278" s="50"/>
      <c r="U278" s="49"/>
      <c r="AH278" s="116"/>
      <c r="AI278" s="120"/>
      <c r="AJ278" s="83"/>
      <c r="AK278" s="80" t="s">
        <v>46</v>
      </c>
    </row>
    <row r="279" spans="1:37" ht="17.100000000000001" customHeight="1" x14ac:dyDescent="0.25">
      <c r="A279" s="132"/>
      <c r="C279" s="92"/>
      <c r="D279" s="92"/>
      <c r="F279" s="108"/>
      <c r="H279" s="123"/>
      <c r="N279" s="100"/>
      <c r="O279" s="50"/>
      <c r="P279" s="100"/>
      <c r="Q279" s="51"/>
      <c r="R279" s="103"/>
      <c r="S279" s="99"/>
      <c r="U279" s="49"/>
      <c r="V279" s="49"/>
      <c r="W279" s="49"/>
      <c r="X279" s="49"/>
      <c r="Y279" s="49"/>
      <c r="Z279" s="49"/>
      <c r="AA279" s="49"/>
      <c r="AB279" s="100"/>
      <c r="AC279" s="100"/>
      <c r="AD279" s="49"/>
      <c r="AE279" s="49"/>
      <c r="AF279" s="49"/>
      <c r="AG279" s="111"/>
      <c r="AH279" s="116"/>
      <c r="AI279" s="121"/>
      <c r="AJ279" s="83"/>
      <c r="AK279" s="80" t="s">
        <v>46</v>
      </c>
    </row>
    <row r="280" spans="1:37" ht="17.100000000000001" customHeight="1" x14ac:dyDescent="0.25">
      <c r="A280" s="132"/>
      <c r="H280" s="123"/>
      <c r="N280" s="100"/>
      <c r="O280" s="50"/>
      <c r="AH280" s="116"/>
      <c r="AI280" s="120"/>
      <c r="AJ280" s="84"/>
      <c r="AK280" s="80" t="s">
        <v>46</v>
      </c>
    </row>
    <row r="281" spans="1:37" ht="17.100000000000001" customHeight="1" x14ac:dyDescent="0.25">
      <c r="A281" s="132"/>
      <c r="H281" s="123"/>
      <c r="N281" s="100"/>
      <c r="O281" s="50"/>
      <c r="AH281" s="116"/>
      <c r="AI281" s="120"/>
      <c r="AJ281" s="83"/>
      <c r="AK281" s="80" t="s">
        <v>46</v>
      </c>
    </row>
    <row r="282" spans="1:37" ht="17.100000000000001" customHeight="1" x14ac:dyDescent="0.25">
      <c r="A282" s="132"/>
      <c r="H282" s="123"/>
      <c r="N282" s="100"/>
      <c r="O282" s="50"/>
      <c r="AH282" s="116"/>
      <c r="AI282" s="120"/>
      <c r="AJ282" s="83"/>
      <c r="AK282" s="80" t="s">
        <v>46</v>
      </c>
    </row>
    <row r="283" spans="1:37" ht="17.100000000000001" customHeight="1" x14ac:dyDescent="0.25">
      <c r="A283" s="132"/>
      <c r="H283" s="123"/>
      <c r="N283" s="100"/>
      <c r="O283" s="50"/>
      <c r="AH283" s="116"/>
      <c r="AI283" s="120"/>
      <c r="AJ283" s="83"/>
      <c r="AK283" s="80" t="s">
        <v>46</v>
      </c>
    </row>
    <row r="284" spans="1:37" ht="17.100000000000001" customHeight="1" x14ac:dyDescent="0.25">
      <c r="A284" s="132"/>
      <c r="H284" s="123"/>
      <c r="N284" s="100"/>
      <c r="O284" s="50"/>
      <c r="AH284" s="116"/>
      <c r="AI284" s="120"/>
      <c r="AJ284" s="83"/>
      <c r="AK284" s="80" t="s">
        <v>46</v>
      </c>
    </row>
    <row r="285" spans="1:37" ht="17.100000000000001" customHeight="1" x14ac:dyDescent="0.25">
      <c r="A285" s="132"/>
      <c r="H285" s="123"/>
      <c r="N285" s="100"/>
      <c r="O285" s="50"/>
      <c r="AH285" s="116"/>
      <c r="AI285" s="120"/>
      <c r="AJ285" s="83"/>
      <c r="AK285" s="80" t="s">
        <v>46</v>
      </c>
    </row>
    <row r="286" spans="1:37" ht="17.100000000000001" customHeight="1" x14ac:dyDescent="0.25">
      <c r="A286" s="132"/>
      <c r="H286" s="123"/>
      <c r="N286" s="100"/>
      <c r="O286" s="50"/>
      <c r="U286" s="49"/>
      <c r="AH286" s="116"/>
      <c r="AI286" s="120"/>
      <c r="AJ286" s="83"/>
      <c r="AK286" s="80" t="s">
        <v>46</v>
      </c>
    </row>
    <row r="287" spans="1:37" ht="17.100000000000001" customHeight="1" x14ac:dyDescent="0.25">
      <c r="A287" s="132"/>
      <c r="C287" s="92"/>
      <c r="D287" s="92"/>
      <c r="F287" s="108"/>
      <c r="H287" s="123"/>
      <c r="N287" s="100"/>
      <c r="O287" s="50"/>
      <c r="P287" s="100"/>
      <c r="Q287" s="51"/>
      <c r="R287" s="103"/>
      <c r="S287" s="99"/>
      <c r="U287" s="49"/>
      <c r="V287" s="49"/>
      <c r="W287" s="49"/>
      <c r="X287" s="49"/>
      <c r="Y287" s="49"/>
      <c r="Z287" s="49"/>
      <c r="AA287" s="49"/>
      <c r="AB287" s="100"/>
      <c r="AC287" s="100"/>
      <c r="AD287" s="49"/>
      <c r="AE287" s="49"/>
      <c r="AF287" s="49"/>
      <c r="AG287" s="111"/>
      <c r="AH287" s="116"/>
      <c r="AI287" s="121"/>
      <c r="AJ287" s="83"/>
      <c r="AK287" s="80" t="s">
        <v>46</v>
      </c>
    </row>
    <row r="288" spans="1:37" ht="17.100000000000001" customHeight="1" x14ac:dyDescent="0.25">
      <c r="A288" s="132"/>
      <c r="H288" s="123"/>
      <c r="N288" s="100"/>
      <c r="O288" s="50"/>
      <c r="AH288" s="116"/>
      <c r="AI288" s="120"/>
      <c r="AJ288" s="84"/>
      <c r="AK288" s="80" t="s">
        <v>46</v>
      </c>
    </row>
    <row r="289" spans="1:37" ht="17.100000000000001" customHeight="1" x14ac:dyDescent="0.25">
      <c r="A289" s="132"/>
      <c r="H289" s="123"/>
      <c r="N289" s="100"/>
      <c r="O289" s="50"/>
      <c r="AH289" s="116"/>
      <c r="AI289" s="120"/>
      <c r="AJ289" s="83"/>
      <c r="AK289" s="80" t="s">
        <v>46</v>
      </c>
    </row>
    <row r="290" spans="1:37" ht="17.100000000000001" customHeight="1" x14ac:dyDescent="0.25">
      <c r="A290" s="132"/>
      <c r="H290" s="123"/>
      <c r="N290" s="100"/>
      <c r="O290" s="50"/>
      <c r="U290" s="49"/>
      <c r="AH290" s="116"/>
      <c r="AI290" s="120"/>
      <c r="AJ290" s="83"/>
      <c r="AK290" s="80" t="s">
        <v>46</v>
      </c>
    </row>
    <row r="291" spans="1:37" ht="17.100000000000001" customHeight="1" x14ac:dyDescent="0.25">
      <c r="A291" s="132"/>
      <c r="H291" s="123"/>
      <c r="N291" s="100"/>
      <c r="O291" s="50"/>
      <c r="AH291" s="116"/>
      <c r="AI291" s="120"/>
      <c r="AJ291" s="83"/>
      <c r="AK291" s="80" t="s">
        <v>46</v>
      </c>
    </row>
    <row r="292" spans="1:37" ht="17.100000000000001" customHeight="1" x14ac:dyDescent="0.25">
      <c r="A292" s="132"/>
      <c r="H292" s="123"/>
      <c r="N292" s="100"/>
      <c r="O292" s="50"/>
      <c r="AH292" s="116"/>
      <c r="AI292" s="120"/>
      <c r="AJ292" s="83"/>
      <c r="AK292" s="80" t="s">
        <v>46</v>
      </c>
    </row>
    <row r="293" spans="1:37" ht="17.100000000000001" customHeight="1" x14ac:dyDescent="0.25">
      <c r="A293" s="132"/>
      <c r="H293" s="123"/>
      <c r="N293" s="100"/>
      <c r="O293" s="50"/>
      <c r="AH293" s="116"/>
      <c r="AI293" s="120"/>
      <c r="AJ293" s="83"/>
      <c r="AK293" s="80" t="s">
        <v>46</v>
      </c>
    </row>
    <row r="294" spans="1:37" ht="17.100000000000001" customHeight="1" x14ac:dyDescent="0.25">
      <c r="A294" s="132"/>
      <c r="H294" s="123"/>
      <c r="N294" s="100"/>
      <c r="O294" s="50"/>
      <c r="AH294" s="116"/>
      <c r="AI294" s="120"/>
      <c r="AJ294" s="83"/>
      <c r="AK294" s="80" t="s">
        <v>46</v>
      </c>
    </row>
    <row r="295" spans="1:37" ht="17.100000000000001" customHeight="1" x14ac:dyDescent="0.25">
      <c r="A295" s="132"/>
      <c r="H295" s="123"/>
      <c r="N295" s="100"/>
      <c r="O295" s="50"/>
      <c r="AH295" s="116"/>
      <c r="AI295" s="120"/>
      <c r="AJ295" s="83"/>
      <c r="AK295" s="80" t="s">
        <v>46</v>
      </c>
    </row>
    <row r="296" spans="1:37" ht="17.100000000000001" customHeight="1" x14ac:dyDescent="0.25">
      <c r="A296" s="132"/>
      <c r="H296" s="123"/>
      <c r="N296" s="100"/>
      <c r="O296" s="50"/>
      <c r="AH296" s="116"/>
      <c r="AI296" s="120"/>
      <c r="AJ296" s="83"/>
      <c r="AK296" s="80" t="s">
        <v>46</v>
      </c>
    </row>
    <row r="297" spans="1:37" ht="17.100000000000001" customHeight="1" x14ac:dyDescent="0.25">
      <c r="A297" s="132"/>
      <c r="H297" s="123"/>
      <c r="N297" s="100"/>
      <c r="O297" s="50"/>
      <c r="AH297" s="116"/>
      <c r="AI297" s="120"/>
      <c r="AJ297" s="83"/>
      <c r="AK297" s="80" t="s">
        <v>46</v>
      </c>
    </row>
    <row r="298" spans="1:37" ht="17.100000000000001" customHeight="1" x14ac:dyDescent="0.25">
      <c r="A298" s="132"/>
      <c r="H298" s="123"/>
      <c r="N298" s="100"/>
      <c r="O298" s="50"/>
      <c r="AH298" s="116"/>
      <c r="AI298" s="120"/>
      <c r="AJ298" s="83"/>
      <c r="AK298" s="80" t="s">
        <v>46</v>
      </c>
    </row>
    <row r="299" spans="1:37" ht="17.100000000000001" customHeight="1" x14ac:dyDescent="0.25">
      <c r="A299" s="132"/>
      <c r="H299" s="123"/>
      <c r="N299" s="100"/>
      <c r="O299" s="50"/>
      <c r="AH299" s="116"/>
      <c r="AI299" s="120"/>
      <c r="AJ299" s="83"/>
      <c r="AK299" s="80" t="s">
        <v>46</v>
      </c>
    </row>
    <row r="300" spans="1:37" ht="17.100000000000001" customHeight="1" x14ac:dyDescent="0.25">
      <c r="A300" s="132"/>
      <c r="H300" s="123"/>
      <c r="N300" s="100"/>
      <c r="O300" s="50"/>
      <c r="AH300" s="116"/>
      <c r="AI300" s="120"/>
      <c r="AJ300" s="83"/>
      <c r="AK300" s="80" t="s">
        <v>46</v>
      </c>
    </row>
    <row r="301" spans="1:37" ht="17.100000000000001" customHeight="1" x14ac:dyDescent="0.25">
      <c r="A301" s="132"/>
      <c r="H301" s="123"/>
      <c r="N301" s="100"/>
      <c r="O301" s="50"/>
      <c r="AH301" s="116"/>
      <c r="AI301" s="120"/>
      <c r="AJ301" s="83"/>
      <c r="AK301" s="80" t="s">
        <v>46</v>
      </c>
    </row>
    <row r="302" spans="1:37" ht="17.100000000000001" customHeight="1" x14ac:dyDescent="0.25">
      <c r="A302" s="132"/>
      <c r="C302" s="92"/>
      <c r="D302" s="92"/>
      <c r="F302" s="108"/>
      <c r="H302" s="123"/>
      <c r="N302" s="100"/>
      <c r="O302" s="50"/>
      <c r="P302" s="100"/>
      <c r="Q302" s="51"/>
      <c r="R302" s="103"/>
      <c r="S302" s="99"/>
      <c r="U302" s="49"/>
      <c r="V302" s="49"/>
      <c r="W302" s="49"/>
      <c r="X302" s="49"/>
      <c r="Y302" s="49"/>
      <c r="Z302" s="49"/>
      <c r="AB302" s="100"/>
      <c r="AC302" s="100"/>
      <c r="AD302" s="49"/>
      <c r="AE302" s="49"/>
      <c r="AF302" s="49"/>
      <c r="AG302" s="111"/>
      <c r="AH302" s="116"/>
      <c r="AI302" s="121"/>
      <c r="AJ302" s="83"/>
      <c r="AK302" s="80" t="s">
        <v>46</v>
      </c>
    </row>
    <row r="303" spans="1:37" ht="17.100000000000001" customHeight="1" x14ac:dyDescent="0.25">
      <c r="A303" s="132"/>
      <c r="H303" s="123"/>
      <c r="N303" s="100"/>
      <c r="O303" s="50"/>
      <c r="AH303" s="116"/>
      <c r="AI303" s="120"/>
      <c r="AJ303" s="84"/>
      <c r="AK303" s="80" t="s">
        <v>46</v>
      </c>
    </row>
    <row r="304" spans="1:37" ht="17.100000000000001" customHeight="1" x14ac:dyDescent="0.25">
      <c r="A304" s="132"/>
      <c r="H304" s="123"/>
      <c r="N304" s="100"/>
      <c r="O304" s="50"/>
      <c r="AH304" s="116"/>
      <c r="AI304" s="120"/>
      <c r="AJ304" s="83"/>
      <c r="AK304" s="80" t="s">
        <v>46</v>
      </c>
    </row>
    <row r="305" spans="1:37" ht="17.100000000000001" customHeight="1" x14ac:dyDescent="0.25">
      <c r="A305" s="132"/>
      <c r="H305" s="123"/>
      <c r="N305" s="100"/>
      <c r="O305" s="50"/>
      <c r="AH305" s="116"/>
      <c r="AI305" s="120"/>
      <c r="AJ305" s="83"/>
      <c r="AK305" s="80" t="s">
        <v>46</v>
      </c>
    </row>
    <row r="306" spans="1:37" ht="17.100000000000001" customHeight="1" x14ac:dyDescent="0.25">
      <c r="A306" s="132"/>
      <c r="H306" s="123"/>
      <c r="N306" s="100"/>
      <c r="O306" s="50"/>
      <c r="AH306" s="116"/>
      <c r="AI306" s="120"/>
      <c r="AJ306" s="83"/>
      <c r="AK306" s="80" t="s">
        <v>46</v>
      </c>
    </row>
    <row r="307" spans="1:37" ht="17.100000000000001" customHeight="1" x14ac:dyDescent="0.25">
      <c r="A307" s="132"/>
      <c r="H307" s="123"/>
      <c r="N307" s="100"/>
      <c r="O307" s="50"/>
      <c r="AH307" s="116"/>
      <c r="AI307" s="120"/>
      <c r="AJ307" s="83"/>
      <c r="AK307" s="80" t="s">
        <v>46</v>
      </c>
    </row>
    <row r="308" spans="1:37" ht="17.100000000000001" customHeight="1" x14ac:dyDescent="0.25">
      <c r="A308" s="132"/>
      <c r="C308" s="92"/>
      <c r="D308" s="92"/>
      <c r="F308" s="108"/>
      <c r="H308" s="123"/>
      <c r="N308" s="100"/>
      <c r="O308" s="50"/>
      <c r="P308" s="100"/>
      <c r="Q308" s="51"/>
      <c r="R308" s="103"/>
      <c r="S308" s="99"/>
      <c r="U308" s="49"/>
      <c r="V308" s="49"/>
      <c r="W308" s="49"/>
      <c r="X308" s="49"/>
      <c r="Y308" s="49"/>
      <c r="Z308" s="49"/>
      <c r="AA308" s="49"/>
      <c r="AB308" s="100"/>
      <c r="AC308" s="100"/>
      <c r="AD308" s="49"/>
      <c r="AE308" s="49"/>
      <c r="AF308" s="49"/>
      <c r="AG308" s="111"/>
      <c r="AH308" s="116"/>
      <c r="AI308" s="121"/>
      <c r="AJ308" s="83"/>
      <c r="AK308" s="80" t="s">
        <v>46</v>
      </c>
    </row>
    <row r="309" spans="1:37" ht="17.100000000000001" customHeight="1" x14ac:dyDescent="0.25">
      <c r="A309" s="132"/>
      <c r="H309" s="123"/>
      <c r="N309" s="100"/>
      <c r="O309" s="50"/>
      <c r="U309" s="49"/>
      <c r="AH309" s="116"/>
      <c r="AI309" s="120"/>
      <c r="AJ309" s="84"/>
      <c r="AK309" s="80" t="s">
        <v>46</v>
      </c>
    </row>
    <row r="310" spans="1:37" ht="17.100000000000001" customHeight="1" x14ac:dyDescent="0.25">
      <c r="A310" s="132"/>
      <c r="H310" s="123"/>
      <c r="N310" s="100"/>
      <c r="O310" s="50"/>
      <c r="AH310" s="116"/>
      <c r="AI310" s="120"/>
      <c r="AJ310" s="83"/>
      <c r="AK310" s="80" t="s">
        <v>46</v>
      </c>
    </row>
    <row r="311" spans="1:37" ht="17.100000000000001" customHeight="1" x14ac:dyDescent="0.25">
      <c r="A311" s="132"/>
      <c r="H311" s="123"/>
      <c r="N311" s="100"/>
      <c r="O311" s="50"/>
      <c r="AH311" s="116"/>
      <c r="AI311" s="120"/>
      <c r="AJ311" s="83"/>
      <c r="AK311" s="80" t="s">
        <v>46</v>
      </c>
    </row>
    <row r="312" spans="1:37" ht="17.100000000000001" customHeight="1" x14ac:dyDescent="0.25">
      <c r="A312" s="132"/>
      <c r="H312" s="123"/>
      <c r="N312" s="100"/>
      <c r="O312" s="50"/>
      <c r="AH312" s="116"/>
      <c r="AI312" s="120"/>
      <c r="AJ312" s="83"/>
      <c r="AK312" s="80" t="s">
        <v>46</v>
      </c>
    </row>
    <row r="313" spans="1:37" ht="17.100000000000001" customHeight="1" x14ac:dyDescent="0.25">
      <c r="A313" s="132"/>
      <c r="H313" s="123"/>
      <c r="N313" s="100"/>
      <c r="O313" s="50"/>
      <c r="AH313" s="116"/>
      <c r="AI313" s="120"/>
      <c r="AJ313" s="83"/>
      <c r="AK313" s="80" t="s">
        <v>46</v>
      </c>
    </row>
    <row r="314" spans="1:37" ht="17.100000000000001" customHeight="1" x14ac:dyDescent="0.25">
      <c r="A314" s="132"/>
      <c r="H314" s="123"/>
      <c r="N314" s="100"/>
      <c r="O314" s="50"/>
      <c r="AH314" s="116"/>
      <c r="AI314" s="120"/>
      <c r="AJ314" s="83"/>
      <c r="AK314" s="80" t="s">
        <v>46</v>
      </c>
    </row>
    <row r="315" spans="1:37" ht="17.100000000000001" customHeight="1" x14ac:dyDescent="0.25">
      <c r="A315" s="132"/>
      <c r="H315" s="123"/>
      <c r="N315" s="100"/>
      <c r="O315" s="50"/>
      <c r="AH315" s="116"/>
      <c r="AI315" s="120"/>
      <c r="AJ315" s="83"/>
      <c r="AK315" s="80" t="s">
        <v>46</v>
      </c>
    </row>
    <row r="316" spans="1:37" ht="17.100000000000001" customHeight="1" x14ac:dyDescent="0.25">
      <c r="A316" s="132"/>
      <c r="C316" s="92"/>
      <c r="D316" s="92"/>
      <c r="F316" s="108"/>
      <c r="H316" s="123"/>
      <c r="N316" s="100"/>
      <c r="O316" s="50"/>
      <c r="P316" s="100"/>
      <c r="Q316" s="51"/>
      <c r="R316" s="103"/>
      <c r="S316" s="99"/>
      <c r="U316" s="49"/>
      <c r="V316" s="49"/>
      <c r="W316" s="49"/>
      <c r="X316" s="49"/>
      <c r="Y316" s="49"/>
      <c r="Z316" s="49"/>
      <c r="AA316" s="49"/>
      <c r="AB316" s="100"/>
      <c r="AC316" s="100"/>
      <c r="AD316" s="49"/>
      <c r="AE316" s="49"/>
      <c r="AF316" s="49"/>
      <c r="AG316" s="111"/>
      <c r="AH316" s="116"/>
      <c r="AI316" s="121"/>
      <c r="AJ316" s="83"/>
      <c r="AK316" s="80" t="s">
        <v>46</v>
      </c>
    </row>
    <row r="317" spans="1:37" ht="17.100000000000001" customHeight="1" x14ac:dyDescent="0.25">
      <c r="A317" s="132"/>
      <c r="H317" s="123"/>
      <c r="N317" s="100"/>
      <c r="O317" s="50"/>
      <c r="AH317" s="116"/>
      <c r="AI317" s="120"/>
      <c r="AJ317" s="84"/>
      <c r="AK317" s="80" t="s">
        <v>46</v>
      </c>
    </row>
    <row r="318" spans="1:37" ht="17.100000000000001" customHeight="1" x14ac:dyDescent="0.25">
      <c r="A318" s="132"/>
      <c r="H318" s="123"/>
      <c r="N318" s="100"/>
      <c r="O318" s="50"/>
      <c r="AH318" s="116"/>
      <c r="AI318" s="120"/>
      <c r="AJ318" s="83"/>
      <c r="AK318" s="80" t="s">
        <v>46</v>
      </c>
    </row>
    <row r="319" spans="1:37" ht="17.100000000000001" customHeight="1" x14ac:dyDescent="0.25">
      <c r="A319" s="132"/>
      <c r="H319" s="123"/>
      <c r="N319" s="100"/>
      <c r="O319" s="50"/>
      <c r="AH319" s="116"/>
      <c r="AI319" s="120"/>
      <c r="AJ319" s="83"/>
      <c r="AK319" s="80" t="s">
        <v>46</v>
      </c>
    </row>
    <row r="320" spans="1:37" ht="17.100000000000001" customHeight="1" x14ac:dyDescent="0.25">
      <c r="A320" s="132"/>
      <c r="H320" s="123"/>
      <c r="N320" s="100"/>
      <c r="O320" s="50"/>
      <c r="AH320" s="116"/>
      <c r="AI320" s="120"/>
      <c r="AJ320" s="83"/>
      <c r="AK320" s="80" t="s">
        <v>46</v>
      </c>
    </row>
    <row r="321" spans="1:37" ht="17.100000000000001" customHeight="1" x14ac:dyDescent="0.25">
      <c r="A321" s="132"/>
      <c r="H321" s="123"/>
      <c r="N321" s="100"/>
      <c r="O321" s="50"/>
      <c r="AH321" s="116"/>
      <c r="AI321" s="120"/>
      <c r="AJ321" s="83"/>
      <c r="AK321" s="80" t="s">
        <v>46</v>
      </c>
    </row>
    <row r="322" spans="1:37" ht="17.100000000000001" customHeight="1" x14ac:dyDescent="0.25">
      <c r="A322" s="132"/>
      <c r="H322" s="123"/>
      <c r="N322" s="100"/>
      <c r="O322" s="50"/>
      <c r="AH322" s="116"/>
      <c r="AI322" s="120"/>
      <c r="AJ322" s="83"/>
      <c r="AK322" s="80" t="s">
        <v>46</v>
      </c>
    </row>
    <row r="323" spans="1:37" ht="17.100000000000001" customHeight="1" x14ac:dyDescent="0.25">
      <c r="A323" s="132"/>
      <c r="H323" s="123"/>
      <c r="N323" s="100"/>
      <c r="O323" s="50"/>
      <c r="AH323" s="116"/>
      <c r="AI323" s="120"/>
      <c r="AJ323" s="83"/>
      <c r="AK323" s="80" t="s">
        <v>46</v>
      </c>
    </row>
    <row r="324" spans="1:37" ht="17.100000000000001" customHeight="1" x14ac:dyDescent="0.25">
      <c r="A324" s="132"/>
      <c r="H324" s="123"/>
      <c r="N324" s="100"/>
      <c r="O324" s="50"/>
      <c r="AH324" s="116"/>
      <c r="AI324" s="120"/>
      <c r="AJ324" s="83"/>
      <c r="AK324" s="80" t="s">
        <v>46</v>
      </c>
    </row>
    <row r="325" spans="1:37" ht="17.100000000000001" customHeight="1" x14ac:dyDescent="0.25">
      <c r="A325" s="132"/>
      <c r="H325" s="123"/>
      <c r="N325" s="100"/>
      <c r="O325" s="50"/>
      <c r="AH325" s="116"/>
      <c r="AI325" s="120"/>
      <c r="AJ325" s="83"/>
      <c r="AK325" s="80" t="s">
        <v>46</v>
      </c>
    </row>
    <row r="326" spans="1:37" ht="17.100000000000001" customHeight="1" x14ac:dyDescent="0.25">
      <c r="A326" s="132"/>
      <c r="H326" s="123"/>
      <c r="N326" s="100"/>
      <c r="O326" s="50"/>
      <c r="AH326" s="116"/>
      <c r="AI326" s="120"/>
      <c r="AJ326" s="83"/>
      <c r="AK326" s="80" t="s">
        <v>46</v>
      </c>
    </row>
    <row r="327" spans="1:37" ht="17.100000000000001" customHeight="1" x14ac:dyDescent="0.25">
      <c r="A327" s="132"/>
      <c r="H327" s="123"/>
      <c r="N327" s="100"/>
      <c r="O327" s="50"/>
      <c r="AH327" s="116"/>
      <c r="AI327" s="120"/>
      <c r="AJ327" s="83"/>
      <c r="AK327" s="80" t="s">
        <v>46</v>
      </c>
    </row>
    <row r="328" spans="1:37" ht="17.100000000000001" customHeight="1" x14ac:dyDescent="0.25">
      <c r="A328" s="132"/>
      <c r="H328" s="123"/>
      <c r="N328" s="100"/>
      <c r="O328" s="50"/>
      <c r="AH328" s="116"/>
      <c r="AI328" s="120"/>
      <c r="AJ328" s="83"/>
      <c r="AK328" s="80" t="s">
        <v>46</v>
      </c>
    </row>
    <row r="329" spans="1:37" ht="17.100000000000001" customHeight="1" x14ac:dyDescent="0.25">
      <c r="A329" s="132"/>
      <c r="H329" s="123"/>
      <c r="N329" s="100"/>
      <c r="O329" s="50"/>
      <c r="AH329" s="116"/>
      <c r="AI329" s="120"/>
      <c r="AJ329" s="83"/>
      <c r="AK329" s="80" t="s">
        <v>46</v>
      </c>
    </row>
    <row r="330" spans="1:37" ht="17.100000000000001" customHeight="1" x14ac:dyDescent="0.25">
      <c r="A330" s="132"/>
      <c r="H330" s="123"/>
      <c r="N330" s="100"/>
      <c r="O330" s="50"/>
      <c r="AH330" s="116"/>
      <c r="AI330" s="120"/>
      <c r="AJ330" s="83"/>
      <c r="AK330" s="80" t="s">
        <v>46</v>
      </c>
    </row>
    <row r="331" spans="1:37" ht="17.100000000000001" customHeight="1" x14ac:dyDescent="0.25">
      <c r="A331" s="132"/>
      <c r="H331" s="123"/>
      <c r="N331" s="100"/>
      <c r="O331" s="50"/>
      <c r="AH331" s="116"/>
      <c r="AI331" s="120"/>
      <c r="AJ331" s="83"/>
      <c r="AK331" s="80" t="s">
        <v>46</v>
      </c>
    </row>
    <row r="332" spans="1:37" ht="17.100000000000001" customHeight="1" x14ac:dyDescent="0.25">
      <c r="A332" s="132"/>
      <c r="H332" s="123"/>
      <c r="N332" s="100"/>
      <c r="O332" s="50"/>
      <c r="AH332" s="116"/>
      <c r="AI332" s="120"/>
      <c r="AJ332" s="83"/>
      <c r="AK332" s="80" t="s">
        <v>46</v>
      </c>
    </row>
    <row r="333" spans="1:37" ht="17.100000000000001" customHeight="1" x14ac:dyDescent="0.25">
      <c r="A333" s="132"/>
      <c r="H333" s="123"/>
      <c r="N333" s="100"/>
      <c r="O333" s="50"/>
      <c r="AH333" s="116"/>
      <c r="AI333" s="120"/>
      <c r="AJ333" s="83"/>
      <c r="AK333" s="80" t="s">
        <v>46</v>
      </c>
    </row>
    <row r="334" spans="1:37" ht="17.100000000000001" customHeight="1" x14ac:dyDescent="0.25">
      <c r="A334" s="132"/>
      <c r="H334" s="123"/>
      <c r="N334" s="100"/>
      <c r="O334" s="50"/>
      <c r="AH334" s="116"/>
      <c r="AI334" s="120"/>
      <c r="AJ334" s="83"/>
      <c r="AK334" s="80" t="s">
        <v>46</v>
      </c>
    </row>
    <row r="335" spans="1:37" ht="17.100000000000001" customHeight="1" x14ac:dyDescent="0.25">
      <c r="A335" s="132"/>
      <c r="H335" s="123"/>
      <c r="N335" s="100"/>
      <c r="O335" s="50"/>
      <c r="AH335" s="116"/>
      <c r="AI335" s="120"/>
      <c r="AJ335" s="83"/>
      <c r="AK335" s="80" t="s">
        <v>46</v>
      </c>
    </row>
    <row r="336" spans="1:37" ht="17.100000000000001" customHeight="1" x14ac:dyDescent="0.25">
      <c r="A336" s="132"/>
      <c r="H336" s="123"/>
      <c r="N336" s="100"/>
      <c r="O336" s="50"/>
      <c r="AH336" s="116"/>
      <c r="AI336" s="120"/>
      <c r="AJ336" s="83"/>
      <c r="AK336" s="80" t="s">
        <v>46</v>
      </c>
    </row>
    <row r="337" spans="1:37" ht="17.100000000000001" customHeight="1" x14ac:dyDescent="0.25">
      <c r="A337" s="132"/>
      <c r="H337" s="123"/>
      <c r="N337" s="100"/>
      <c r="O337" s="50"/>
      <c r="AH337" s="116"/>
      <c r="AI337" s="120"/>
      <c r="AJ337" s="83"/>
      <c r="AK337" s="80" t="s">
        <v>46</v>
      </c>
    </row>
    <row r="338" spans="1:37" ht="17.100000000000001" customHeight="1" x14ac:dyDescent="0.25">
      <c r="A338" s="132"/>
      <c r="H338" s="123"/>
      <c r="N338" s="100"/>
      <c r="O338" s="50"/>
      <c r="AH338" s="116"/>
      <c r="AI338" s="120"/>
      <c r="AJ338" s="83"/>
      <c r="AK338" s="80" t="s">
        <v>46</v>
      </c>
    </row>
    <row r="339" spans="1:37" ht="17.100000000000001" customHeight="1" x14ac:dyDescent="0.25">
      <c r="A339" s="132"/>
      <c r="H339" s="123"/>
      <c r="N339" s="100"/>
      <c r="O339" s="50"/>
      <c r="AH339" s="116"/>
      <c r="AI339" s="120"/>
      <c r="AJ339" s="83"/>
      <c r="AK339" s="80" t="s">
        <v>46</v>
      </c>
    </row>
    <row r="340" spans="1:37" ht="17.100000000000001" customHeight="1" x14ac:dyDescent="0.25">
      <c r="A340" s="132"/>
      <c r="H340" s="123"/>
      <c r="N340" s="100"/>
      <c r="O340" s="50"/>
      <c r="AH340" s="116"/>
      <c r="AI340" s="120"/>
      <c r="AJ340" s="83"/>
      <c r="AK340" s="80" t="s">
        <v>46</v>
      </c>
    </row>
    <row r="341" spans="1:37" ht="17.100000000000001" customHeight="1" x14ac:dyDescent="0.25">
      <c r="A341" s="132"/>
      <c r="H341" s="123"/>
      <c r="N341" s="100"/>
      <c r="O341" s="50"/>
      <c r="AH341" s="116"/>
      <c r="AI341" s="120"/>
      <c r="AJ341" s="83"/>
      <c r="AK341" s="80" t="s">
        <v>46</v>
      </c>
    </row>
    <row r="342" spans="1:37" ht="17.100000000000001" customHeight="1" x14ac:dyDescent="0.25">
      <c r="A342" s="132"/>
      <c r="H342" s="123"/>
      <c r="N342" s="100"/>
      <c r="O342" s="50"/>
      <c r="AH342" s="116"/>
      <c r="AI342" s="120"/>
      <c r="AJ342" s="83"/>
      <c r="AK342" s="80" t="s">
        <v>46</v>
      </c>
    </row>
    <row r="343" spans="1:37" ht="17.100000000000001" customHeight="1" x14ac:dyDescent="0.25">
      <c r="A343" s="132"/>
      <c r="H343" s="123"/>
      <c r="N343" s="100"/>
      <c r="O343" s="50"/>
      <c r="AH343" s="116"/>
      <c r="AI343" s="120"/>
      <c r="AJ343" s="83"/>
      <c r="AK343" s="80" t="s">
        <v>46</v>
      </c>
    </row>
    <row r="344" spans="1:37" ht="17.100000000000001" customHeight="1" x14ac:dyDescent="0.25">
      <c r="A344" s="132"/>
      <c r="H344" s="123"/>
      <c r="N344" s="100"/>
      <c r="O344" s="50"/>
      <c r="AH344" s="116"/>
      <c r="AI344" s="120"/>
      <c r="AJ344" s="83"/>
      <c r="AK344" s="80" t="s">
        <v>46</v>
      </c>
    </row>
    <row r="345" spans="1:37" ht="17.100000000000001" customHeight="1" x14ac:dyDescent="0.25">
      <c r="A345" s="132"/>
      <c r="H345" s="123"/>
      <c r="N345" s="100"/>
      <c r="O345" s="50"/>
      <c r="U345" s="49"/>
      <c r="AH345" s="116"/>
      <c r="AI345" s="120"/>
      <c r="AJ345" s="83"/>
      <c r="AK345" s="80" t="s">
        <v>46</v>
      </c>
    </row>
    <row r="346" spans="1:37" ht="17.100000000000001" customHeight="1" x14ac:dyDescent="0.25">
      <c r="A346" s="132"/>
      <c r="H346" s="123"/>
      <c r="N346" s="100"/>
      <c r="O346" s="50"/>
      <c r="AH346" s="116"/>
      <c r="AI346" s="120"/>
      <c r="AJ346" s="83"/>
      <c r="AK346" s="80" t="s">
        <v>46</v>
      </c>
    </row>
    <row r="347" spans="1:37" ht="17.100000000000001" customHeight="1" x14ac:dyDescent="0.25">
      <c r="A347" s="132"/>
      <c r="H347" s="123"/>
      <c r="N347" s="100"/>
      <c r="O347" s="50"/>
      <c r="AH347" s="116"/>
      <c r="AI347" s="120"/>
      <c r="AJ347" s="83"/>
      <c r="AK347" s="80" t="s">
        <v>46</v>
      </c>
    </row>
    <row r="348" spans="1:37" ht="17.100000000000001" customHeight="1" x14ac:dyDescent="0.25">
      <c r="A348" s="132"/>
      <c r="H348" s="123"/>
      <c r="N348" s="100"/>
      <c r="O348" s="50"/>
      <c r="AH348" s="116"/>
      <c r="AI348" s="120"/>
      <c r="AJ348" s="83"/>
      <c r="AK348" s="80" t="s">
        <v>46</v>
      </c>
    </row>
    <row r="349" spans="1:37" ht="17.100000000000001" customHeight="1" x14ac:dyDescent="0.25">
      <c r="A349" s="132"/>
      <c r="H349" s="123"/>
      <c r="N349" s="100"/>
      <c r="O349" s="50"/>
      <c r="AH349" s="116"/>
      <c r="AI349" s="120"/>
      <c r="AJ349" s="83"/>
      <c r="AK349" s="80" t="s">
        <v>46</v>
      </c>
    </row>
    <row r="350" spans="1:37" ht="17.100000000000001" customHeight="1" x14ac:dyDescent="0.25">
      <c r="A350" s="132"/>
      <c r="H350" s="123"/>
      <c r="N350" s="100"/>
      <c r="O350" s="50"/>
      <c r="AH350" s="116"/>
      <c r="AI350" s="120"/>
      <c r="AJ350" s="83"/>
      <c r="AK350" s="80" t="s">
        <v>46</v>
      </c>
    </row>
    <row r="351" spans="1:37" ht="17.100000000000001" customHeight="1" x14ac:dyDescent="0.25">
      <c r="A351" s="132"/>
      <c r="H351" s="123"/>
      <c r="N351" s="100"/>
      <c r="O351" s="50"/>
      <c r="AH351" s="116"/>
      <c r="AI351" s="120"/>
      <c r="AJ351" s="83"/>
      <c r="AK351" s="80" t="s">
        <v>46</v>
      </c>
    </row>
    <row r="352" spans="1:37" ht="17.100000000000001" customHeight="1" x14ac:dyDescent="0.25">
      <c r="A352" s="132"/>
      <c r="H352" s="123"/>
      <c r="N352" s="100"/>
      <c r="O352" s="50"/>
      <c r="AH352" s="116"/>
      <c r="AI352" s="120"/>
      <c r="AJ352" s="83"/>
      <c r="AK352" s="80" t="s">
        <v>46</v>
      </c>
    </row>
    <row r="353" spans="1:37" ht="17.100000000000001" customHeight="1" x14ac:dyDescent="0.25">
      <c r="A353" s="132"/>
      <c r="H353" s="123"/>
      <c r="N353" s="100"/>
      <c r="O353" s="50"/>
      <c r="AH353" s="116"/>
      <c r="AI353" s="120"/>
      <c r="AJ353" s="83"/>
      <c r="AK353" s="80" t="s">
        <v>46</v>
      </c>
    </row>
    <row r="354" spans="1:37" ht="17.100000000000001" customHeight="1" x14ac:dyDescent="0.25">
      <c r="A354" s="132"/>
      <c r="H354" s="123"/>
      <c r="N354" s="100"/>
      <c r="O354" s="50"/>
      <c r="AH354" s="116"/>
      <c r="AI354" s="120"/>
      <c r="AJ354" s="83"/>
      <c r="AK354" s="80" t="s">
        <v>46</v>
      </c>
    </row>
    <row r="355" spans="1:37" ht="17.100000000000001" customHeight="1" x14ac:dyDescent="0.25">
      <c r="A355" s="132"/>
      <c r="H355" s="123"/>
      <c r="N355" s="100"/>
      <c r="O355" s="50"/>
      <c r="AH355" s="116"/>
      <c r="AI355" s="120"/>
      <c r="AJ355" s="83"/>
      <c r="AK355" s="80" t="s">
        <v>46</v>
      </c>
    </row>
    <row r="356" spans="1:37" ht="17.100000000000001" customHeight="1" x14ac:dyDescent="0.25">
      <c r="A356" s="132"/>
      <c r="H356" s="123"/>
      <c r="N356" s="100"/>
      <c r="O356" s="50"/>
      <c r="AH356" s="116"/>
      <c r="AI356" s="120"/>
      <c r="AJ356" s="83"/>
      <c r="AK356" s="80" t="s">
        <v>46</v>
      </c>
    </row>
    <row r="357" spans="1:37" ht="17.100000000000001" customHeight="1" x14ac:dyDescent="0.25">
      <c r="A357" s="132"/>
      <c r="C357" s="92"/>
      <c r="D357" s="92"/>
      <c r="F357" s="108"/>
      <c r="H357" s="123"/>
      <c r="N357" s="100"/>
      <c r="O357" s="50"/>
      <c r="P357" s="100"/>
      <c r="Q357" s="51"/>
      <c r="R357" s="103"/>
      <c r="S357" s="99"/>
      <c r="U357" s="49"/>
      <c r="V357" s="49"/>
      <c r="W357" s="49"/>
      <c r="X357" s="49"/>
      <c r="Y357" s="49"/>
      <c r="Z357" s="49"/>
      <c r="AB357" s="100"/>
      <c r="AC357" s="100"/>
      <c r="AD357" s="49"/>
      <c r="AE357" s="49"/>
      <c r="AF357" s="49"/>
      <c r="AG357" s="111"/>
      <c r="AH357" s="116"/>
      <c r="AI357" s="121"/>
      <c r="AJ357" s="83"/>
      <c r="AK357" s="80" t="s">
        <v>46</v>
      </c>
    </row>
    <row r="358" spans="1:37" ht="17.100000000000001" customHeight="1" x14ac:dyDescent="0.25">
      <c r="A358" s="132"/>
      <c r="H358" s="123"/>
      <c r="N358" s="100"/>
      <c r="O358" s="50"/>
      <c r="U358" s="49"/>
      <c r="AH358" s="116"/>
      <c r="AI358" s="120"/>
      <c r="AJ358" s="84"/>
      <c r="AK358" s="80" t="s">
        <v>46</v>
      </c>
    </row>
    <row r="359" spans="1:37" ht="17.100000000000001" customHeight="1" x14ac:dyDescent="0.25">
      <c r="A359" s="132"/>
      <c r="H359" s="123"/>
      <c r="N359" s="100"/>
      <c r="O359" s="50"/>
      <c r="AH359" s="116"/>
      <c r="AI359" s="120"/>
      <c r="AJ359" s="83"/>
      <c r="AK359" s="80" t="s">
        <v>46</v>
      </c>
    </row>
    <row r="360" spans="1:37" ht="17.100000000000001" customHeight="1" x14ac:dyDescent="0.25">
      <c r="A360" s="132"/>
      <c r="C360" s="92"/>
      <c r="D360" s="92"/>
      <c r="F360" s="108"/>
      <c r="H360" s="123"/>
      <c r="N360" s="100"/>
      <c r="O360" s="50"/>
      <c r="P360" s="100"/>
      <c r="Q360" s="51"/>
      <c r="R360" s="103"/>
      <c r="S360" s="99"/>
      <c r="U360" s="49"/>
      <c r="V360" s="49"/>
      <c r="W360" s="49"/>
      <c r="X360" s="49"/>
      <c r="Y360" s="49"/>
      <c r="Z360" s="49"/>
      <c r="AA360" s="49"/>
      <c r="AB360" s="100"/>
      <c r="AC360" s="100"/>
      <c r="AD360" s="49"/>
      <c r="AE360" s="49"/>
      <c r="AF360" s="49"/>
      <c r="AG360" s="111"/>
      <c r="AH360" s="116"/>
      <c r="AI360" s="121"/>
      <c r="AJ360" s="83"/>
      <c r="AK360" s="80" t="s">
        <v>46</v>
      </c>
    </row>
    <row r="361" spans="1:37" ht="17.100000000000001" customHeight="1" x14ac:dyDescent="0.25">
      <c r="A361" s="132"/>
      <c r="H361" s="123"/>
      <c r="N361" s="100"/>
      <c r="O361" s="50"/>
      <c r="U361" s="49"/>
      <c r="AH361" s="116"/>
      <c r="AI361" s="120"/>
      <c r="AJ361" s="84"/>
      <c r="AK361" s="80" t="s">
        <v>46</v>
      </c>
    </row>
    <row r="362" spans="1:37" ht="17.100000000000001" customHeight="1" x14ac:dyDescent="0.25">
      <c r="A362" s="132"/>
      <c r="H362" s="123"/>
      <c r="N362" s="100"/>
      <c r="O362" s="50"/>
      <c r="AH362" s="116"/>
      <c r="AI362" s="120"/>
      <c r="AJ362" s="83"/>
      <c r="AK362" s="80" t="s">
        <v>46</v>
      </c>
    </row>
    <row r="363" spans="1:37" ht="17.100000000000001" customHeight="1" x14ac:dyDescent="0.25">
      <c r="A363" s="132"/>
      <c r="H363" s="123"/>
      <c r="N363" s="100"/>
      <c r="O363" s="50"/>
      <c r="AH363" s="116"/>
      <c r="AI363" s="120"/>
      <c r="AJ363" s="83"/>
      <c r="AK363" s="80" t="s">
        <v>46</v>
      </c>
    </row>
    <row r="364" spans="1:37" ht="17.100000000000001" customHeight="1" x14ac:dyDescent="0.25">
      <c r="A364" s="132"/>
      <c r="H364" s="123"/>
      <c r="N364" s="100"/>
      <c r="O364" s="50"/>
      <c r="AH364" s="116"/>
      <c r="AI364" s="120"/>
      <c r="AJ364" s="83"/>
      <c r="AK364" s="80" t="s">
        <v>46</v>
      </c>
    </row>
    <row r="365" spans="1:37" ht="17.100000000000001" customHeight="1" x14ac:dyDescent="0.25">
      <c r="A365" s="132"/>
      <c r="H365" s="123"/>
      <c r="N365" s="100"/>
      <c r="O365" s="50"/>
      <c r="AH365" s="116"/>
      <c r="AI365" s="120"/>
      <c r="AJ365" s="83"/>
      <c r="AK365" s="80" t="s">
        <v>46</v>
      </c>
    </row>
    <row r="366" spans="1:37" ht="17.100000000000001" customHeight="1" x14ac:dyDescent="0.25">
      <c r="A366" s="132"/>
      <c r="H366" s="123"/>
      <c r="N366" s="100"/>
      <c r="O366" s="50"/>
      <c r="AH366" s="116"/>
      <c r="AI366" s="120"/>
      <c r="AJ366" s="83"/>
      <c r="AK366" s="80" t="s">
        <v>46</v>
      </c>
    </row>
    <row r="367" spans="1:37" ht="17.100000000000001" customHeight="1" x14ac:dyDescent="0.25">
      <c r="A367" s="132"/>
      <c r="H367" s="123"/>
      <c r="N367" s="100"/>
      <c r="O367" s="50"/>
      <c r="AH367" s="116"/>
      <c r="AI367" s="120"/>
      <c r="AJ367" s="83"/>
      <c r="AK367" s="80" t="s">
        <v>46</v>
      </c>
    </row>
    <row r="368" spans="1:37" ht="17.100000000000001" customHeight="1" x14ac:dyDescent="0.25">
      <c r="A368" s="132"/>
      <c r="H368" s="123"/>
      <c r="N368" s="100"/>
      <c r="O368" s="50"/>
      <c r="AH368" s="116"/>
      <c r="AI368" s="120"/>
      <c r="AJ368" s="83"/>
      <c r="AK368" s="80" t="s">
        <v>46</v>
      </c>
    </row>
    <row r="369" spans="1:37" ht="17.100000000000001" customHeight="1" x14ac:dyDescent="0.25">
      <c r="A369" s="132"/>
      <c r="H369" s="123"/>
      <c r="N369" s="100"/>
      <c r="O369" s="50"/>
      <c r="AH369" s="116"/>
      <c r="AI369" s="120"/>
      <c r="AJ369" s="83"/>
      <c r="AK369" s="80" t="s">
        <v>46</v>
      </c>
    </row>
    <row r="370" spans="1:37" ht="17.100000000000001" customHeight="1" x14ac:dyDescent="0.25">
      <c r="A370" s="132"/>
      <c r="H370" s="123"/>
      <c r="N370" s="100"/>
      <c r="O370" s="50"/>
      <c r="AH370" s="116"/>
      <c r="AI370" s="120"/>
      <c r="AJ370" s="83"/>
      <c r="AK370" s="80" t="s">
        <v>46</v>
      </c>
    </row>
    <row r="371" spans="1:37" ht="17.100000000000001" customHeight="1" x14ac:dyDescent="0.25">
      <c r="A371" s="132"/>
      <c r="H371" s="123"/>
      <c r="N371" s="100"/>
      <c r="O371" s="50"/>
      <c r="AH371" s="116"/>
      <c r="AI371" s="120"/>
      <c r="AJ371" s="83"/>
      <c r="AK371" s="80" t="s">
        <v>46</v>
      </c>
    </row>
    <row r="372" spans="1:37" ht="17.100000000000001" customHeight="1" x14ac:dyDescent="0.25">
      <c r="A372" s="132"/>
      <c r="H372" s="123"/>
      <c r="N372" s="100"/>
      <c r="O372" s="50"/>
      <c r="AH372" s="116"/>
      <c r="AI372" s="120"/>
      <c r="AJ372" s="83"/>
      <c r="AK372" s="80" t="s">
        <v>46</v>
      </c>
    </row>
    <row r="373" spans="1:37" ht="17.100000000000001" customHeight="1" x14ac:dyDescent="0.25">
      <c r="A373" s="132"/>
      <c r="H373" s="123"/>
      <c r="N373" s="100"/>
      <c r="O373" s="50"/>
      <c r="AH373" s="116"/>
      <c r="AI373" s="120"/>
      <c r="AJ373" s="83"/>
      <c r="AK373" s="80" t="s">
        <v>46</v>
      </c>
    </row>
    <row r="374" spans="1:37" ht="17.100000000000001" customHeight="1" x14ac:dyDescent="0.25">
      <c r="A374" s="132"/>
      <c r="H374" s="123"/>
      <c r="N374" s="100"/>
      <c r="O374" s="50"/>
      <c r="AH374" s="116"/>
      <c r="AI374" s="120"/>
      <c r="AJ374" s="83"/>
      <c r="AK374" s="80" t="s">
        <v>46</v>
      </c>
    </row>
    <row r="375" spans="1:37" ht="17.100000000000001" customHeight="1" x14ac:dyDescent="0.25">
      <c r="A375" s="132"/>
      <c r="H375" s="123"/>
      <c r="N375" s="100"/>
      <c r="O375" s="50"/>
      <c r="AH375" s="116"/>
      <c r="AI375" s="120"/>
      <c r="AJ375" s="83"/>
      <c r="AK375" s="80" t="s">
        <v>46</v>
      </c>
    </row>
    <row r="376" spans="1:37" ht="17.100000000000001" customHeight="1" x14ac:dyDescent="0.25">
      <c r="A376" s="132"/>
      <c r="H376" s="123"/>
      <c r="N376" s="100"/>
      <c r="O376" s="50"/>
      <c r="AH376" s="116"/>
      <c r="AI376" s="120"/>
      <c r="AJ376" s="83"/>
      <c r="AK376" s="80" t="s">
        <v>46</v>
      </c>
    </row>
    <row r="377" spans="1:37" ht="17.100000000000001" customHeight="1" x14ac:dyDescent="0.25">
      <c r="A377" s="132"/>
      <c r="H377" s="123"/>
      <c r="N377" s="100"/>
      <c r="O377" s="50"/>
      <c r="AH377" s="116"/>
      <c r="AI377" s="120"/>
      <c r="AJ377" s="83"/>
      <c r="AK377" s="80" t="s">
        <v>46</v>
      </c>
    </row>
    <row r="378" spans="1:37" ht="17.100000000000001" customHeight="1" x14ac:dyDescent="0.25">
      <c r="A378" s="132"/>
      <c r="C378" s="92"/>
      <c r="D378" s="92"/>
      <c r="F378" s="108"/>
      <c r="H378" s="123"/>
      <c r="N378" s="100"/>
      <c r="O378" s="50"/>
      <c r="P378" s="100"/>
      <c r="Q378" s="51"/>
      <c r="R378" s="103"/>
      <c r="S378" s="99"/>
      <c r="U378" s="49"/>
      <c r="V378" s="49"/>
      <c r="W378" s="49"/>
      <c r="X378" s="49"/>
      <c r="Y378" s="49"/>
      <c r="Z378" s="49"/>
      <c r="AA378" s="49"/>
      <c r="AB378" s="100"/>
      <c r="AC378" s="100"/>
      <c r="AD378" s="49"/>
      <c r="AE378" s="49"/>
      <c r="AF378" s="49"/>
      <c r="AG378" s="111"/>
      <c r="AH378" s="116"/>
      <c r="AI378" s="121"/>
      <c r="AJ378" s="83"/>
      <c r="AK378" s="80" t="s">
        <v>46</v>
      </c>
    </row>
    <row r="379" spans="1:37" ht="17.100000000000001" customHeight="1" x14ac:dyDescent="0.25">
      <c r="A379" s="132"/>
      <c r="H379" s="123"/>
      <c r="N379" s="100"/>
      <c r="O379" s="50"/>
      <c r="AH379" s="116"/>
      <c r="AI379" s="120"/>
      <c r="AJ379" s="84"/>
      <c r="AK379" s="80" t="s">
        <v>46</v>
      </c>
    </row>
    <row r="380" spans="1:37" ht="17.100000000000001" customHeight="1" x14ac:dyDescent="0.25">
      <c r="A380" s="132"/>
      <c r="H380" s="123"/>
      <c r="N380" s="100"/>
      <c r="O380" s="50"/>
      <c r="AH380" s="116"/>
      <c r="AI380" s="120"/>
      <c r="AJ380" s="83"/>
      <c r="AK380" s="80" t="s">
        <v>46</v>
      </c>
    </row>
    <row r="381" spans="1:37" ht="17.100000000000001" customHeight="1" x14ac:dyDescent="0.25">
      <c r="A381" s="132"/>
      <c r="H381" s="123"/>
      <c r="N381" s="100"/>
      <c r="O381" s="50"/>
      <c r="AH381" s="116"/>
      <c r="AI381" s="120"/>
      <c r="AJ381" s="83"/>
      <c r="AK381" s="80" t="s">
        <v>46</v>
      </c>
    </row>
    <row r="382" spans="1:37" ht="17.100000000000001" customHeight="1" x14ac:dyDescent="0.25">
      <c r="A382" s="132"/>
      <c r="H382" s="123"/>
      <c r="N382" s="100"/>
      <c r="O382" s="50"/>
      <c r="AH382" s="116"/>
      <c r="AI382" s="120"/>
      <c r="AJ382" s="83"/>
      <c r="AK382" s="80" t="s">
        <v>46</v>
      </c>
    </row>
    <row r="383" spans="1:37" ht="17.100000000000001" customHeight="1" x14ac:dyDescent="0.25">
      <c r="A383" s="132"/>
      <c r="C383" s="92"/>
      <c r="D383" s="92"/>
      <c r="F383" s="108"/>
      <c r="H383" s="123"/>
      <c r="N383" s="100"/>
      <c r="O383" s="50"/>
      <c r="P383" s="100"/>
      <c r="Q383" s="51"/>
      <c r="R383" s="103"/>
      <c r="S383" s="99"/>
      <c r="U383" s="49"/>
      <c r="V383" s="49"/>
      <c r="W383" s="49"/>
      <c r="X383" s="49"/>
      <c r="Y383" s="49"/>
      <c r="Z383" s="49"/>
      <c r="AA383" s="49"/>
      <c r="AB383" s="100"/>
      <c r="AC383" s="100"/>
      <c r="AD383" s="49"/>
      <c r="AE383" s="49"/>
      <c r="AF383" s="49"/>
      <c r="AG383" s="111"/>
      <c r="AH383" s="116"/>
      <c r="AI383" s="121"/>
      <c r="AJ383" s="83"/>
      <c r="AK383" s="80" t="s">
        <v>46</v>
      </c>
    </row>
    <row r="384" spans="1:37" ht="17.100000000000001" customHeight="1" x14ac:dyDescent="0.25">
      <c r="A384" s="132"/>
      <c r="H384" s="123"/>
      <c r="N384" s="100"/>
      <c r="O384" s="50"/>
      <c r="AH384" s="116"/>
      <c r="AI384" s="120"/>
      <c r="AJ384" s="84"/>
      <c r="AK384" s="80" t="s">
        <v>46</v>
      </c>
    </row>
    <row r="385" spans="1:37" ht="17.100000000000001" customHeight="1" x14ac:dyDescent="0.25">
      <c r="A385" s="132"/>
      <c r="H385" s="123"/>
      <c r="N385" s="100"/>
      <c r="O385" s="50"/>
      <c r="AH385" s="116"/>
      <c r="AI385" s="120"/>
      <c r="AJ385" s="83"/>
      <c r="AK385" s="80" t="s">
        <v>46</v>
      </c>
    </row>
    <row r="386" spans="1:37" ht="17.100000000000001" customHeight="1" x14ac:dyDescent="0.25">
      <c r="A386" s="132"/>
      <c r="H386" s="123"/>
      <c r="N386" s="100"/>
      <c r="O386" s="50"/>
      <c r="AH386" s="116"/>
      <c r="AI386" s="120"/>
      <c r="AJ386" s="83"/>
      <c r="AK386" s="80" t="s">
        <v>46</v>
      </c>
    </row>
    <row r="387" spans="1:37" ht="17.100000000000001" customHeight="1" x14ac:dyDescent="0.25">
      <c r="A387" s="132"/>
      <c r="H387" s="123"/>
      <c r="N387" s="100"/>
      <c r="O387" s="50"/>
      <c r="AH387" s="116"/>
      <c r="AI387" s="120"/>
      <c r="AJ387" s="83"/>
      <c r="AK387" s="80" t="s">
        <v>46</v>
      </c>
    </row>
    <row r="388" spans="1:37" ht="17.100000000000001" customHeight="1" x14ac:dyDescent="0.25">
      <c r="A388" s="132"/>
      <c r="H388" s="123"/>
      <c r="N388" s="100"/>
      <c r="O388" s="50"/>
      <c r="AH388" s="116"/>
      <c r="AI388" s="120"/>
      <c r="AJ388" s="83"/>
      <c r="AK388" s="80" t="s">
        <v>46</v>
      </c>
    </row>
    <row r="389" spans="1:37" ht="17.100000000000001" customHeight="1" x14ac:dyDescent="0.25">
      <c r="A389" s="132"/>
      <c r="H389" s="123"/>
      <c r="N389" s="100"/>
      <c r="O389" s="50"/>
      <c r="AH389" s="116"/>
      <c r="AI389" s="120"/>
      <c r="AJ389" s="83"/>
      <c r="AK389" s="80" t="s">
        <v>46</v>
      </c>
    </row>
    <row r="390" spans="1:37" ht="17.100000000000001" customHeight="1" x14ac:dyDescent="0.25">
      <c r="A390" s="132"/>
      <c r="H390" s="123"/>
      <c r="N390" s="100"/>
      <c r="O390" s="50"/>
      <c r="AH390" s="116"/>
      <c r="AI390" s="120"/>
      <c r="AJ390" s="83"/>
      <c r="AK390" s="80" t="s">
        <v>46</v>
      </c>
    </row>
    <row r="391" spans="1:37" ht="17.100000000000001" customHeight="1" x14ac:dyDescent="0.25">
      <c r="A391" s="132"/>
      <c r="C391" s="92"/>
      <c r="D391" s="92"/>
      <c r="F391" s="108"/>
      <c r="H391" s="123"/>
      <c r="N391" s="100"/>
      <c r="O391" s="50"/>
      <c r="P391" s="100"/>
      <c r="Q391" s="51"/>
      <c r="R391" s="103"/>
      <c r="S391" s="99"/>
      <c r="U391" s="49"/>
      <c r="V391" s="49"/>
      <c r="W391" s="49"/>
      <c r="X391" s="49"/>
      <c r="Y391" s="49"/>
      <c r="Z391" s="49"/>
      <c r="AA391" s="49"/>
      <c r="AB391" s="100"/>
      <c r="AC391" s="100"/>
      <c r="AD391" s="49"/>
      <c r="AE391" s="49"/>
      <c r="AF391" s="49"/>
      <c r="AG391" s="111"/>
      <c r="AH391" s="116"/>
      <c r="AI391" s="121"/>
      <c r="AJ391" s="83"/>
      <c r="AK391" s="80" t="s">
        <v>46</v>
      </c>
    </row>
    <row r="392" spans="1:37" ht="17.100000000000001" customHeight="1" x14ac:dyDescent="0.25">
      <c r="A392" s="132"/>
      <c r="H392" s="123"/>
      <c r="N392" s="100"/>
      <c r="O392" s="50"/>
      <c r="AH392" s="116"/>
      <c r="AI392" s="120"/>
      <c r="AJ392" s="84"/>
      <c r="AK392" s="80" t="s">
        <v>46</v>
      </c>
    </row>
    <row r="393" spans="1:37" ht="17.100000000000001" customHeight="1" x14ac:dyDescent="0.25">
      <c r="A393" s="132"/>
      <c r="H393" s="123"/>
      <c r="N393" s="100"/>
      <c r="O393" s="50"/>
      <c r="AH393" s="116"/>
      <c r="AI393" s="120"/>
      <c r="AJ393" s="83"/>
      <c r="AK393" s="80" t="s">
        <v>46</v>
      </c>
    </row>
    <row r="394" spans="1:37" ht="17.100000000000001" customHeight="1" x14ac:dyDescent="0.25">
      <c r="A394" s="132"/>
      <c r="H394" s="123"/>
      <c r="N394" s="100"/>
      <c r="O394" s="50"/>
      <c r="AH394" s="116"/>
      <c r="AI394" s="120"/>
      <c r="AJ394" s="83"/>
      <c r="AK394" s="80" t="s">
        <v>46</v>
      </c>
    </row>
    <row r="395" spans="1:37" ht="17.100000000000001" customHeight="1" x14ac:dyDescent="0.25">
      <c r="A395" s="132"/>
      <c r="H395" s="123"/>
      <c r="N395" s="100"/>
      <c r="O395" s="50"/>
      <c r="AH395" s="116"/>
      <c r="AI395" s="120"/>
      <c r="AJ395" s="83"/>
      <c r="AK395" s="80" t="s">
        <v>46</v>
      </c>
    </row>
    <row r="396" spans="1:37" ht="17.100000000000001" customHeight="1" x14ac:dyDescent="0.25">
      <c r="A396" s="132"/>
      <c r="H396" s="123"/>
      <c r="N396" s="100"/>
      <c r="O396" s="50"/>
      <c r="AH396" s="116"/>
      <c r="AI396" s="120"/>
      <c r="AJ396" s="83"/>
      <c r="AK396" s="80" t="s">
        <v>46</v>
      </c>
    </row>
    <row r="397" spans="1:37" ht="17.100000000000001" customHeight="1" x14ac:dyDescent="0.25">
      <c r="A397" s="132"/>
      <c r="H397" s="123"/>
      <c r="N397" s="100"/>
      <c r="O397" s="50"/>
      <c r="AH397" s="116"/>
      <c r="AI397" s="120"/>
      <c r="AJ397" s="83"/>
      <c r="AK397" s="80" t="s">
        <v>46</v>
      </c>
    </row>
    <row r="398" spans="1:37" ht="17.100000000000001" customHeight="1" x14ac:dyDescent="0.25">
      <c r="A398" s="132"/>
      <c r="H398" s="123"/>
      <c r="N398" s="100"/>
      <c r="O398" s="50"/>
      <c r="AH398" s="116"/>
      <c r="AI398" s="120"/>
      <c r="AJ398" s="83"/>
      <c r="AK398" s="80" t="s">
        <v>46</v>
      </c>
    </row>
    <row r="399" spans="1:37" ht="17.100000000000001" customHeight="1" x14ac:dyDescent="0.25">
      <c r="A399" s="132"/>
      <c r="H399" s="123"/>
      <c r="N399" s="100"/>
      <c r="O399" s="50"/>
      <c r="AH399" s="116"/>
      <c r="AI399" s="120"/>
      <c r="AJ399" s="83"/>
      <c r="AK399" s="80" t="s">
        <v>46</v>
      </c>
    </row>
    <row r="400" spans="1:37" ht="17.100000000000001" customHeight="1" x14ac:dyDescent="0.25">
      <c r="A400" s="132"/>
      <c r="H400" s="123"/>
      <c r="N400" s="100"/>
      <c r="O400" s="50"/>
      <c r="AH400" s="116"/>
      <c r="AI400" s="120"/>
      <c r="AJ400" s="83"/>
      <c r="AK400" s="80" t="s">
        <v>46</v>
      </c>
    </row>
    <row r="401" spans="1:37" ht="17.100000000000001" customHeight="1" x14ac:dyDescent="0.25">
      <c r="A401" s="132"/>
      <c r="H401" s="123"/>
      <c r="N401" s="100"/>
      <c r="O401" s="50"/>
      <c r="AH401" s="116"/>
      <c r="AI401" s="120"/>
      <c r="AJ401" s="83"/>
      <c r="AK401" s="80" t="s">
        <v>46</v>
      </c>
    </row>
    <row r="402" spans="1:37" ht="17.100000000000001" customHeight="1" x14ac:dyDescent="0.25">
      <c r="A402" s="132"/>
      <c r="H402" s="123"/>
      <c r="N402" s="100"/>
      <c r="O402" s="50"/>
      <c r="AH402" s="116"/>
      <c r="AI402" s="120"/>
      <c r="AJ402" s="83"/>
      <c r="AK402" s="80" t="s">
        <v>46</v>
      </c>
    </row>
    <row r="403" spans="1:37" ht="17.100000000000001" customHeight="1" x14ac:dyDescent="0.25">
      <c r="A403" s="132"/>
      <c r="H403" s="123"/>
      <c r="N403" s="100"/>
      <c r="O403" s="50"/>
      <c r="AH403" s="116"/>
      <c r="AI403" s="120"/>
      <c r="AJ403" s="83"/>
      <c r="AK403" s="80" t="s">
        <v>46</v>
      </c>
    </row>
    <row r="404" spans="1:37" ht="17.100000000000001" customHeight="1" x14ac:dyDescent="0.25">
      <c r="A404" s="132"/>
      <c r="H404" s="123"/>
      <c r="N404" s="100"/>
      <c r="O404" s="50"/>
      <c r="AH404" s="116"/>
      <c r="AI404" s="120"/>
      <c r="AJ404" s="83"/>
      <c r="AK404" s="80" t="s">
        <v>46</v>
      </c>
    </row>
    <row r="405" spans="1:37" ht="17.100000000000001" customHeight="1" x14ac:dyDescent="0.25">
      <c r="A405" s="132"/>
      <c r="H405" s="123"/>
      <c r="N405" s="100"/>
      <c r="O405" s="50"/>
      <c r="AH405" s="116"/>
      <c r="AI405" s="120"/>
      <c r="AJ405" s="83"/>
      <c r="AK405" s="80" t="s">
        <v>46</v>
      </c>
    </row>
    <row r="406" spans="1:37" ht="17.100000000000001" customHeight="1" x14ac:dyDescent="0.25">
      <c r="A406" s="132"/>
      <c r="C406" s="92"/>
      <c r="D406" s="92"/>
      <c r="F406" s="108"/>
      <c r="H406" s="123"/>
      <c r="N406" s="100"/>
      <c r="O406" s="50"/>
      <c r="P406" s="100"/>
      <c r="Q406" s="51"/>
      <c r="R406" s="103"/>
      <c r="S406" s="99"/>
      <c r="U406" s="49"/>
      <c r="V406" s="49"/>
      <c r="W406" s="49"/>
      <c r="X406" s="49"/>
      <c r="Y406" s="49"/>
      <c r="Z406" s="49"/>
      <c r="AA406" s="49"/>
      <c r="AB406" s="100"/>
      <c r="AC406" s="100"/>
      <c r="AD406" s="49"/>
      <c r="AE406" s="49"/>
      <c r="AF406" s="49"/>
      <c r="AG406" s="111"/>
      <c r="AH406" s="116"/>
      <c r="AI406" s="121"/>
      <c r="AJ406" s="83"/>
      <c r="AK406" s="80" t="s">
        <v>46</v>
      </c>
    </row>
    <row r="407" spans="1:37" ht="17.100000000000001" customHeight="1" x14ac:dyDescent="0.25">
      <c r="A407" s="132"/>
      <c r="H407" s="123"/>
      <c r="N407" s="100"/>
      <c r="O407" s="50"/>
      <c r="AH407" s="116"/>
      <c r="AI407" s="120"/>
      <c r="AJ407" s="84"/>
      <c r="AK407" s="80" t="s">
        <v>46</v>
      </c>
    </row>
    <row r="408" spans="1:37" ht="17.100000000000001" customHeight="1" x14ac:dyDescent="0.25">
      <c r="A408" s="132"/>
      <c r="H408" s="123"/>
      <c r="N408" s="100"/>
      <c r="O408" s="50"/>
      <c r="AH408" s="116"/>
      <c r="AI408" s="120"/>
      <c r="AJ408" s="83"/>
      <c r="AK408" s="80" t="s">
        <v>46</v>
      </c>
    </row>
    <row r="409" spans="1:37" ht="17.100000000000001" customHeight="1" x14ac:dyDescent="0.25">
      <c r="A409" s="132"/>
      <c r="H409" s="123"/>
      <c r="N409" s="100"/>
      <c r="O409" s="50"/>
      <c r="AH409" s="116"/>
      <c r="AI409" s="120"/>
      <c r="AJ409" s="83"/>
      <c r="AK409" s="80" t="s">
        <v>46</v>
      </c>
    </row>
    <row r="410" spans="1:37" ht="17.100000000000001" customHeight="1" x14ac:dyDescent="0.25">
      <c r="A410" s="132"/>
      <c r="C410" s="92"/>
      <c r="D410" s="92"/>
      <c r="F410" s="108"/>
      <c r="H410" s="123"/>
      <c r="N410" s="100"/>
      <c r="O410" s="50"/>
      <c r="P410" s="100"/>
      <c r="Q410" s="51"/>
      <c r="R410" s="103"/>
      <c r="S410" s="99"/>
      <c r="U410" s="49"/>
      <c r="V410" s="49"/>
      <c r="W410" s="49"/>
      <c r="X410" s="49"/>
      <c r="Y410" s="49"/>
      <c r="Z410" s="49"/>
      <c r="AA410" s="49"/>
      <c r="AB410" s="100"/>
      <c r="AC410" s="100"/>
      <c r="AD410" s="49"/>
      <c r="AE410" s="49"/>
      <c r="AF410" s="49"/>
      <c r="AG410" s="111"/>
      <c r="AH410" s="116"/>
      <c r="AI410" s="121"/>
      <c r="AJ410" s="83"/>
      <c r="AK410" s="80" t="s">
        <v>46</v>
      </c>
    </row>
    <row r="411" spans="1:37" ht="17.100000000000001" customHeight="1" x14ac:dyDescent="0.25">
      <c r="A411" s="132"/>
      <c r="H411" s="123"/>
      <c r="N411" s="100"/>
      <c r="O411" s="50"/>
      <c r="AH411" s="116"/>
      <c r="AI411" s="120"/>
      <c r="AJ411" s="84"/>
      <c r="AK411" s="80" t="s">
        <v>46</v>
      </c>
    </row>
    <row r="412" spans="1:37" ht="17.100000000000001" customHeight="1" x14ac:dyDescent="0.25">
      <c r="A412" s="132"/>
      <c r="H412" s="123"/>
      <c r="N412" s="100"/>
      <c r="O412" s="50"/>
      <c r="AH412" s="116"/>
      <c r="AI412" s="120"/>
      <c r="AJ412" s="83"/>
      <c r="AK412" s="80" t="s">
        <v>46</v>
      </c>
    </row>
    <row r="413" spans="1:37" ht="17.100000000000001" customHeight="1" x14ac:dyDescent="0.25">
      <c r="A413" s="132"/>
      <c r="H413" s="123"/>
      <c r="N413" s="100"/>
      <c r="O413" s="50"/>
      <c r="AH413" s="116"/>
      <c r="AI413" s="120"/>
      <c r="AJ413" s="83"/>
      <c r="AK413" s="80" t="s">
        <v>46</v>
      </c>
    </row>
    <row r="414" spans="1:37" ht="17.100000000000001" customHeight="1" x14ac:dyDescent="0.25">
      <c r="A414" s="132"/>
      <c r="H414" s="123"/>
      <c r="N414" s="100"/>
      <c r="O414" s="50"/>
      <c r="AH414" s="116"/>
      <c r="AI414" s="120"/>
      <c r="AJ414" s="83"/>
      <c r="AK414" s="80" t="s">
        <v>46</v>
      </c>
    </row>
    <row r="415" spans="1:37" ht="17.100000000000001" customHeight="1" x14ac:dyDescent="0.25">
      <c r="A415" s="132"/>
      <c r="H415" s="123"/>
      <c r="N415" s="100"/>
      <c r="O415" s="50"/>
      <c r="AH415" s="116"/>
      <c r="AI415" s="120"/>
      <c r="AJ415" s="83"/>
      <c r="AK415" s="80" t="s">
        <v>46</v>
      </c>
    </row>
    <row r="416" spans="1:37" ht="17.100000000000001" customHeight="1" x14ac:dyDescent="0.25">
      <c r="A416" s="132"/>
      <c r="C416" s="92"/>
      <c r="D416" s="92"/>
      <c r="F416" s="108"/>
      <c r="H416" s="123"/>
      <c r="N416" s="100"/>
      <c r="O416" s="50"/>
      <c r="P416" s="100"/>
      <c r="Q416" s="51"/>
      <c r="R416" s="103"/>
      <c r="S416" s="99"/>
      <c r="U416" s="49"/>
      <c r="V416" s="49"/>
      <c r="W416" s="49"/>
      <c r="X416" s="49"/>
      <c r="Y416" s="49"/>
      <c r="Z416" s="49"/>
      <c r="AA416" s="49"/>
      <c r="AB416" s="100"/>
      <c r="AC416" s="100"/>
      <c r="AD416" s="49"/>
      <c r="AE416" s="49"/>
      <c r="AF416" s="49"/>
      <c r="AG416" s="111"/>
      <c r="AH416" s="116"/>
      <c r="AI416" s="121"/>
      <c r="AJ416" s="83"/>
      <c r="AK416" s="80" t="s">
        <v>46</v>
      </c>
    </row>
    <row r="417" spans="1:37" ht="17.100000000000001" customHeight="1" x14ac:dyDescent="0.25">
      <c r="A417" s="132"/>
      <c r="H417" s="123"/>
      <c r="N417" s="100"/>
      <c r="O417" s="50"/>
      <c r="U417" s="49"/>
      <c r="AH417" s="116"/>
      <c r="AI417" s="120"/>
      <c r="AJ417" s="84"/>
      <c r="AK417" s="80" t="s">
        <v>46</v>
      </c>
    </row>
    <row r="418" spans="1:37" ht="17.100000000000001" customHeight="1" x14ac:dyDescent="0.25">
      <c r="A418" s="132"/>
      <c r="H418" s="123"/>
      <c r="N418" s="100"/>
      <c r="O418" s="50"/>
      <c r="AH418" s="116"/>
      <c r="AI418" s="120"/>
      <c r="AJ418" s="83"/>
      <c r="AK418" s="80" t="s">
        <v>46</v>
      </c>
    </row>
    <row r="419" spans="1:37" ht="17.100000000000001" customHeight="1" x14ac:dyDescent="0.25">
      <c r="A419" s="132"/>
      <c r="H419" s="123"/>
      <c r="N419" s="100"/>
      <c r="O419" s="50"/>
      <c r="AH419" s="116"/>
      <c r="AI419" s="120"/>
      <c r="AJ419" s="83"/>
      <c r="AK419" s="80" t="s">
        <v>46</v>
      </c>
    </row>
    <row r="420" spans="1:37" ht="17.100000000000001" customHeight="1" x14ac:dyDescent="0.25">
      <c r="A420" s="132"/>
      <c r="H420" s="123"/>
      <c r="N420" s="100"/>
      <c r="O420" s="50"/>
      <c r="AH420" s="116"/>
      <c r="AI420" s="120"/>
      <c r="AJ420" s="83"/>
      <c r="AK420" s="80" t="s">
        <v>46</v>
      </c>
    </row>
    <row r="421" spans="1:37" ht="17.100000000000001" customHeight="1" x14ac:dyDescent="0.25">
      <c r="A421" s="132"/>
      <c r="H421" s="123"/>
      <c r="N421" s="100"/>
      <c r="O421" s="50"/>
      <c r="AH421" s="116"/>
      <c r="AI421" s="120"/>
      <c r="AJ421" s="83"/>
      <c r="AK421" s="80" t="s">
        <v>46</v>
      </c>
    </row>
    <row r="422" spans="1:37" ht="17.100000000000001" customHeight="1" x14ac:dyDescent="0.25">
      <c r="A422" s="132"/>
      <c r="H422" s="123"/>
      <c r="N422" s="100"/>
      <c r="O422" s="50"/>
      <c r="AH422" s="116"/>
      <c r="AI422" s="120"/>
      <c r="AJ422" s="83"/>
      <c r="AK422" s="80" t="s">
        <v>46</v>
      </c>
    </row>
    <row r="423" spans="1:37" ht="17.100000000000001" customHeight="1" x14ac:dyDescent="0.25">
      <c r="A423" s="132"/>
      <c r="H423" s="123"/>
      <c r="N423" s="100"/>
      <c r="O423" s="50"/>
      <c r="AH423" s="116"/>
      <c r="AI423" s="120"/>
      <c r="AJ423" s="83"/>
      <c r="AK423" s="80" t="s">
        <v>46</v>
      </c>
    </row>
    <row r="424" spans="1:37" ht="17.100000000000001" customHeight="1" x14ac:dyDescent="0.25">
      <c r="A424" s="132"/>
      <c r="H424" s="123"/>
      <c r="N424" s="100"/>
      <c r="O424" s="50"/>
      <c r="AH424" s="116"/>
      <c r="AI424" s="120"/>
      <c r="AJ424" s="83"/>
      <c r="AK424" s="80" t="s">
        <v>46</v>
      </c>
    </row>
    <row r="425" spans="1:37" ht="17.100000000000001" customHeight="1" x14ac:dyDescent="0.25">
      <c r="A425" s="132"/>
      <c r="H425" s="123"/>
      <c r="N425" s="100"/>
      <c r="O425" s="50"/>
      <c r="AH425" s="116"/>
      <c r="AI425" s="120"/>
      <c r="AJ425" s="83"/>
      <c r="AK425" s="80" t="s">
        <v>46</v>
      </c>
    </row>
    <row r="426" spans="1:37" ht="17.100000000000001" customHeight="1" x14ac:dyDescent="0.25">
      <c r="A426" s="132"/>
      <c r="H426" s="123"/>
      <c r="N426" s="100"/>
      <c r="O426" s="50"/>
      <c r="AH426" s="116"/>
      <c r="AI426" s="120"/>
      <c r="AJ426" s="83"/>
      <c r="AK426" s="80" t="s">
        <v>46</v>
      </c>
    </row>
    <row r="427" spans="1:37" ht="17.100000000000001" customHeight="1" x14ac:dyDescent="0.25">
      <c r="A427" s="132"/>
      <c r="H427" s="123"/>
      <c r="N427" s="100"/>
      <c r="O427" s="50"/>
      <c r="AH427" s="116"/>
      <c r="AI427" s="120"/>
      <c r="AJ427" s="83"/>
      <c r="AK427" s="80" t="s">
        <v>46</v>
      </c>
    </row>
    <row r="428" spans="1:37" ht="17.100000000000001" customHeight="1" x14ac:dyDescent="0.25">
      <c r="A428" s="132"/>
      <c r="C428" s="92"/>
      <c r="D428" s="92"/>
      <c r="F428" s="108"/>
      <c r="H428" s="123"/>
      <c r="N428" s="100"/>
      <c r="O428" s="50"/>
      <c r="P428" s="100"/>
      <c r="Q428" s="51"/>
      <c r="R428" s="103"/>
      <c r="S428" s="99"/>
      <c r="U428" s="49"/>
      <c r="V428" s="49"/>
      <c r="W428" s="49"/>
      <c r="X428" s="49"/>
      <c r="Y428" s="49"/>
      <c r="Z428" s="49"/>
      <c r="AB428" s="100"/>
      <c r="AC428" s="100"/>
      <c r="AD428" s="49"/>
      <c r="AE428" s="49"/>
      <c r="AF428" s="49"/>
      <c r="AG428" s="111"/>
      <c r="AH428" s="116"/>
      <c r="AI428" s="121"/>
      <c r="AJ428" s="83"/>
      <c r="AK428" s="80" t="s">
        <v>46</v>
      </c>
    </row>
    <row r="429" spans="1:37" ht="17.100000000000001" customHeight="1" x14ac:dyDescent="0.25">
      <c r="A429" s="132"/>
      <c r="H429" s="123"/>
      <c r="N429" s="100"/>
      <c r="O429" s="50"/>
      <c r="AH429" s="116"/>
      <c r="AI429" s="120"/>
      <c r="AJ429" s="84"/>
      <c r="AK429" s="80" t="s">
        <v>46</v>
      </c>
    </row>
    <row r="430" spans="1:37" ht="17.100000000000001" customHeight="1" x14ac:dyDescent="0.25">
      <c r="A430" s="132"/>
      <c r="H430" s="123"/>
      <c r="N430" s="100"/>
      <c r="O430" s="50"/>
      <c r="AH430" s="116"/>
      <c r="AI430" s="120"/>
      <c r="AJ430" s="83"/>
      <c r="AK430" s="80" t="s">
        <v>46</v>
      </c>
    </row>
    <row r="431" spans="1:37" ht="17.100000000000001" customHeight="1" x14ac:dyDescent="0.25">
      <c r="A431" s="132"/>
      <c r="H431" s="123"/>
      <c r="N431" s="100"/>
      <c r="O431" s="50"/>
      <c r="AH431" s="116"/>
      <c r="AI431" s="120"/>
      <c r="AJ431" s="83"/>
      <c r="AK431" s="80" t="s">
        <v>46</v>
      </c>
    </row>
    <row r="432" spans="1:37" ht="17.100000000000001" customHeight="1" x14ac:dyDescent="0.25">
      <c r="A432" s="132"/>
      <c r="H432" s="123"/>
      <c r="N432" s="100"/>
      <c r="O432" s="50"/>
      <c r="AH432" s="116"/>
      <c r="AI432" s="120"/>
      <c r="AJ432" s="83"/>
      <c r="AK432" s="80" t="s">
        <v>46</v>
      </c>
    </row>
    <row r="433" spans="1:37" ht="17.100000000000001" customHeight="1" x14ac:dyDescent="0.25">
      <c r="A433" s="132"/>
      <c r="H433" s="123"/>
      <c r="N433" s="100"/>
      <c r="O433" s="50"/>
      <c r="U433" s="49"/>
      <c r="AH433" s="116"/>
      <c r="AI433" s="120"/>
      <c r="AJ433" s="83"/>
      <c r="AK433" s="80" t="s">
        <v>46</v>
      </c>
    </row>
    <row r="434" spans="1:37" ht="17.100000000000001" customHeight="1" x14ac:dyDescent="0.25">
      <c r="A434" s="132"/>
      <c r="H434" s="123"/>
      <c r="N434" s="100"/>
      <c r="O434" s="50"/>
      <c r="AH434" s="116"/>
      <c r="AI434" s="120"/>
      <c r="AJ434" s="83"/>
      <c r="AK434" s="80" t="s">
        <v>46</v>
      </c>
    </row>
    <row r="435" spans="1:37" ht="17.100000000000001" customHeight="1" x14ac:dyDescent="0.25">
      <c r="A435" s="132"/>
      <c r="H435" s="123"/>
      <c r="N435" s="100"/>
      <c r="O435" s="50"/>
      <c r="AH435" s="116"/>
      <c r="AI435" s="120"/>
      <c r="AJ435" s="83"/>
      <c r="AK435" s="80" t="s">
        <v>46</v>
      </c>
    </row>
    <row r="436" spans="1:37" ht="17.100000000000001" customHeight="1" x14ac:dyDescent="0.25">
      <c r="A436" s="132"/>
      <c r="C436" s="92"/>
      <c r="D436" s="92"/>
      <c r="F436" s="108"/>
      <c r="H436" s="123"/>
      <c r="N436" s="100"/>
      <c r="O436" s="50"/>
      <c r="P436" s="100"/>
      <c r="Q436" s="51"/>
      <c r="R436" s="103"/>
      <c r="S436" s="99"/>
      <c r="U436" s="49"/>
      <c r="V436" s="49"/>
      <c r="W436" s="49"/>
      <c r="X436" s="49"/>
      <c r="Y436" s="49"/>
      <c r="Z436" s="49"/>
      <c r="AA436" s="49"/>
      <c r="AB436" s="100"/>
      <c r="AC436" s="100"/>
      <c r="AD436" s="49"/>
      <c r="AE436" s="49"/>
      <c r="AF436" s="49"/>
      <c r="AG436" s="111"/>
      <c r="AH436" s="116"/>
      <c r="AI436" s="121"/>
      <c r="AJ436" s="83"/>
      <c r="AK436" s="80" t="s">
        <v>46</v>
      </c>
    </row>
    <row r="437" spans="1:37" ht="17.100000000000001" customHeight="1" x14ac:dyDescent="0.25">
      <c r="A437" s="132"/>
      <c r="H437" s="123"/>
      <c r="N437" s="100"/>
      <c r="O437" s="50"/>
      <c r="AH437" s="116"/>
      <c r="AI437" s="120"/>
      <c r="AJ437" s="84"/>
      <c r="AK437" s="80" t="s">
        <v>46</v>
      </c>
    </row>
    <row r="438" spans="1:37" ht="17.100000000000001" customHeight="1" x14ac:dyDescent="0.25">
      <c r="A438" s="132"/>
      <c r="H438" s="123"/>
      <c r="N438" s="100"/>
      <c r="O438" s="50"/>
      <c r="AH438" s="116"/>
      <c r="AI438" s="120"/>
      <c r="AJ438" s="83"/>
      <c r="AK438" s="80" t="s">
        <v>46</v>
      </c>
    </row>
    <row r="439" spans="1:37" ht="17.100000000000001" customHeight="1" x14ac:dyDescent="0.25">
      <c r="A439" s="132"/>
      <c r="H439" s="123"/>
      <c r="N439" s="100"/>
      <c r="O439" s="50"/>
      <c r="AH439" s="116"/>
      <c r="AI439" s="120"/>
      <c r="AJ439" s="83"/>
      <c r="AK439" s="80" t="s">
        <v>46</v>
      </c>
    </row>
    <row r="440" spans="1:37" ht="17.100000000000001" customHeight="1" x14ac:dyDescent="0.25">
      <c r="A440" s="132"/>
      <c r="H440" s="123"/>
      <c r="N440" s="100"/>
      <c r="O440" s="50"/>
      <c r="AH440" s="116"/>
      <c r="AI440" s="120"/>
      <c r="AJ440" s="83"/>
      <c r="AK440" s="80" t="s">
        <v>46</v>
      </c>
    </row>
    <row r="441" spans="1:37" ht="17.100000000000001" customHeight="1" x14ac:dyDescent="0.25">
      <c r="A441" s="132"/>
      <c r="H441" s="123"/>
      <c r="N441" s="100"/>
      <c r="O441" s="50"/>
      <c r="AH441" s="116"/>
      <c r="AI441" s="120"/>
      <c r="AJ441" s="83"/>
      <c r="AK441" s="80" t="s">
        <v>46</v>
      </c>
    </row>
    <row r="442" spans="1:37" ht="17.100000000000001" customHeight="1" x14ac:dyDescent="0.25">
      <c r="A442" s="132"/>
      <c r="H442" s="123"/>
      <c r="N442" s="100"/>
      <c r="O442" s="50"/>
      <c r="AH442" s="116"/>
      <c r="AI442" s="120"/>
      <c r="AJ442" s="83"/>
      <c r="AK442" s="80" t="s">
        <v>46</v>
      </c>
    </row>
    <row r="443" spans="1:37" ht="17.100000000000001" customHeight="1" x14ac:dyDescent="0.25">
      <c r="A443" s="132"/>
      <c r="H443" s="123"/>
      <c r="N443" s="100"/>
      <c r="O443" s="50"/>
      <c r="U443" s="49"/>
      <c r="V443" s="49"/>
      <c r="AH443" s="116"/>
      <c r="AI443" s="120"/>
      <c r="AJ443" s="83"/>
      <c r="AK443" s="80" t="s">
        <v>46</v>
      </c>
    </row>
    <row r="444" spans="1:37" ht="17.100000000000001" customHeight="1" x14ac:dyDescent="0.25">
      <c r="A444" s="132"/>
      <c r="H444" s="123"/>
      <c r="N444" s="100"/>
      <c r="O444" s="50"/>
      <c r="AH444" s="116"/>
      <c r="AI444" s="120"/>
      <c r="AJ444" s="83"/>
      <c r="AK444" s="80" t="s">
        <v>46</v>
      </c>
    </row>
    <row r="445" spans="1:37" ht="17.100000000000001" customHeight="1" x14ac:dyDescent="0.25">
      <c r="A445" s="132"/>
      <c r="H445" s="123"/>
      <c r="N445" s="100"/>
      <c r="O445" s="50"/>
      <c r="AH445" s="116"/>
      <c r="AI445" s="120"/>
      <c r="AJ445" s="83"/>
      <c r="AK445" s="80" t="s">
        <v>46</v>
      </c>
    </row>
    <row r="446" spans="1:37" ht="17.100000000000001" customHeight="1" x14ac:dyDescent="0.25">
      <c r="A446" s="132"/>
      <c r="H446" s="123"/>
      <c r="N446" s="100"/>
      <c r="O446" s="50"/>
      <c r="AH446" s="116"/>
      <c r="AI446" s="120"/>
      <c r="AJ446" s="83"/>
      <c r="AK446" s="80" t="s">
        <v>46</v>
      </c>
    </row>
    <row r="447" spans="1:37" ht="17.100000000000001" customHeight="1" x14ac:dyDescent="0.25">
      <c r="A447" s="132"/>
      <c r="H447" s="123"/>
      <c r="N447" s="100"/>
      <c r="O447" s="50"/>
      <c r="AH447" s="116"/>
      <c r="AI447" s="120"/>
      <c r="AJ447" s="83"/>
      <c r="AK447" s="80" t="s">
        <v>46</v>
      </c>
    </row>
    <row r="448" spans="1:37" ht="17.100000000000001" customHeight="1" x14ac:dyDescent="0.25">
      <c r="A448" s="132"/>
      <c r="H448" s="123"/>
      <c r="N448" s="100"/>
      <c r="O448" s="50"/>
      <c r="AH448" s="116"/>
      <c r="AI448" s="120"/>
      <c r="AJ448" s="83"/>
      <c r="AK448" s="80" t="s">
        <v>46</v>
      </c>
    </row>
    <row r="449" spans="1:37" ht="17.100000000000001" customHeight="1" x14ac:dyDescent="0.25">
      <c r="A449" s="132"/>
      <c r="H449" s="123"/>
      <c r="N449" s="100"/>
      <c r="O449" s="50"/>
      <c r="AH449" s="116"/>
      <c r="AI449" s="120"/>
      <c r="AJ449" s="83"/>
      <c r="AK449" s="80" t="s">
        <v>46</v>
      </c>
    </row>
    <row r="450" spans="1:37" ht="17.100000000000001" customHeight="1" x14ac:dyDescent="0.25">
      <c r="A450" s="132"/>
      <c r="H450" s="123"/>
      <c r="N450" s="100"/>
      <c r="O450" s="50"/>
      <c r="AH450" s="116"/>
      <c r="AI450" s="120"/>
      <c r="AJ450" s="83"/>
      <c r="AK450" s="80" t="s">
        <v>46</v>
      </c>
    </row>
    <row r="451" spans="1:37" ht="17.100000000000001" customHeight="1" x14ac:dyDescent="0.25">
      <c r="A451" s="132"/>
      <c r="H451" s="123"/>
      <c r="N451" s="100"/>
      <c r="O451" s="50"/>
      <c r="AH451" s="116"/>
      <c r="AI451" s="120"/>
      <c r="AJ451" s="83"/>
      <c r="AK451" s="80" t="s">
        <v>46</v>
      </c>
    </row>
    <row r="452" spans="1:37" ht="17.100000000000001" customHeight="1" x14ac:dyDescent="0.25">
      <c r="A452" s="132"/>
      <c r="H452" s="123"/>
      <c r="N452" s="100"/>
      <c r="O452" s="50"/>
      <c r="AH452" s="116"/>
      <c r="AI452" s="120"/>
      <c r="AJ452" s="83"/>
      <c r="AK452" s="80" t="s">
        <v>46</v>
      </c>
    </row>
    <row r="453" spans="1:37" ht="17.100000000000001" customHeight="1" x14ac:dyDescent="0.25">
      <c r="A453" s="132"/>
      <c r="H453" s="123"/>
      <c r="N453" s="100"/>
      <c r="O453" s="50"/>
      <c r="AH453" s="116"/>
      <c r="AI453" s="120"/>
      <c r="AJ453" s="83"/>
      <c r="AK453" s="80" t="s">
        <v>46</v>
      </c>
    </row>
    <row r="454" spans="1:37" ht="17.100000000000001" customHeight="1" x14ac:dyDescent="0.25">
      <c r="A454" s="132"/>
      <c r="H454" s="123"/>
      <c r="N454" s="100"/>
      <c r="O454" s="50"/>
      <c r="AH454" s="116"/>
      <c r="AI454" s="120"/>
      <c r="AJ454" s="83"/>
      <c r="AK454" s="80" t="s">
        <v>46</v>
      </c>
    </row>
    <row r="455" spans="1:37" ht="17.100000000000001" customHeight="1" x14ac:dyDescent="0.25">
      <c r="A455" s="132"/>
      <c r="H455" s="123"/>
      <c r="N455" s="100"/>
      <c r="O455" s="50"/>
      <c r="AH455" s="116"/>
      <c r="AI455" s="120"/>
      <c r="AJ455" s="83"/>
      <c r="AK455" s="80" t="s">
        <v>46</v>
      </c>
    </row>
    <row r="456" spans="1:37" ht="17.100000000000001" customHeight="1" x14ac:dyDescent="0.25">
      <c r="A456" s="132"/>
      <c r="H456" s="123"/>
      <c r="N456" s="100"/>
      <c r="O456" s="50"/>
      <c r="AH456" s="116"/>
      <c r="AI456" s="120"/>
      <c r="AJ456" s="83"/>
      <c r="AK456" s="80" t="s">
        <v>46</v>
      </c>
    </row>
    <row r="457" spans="1:37" ht="17.100000000000001" customHeight="1" x14ac:dyDescent="0.25">
      <c r="A457" s="132"/>
      <c r="H457" s="123"/>
      <c r="N457" s="100"/>
      <c r="O457" s="50"/>
      <c r="AH457" s="116"/>
      <c r="AI457" s="120"/>
      <c r="AJ457" s="83"/>
      <c r="AK457" s="80" t="s">
        <v>46</v>
      </c>
    </row>
    <row r="458" spans="1:37" ht="17.100000000000001" customHeight="1" x14ac:dyDescent="0.25">
      <c r="A458" s="132"/>
      <c r="H458" s="123"/>
      <c r="N458" s="100"/>
      <c r="O458" s="50"/>
      <c r="AH458" s="116"/>
      <c r="AI458" s="120"/>
      <c r="AJ458" s="83"/>
      <c r="AK458" s="80" t="s">
        <v>46</v>
      </c>
    </row>
    <row r="459" spans="1:37" ht="17.100000000000001" customHeight="1" x14ac:dyDescent="0.25">
      <c r="A459" s="132"/>
      <c r="H459" s="123"/>
      <c r="N459" s="100"/>
      <c r="O459" s="50"/>
      <c r="AH459" s="116"/>
      <c r="AI459" s="120"/>
      <c r="AJ459" s="83"/>
      <c r="AK459" s="80" t="s">
        <v>46</v>
      </c>
    </row>
    <row r="460" spans="1:37" ht="17.100000000000001" customHeight="1" x14ac:dyDescent="0.25">
      <c r="A460" s="132"/>
      <c r="H460" s="123"/>
      <c r="N460" s="100"/>
      <c r="O460" s="50"/>
      <c r="AH460" s="116"/>
      <c r="AI460" s="120"/>
      <c r="AJ460" s="83"/>
      <c r="AK460" s="80" t="s">
        <v>46</v>
      </c>
    </row>
    <row r="461" spans="1:37" ht="17.100000000000001" customHeight="1" x14ac:dyDescent="0.25">
      <c r="A461" s="132"/>
      <c r="H461" s="123"/>
      <c r="N461" s="100"/>
      <c r="O461" s="50"/>
      <c r="AH461" s="116"/>
      <c r="AI461" s="120"/>
      <c r="AJ461" s="83"/>
      <c r="AK461" s="80" t="s">
        <v>46</v>
      </c>
    </row>
    <row r="462" spans="1:37" ht="17.100000000000001" customHeight="1" x14ac:dyDescent="0.25">
      <c r="A462" s="132"/>
      <c r="H462" s="123"/>
      <c r="N462" s="100"/>
      <c r="O462" s="50"/>
      <c r="AH462" s="116"/>
      <c r="AI462" s="120"/>
      <c r="AJ462" s="83"/>
      <c r="AK462" s="80" t="s">
        <v>46</v>
      </c>
    </row>
    <row r="463" spans="1:37" ht="17.100000000000001" customHeight="1" x14ac:dyDescent="0.25">
      <c r="A463" s="132"/>
      <c r="H463" s="123"/>
      <c r="N463" s="100"/>
      <c r="O463" s="50"/>
      <c r="AH463" s="116"/>
      <c r="AI463" s="120"/>
      <c r="AJ463" s="83"/>
      <c r="AK463" s="80" t="s">
        <v>46</v>
      </c>
    </row>
    <row r="464" spans="1:37" ht="17.100000000000001" customHeight="1" x14ac:dyDescent="0.25">
      <c r="A464" s="132"/>
      <c r="H464" s="123"/>
      <c r="N464" s="100"/>
      <c r="O464" s="50"/>
      <c r="AH464" s="116"/>
      <c r="AI464" s="120"/>
      <c r="AJ464" s="83"/>
      <c r="AK464" s="80" t="s">
        <v>46</v>
      </c>
    </row>
    <row r="465" spans="1:37" ht="17.100000000000001" customHeight="1" x14ac:dyDescent="0.25">
      <c r="A465" s="132"/>
      <c r="H465" s="123"/>
      <c r="N465" s="100"/>
      <c r="O465" s="50"/>
      <c r="AH465" s="116"/>
      <c r="AI465" s="120"/>
      <c r="AJ465" s="83"/>
      <c r="AK465" s="80" t="s">
        <v>46</v>
      </c>
    </row>
    <row r="466" spans="1:37" ht="17.100000000000001" customHeight="1" x14ac:dyDescent="0.25">
      <c r="A466" s="132"/>
      <c r="H466" s="123"/>
      <c r="N466" s="100"/>
      <c r="O466" s="50"/>
      <c r="U466" s="49"/>
      <c r="AH466" s="116"/>
      <c r="AI466" s="120"/>
      <c r="AJ466" s="83"/>
      <c r="AK466" s="80" t="s">
        <v>46</v>
      </c>
    </row>
    <row r="467" spans="1:37" ht="17.100000000000001" customHeight="1" x14ac:dyDescent="0.25">
      <c r="A467" s="132"/>
      <c r="H467" s="123"/>
      <c r="N467" s="100"/>
      <c r="O467" s="50"/>
      <c r="AH467" s="116"/>
      <c r="AI467" s="120"/>
      <c r="AJ467" s="83"/>
      <c r="AK467" s="80" t="s">
        <v>46</v>
      </c>
    </row>
    <row r="468" spans="1:37" ht="17.100000000000001" customHeight="1" x14ac:dyDescent="0.25">
      <c r="A468" s="132"/>
      <c r="H468" s="123"/>
      <c r="N468" s="100"/>
      <c r="O468" s="50"/>
      <c r="AH468" s="116"/>
      <c r="AI468" s="120"/>
      <c r="AJ468" s="83"/>
      <c r="AK468" s="80" t="s">
        <v>46</v>
      </c>
    </row>
    <row r="469" spans="1:37" ht="17.100000000000001" customHeight="1" x14ac:dyDescent="0.25">
      <c r="A469" s="132"/>
      <c r="H469" s="123"/>
      <c r="N469" s="100"/>
      <c r="O469" s="50"/>
      <c r="AH469" s="116"/>
      <c r="AI469" s="120"/>
      <c r="AJ469" s="83"/>
      <c r="AK469" s="80" t="s">
        <v>46</v>
      </c>
    </row>
    <row r="470" spans="1:37" ht="17.100000000000001" customHeight="1" x14ac:dyDescent="0.25">
      <c r="A470" s="132"/>
      <c r="H470" s="123"/>
      <c r="N470" s="100"/>
      <c r="O470" s="50"/>
      <c r="AH470" s="116"/>
      <c r="AI470" s="120"/>
      <c r="AJ470" s="83"/>
      <c r="AK470" s="80" t="s">
        <v>46</v>
      </c>
    </row>
    <row r="471" spans="1:37" ht="17.100000000000001" customHeight="1" x14ac:dyDescent="0.25">
      <c r="A471" s="132"/>
      <c r="H471" s="123"/>
      <c r="N471" s="100"/>
      <c r="O471" s="50"/>
      <c r="AH471" s="116"/>
      <c r="AI471" s="120"/>
      <c r="AJ471" s="83"/>
      <c r="AK471" s="80" t="s">
        <v>46</v>
      </c>
    </row>
    <row r="472" spans="1:37" ht="17.100000000000001" customHeight="1" x14ac:dyDescent="0.25">
      <c r="A472" s="132"/>
      <c r="H472" s="123"/>
      <c r="N472" s="100"/>
      <c r="O472" s="50"/>
      <c r="AH472" s="116"/>
      <c r="AI472" s="120"/>
      <c r="AJ472" s="83"/>
      <c r="AK472" s="80" t="s">
        <v>46</v>
      </c>
    </row>
    <row r="473" spans="1:37" ht="17.100000000000001" customHeight="1" x14ac:dyDescent="0.25">
      <c r="A473" s="132"/>
      <c r="H473" s="123"/>
      <c r="N473" s="100"/>
      <c r="O473" s="50"/>
      <c r="AH473" s="116"/>
      <c r="AI473" s="120"/>
      <c r="AJ473" s="83"/>
      <c r="AK473" s="80" t="s">
        <v>46</v>
      </c>
    </row>
    <row r="474" spans="1:37" ht="17.100000000000001" customHeight="1" x14ac:dyDescent="0.25">
      <c r="A474" s="132"/>
      <c r="D474" s="92"/>
      <c r="F474" s="108"/>
      <c r="H474" s="123"/>
      <c r="N474" s="100"/>
      <c r="O474" s="50"/>
      <c r="P474" s="100"/>
      <c r="Q474" s="51"/>
      <c r="R474" s="103"/>
      <c r="S474" s="99"/>
      <c r="U474" s="49"/>
      <c r="V474" s="49"/>
      <c r="W474" s="49"/>
      <c r="X474" s="49"/>
      <c r="Y474" s="49"/>
      <c r="Z474" s="49"/>
      <c r="AA474" s="49"/>
      <c r="AB474" s="100"/>
      <c r="AC474" s="100"/>
      <c r="AD474" s="49"/>
      <c r="AE474" s="49"/>
      <c r="AF474" s="49"/>
      <c r="AG474" s="111"/>
      <c r="AH474" s="116"/>
      <c r="AI474" s="121"/>
      <c r="AJ474" s="83"/>
      <c r="AK474" s="80" t="s">
        <v>46</v>
      </c>
    </row>
    <row r="475" spans="1:37" ht="17.100000000000001" customHeight="1" x14ac:dyDescent="0.25">
      <c r="A475" s="132"/>
      <c r="C475" s="92"/>
      <c r="D475" s="92"/>
      <c r="F475" s="108"/>
      <c r="H475" s="123"/>
      <c r="N475" s="100"/>
      <c r="O475" s="50"/>
      <c r="P475" s="100"/>
      <c r="Q475" s="51"/>
      <c r="R475" s="103"/>
      <c r="S475" s="99"/>
      <c r="U475" s="49"/>
      <c r="V475" s="49"/>
      <c r="W475" s="49"/>
      <c r="X475" s="49"/>
      <c r="Y475" s="49"/>
      <c r="Z475" s="49"/>
      <c r="AA475" s="49"/>
      <c r="AB475" s="100"/>
      <c r="AC475" s="100"/>
      <c r="AD475" s="49"/>
      <c r="AE475" s="49"/>
      <c r="AF475" s="49"/>
      <c r="AG475" s="111"/>
      <c r="AH475" s="116"/>
      <c r="AI475" s="121"/>
      <c r="AJ475" s="84"/>
      <c r="AK475" s="80" t="s">
        <v>46</v>
      </c>
    </row>
    <row r="476" spans="1:37" ht="17.100000000000001" customHeight="1" x14ac:dyDescent="0.25">
      <c r="A476" s="132"/>
      <c r="H476" s="123"/>
      <c r="N476" s="100"/>
      <c r="O476" s="50"/>
      <c r="AH476" s="116"/>
      <c r="AI476" s="120"/>
      <c r="AJ476" s="84"/>
      <c r="AK476" s="80" t="s">
        <v>46</v>
      </c>
    </row>
    <row r="477" spans="1:37" ht="17.100000000000001" customHeight="1" x14ac:dyDescent="0.25">
      <c r="A477" s="132"/>
      <c r="H477" s="123"/>
      <c r="N477" s="100"/>
      <c r="O477" s="50"/>
      <c r="AH477" s="116"/>
      <c r="AI477" s="120"/>
      <c r="AJ477" s="83"/>
      <c r="AK477" s="80" t="s">
        <v>46</v>
      </c>
    </row>
    <row r="478" spans="1:37" ht="17.100000000000001" customHeight="1" x14ac:dyDescent="0.25">
      <c r="A478" s="132"/>
      <c r="H478" s="123"/>
      <c r="N478" s="100"/>
      <c r="O478" s="50"/>
      <c r="AH478" s="116"/>
      <c r="AI478" s="120"/>
      <c r="AJ478" s="83"/>
      <c r="AK478" s="80" t="s">
        <v>46</v>
      </c>
    </row>
    <row r="479" spans="1:37" ht="17.100000000000001" customHeight="1" x14ac:dyDescent="0.25">
      <c r="A479" s="132"/>
      <c r="H479" s="123"/>
      <c r="N479" s="100"/>
      <c r="O479" s="50"/>
      <c r="AH479" s="116"/>
      <c r="AI479" s="120"/>
      <c r="AJ479" s="83"/>
      <c r="AK479" s="80" t="s">
        <v>46</v>
      </c>
    </row>
    <row r="480" spans="1:37" ht="17.100000000000001" customHeight="1" x14ac:dyDescent="0.25">
      <c r="A480" s="132"/>
      <c r="C480" s="92"/>
      <c r="D480" s="92"/>
      <c r="F480" s="108"/>
      <c r="H480" s="123"/>
      <c r="N480" s="100"/>
      <c r="O480" s="50"/>
      <c r="P480" s="100"/>
      <c r="Q480" s="51"/>
      <c r="R480" s="103"/>
      <c r="S480" s="99"/>
      <c r="U480" s="49"/>
      <c r="V480" s="49"/>
      <c r="W480" s="49"/>
      <c r="X480" s="49"/>
      <c r="Y480" s="49"/>
      <c r="Z480" s="49"/>
      <c r="AA480" s="49"/>
      <c r="AB480" s="100"/>
      <c r="AC480" s="100"/>
      <c r="AD480" s="49"/>
      <c r="AE480" s="49"/>
      <c r="AF480" s="49"/>
      <c r="AG480" s="111"/>
      <c r="AH480" s="116"/>
      <c r="AI480" s="121"/>
      <c r="AJ480" s="83"/>
      <c r="AK480" s="80" t="s">
        <v>46</v>
      </c>
    </row>
    <row r="481" spans="1:37" ht="17.100000000000001" customHeight="1" x14ac:dyDescent="0.25">
      <c r="A481" s="132"/>
      <c r="H481" s="123"/>
      <c r="N481" s="100"/>
      <c r="O481" s="50"/>
      <c r="AH481" s="116"/>
      <c r="AI481" s="120"/>
      <c r="AJ481" s="84"/>
      <c r="AK481" s="80" t="s">
        <v>46</v>
      </c>
    </row>
    <row r="482" spans="1:37" ht="17.100000000000001" customHeight="1" x14ac:dyDescent="0.25">
      <c r="A482" s="132"/>
      <c r="H482" s="123"/>
      <c r="N482" s="100"/>
      <c r="O482" s="50"/>
      <c r="AH482" s="116"/>
      <c r="AI482" s="120"/>
      <c r="AJ482" s="83"/>
      <c r="AK482" s="80" t="s">
        <v>46</v>
      </c>
    </row>
    <row r="483" spans="1:37" ht="17.100000000000001" customHeight="1" x14ac:dyDescent="0.25">
      <c r="A483" s="132"/>
      <c r="H483" s="123"/>
      <c r="N483" s="100"/>
      <c r="O483" s="50"/>
      <c r="AH483" s="116"/>
      <c r="AI483" s="120"/>
      <c r="AJ483" s="83"/>
      <c r="AK483" s="80" t="s">
        <v>46</v>
      </c>
    </row>
    <row r="484" spans="1:37" ht="17.100000000000001" customHeight="1" x14ac:dyDescent="0.25">
      <c r="A484" s="132"/>
      <c r="C484" s="92"/>
      <c r="D484" s="92"/>
      <c r="F484" s="108"/>
      <c r="H484" s="123"/>
      <c r="N484" s="100"/>
      <c r="O484" s="50"/>
      <c r="P484" s="100"/>
      <c r="Q484" s="51"/>
      <c r="R484" s="103"/>
      <c r="S484" s="99"/>
      <c r="U484" s="49"/>
      <c r="V484" s="49"/>
      <c r="W484" s="49"/>
      <c r="X484" s="49"/>
      <c r="Y484" s="49"/>
      <c r="Z484" s="49"/>
      <c r="AA484" s="49"/>
      <c r="AB484" s="100"/>
      <c r="AC484" s="100"/>
      <c r="AD484" s="49"/>
      <c r="AE484" s="49"/>
      <c r="AF484" s="49"/>
      <c r="AG484" s="111"/>
      <c r="AH484" s="116"/>
      <c r="AI484" s="121"/>
      <c r="AJ484" s="83"/>
      <c r="AK484" s="80" t="s">
        <v>46</v>
      </c>
    </row>
    <row r="485" spans="1:37" ht="17.100000000000001" customHeight="1" x14ac:dyDescent="0.25">
      <c r="A485" s="132"/>
      <c r="C485" s="92"/>
      <c r="D485" s="92"/>
      <c r="F485" s="108"/>
      <c r="H485" s="123"/>
      <c r="N485" s="100"/>
      <c r="O485" s="50"/>
      <c r="P485" s="100"/>
      <c r="Q485" s="51"/>
      <c r="R485" s="103"/>
      <c r="S485" s="99"/>
      <c r="U485" s="49"/>
      <c r="V485" s="49"/>
      <c r="W485" s="49"/>
      <c r="X485" s="49"/>
      <c r="Y485" s="49"/>
      <c r="Z485" s="49"/>
      <c r="AA485" s="49"/>
      <c r="AB485" s="100"/>
      <c r="AC485" s="100"/>
      <c r="AD485" s="49"/>
      <c r="AE485" s="49"/>
      <c r="AF485" s="49"/>
      <c r="AG485" s="111"/>
      <c r="AH485" s="116"/>
      <c r="AI485" s="121"/>
      <c r="AJ485" s="84"/>
      <c r="AK485" s="80" t="s">
        <v>46</v>
      </c>
    </row>
    <row r="486" spans="1:37" ht="17.100000000000001" customHeight="1" x14ac:dyDescent="0.25">
      <c r="A486" s="132"/>
      <c r="H486" s="123"/>
      <c r="N486" s="100"/>
      <c r="O486" s="50"/>
      <c r="AH486" s="116"/>
      <c r="AI486" s="120"/>
      <c r="AJ486" s="84"/>
      <c r="AK486" s="80" t="s">
        <v>46</v>
      </c>
    </row>
    <row r="487" spans="1:37" ht="17.100000000000001" customHeight="1" x14ac:dyDescent="0.25">
      <c r="A487" s="132"/>
      <c r="H487" s="123"/>
      <c r="N487" s="100"/>
      <c r="O487" s="50"/>
      <c r="AH487" s="116"/>
      <c r="AI487" s="120"/>
      <c r="AJ487" s="83"/>
      <c r="AK487" s="80" t="s">
        <v>46</v>
      </c>
    </row>
    <row r="488" spans="1:37" ht="17.100000000000001" customHeight="1" x14ac:dyDescent="0.25">
      <c r="A488" s="132"/>
      <c r="H488" s="123"/>
      <c r="N488" s="100"/>
      <c r="O488" s="50"/>
      <c r="AH488" s="116"/>
      <c r="AI488" s="120"/>
      <c r="AJ488" s="83"/>
      <c r="AK488" s="80" t="s">
        <v>46</v>
      </c>
    </row>
    <row r="489" spans="1:37" ht="17.100000000000001" customHeight="1" x14ac:dyDescent="0.25">
      <c r="A489" s="132"/>
      <c r="H489" s="123"/>
      <c r="N489" s="100"/>
      <c r="O489" s="50"/>
      <c r="U489" s="49"/>
      <c r="AH489" s="116"/>
      <c r="AI489" s="120"/>
      <c r="AJ489" s="83"/>
      <c r="AK489" s="80" t="s">
        <v>46</v>
      </c>
    </row>
    <row r="490" spans="1:37" ht="17.100000000000001" customHeight="1" x14ac:dyDescent="0.25">
      <c r="A490" s="132"/>
      <c r="H490" s="123"/>
      <c r="N490" s="100"/>
      <c r="O490" s="50"/>
      <c r="AH490" s="116"/>
      <c r="AI490" s="120"/>
      <c r="AJ490" s="83"/>
      <c r="AK490" s="80" t="s">
        <v>46</v>
      </c>
    </row>
    <row r="491" spans="1:37" ht="17.100000000000001" customHeight="1" x14ac:dyDescent="0.25">
      <c r="A491" s="132"/>
      <c r="C491" s="92"/>
      <c r="D491" s="92"/>
      <c r="F491" s="108"/>
      <c r="H491" s="123"/>
      <c r="N491" s="100"/>
      <c r="O491" s="50"/>
      <c r="P491" s="100"/>
      <c r="Q491" s="51"/>
      <c r="R491" s="103"/>
      <c r="S491" s="99"/>
      <c r="U491" s="49"/>
      <c r="V491" s="49"/>
      <c r="W491" s="49"/>
      <c r="X491" s="49"/>
      <c r="Y491" s="49"/>
      <c r="Z491" s="49"/>
      <c r="AA491" s="49"/>
      <c r="AB491" s="100"/>
      <c r="AC491" s="100"/>
      <c r="AD491" s="49"/>
      <c r="AE491" s="49"/>
      <c r="AF491" s="49"/>
      <c r="AG491" s="111"/>
      <c r="AH491" s="116"/>
      <c r="AI491" s="121"/>
      <c r="AJ491" s="83"/>
      <c r="AK491" s="80" t="s">
        <v>46</v>
      </c>
    </row>
    <row r="492" spans="1:37" ht="17.100000000000001" customHeight="1" x14ac:dyDescent="0.25">
      <c r="A492" s="132"/>
      <c r="H492" s="123"/>
      <c r="N492" s="100"/>
      <c r="O492" s="50"/>
      <c r="AH492" s="116"/>
      <c r="AI492" s="120"/>
      <c r="AJ492" s="84"/>
      <c r="AK492" s="80" t="s">
        <v>46</v>
      </c>
    </row>
    <row r="493" spans="1:37" ht="17.100000000000001" customHeight="1" x14ac:dyDescent="0.25">
      <c r="A493" s="132"/>
      <c r="H493" s="123"/>
      <c r="N493" s="100"/>
      <c r="O493" s="50"/>
      <c r="U493" s="49"/>
      <c r="AH493" s="116"/>
      <c r="AI493" s="120"/>
      <c r="AJ493" s="83"/>
      <c r="AK493" s="80" t="s">
        <v>46</v>
      </c>
    </row>
    <row r="494" spans="1:37" ht="17.100000000000001" customHeight="1" x14ac:dyDescent="0.25">
      <c r="A494" s="132"/>
      <c r="H494" s="123"/>
      <c r="N494" s="100"/>
      <c r="O494" s="50"/>
      <c r="AH494" s="116"/>
      <c r="AI494" s="120"/>
      <c r="AJ494" s="83"/>
      <c r="AK494" s="80" t="s">
        <v>46</v>
      </c>
    </row>
    <row r="495" spans="1:37" ht="17.100000000000001" customHeight="1" x14ac:dyDescent="0.25">
      <c r="A495" s="132"/>
      <c r="H495" s="123"/>
      <c r="N495" s="100"/>
      <c r="O495" s="50"/>
      <c r="U495" s="49"/>
      <c r="AH495" s="116"/>
      <c r="AI495" s="120"/>
      <c r="AJ495" s="83"/>
      <c r="AK495" s="80" t="s">
        <v>46</v>
      </c>
    </row>
    <row r="496" spans="1:37" ht="17.100000000000001" customHeight="1" x14ac:dyDescent="0.25">
      <c r="A496" s="132"/>
      <c r="H496" s="123"/>
      <c r="N496" s="100"/>
      <c r="O496" s="50"/>
      <c r="U496" s="49"/>
      <c r="AH496" s="116"/>
      <c r="AI496" s="120"/>
      <c r="AJ496" s="83"/>
      <c r="AK496" s="80" t="s">
        <v>46</v>
      </c>
    </row>
    <row r="497" spans="1:37" ht="17.100000000000001" customHeight="1" x14ac:dyDescent="0.25">
      <c r="A497" s="132"/>
      <c r="H497" s="123"/>
      <c r="N497" s="100"/>
      <c r="O497" s="50"/>
      <c r="AH497" s="116"/>
      <c r="AI497" s="120"/>
      <c r="AJ497" s="83"/>
      <c r="AK497" s="80" t="s">
        <v>46</v>
      </c>
    </row>
    <row r="498" spans="1:37" ht="17.100000000000001" customHeight="1" x14ac:dyDescent="0.25">
      <c r="A498" s="132"/>
      <c r="H498" s="123"/>
      <c r="N498" s="100"/>
      <c r="O498" s="50"/>
      <c r="AH498" s="116"/>
      <c r="AI498" s="120"/>
      <c r="AJ498" s="83"/>
      <c r="AK498" s="80" t="s">
        <v>46</v>
      </c>
    </row>
    <row r="499" spans="1:37" ht="17.100000000000001" customHeight="1" x14ac:dyDescent="0.25">
      <c r="A499" s="132"/>
      <c r="H499" s="123"/>
      <c r="N499" s="100"/>
      <c r="O499" s="50"/>
      <c r="AH499" s="116"/>
      <c r="AI499" s="120"/>
      <c r="AJ499" s="83"/>
      <c r="AK499" s="80" t="s">
        <v>46</v>
      </c>
    </row>
    <row r="500" spans="1:37" ht="17.100000000000001" customHeight="1" x14ac:dyDescent="0.25">
      <c r="A500" s="132"/>
      <c r="H500" s="123"/>
      <c r="N500" s="100"/>
      <c r="O500" s="50"/>
      <c r="AH500" s="116"/>
      <c r="AI500" s="120"/>
      <c r="AJ500" s="83"/>
      <c r="AK500" s="80" t="s">
        <v>46</v>
      </c>
    </row>
    <row r="501" spans="1:37" ht="17.100000000000001" customHeight="1" x14ac:dyDescent="0.25">
      <c r="A501" s="132"/>
      <c r="H501" s="123"/>
      <c r="N501" s="100"/>
      <c r="O501" s="50"/>
      <c r="AH501" s="116"/>
      <c r="AI501" s="120"/>
      <c r="AJ501" s="83"/>
      <c r="AK501" s="80" t="s">
        <v>46</v>
      </c>
    </row>
    <row r="502" spans="1:37" ht="17.100000000000001" customHeight="1" x14ac:dyDescent="0.25">
      <c r="A502" s="132"/>
      <c r="H502" s="123"/>
      <c r="N502" s="100"/>
      <c r="O502" s="50"/>
      <c r="AH502" s="116"/>
      <c r="AI502" s="120"/>
      <c r="AJ502" s="83"/>
      <c r="AK502" s="80" t="s">
        <v>46</v>
      </c>
    </row>
    <row r="503" spans="1:37" ht="17.100000000000001" customHeight="1" x14ac:dyDescent="0.25">
      <c r="A503" s="132"/>
      <c r="C503" s="92"/>
      <c r="D503" s="92"/>
      <c r="F503" s="108"/>
      <c r="H503" s="123"/>
      <c r="N503" s="100"/>
      <c r="O503" s="50"/>
      <c r="P503" s="100"/>
      <c r="Q503" s="51"/>
      <c r="R503" s="103"/>
      <c r="S503" s="99"/>
      <c r="U503" s="49"/>
      <c r="V503" s="49"/>
      <c r="W503" s="49"/>
      <c r="X503" s="49"/>
      <c r="Y503" s="49"/>
      <c r="Z503" s="49"/>
      <c r="AA503" s="49"/>
      <c r="AB503" s="100"/>
      <c r="AC503" s="100"/>
      <c r="AD503" s="49"/>
      <c r="AE503" s="49"/>
      <c r="AF503" s="49"/>
      <c r="AG503" s="111"/>
      <c r="AH503" s="116"/>
      <c r="AI503" s="121"/>
      <c r="AJ503" s="83"/>
      <c r="AK503" s="80" t="s">
        <v>46</v>
      </c>
    </row>
    <row r="504" spans="1:37" ht="17.100000000000001" customHeight="1" x14ac:dyDescent="0.25">
      <c r="A504" s="132"/>
      <c r="H504" s="123"/>
      <c r="N504" s="100"/>
      <c r="O504" s="50"/>
      <c r="AH504" s="116"/>
      <c r="AI504" s="120"/>
      <c r="AJ504" s="84"/>
      <c r="AK504" s="80" t="s">
        <v>46</v>
      </c>
    </row>
    <row r="505" spans="1:37" ht="17.100000000000001" customHeight="1" x14ac:dyDescent="0.25">
      <c r="A505" s="132"/>
      <c r="C505" s="92"/>
      <c r="D505" s="92"/>
      <c r="F505" s="108"/>
      <c r="H505" s="123"/>
      <c r="N505" s="100"/>
      <c r="O505" s="50"/>
      <c r="P505" s="100"/>
      <c r="Q505" s="51"/>
      <c r="R505" s="103"/>
      <c r="S505" s="99"/>
      <c r="U505" s="49"/>
      <c r="V505" s="49"/>
      <c r="W505" s="49"/>
      <c r="X505" s="49"/>
      <c r="Y505" s="49"/>
      <c r="Z505" s="49"/>
      <c r="AA505" s="49"/>
      <c r="AB505" s="100"/>
      <c r="AC505" s="100"/>
      <c r="AD505" s="49"/>
      <c r="AE505" s="49"/>
      <c r="AF505" s="49"/>
      <c r="AG505" s="111"/>
      <c r="AH505" s="116"/>
      <c r="AI505" s="121"/>
      <c r="AJ505" s="83"/>
      <c r="AK505" s="80" t="s">
        <v>46</v>
      </c>
    </row>
    <row r="506" spans="1:37" ht="17.100000000000001" customHeight="1" x14ac:dyDescent="0.25">
      <c r="A506" s="132"/>
      <c r="H506" s="123"/>
      <c r="N506" s="100"/>
      <c r="O506" s="50"/>
      <c r="AH506" s="116"/>
      <c r="AI506" s="120"/>
      <c r="AJ506" s="84"/>
      <c r="AK506" s="80" t="s">
        <v>46</v>
      </c>
    </row>
    <row r="507" spans="1:37" ht="17.100000000000001" customHeight="1" x14ac:dyDescent="0.25">
      <c r="A507" s="132"/>
      <c r="H507" s="123"/>
      <c r="N507" s="100"/>
      <c r="O507" s="50"/>
      <c r="AH507" s="116"/>
      <c r="AI507" s="120"/>
      <c r="AJ507" s="83"/>
      <c r="AK507" s="80" t="s">
        <v>46</v>
      </c>
    </row>
    <row r="508" spans="1:37" ht="17.100000000000001" customHeight="1" x14ac:dyDescent="0.25">
      <c r="A508" s="132"/>
      <c r="H508" s="123"/>
      <c r="N508" s="100"/>
      <c r="O508" s="50"/>
      <c r="AH508" s="116"/>
      <c r="AI508" s="120"/>
      <c r="AJ508" s="83"/>
      <c r="AK508" s="80" t="s">
        <v>46</v>
      </c>
    </row>
    <row r="509" spans="1:37" ht="17.100000000000001" customHeight="1" x14ac:dyDescent="0.25">
      <c r="A509" s="132"/>
      <c r="H509" s="123"/>
      <c r="N509" s="100"/>
      <c r="O509" s="50"/>
      <c r="AH509" s="116"/>
      <c r="AI509" s="120"/>
      <c r="AJ509" s="83"/>
      <c r="AK509" s="80" t="s">
        <v>46</v>
      </c>
    </row>
    <row r="510" spans="1:37" ht="17.100000000000001" customHeight="1" x14ac:dyDescent="0.25">
      <c r="A510" s="132"/>
      <c r="H510" s="123"/>
      <c r="N510" s="100"/>
      <c r="O510" s="50"/>
      <c r="AH510" s="116"/>
      <c r="AI510" s="120"/>
      <c r="AJ510" s="83"/>
      <c r="AK510" s="80" t="s">
        <v>46</v>
      </c>
    </row>
    <row r="511" spans="1:37" ht="17.100000000000001" customHeight="1" x14ac:dyDescent="0.25">
      <c r="A511" s="132"/>
      <c r="H511" s="123"/>
      <c r="N511" s="100"/>
      <c r="O511" s="50"/>
      <c r="AH511" s="116"/>
      <c r="AI511" s="120"/>
      <c r="AJ511" s="83"/>
      <c r="AK511" s="80" t="s">
        <v>46</v>
      </c>
    </row>
    <row r="512" spans="1:37" ht="17.100000000000001" customHeight="1" x14ac:dyDescent="0.25">
      <c r="A512" s="132"/>
      <c r="H512" s="123"/>
      <c r="N512" s="100"/>
      <c r="O512" s="50"/>
      <c r="AH512" s="116"/>
      <c r="AI512" s="120"/>
      <c r="AJ512" s="83"/>
      <c r="AK512" s="80" t="s">
        <v>46</v>
      </c>
    </row>
    <row r="513" spans="1:37" ht="17.100000000000001" customHeight="1" x14ac:dyDescent="0.25">
      <c r="A513" s="132"/>
      <c r="H513" s="123"/>
      <c r="N513" s="100"/>
      <c r="O513" s="50"/>
      <c r="AH513" s="116"/>
      <c r="AI513" s="120"/>
      <c r="AJ513" s="83"/>
      <c r="AK513" s="80" t="s">
        <v>46</v>
      </c>
    </row>
    <row r="514" spans="1:37" ht="17.100000000000001" customHeight="1" x14ac:dyDescent="0.25">
      <c r="A514" s="132"/>
      <c r="C514" s="92"/>
      <c r="D514" s="92"/>
      <c r="F514" s="108"/>
      <c r="H514" s="123"/>
      <c r="N514" s="100"/>
      <c r="O514" s="50"/>
      <c r="P514" s="100"/>
      <c r="Q514" s="51"/>
      <c r="R514" s="103"/>
      <c r="S514" s="99"/>
      <c r="U514" s="49"/>
      <c r="V514" s="49"/>
      <c r="W514" s="49"/>
      <c r="X514" s="49"/>
      <c r="Y514" s="49"/>
      <c r="Z514" s="49"/>
      <c r="AA514" s="49"/>
      <c r="AB514" s="100"/>
      <c r="AC514" s="100"/>
      <c r="AD514" s="49"/>
      <c r="AE514" s="49"/>
      <c r="AF514" s="49"/>
      <c r="AG514" s="111"/>
      <c r="AH514" s="116"/>
      <c r="AI514" s="121"/>
      <c r="AJ514" s="83"/>
      <c r="AK514" s="80" t="s">
        <v>46</v>
      </c>
    </row>
    <row r="515" spans="1:37" ht="17.100000000000001" customHeight="1" x14ac:dyDescent="0.25">
      <c r="A515" s="132"/>
      <c r="H515" s="123"/>
      <c r="N515" s="100"/>
      <c r="O515" s="50"/>
      <c r="AH515" s="116"/>
      <c r="AI515" s="120"/>
      <c r="AJ515" s="84"/>
      <c r="AK515" s="80" t="s">
        <v>46</v>
      </c>
    </row>
    <row r="516" spans="1:37" ht="17.100000000000001" customHeight="1" x14ac:dyDescent="0.25">
      <c r="A516" s="132"/>
      <c r="H516" s="123"/>
      <c r="N516" s="100"/>
      <c r="O516" s="50"/>
      <c r="AH516" s="116"/>
      <c r="AI516" s="120"/>
      <c r="AJ516" s="83"/>
      <c r="AK516" s="80" t="s">
        <v>46</v>
      </c>
    </row>
    <row r="517" spans="1:37" ht="17.100000000000001" customHeight="1" x14ac:dyDescent="0.25">
      <c r="A517" s="132"/>
      <c r="H517" s="123"/>
      <c r="N517" s="100"/>
      <c r="O517" s="50"/>
      <c r="AH517" s="116"/>
      <c r="AI517" s="120"/>
      <c r="AJ517" s="83"/>
      <c r="AK517" s="80" t="s">
        <v>46</v>
      </c>
    </row>
    <row r="518" spans="1:37" ht="17.100000000000001" customHeight="1" x14ac:dyDescent="0.25">
      <c r="A518" s="132"/>
      <c r="H518" s="123"/>
      <c r="N518" s="100"/>
      <c r="O518" s="50"/>
      <c r="AH518" s="116"/>
      <c r="AI518" s="120"/>
      <c r="AJ518" s="83"/>
      <c r="AK518" s="80" t="s">
        <v>46</v>
      </c>
    </row>
    <row r="519" spans="1:37" ht="17.100000000000001" customHeight="1" x14ac:dyDescent="0.25">
      <c r="A519" s="132"/>
      <c r="H519" s="123"/>
      <c r="N519" s="100"/>
      <c r="O519" s="50"/>
      <c r="U519" s="49"/>
      <c r="AH519" s="116"/>
      <c r="AI519" s="120"/>
      <c r="AJ519" s="83"/>
      <c r="AK519" s="80" t="s">
        <v>46</v>
      </c>
    </row>
    <row r="520" spans="1:37" ht="17.100000000000001" customHeight="1" x14ac:dyDescent="0.25">
      <c r="A520" s="132"/>
      <c r="H520" s="123"/>
      <c r="N520" s="100"/>
      <c r="O520" s="50"/>
      <c r="AH520" s="116"/>
      <c r="AI520" s="120"/>
      <c r="AJ520" s="83"/>
      <c r="AK520" s="80" t="s">
        <v>46</v>
      </c>
    </row>
    <row r="521" spans="1:37" ht="17.100000000000001" customHeight="1" x14ac:dyDescent="0.25">
      <c r="A521" s="132"/>
      <c r="C521" s="92"/>
      <c r="D521" s="92"/>
      <c r="F521" s="108"/>
      <c r="H521" s="123"/>
      <c r="N521" s="100"/>
      <c r="O521" s="50"/>
      <c r="P521" s="100"/>
      <c r="Q521" s="51"/>
      <c r="R521" s="103"/>
      <c r="S521" s="99"/>
      <c r="U521" s="49"/>
      <c r="V521" s="49"/>
      <c r="W521" s="49"/>
      <c r="X521" s="49"/>
      <c r="Y521" s="49"/>
      <c r="Z521" s="49"/>
      <c r="AA521" s="49"/>
      <c r="AB521" s="100"/>
      <c r="AC521" s="100"/>
      <c r="AD521" s="49"/>
      <c r="AE521" s="49"/>
      <c r="AF521" s="49"/>
      <c r="AG521" s="111"/>
      <c r="AH521" s="116"/>
      <c r="AI521" s="121"/>
      <c r="AJ521" s="83"/>
      <c r="AK521" s="80" t="s">
        <v>46</v>
      </c>
    </row>
    <row r="522" spans="1:37" ht="17.100000000000001" customHeight="1" x14ac:dyDescent="0.25">
      <c r="A522" s="132"/>
      <c r="H522" s="123"/>
      <c r="N522" s="100"/>
      <c r="O522" s="50"/>
      <c r="AH522" s="116"/>
      <c r="AI522" s="120"/>
      <c r="AJ522" s="84"/>
      <c r="AK522" s="80" t="s">
        <v>46</v>
      </c>
    </row>
    <row r="523" spans="1:37" ht="17.100000000000001" customHeight="1" x14ac:dyDescent="0.25">
      <c r="A523" s="132"/>
      <c r="H523" s="123"/>
      <c r="N523" s="100"/>
      <c r="O523" s="50"/>
      <c r="AH523" s="116"/>
      <c r="AI523" s="120"/>
      <c r="AJ523" s="83"/>
      <c r="AK523" s="80" t="s">
        <v>46</v>
      </c>
    </row>
    <row r="524" spans="1:37" ht="17.100000000000001" customHeight="1" x14ac:dyDescent="0.25">
      <c r="A524" s="132"/>
      <c r="H524" s="123"/>
      <c r="N524" s="100"/>
      <c r="O524" s="50"/>
      <c r="AH524" s="116"/>
      <c r="AI524" s="120"/>
      <c r="AJ524" s="83"/>
      <c r="AK524" s="80" t="s">
        <v>46</v>
      </c>
    </row>
    <row r="525" spans="1:37" ht="17.100000000000001" customHeight="1" x14ac:dyDescent="0.25">
      <c r="A525" s="132"/>
      <c r="H525" s="123"/>
      <c r="N525" s="100"/>
      <c r="O525" s="50"/>
      <c r="AH525" s="116"/>
      <c r="AI525" s="120"/>
      <c r="AJ525" s="83"/>
      <c r="AK525" s="80" t="s">
        <v>46</v>
      </c>
    </row>
    <row r="526" spans="1:37" ht="17.100000000000001" customHeight="1" x14ac:dyDescent="0.25">
      <c r="A526" s="132"/>
      <c r="H526" s="123"/>
      <c r="N526" s="100"/>
      <c r="O526" s="50"/>
      <c r="AH526" s="116"/>
      <c r="AI526" s="120"/>
      <c r="AJ526" s="83"/>
      <c r="AK526" s="80" t="s">
        <v>46</v>
      </c>
    </row>
    <row r="527" spans="1:37" ht="17.100000000000001" customHeight="1" x14ac:dyDescent="0.25">
      <c r="A527" s="132"/>
      <c r="H527" s="123"/>
      <c r="N527" s="100"/>
      <c r="O527" s="50"/>
      <c r="AH527" s="116"/>
      <c r="AI527" s="120"/>
      <c r="AJ527" s="83"/>
      <c r="AK527" s="80" t="s">
        <v>46</v>
      </c>
    </row>
    <row r="528" spans="1:37" ht="17.100000000000001" customHeight="1" x14ac:dyDescent="0.25">
      <c r="A528" s="132"/>
      <c r="H528" s="123"/>
      <c r="N528" s="100"/>
      <c r="O528" s="50"/>
      <c r="AH528" s="116"/>
      <c r="AI528" s="120"/>
      <c r="AJ528" s="83"/>
      <c r="AK528" s="80" t="s">
        <v>46</v>
      </c>
    </row>
    <row r="529" spans="1:37" ht="17.100000000000001" customHeight="1" x14ac:dyDescent="0.25">
      <c r="A529" s="132"/>
      <c r="H529" s="123"/>
      <c r="N529" s="100"/>
      <c r="O529" s="50"/>
      <c r="AH529" s="116"/>
      <c r="AI529" s="120"/>
      <c r="AJ529" s="83"/>
      <c r="AK529" s="80" t="s">
        <v>46</v>
      </c>
    </row>
    <row r="530" spans="1:37" ht="17.100000000000001" customHeight="1" x14ac:dyDescent="0.25">
      <c r="A530" s="132"/>
      <c r="H530" s="123"/>
      <c r="N530" s="100"/>
      <c r="O530" s="50"/>
      <c r="AH530" s="116"/>
      <c r="AI530" s="120"/>
      <c r="AJ530" s="83"/>
      <c r="AK530" s="80" t="s">
        <v>46</v>
      </c>
    </row>
    <row r="531" spans="1:37" ht="17.100000000000001" customHeight="1" x14ac:dyDescent="0.25">
      <c r="A531" s="132"/>
      <c r="C531" s="92"/>
      <c r="D531" s="92"/>
      <c r="F531" s="108"/>
      <c r="H531" s="123"/>
      <c r="N531" s="100"/>
      <c r="O531" s="50"/>
      <c r="P531" s="100"/>
      <c r="Q531" s="51"/>
      <c r="R531" s="103"/>
      <c r="S531" s="99"/>
      <c r="U531" s="49"/>
      <c r="V531" s="49"/>
      <c r="W531" s="49"/>
      <c r="X531" s="49"/>
      <c r="Y531" s="49"/>
      <c r="AA531" s="49"/>
      <c r="AB531" s="100"/>
      <c r="AC531" s="100"/>
      <c r="AD531" s="49"/>
      <c r="AE531" s="49"/>
      <c r="AF531" s="49"/>
      <c r="AG531" s="111"/>
      <c r="AH531" s="116"/>
      <c r="AI531" s="121"/>
      <c r="AJ531" s="83"/>
      <c r="AK531" s="80" t="s">
        <v>46</v>
      </c>
    </row>
    <row r="532" spans="1:37" ht="17.100000000000001" customHeight="1" x14ac:dyDescent="0.25">
      <c r="A532" s="132"/>
      <c r="H532" s="123"/>
      <c r="N532" s="100"/>
      <c r="O532" s="50"/>
      <c r="AH532" s="116"/>
      <c r="AI532" s="120"/>
      <c r="AJ532" s="84"/>
      <c r="AK532" s="80" t="s">
        <v>46</v>
      </c>
    </row>
    <row r="533" spans="1:37" ht="17.100000000000001" customHeight="1" x14ac:dyDescent="0.25">
      <c r="A533" s="132"/>
      <c r="H533" s="123"/>
      <c r="N533" s="100"/>
      <c r="O533" s="50"/>
      <c r="AH533" s="116"/>
      <c r="AI533" s="120"/>
      <c r="AJ533" s="83"/>
      <c r="AK533" s="80" t="s">
        <v>46</v>
      </c>
    </row>
    <row r="534" spans="1:37" ht="17.100000000000001" customHeight="1" x14ac:dyDescent="0.25">
      <c r="A534" s="132"/>
      <c r="H534" s="123"/>
      <c r="N534" s="100"/>
      <c r="O534" s="50"/>
      <c r="AH534" s="116"/>
      <c r="AI534" s="120"/>
      <c r="AJ534" s="83"/>
      <c r="AK534" s="80" t="s">
        <v>46</v>
      </c>
    </row>
    <row r="535" spans="1:37" ht="17.100000000000001" customHeight="1" x14ac:dyDescent="0.25">
      <c r="A535" s="132"/>
      <c r="H535" s="123"/>
      <c r="N535" s="100"/>
      <c r="O535" s="50"/>
      <c r="AH535" s="116"/>
      <c r="AI535" s="120"/>
      <c r="AJ535" s="83"/>
      <c r="AK535" s="80" t="s">
        <v>46</v>
      </c>
    </row>
    <row r="536" spans="1:37" ht="17.100000000000001" customHeight="1" x14ac:dyDescent="0.25">
      <c r="A536" s="132"/>
      <c r="H536" s="123"/>
      <c r="N536" s="100"/>
      <c r="O536" s="50"/>
      <c r="AH536" s="116"/>
      <c r="AI536" s="120"/>
      <c r="AJ536" s="83"/>
      <c r="AK536" s="80" t="s">
        <v>46</v>
      </c>
    </row>
    <row r="537" spans="1:37" ht="17.100000000000001" customHeight="1" x14ac:dyDescent="0.25">
      <c r="A537" s="132"/>
      <c r="H537" s="123"/>
      <c r="N537" s="100"/>
      <c r="O537" s="50"/>
      <c r="AH537" s="116"/>
      <c r="AI537" s="120"/>
      <c r="AJ537" s="83"/>
      <c r="AK537" s="80" t="s">
        <v>46</v>
      </c>
    </row>
    <row r="538" spans="1:37" ht="17.100000000000001" customHeight="1" x14ac:dyDescent="0.25">
      <c r="A538" s="132"/>
      <c r="H538" s="123"/>
      <c r="N538" s="100"/>
      <c r="O538" s="50"/>
      <c r="AH538" s="116"/>
      <c r="AI538" s="120"/>
      <c r="AJ538" s="83"/>
      <c r="AK538" s="80" t="s">
        <v>46</v>
      </c>
    </row>
    <row r="539" spans="1:37" ht="17.100000000000001" customHeight="1" x14ac:dyDescent="0.25">
      <c r="A539" s="132"/>
      <c r="H539" s="123"/>
      <c r="N539" s="100"/>
      <c r="O539" s="50"/>
      <c r="AH539" s="116"/>
      <c r="AI539" s="120"/>
      <c r="AJ539" s="83"/>
      <c r="AK539" s="80" t="s">
        <v>46</v>
      </c>
    </row>
    <row r="540" spans="1:37" ht="17.100000000000001" customHeight="1" x14ac:dyDescent="0.25">
      <c r="A540" s="132"/>
      <c r="H540" s="123"/>
      <c r="N540" s="100"/>
      <c r="O540" s="50"/>
      <c r="AH540" s="116"/>
      <c r="AI540" s="120"/>
      <c r="AJ540" s="83"/>
      <c r="AK540" s="80" t="s">
        <v>46</v>
      </c>
    </row>
    <row r="541" spans="1:37" ht="17.100000000000001" customHeight="1" x14ac:dyDescent="0.25">
      <c r="A541" s="132"/>
      <c r="H541" s="123"/>
      <c r="N541" s="100"/>
      <c r="O541" s="50"/>
      <c r="AH541" s="116"/>
      <c r="AI541" s="120"/>
      <c r="AJ541" s="83"/>
      <c r="AK541" s="80" t="s">
        <v>46</v>
      </c>
    </row>
    <row r="542" spans="1:37" ht="17.100000000000001" customHeight="1" x14ac:dyDescent="0.25">
      <c r="A542" s="132"/>
      <c r="C542" s="92"/>
      <c r="D542" s="92"/>
      <c r="F542" s="108"/>
      <c r="H542" s="123"/>
      <c r="N542" s="100"/>
      <c r="O542" s="50"/>
      <c r="P542" s="100"/>
      <c r="Q542" s="51"/>
      <c r="R542" s="103"/>
      <c r="S542" s="99"/>
      <c r="U542" s="49"/>
      <c r="V542" s="49"/>
      <c r="W542" s="49"/>
      <c r="X542" s="49"/>
      <c r="Y542" s="49"/>
      <c r="Z542" s="49"/>
      <c r="AA542" s="49"/>
      <c r="AB542" s="100"/>
      <c r="AC542" s="100"/>
      <c r="AD542" s="49"/>
      <c r="AE542" s="49"/>
      <c r="AF542" s="49"/>
      <c r="AG542" s="111"/>
      <c r="AH542" s="116"/>
      <c r="AI542" s="121"/>
      <c r="AJ542" s="83"/>
      <c r="AK542" s="80" t="s">
        <v>46</v>
      </c>
    </row>
    <row r="543" spans="1:37" ht="17.100000000000001" customHeight="1" x14ac:dyDescent="0.25">
      <c r="A543" s="132"/>
      <c r="H543" s="123"/>
      <c r="N543" s="100"/>
      <c r="O543" s="50"/>
      <c r="AH543" s="116"/>
      <c r="AI543" s="120"/>
      <c r="AJ543" s="84"/>
      <c r="AK543" s="80" t="s">
        <v>46</v>
      </c>
    </row>
    <row r="544" spans="1:37" ht="17.100000000000001" customHeight="1" x14ac:dyDescent="0.25">
      <c r="A544" s="132"/>
      <c r="H544" s="123"/>
      <c r="N544" s="100"/>
      <c r="O544" s="50"/>
      <c r="U544" s="49"/>
      <c r="AH544" s="116"/>
      <c r="AI544" s="120"/>
      <c r="AJ544" s="83"/>
      <c r="AK544" s="80" t="s">
        <v>46</v>
      </c>
    </row>
    <row r="545" spans="1:37" ht="17.100000000000001" customHeight="1" x14ac:dyDescent="0.25">
      <c r="A545" s="132"/>
      <c r="H545" s="123"/>
      <c r="N545" s="100"/>
      <c r="O545" s="50"/>
      <c r="U545" s="49"/>
      <c r="AH545" s="116"/>
      <c r="AI545" s="120"/>
      <c r="AJ545" s="83"/>
      <c r="AK545" s="80" t="s">
        <v>46</v>
      </c>
    </row>
    <row r="546" spans="1:37" ht="17.100000000000001" customHeight="1" x14ac:dyDescent="0.25">
      <c r="A546" s="132"/>
      <c r="H546" s="123"/>
      <c r="N546" s="100"/>
      <c r="O546" s="50"/>
      <c r="AH546" s="116"/>
      <c r="AI546" s="120"/>
      <c r="AJ546" s="83"/>
      <c r="AK546" s="80" t="s">
        <v>46</v>
      </c>
    </row>
    <row r="547" spans="1:37" ht="17.100000000000001" customHeight="1" x14ac:dyDescent="0.25">
      <c r="A547" s="132"/>
      <c r="H547" s="123"/>
      <c r="N547" s="100"/>
      <c r="O547" s="50"/>
      <c r="AH547" s="116"/>
      <c r="AI547" s="120"/>
      <c r="AJ547" s="83"/>
      <c r="AK547" s="80" t="s">
        <v>46</v>
      </c>
    </row>
    <row r="548" spans="1:37" ht="17.100000000000001" customHeight="1" x14ac:dyDescent="0.25">
      <c r="A548" s="132"/>
      <c r="H548" s="123"/>
      <c r="N548" s="100"/>
      <c r="O548" s="50"/>
      <c r="AH548" s="116"/>
      <c r="AI548" s="120"/>
      <c r="AJ548" s="83"/>
      <c r="AK548" s="80" t="s">
        <v>46</v>
      </c>
    </row>
    <row r="549" spans="1:37" ht="17.100000000000001" customHeight="1" x14ac:dyDescent="0.25">
      <c r="A549" s="132"/>
      <c r="H549" s="123"/>
      <c r="N549" s="100"/>
      <c r="O549" s="50"/>
      <c r="AH549" s="116"/>
      <c r="AI549" s="120"/>
      <c r="AJ549" s="83"/>
      <c r="AK549" s="80" t="s">
        <v>46</v>
      </c>
    </row>
    <row r="550" spans="1:37" ht="17.100000000000001" customHeight="1" x14ac:dyDescent="0.25">
      <c r="A550" s="132"/>
      <c r="H550" s="123"/>
      <c r="N550" s="100"/>
      <c r="O550" s="50"/>
      <c r="AH550" s="116"/>
      <c r="AI550" s="120"/>
      <c r="AJ550" s="83"/>
      <c r="AK550" s="80" t="s">
        <v>46</v>
      </c>
    </row>
    <row r="551" spans="1:37" ht="17.100000000000001" customHeight="1" x14ac:dyDescent="0.25">
      <c r="A551" s="132"/>
      <c r="H551" s="123"/>
      <c r="N551" s="100"/>
      <c r="O551" s="50"/>
      <c r="AH551" s="116"/>
      <c r="AI551" s="120"/>
      <c r="AJ551" s="83"/>
      <c r="AK551" s="80" t="s">
        <v>46</v>
      </c>
    </row>
    <row r="552" spans="1:37" ht="17.100000000000001" customHeight="1" x14ac:dyDescent="0.25">
      <c r="A552" s="132"/>
      <c r="H552" s="123"/>
      <c r="N552" s="100"/>
      <c r="O552" s="50"/>
      <c r="AH552" s="116"/>
      <c r="AI552" s="120"/>
      <c r="AJ552" s="83"/>
      <c r="AK552" s="80" t="s">
        <v>46</v>
      </c>
    </row>
    <row r="553" spans="1:37" ht="17.100000000000001" customHeight="1" x14ac:dyDescent="0.25">
      <c r="A553" s="132"/>
      <c r="H553" s="123"/>
      <c r="N553" s="100"/>
      <c r="O553" s="50"/>
      <c r="AH553" s="116"/>
      <c r="AI553" s="120"/>
      <c r="AJ553" s="83"/>
      <c r="AK553" s="80" t="s">
        <v>46</v>
      </c>
    </row>
    <row r="554" spans="1:37" ht="17.100000000000001" customHeight="1" x14ac:dyDescent="0.25">
      <c r="A554" s="132"/>
      <c r="C554" s="92"/>
      <c r="D554" s="92"/>
      <c r="F554" s="108"/>
      <c r="H554" s="123"/>
      <c r="N554" s="100"/>
      <c r="O554" s="50"/>
      <c r="P554" s="100"/>
      <c r="Q554" s="51"/>
      <c r="R554" s="103"/>
      <c r="S554" s="99"/>
      <c r="U554" s="49"/>
      <c r="V554" s="49"/>
      <c r="W554" s="49"/>
      <c r="X554" s="49"/>
      <c r="Y554" s="49"/>
      <c r="Z554" s="49"/>
      <c r="AA554" s="49"/>
      <c r="AB554" s="100"/>
      <c r="AC554" s="100"/>
      <c r="AD554" s="49"/>
      <c r="AE554" s="49"/>
      <c r="AF554" s="49"/>
      <c r="AH554" s="116"/>
      <c r="AI554" s="121"/>
      <c r="AJ554" s="83"/>
      <c r="AK554" s="80" t="s">
        <v>46</v>
      </c>
    </row>
    <row r="555" spans="1:37" ht="17.100000000000001" customHeight="1" x14ac:dyDescent="0.25">
      <c r="A555" s="132"/>
      <c r="H555" s="123"/>
      <c r="N555" s="100"/>
      <c r="O555" s="50"/>
      <c r="AH555" s="116"/>
      <c r="AI555" s="120"/>
      <c r="AJ555" s="84"/>
      <c r="AK555" s="80" t="s">
        <v>46</v>
      </c>
    </row>
    <row r="556" spans="1:37" ht="17.100000000000001" customHeight="1" x14ac:dyDescent="0.25">
      <c r="A556" s="132"/>
      <c r="H556" s="123"/>
      <c r="N556" s="100"/>
      <c r="O556" s="50"/>
      <c r="AH556" s="116"/>
      <c r="AI556" s="120"/>
      <c r="AJ556" s="83"/>
      <c r="AK556" s="80" t="s">
        <v>46</v>
      </c>
    </row>
    <row r="557" spans="1:37" ht="17.100000000000001" customHeight="1" x14ac:dyDescent="0.25">
      <c r="A557" s="132"/>
      <c r="H557" s="123"/>
      <c r="N557" s="100"/>
      <c r="O557" s="50"/>
      <c r="AH557" s="116"/>
      <c r="AI557" s="120"/>
      <c r="AJ557" s="83"/>
      <c r="AK557" s="80" t="s">
        <v>46</v>
      </c>
    </row>
    <row r="558" spans="1:37" ht="17.100000000000001" customHeight="1" x14ac:dyDescent="0.25">
      <c r="A558" s="132"/>
      <c r="H558" s="123"/>
      <c r="N558" s="100"/>
      <c r="O558" s="50"/>
      <c r="AH558" s="116"/>
      <c r="AI558" s="120"/>
      <c r="AJ558" s="83"/>
      <c r="AK558" s="80" t="s">
        <v>46</v>
      </c>
    </row>
    <row r="559" spans="1:37" ht="17.100000000000001" customHeight="1" x14ac:dyDescent="0.25">
      <c r="A559" s="132"/>
      <c r="H559" s="123"/>
      <c r="N559" s="100"/>
      <c r="O559" s="50"/>
      <c r="AH559" s="116"/>
      <c r="AI559" s="120"/>
      <c r="AJ559" s="83"/>
      <c r="AK559" s="80" t="s">
        <v>46</v>
      </c>
    </row>
    <row r="560" spans="1:37" ht="17.100000000000001" customHeight="1" x14ac:dyDescent="0.25">
      <c r="A560" s="132"/>
      <c r="H560" s="123"/>
      <c r="N560" s="100"/>
      <c r="O560" s="50"/>
      <c r="AH560" s="116"/>
      <c r="AI560" s="120"/>
      <c r="AJ560" s="83"/>
      <c r="AK560" s="80" t="s">
        <v>46</v>
      </c>
    </row>
    <row r="561" spans="1:37" ht="17.100000000000001" customHeight="1" x14ac:dyDescent="0.25">
      <c r="A561" s="132"/>
      <c r="H561" s="123"/>
      <c r="N561" s="100"/>
      <c r="O561" s="50"/>
      <c r="AH561" s="116"/>
      <c r="AI561" s="120"/>
      <c r="AJ561" s="83"/>
      <c r="AK561" s="80" t="s">
        <v>46</v>
      </c>
    </row>
    <row r="562" spans="1:37" ht="17.100000000000001" customHeight="1" x14ac:dyDescent="0.25">
      <c r="A562" s="132"/>
      <c r="C562" s="92"/>
      <c r="D562" s="92"/>
      <c r="F562" s="108"/>
      <c r="H562" s="123"/>
      <c r="N562" s="100"/>
      <c r="O562" s="50"/>
      <c r="P562" s="100"/>
      <c r="Q562" s="51"/>
      <c r="R562" s="103"/>
      <c r="S562" s="99"/>
      <c r="U562" s="49"/>
      <c r="V562" s="49"/>
      <c r="W562" s="49"/>
      <c r="X562" s="49"/>
      <c r="Y562" s="49"/>
      <c r="Z562" s="49"/>
      <c r="AA562" s="49"/>
      <c r="AB562" s="100"/>
      <c r="AC562" s="100"/>
      <c r="AD562" s="49"/>
      <c r="AE562" s="49"/>
      <c r="AF562" s="49"/>
      <c r="AG562" s="111"/>
      <c r="AH562" s="116"/>
      <c r="AI562" s="121"/>
      <c r="AJ562" s="83"/>
      <c r="AK562" s="80" t="s">
        <v>46</v>
      </c>
    </row>
    <row r="563" spans="1:37" ht="17.100000000000001" customHeight="1" x14ac:dyDescent="0.25">
      <c r="A563" s="132"/>
      <c r="H563" s="123"/>
      <c r="N563" s="100"/>
      <c r="O563" s="50"/>
      <c r="AH563" s="116"/>
      <c r="AI563" s="120"/>
      <c r="AJ563" s="84"/>
      <c r="AK563" s="80" t="s">
        <v>46</v>
      </c>
    </row>
    <row r="564" spans="1:37" ht="17.100000000000001" customHeight="1" x14ac:dyDescent="0.25">
      <c r="A564" s="132"/>
      <c r="H564" s="123"/>
      <c r="N564" s="100"/>
      <c r="O564" s="50"/>
      <c r="AH564" s="116"/>
      <c r="AI564" s="120"/>
      <c r="AJ564" s="83"/>
      <c r="AK564" s="80" t="s">
        <v>46</v>
      </c>
    </row>
    <row r="565" spans="1:37" ht="17.100000000000001" customHeight="1" x14ac:dyDescent="0.25">
      <c r="A565" s="132"/>
      <c r="H565" s="123"/>
      <c r="N565" s="100"/>
      <c r="O565" s="50"/>
      <c r="AH565" s="116"/>
      <c r="AI565" s="120"/>
      <c r="AJ565" s="83"/>
      <c r="AK565" s="80" t="s">
        <v>46</v>
      </c>
    </row>
    <row r="566" spans="1:37" ht="17.100000000000001" customHeight="1" x14ac:dyDescent="0.25">
      <c r="A566" s="132"/>
      <c r="H566" s="123"/>
      <c r="N566" s="100"/>
      <c r="O566" s="50"/>
      <c r="AH566" s="116"/>
      <c r="AI566" s="120"/>
      <c r="AJ566" s="83"/>
      <c r="AK566" s="80" t="s">
        <v>46</v>
      </c>
    </row>
    <row r="567" spans="1:37" ht="17.100000000000001" customHeight="1" x14ac:dyDescent="0.25">
      <c r="A567" s="132"/>
      <c r="C567" s="92"/>
      <c r="D567" s="92"/>
      <c r="F567" s="108"/>
      <c r="H567" s="123"/>
      <c r="N567" s="100"/>
      <c r="O567" s="50"/>
      <c r="P567" s="100"/>
      <c r="Q567" s="51"/>
      <c r="R567" s="103"/>
      <c r="S567" s="99"/>
      <c r="U567" s="49"/>
      <c r="V567" s="49"/>
      <c r="W567" s="49"/>
      <c r="X567" s="49"/>
      <c r="Y567" s="49"/>
      <c r="Z567" s="49"/>
      <c r="AA567" s="49"/>
      <c r="AB567" s="100"/>
      <c r="AC567" s="100"/>
      <c r="AD567" s="49"/>
      <c r="AE567" s="49"/>
      <c r="AF567" s="49"/>
      <c r="AG567" s="111"/>
      <c r="AH567" s="116"/>
      <c r="AI567" s="121"/>
      <c r="AJ567" s="83"/>
      <c r="AK567" s="80" t="s">
        <v>46</v>
      </c>
    </row>
    <row r="568" spans="1:37" ht="17.100000000000001" customHeight="1" x14ac:dyDescent="0.25">
      <c r="A568" s="132"/>
      <c r="C568" s="92"/>
      <c r="D568" s="92"/>
      <c r="F568" s="108"/>
      <c r="H568" s="123"/>
      <c r="N568" s="100"/>
      <c r="O568" s="50"/>
      <c r="P568" s="100"/>
      <c r="Q568" s="51"/>
      <c r="R568" s="103"/>
      <c r="S568" s="99"/>
      <c r="U568" s="49"/>
      <c r="V568" s="49"/>
      <c r="W568" s="49"/>
      <c r="X568" s="49"/>
      <c r="Y568" s="49"/>
      <c r="Z568" s="49"/>
      <c r="AA568" s="49"/>
      <c r="AB568" s="100"/>
      <c r="AC568" s="100"/>
      <c r="AD568" s="49"/>
      <c r="AE568" s="49"/>
      <c r="AF568" s="49"/>
      <c r="AG568" s="111"/>
      <c r="AH568" s="116"/>
      <c r="AI568" s="121"/>
      <c r="AJ568" s="84"/>
      <c r="AK568" s="80" t="s">
        <v>46</v>
      </c>
    </row>
    <row r="569" spans="1:37" ht="17.100000000000001" customHeight="1" x14ac:dyDescent="0.25">
      <c r="A569" s="132"/>
      <c r="H569" s="123"/>
      <c r="N569" s="100"/>
      <c r="O569" s="50"/>
      <c r="AH569" s="116"/>
      <c r="AI569" s="120"/>
      <c r="AJ569" s="84"/>
      <c r="AK569" s="80" t="s">
        <v>46</v>
      </c>
    </row>
    <row r="570" spans="1:37" ht="17.100000000000001" customHeight="1" x14ac:dyDescent="0.25">
      <c r="A570" s="132"/>
      <c r="H570" s="123"/>
      <c r="N570" s="100"/>
      <c r="O570" s="50"/>
      <c r="AH570" s="116"/>
      <c r="AI570" s="120"/>
      <c r="AJ570" s="83"/>
      <c r="AK570" s="80" t="s">
        <v>46</v>
      </c>
    </row>
    <row r="571" spans="1:37" ht="17.100000000000001" customHeight="1" x14ac:dyDescent="0.25">
      <c r="A571" s="132"/>
      <c r="H571" s="123"/>
      <c r="N571" s="100"/>
      <c r="O571" s="50"/>
      <c r="AH571" s="116"/>
      <c r="AI571" s="120"/>
      <c r="AJ571" s="83"/>
      <c r="AK571" s="80" t="s">
        <v>46</v>
      </c>
    </row>
    <row r="572" spans="1:37" ht="17.100000000000001" customHeight="1" x14ac:dyDescent="0.25">
      <c r="A572" s="132"/>
      <c r="H572" s="123"/>
      <c r="N572" s="100"/>
      <c r="O572" s="50"/>
      <c r="AH572" s="116"/>
      <c r="AI572" s="120"/>
      <c r="AJ572" s="83"/>
      <c r="AK572" s="80" t="s">
        <v>46</v>
      </c>
    </row>
    <row r="573" spans="1:37" ht="17.100000000000001" customHeight="1" x14ac:dyDescent="0.25">
      <c r="A573" s="132"/>
      <c r="H573" s="123"/>
      <c r="N573" s="100"/>
      <c r="O573" s="50"/>
      <c r="AH573" s="116"/>
      <c r="AI573" s="120"/>
      <c r="AJ573" s="83"/>
      <c r="AK573" s="80" t="s">
        <v>46</v>
      </c>
    </row>
    <row r="574" spans="1:37" ht="17.100000000000001" customHeight="1" x14ac:dyDescent="0.25">
      <c r="A574" s="132"/>
      <c r="H574" s="123"/>
      <c r="N574" s="100"/>
      <c r="O574" s="50"/>
      <c r="AH574" s="116"/>
      <c r="AI574" s="120"/>
      <c r="AJ574" s="83"/>
      <c r="AK574" s="80" t="s">
        <v>46</v>
      </c>
    </row>
    <row r="575" spans="1:37" ht="17.100000000000001" customHeight="1" x14ac:dyDescent="0.25">
      <c r="A575" s="132"/>
      <c r="H575" s="123"/>
      <c r="N575" s="100"/>
      <c r="O575" s="50"/>
      <c r="AH575" s="116"/>
      <c r="AI575" s="120"/>
      <c r="AJ575" s="83"/>
      <c r="AK575" s="80" t="s">
        <v>46</v>
      </c>
    </row>
    <row r="576" spans="1:37" ht="17.100000000000001" customHeight="1" x14ac:dyDescent="0.25">
      <c r="A576" s="132"/>
      <c r="H576" s="123"/>
      <c r="N576" s="100"/>
      <c r="O576" s="50"/>
      <c r="AH576" s="116"/>
      <c r="AI576" s="120"/>
      <c r="AJ576" s="83"/>
      <c r="AK576" s="80" t="s">
        <v>46</v>
      </c>
    </row>
    <row r="577" spans="1:37" ht="17.100000000000001" customHeight="1" x14ac:dyDescent="0.25">
      <c r="A577" s="132"/>
      <c r="H577" s="123"/>
      <c r="N577" s="100"/>
      <c r="O577" s="50"/>
      <c r="AH577" s="116"/>
      <c r="AI577" s="120"/>
      <c r="AJ577" s="83"/>
      <c r="AK577" s="80" t="s">
        <v>46</v>
      </c>
    </row>
    <row r="578" spans="1:37" ht="17.100000000000001" customHeight="1" x14ac:dyDescent="0.25">
      <c r="A578" s="132"/>
      <c r="H578" s="123"/>
      <c r="N578" s="100"/>
      <c r="O578" s="50"/>
      <c r="AH578" s="116"/>
      <c r="AI578" s="120"/>
      <c r="AJ578" s="83"/>
      <c r="AK578" s="80" t="s">
        <v>46</v>
      </c>
    </row>
    <row r="579" spans="1:37" ht="17.100000000000001" customHeight="1" x14ac:dyDescent="0.25">
      <c r="A579" s="132"/>
      <c r="H579" s="123"/>
      <c r="N579" s="100"/>
      <c r="O579" s="50"/>
      <c r="AH579" s="116"/>
      <c r="AI579" s="120"/>
      <c r="AJ579" s="83"/>
      <c r="AK579" s="80" t="s">
        <v>46</v>
      </c>
    </row>
    <row r="580" spans="1:37" ht="17.100000000000001" customHeight="1" x14ac:dyDescent="0.25">
      <c r="A580" s="132"/>
      <c r="H580" s="123"/>
      <c r="N580" s="100"/>
      <c r="O580" s="50"/>
      <c r="AH580" s="116"/>
      <c r="AI580" s="120"/>
      <c r="AJ580" s="83"/>
      <c r="AK580" s="80" t="s">
        <v>46</v>
      </c>
    </row>
    <row r="581" spans="1:37" ht="17.100000000000001" customHeight="1" x14ac:dyDescent="0.25">
      <c r="A581" s="132"/>
      <c r="H581" s="123"/>
      <c r="N581" s="100"/>
      <c r="O581" s="50"/>
      <c r="AH581" s="116"/>
      <c r="AI581" s="120"/>
      <c r="AJ581" s="83"/>
      <c r="AK581" s="80" t="s">
        <v>46</v>
      </c>
    </row>
    <row r="582" spans="1:37" ht="17.100000000000001" customHeight="1" x14ac:dyDescent="0.25">
      <c r="A582" s="132"/>
      <c r="H582" s="123"/>
      <c r="N582" s="100"/>
      <c r="O582" s="50"/>
      <c r="AH582" s="116"/>
      <c r="AI582" s="120"/>
      <c r="AJ582" s="83"/>
      <c r="AK582" s="80" t="s">
        <v>46</v>
      </c>
    </row>
    <row r="583" spans="1:37" ht="17.100000000000001" customHeight="1" x14ac:dyDescent="0.25">
      <c r="A583" s="132"/>
      <c r="H583" s="123"/>
      <c r="N583" s="100"/>
      <c r="O583" s="50"/>
      <c r="AH583" s="116"/>
      <c r="AI583" s="120"/>
      <c r="AJ583" s="83"/>
      <c r="AK583" s="80" t="s">
        <v>46</v>
      </c>
    </row>
    <row r="584" spans="1:37" ht="17.100000000000001" customHeight="1" x14ac:dyDescent="0.25">
      <c r="A584" s="132"/>
      <c r="H584" s="123"/>
      <c r="N584" s="100"/>
      <c r="O584" s="50"/>
      <c r="AH584" s="116"/>
      <c r="AI584" s="120"/>
      <c r="AJ584" s="83"/>
      <c r="AK584" s="80" t="s">
        <v>46</v>
      </c>
    </row>
    <row r="585" spans="1:37" ht="17.100000000000001" customHeight="1" x14ac:dyDescent="0.25">
      <c r="A585" s="132"/>
      <c r="H585" s="123"/>
      <c r="N585" s="100"/>
      <c r="O585" s="50"/>
      <c r="AH585" s="116"/>
      <c r="AI585" s="120"/>
      <c r="AJ585" s="83"/>
      <c r="AK585" s="80" t="s">
        <v>46</v>
      </c>
    </row>
    <row r="586" spans="1:37" ht="17.100000000000001" customHeight="1" x14ac:dyDescent="0.25">
      <c r="A586" s="132"/>
      <c r="H586" s="123"/>
      <c r="N586" s="100"/>
      <c r="O586" s="50"/>
      <c r="AH586" s="116"/>
      <c r="AI586" s="120"/>
      <c r="AJ586" s="83"/>
      <c r="AK586" s="80" t="s">
        <v>46</v>
      </c>
    </row>
    <row r="587" spans="1:37" ht="17.100000000000001" customHeight="1" x14ac:dyDescent="0.25">
      <c r="A587" s="132"/>
      <c r="H587" s="123"/>
      <c r="N587" s="100"/>
      <c r="O587" s="50"/>
      <c r="AH587" s="116"/>
      <c r="AI587" s="120"/>
      <c r="AJ587" s="83"/>
      <c r="AK587" s="80" t="s">
        <v>46</v>
      </c>
    </row>
    <row r="588" spans="1:37" ht="17.100000000000001" customHeight="1" x14ac:dyDescent="0.25">
      <c r="A588" s="132"/>
      <c r="H588" s="123"/>
      <c r="N588" s="100"/>
      <c r="O588" s="50"/>
      <c r="AH588" s="116"/>
      <c r="AI588" s="120"/>
      <c r="AJ588" s="83"/>
      <c r="AK588" s="80" t="s">
        <v>46</v>
      </c>
    </row>
    <row r="589" spans="1:37" ht="17.100000000000001" customHeight="1" x14ac:dyDescent="0.25">
      <c r="A589" s="132"/>
      <c r="H589" s="123"/>
      <c r="N589" s="100"/>
      <c r="O589" s="50"/>
      <c r="AH589" s="116"/>
      <c r="AI589" s="120"/>
      <c r="AJ589" s="83"/>
      <c r="AK589" s="80" t="s">
        <v>46</v>
      </c>
    </row>
    <row r="590" spans="1:37" ht="17.100000000000001" customHeight="1" x14ac:dyDescent="0.25">
      <c r="A590" s="132"/>
      <c r="H590" s="123"/>
      <c r="N590" s="100"/>
      <c r="O590" s="50"/>
      <c r="U590" s="49"/>
      <c r="AH590" s="116"/>
      <c r="AI590" s="120"/>
      <c r="AJ590" s="83"/>
      <c r="AK590" s="80" t="s">
        <v>46</v>
      </c>
    </row>
    <row r="591" spans="1:37" ht="17.100000000000001" customHeight="1" x14ac:dyDescent="0.25">
      <c r="A591" s="132"/>
      <c r="H591" s="123"/>
      <c r="N591" s="100"/>
      <c r="O591" s="50"/>
      <c r="AH591" s="116"/>
      <c r="AI591" s="120"/>
      <c r="AJ591" s="83"/>
      <c r="AK591" s="80" t="s">
        <v>46</v>
      </c>
    </row>
    <row r="592" spans="1:37" ht="17.100000000000001" customHeight="1" x14ac:dyDescent="0.25">
      <c r="A592" s="132"/>
      <c r="H592" s="123"/>
      <c r="N592" s="100"/>
      <c r="O592" s="50"/>
      <c r="AH592" s="116"/>
      <c r="AI592" s="120"/>
      <c r="AJ592" s="83"/>
      <c r="AK592" s="80" t="s">
        <v>46</v>
      </c>
    </row>
    <row r="593" spans="1:37" ht="17.100000000000001" customHeight="1" x14ac:dyDescent="0.25">
      <c r="A593" s="132"/>
      <c r="H593" s="123"/>
      <c r="N593" s="100"/>
      <c r="O593" s="50"/>
      <c r="AH593" s="116"/>
      <c r="AI593" s="120"/>
      <c r="AJ593" s="83"/>
      <c r="AK593" s="80" t="s">
        <v>46</v>
      </c>
    </row>
    <row r="594" spans="1:37" ht="17.100000000000001" customHeight="1" x14ac:dyDescent="0.25">
      <c r="A594" s="132"/>
      <c r="H594" s="123"/>
      <c r="N594" s="100"/>
      <c r="O594" s="50"/>
      <c r="AH594" s="116"/>
      <c r="AI594" s="120"/>
      <c r="AJ594" s="83"/>
      <c r="AK594" s="80" t="s">
        <v>46</v>
      </c>
    </row>
    <row r="595" spans="1:37" ht="17.100000000000001" customHeight="1" x14ac:dyDescent="0.25">
      <c r="A595" s="132"/>
      <c r="H595" s="123"/>
      <c r="N595" s="100"/>
      <c r="O595" s="50"/>
      <c r="AH595" s="116"/>
      <c r="AI595" s="120"/>
      <c r="AJ595" s="83"/>
      <c r="AK595" s="80" t="s">
        <v>46</v>
      </c>
    </row>
    <row r="596" spans="1:37" ht="17.100000000000001" customHeight="1" x14ac:dyDescent="0.25">
      <c r="A596" s="132"/>
      <c r="H596" s="123"/>
      <c r="N596" s="100"/>
      <c r="O596" s="50"/>
      <c r="AH596" s="116"/>
      <c r="AI596" s="120"/>
      <c r="AJ596" s="83"/>
      <c r="AK596" s="80" t="s">
        <v>46</v>
      </c>
    </row>
    <row r="597" spans="1:37" ht="17.100000000000001" customHeight="1" x14ac:dyDescent="0.25">
      <c r="A597" s="132"/>
      <c r="H597" s="123"/>
      <c r="N597" s="100"/>
      <c r="O597" s="50"/>
      <c r="AH597" s="116"/>
      <c r="AI597" s="120"/>
      <c r="AJ597" s="83"/>
      <c r="AK597" s="80" t="s">
        <v>46</v>
      </c>
    </row>
    <row r="598" spans="1:37" ht="17.100000000000001" customHeight="1" x14ac:dyDescent="0.25">
      <c r="A598" s="132"/>
      <c r="H598" s="123"/>
      <c r="N598" s="100"/>
      <c r="O598" s="50"/>
      <c r="AH598" s="116"/>
      <c r="AI598" s="120"/>
      <c r="AJ598" s="83"/>
      <c r="AK598" s="80" t="s">
        <v>46</v>
      </c>
    </row>
    <row r="599" spans="1:37" ht="17.100000000000001" customHeight="1" x14ac:dyDescent="0.25">
      <c r="A599" s="132"/>
      <c r="H599" s="123"/>
      <c r="N599" s="100"/>
      <c r="O599" s="50"/>
      <c r="AH599" s="116"/>
      <c r="AI599" s="120"/>
      <c r="AJ599" s="83"/>
      <c r="AK599" s="80" t="s">
        <v>46</v>
      </c>
    </row>
    <row r="600" spans="1:37" ht="17.100000000000001" customHeight="1" x14ac:dyDescent="0.25">
      <c r="A600" s="132"/>
      <c r="H600" s="123"/>
      <c r="N600" s="100"/>
      <c r="O600" s="50"/>
      <c r="AH600" s="116"/>
      <c r="AI600" s="120"/>
      <c r="AJ600" s="83"/>
      <c r="AK600" s="80" t="s">
        <v>46</v>
      </c>
    </row>
    <row r="601" spans="1:37" ht="17.100000000000001" customHeight="1" x14ac:dyDescent="0.25">
      <c r="A601" s="132"/>
      <c r="H601" s="123"/>
      <c r="N601" s="100"/>
      <c r="O601" s="50"/>
      <c r="AH601" s="116"/>
      <c r="AI601" s="120"/>
      <c r="AJ601" s="83"/>
      <c r="AK601" s="80" t="s">
        <v>46</v>
      </c>
    </row>
    <row r="602" spans="1:37" ht="17.100000000000001" customHeight="1" x14ac:dyDescent="0.25">
      <c r="A602" s="132"/>
      <c r="H602" s="123"/>
      <c r="N602" s="100"/>
      <c r="O602" s="50"/>
      <c r="AH602" s="116"/>
      <c r="AI602" s="120"/>
      <c r="AJ602" s="83"/>
      <c r="AK602" s="80" t="s">
        <v>46</v>
      </c>
    </row>
    <row r="603" spans="1:37" ht="17.100000000000001" customHeight="1" x14ac:dyDescent="0.25">
      <c r="A603" s="132"/>
      <c r="H603" s="123"/>
      <c r="N603" s="100"/>
      <c r="O603" s="50"/>
      <c r="AH603" s="116"/>
      <c r="AI603" s="120"/>
      <c r="AJ603" s="83"/>
      <c r="AK603" s="80" t="s">
        <v>46</v>
      </c>
    </row>
    <row r="604" spans="1:37" ht="17.100000000000001" customHeight="1" x14ac:dyDescent="0.25">
      <c r="A604" s="132"/>
      <c r="H604" s="123"/>
      <c r="N604" s="100"/>
      <c r="O604" s="50"/>
      <c r="AH604" s="116"/>
      <c r="AI604" s="120"/>
      <c r="AJ604" s="83"/>
      <c r="AK604" s="80" t="s">
        <v>46</v>
      </c>
    </row>
    <row r="605" spans="1:37" ht="17.100000000000001" customHeight="1" x14ac:dyDescent="0.25">
      <c r="A605" s="132"/>
      <c r="H605" s="123"/>
      <c r="N605" s="100"/>
      <c r="O605" s="50"/>
      <c r="AH605" s="116"/>
      <c r="AI605" s="120"/>
      <c r="AJ605" s="83"/>
      <c r="AK605" s="80" t="s">
        <v>46</v>
      </c>
    </row>
    <row r="606" spans="1:37" ht="17.100000000000001" customHeight="1" x14ac:dyDescent="0.25">
      <c r="A606" s="132"/>
      <c r="H606" s="123"/>
      <c r="N606" s="100"/>
      <c r="O606" s="50"/>
      <c r="AH606" s="116"/>
      <c r="AI606" s="120"/>
      <c r="AJ606" s="83"/>
      <c r="AK606" s="80" t="s">
        <v>46</v>
      </c>
    </row>
    <row r="607" spans="1:37" ht="17.100000000000001" customHeight="1" x14ac:dyDescent="0.25">
      <c r="A607" s="132"/>
      <c r="H607" s="123"/>
      <c r="N607" s="100"/>
      <c r="O607" s="50"/>
      <c r="AH607" s="116"/>
      <c r="AI607" s="120"/>
      <c r="AJ607" s="83"/>
      <c r="AK607" s="80" t="s">
        <v>46</v>
      </c>
    </row>
    <row r="608" spans="1:37" ht="17.100000000000001" customHeight="1" x14ac:dyDescent="0.25">
      <c r="A608" s="132"/>
      <c r="H608" s="123"/>
      <c r="N608" s="100"/>
      <c r="O608" s="50"/>
      <c r="AH608" s="116"/>
      <c r="AI608" s="120"/>
      <c r="AJ608" s="83"/>
      <c r="AK608" s="80" t="s">
        <v>46</v>
      </c>
    </row>
    <row r="609" spans="1:37" ht="17.100000000000001" customHeight="1" x14ac:dyDescent="0.25">
      <c r="A609" s="132"/>
      <c r="H609" s="123"/>
      <c r="N609" s="100"/>
      <c r="O609" s="50"/>
      <c r="AH609" s="116"/>
      <c r="AI609" s="120"/>
      <c r="AJ609" s="83"/>
      <c r="AK609" s="80" t="s">
        <v>46</v>
      </c>
    </row>
    <row r="610" spans="1:37" ht="17.100000000000001" customHeight="1" x14ac:dyDescent="0.25">
      <c r="A610" s="132"/>
      <c r="C610" s="92"/>
      <c r="D610" s="92"/>
      <c r="F610" s="108"/>
      <c r="H610" s="123"/>
      <c r="N610" s="100"/>
      <c r="O610" s="50"/>
      <c r="P610" s="100"/>
      <c r="Q610" s="51"/>
      <c r="R610" s="103"/>
      <c r="S610" s="99"/>
      <c r="U610" s="49"/>
      <c r="V610" s="49"/>
      <c r="W610" s="49"/>
      <c r="X610" s="49"/>
      <c r="Y610" s="49"/>
      <c r="Z610" s="49"/>
      <c r="AA610" s="49"/>
      <c r="AB610" s="100"/>
      <c r="AC610" s="100"/>
      <c r="AD610" s="49"/>
      <c r="AE610" s="49"/>
      <c r="AF610" s="49"/>
      <c r="AG610" s="111"/>
      <c r="AH610" s="116"/>
      <c r="AI610" s="121"/>
      <c r="AJ610" s="83"/>
      <c r="AK610" s="80" t="s">
        <v>46</v>
      </c>
    </row>
    <row r="611" spans="1:37" ht="17.100000000000001" customHeight="1" x14ac:dyDescent="0.25">
      <c r="A611" s="132"/>
      <c r="C611" s="92"/>
      <c r="D611" s="92"/>
      <c r="F611" s="108"/>
      <c r="H611" s="123"/>
      <c r="N611" s="100"/>
      <c r="O611" s="50"/>
      <c r="P611" s="100"/>
      <c r="Q611" s="51"/>
      <c r="R611" s="103"/>
      <c r="S611" s="99"/>
      <c r="U611" s="49"/>
      <c r="V611" s="49"/>
      <c r="W611" s="49"/>
      <c r="X611" s="49"/>
      <c r="Y611" s="49"/>
      <c r="Z611" s="49"/>
      <c r="AA611" s="49"/>
      <c r="AB611" s="100"/>
      <c r="AC611" s="100"/>
      <c r="AD611" s="49"/>
      <c r="AE611" s="49"/>
      <c r="AF611" s="49"/>
      <c r="AG611" s="111"/>
      <c r="AH611" s="116"/>
      <c r="AI611" s="121"/>
      <c r="AJ611" s="84"/>
      <c r="AK611" s="80" t="s">
        <v>46</v>
      </c>
    </row>
    <row r="612" spans="1:37" ht="17.100000000000001" customHeight="1" x14ac:dyDescent="0.25">
      <c r="A612" s="132"/>
      <c r="H612" s="123"/>
      <c r="N612" s="100"/>
      <c r="O612" s="50"/>
      <c r="AH612" s="116"/>
      <c r="AI612" s="120"/>
      <c r="AJ612" s="84"/>
      <c r="AK612" s="80" t="s">
        <v>46</v>
      </c>
    </row>
    <row r="613" spans="1:37" ht="17.100000000000001" customHeight="1" x14ac:dyDescent="0.25">
      <c r="A613" s="132"/>
      <c r="H613" s="123"/>
      <c r="N613" s="100"/>
      <c r="O613" s="50"/>
      <c r="AH613" s="116"/>
      <c r="AI613" s="120"/>
      <c r="AJ613" s="83"/>
      <c r="AK613" s="80" t="s">
        <v>46</v>
      </c>
    </row>
    <row r="614" spans="1:37" ht="17.100000000000001" customHeight="1" x14ac:dyDescent="0.25">
      <c r="A614" s="132"/>
      <c r="C614" s="92"/>
      <c r="D614" s="92"/>
      <c r="F614" s="108"/>
      <c r="H614" s="123"/>
      <c r="N614" s="100"/>
      <c r="O614" s="50"/>
      <c r="P614" s="100"/>
      <c r="Q614" s="51"/>
      <c r="R614" s="103"/>
      <c r="S614" s="99"/>
      <c r="U614" s="49"/>
      <c r="V614" s="49"/>
      <c r="W614" s="49"/>
      <c r="X614" s="49"/>
      <c r="Y614" s="49"/>
      <c r="Z614" s="49"/>
      <c r="AA614" s="49"/>
      <c r="AB614" s="100"/>
      <c r="AC614" s="100"/>
      <c r="AD614" s="49"/>
      <c r="AE614" s="49"/>
      <c r="AF614" s="49"/>
      <c r="AG614" s="111"/>
      <c r="AH614" s="116"/>
      <c r="AI614" s="121"/>
      <c r="AJ614" s="83"/>
      <c r="AK614" s="80" t="s">
        <v>46</v>
      </c>
    </row>
    <row r="615" spans="1:37" ht="17.100000000000001" customHeight="1" x14ac:dyDescent="0.25">
      <c r="A615" s="132"/>
      <c r="H615" s="123"/>
      <c r="N615" s="100"/>
      <c r="O615" s="50"/>
      <c r="AH615" s="116"/>
      <c r="AI615" s="120"/>
      <c r="AJ615" s="84"/>
      <c r="AK615" s="80" t="s">
        <v>46</v>
      </c>
    </row>
    <row r="616" spans="1:37" ht="17.100000000000001" customHeight="1" x14ac:dyDescent="0.25">
      <c r="A616" s="132"/>
      <c r="H616" s="123"/>
      <c r="N616" s="100"/>
      <c r="O616" s="50"/>
      <c r="AH616" s="116"/>
      <c r="AI616" s="120"/>
      <c r="AJ616" s="83"/>
      <c r="AK616" s="80" t="s">
        <v>46</v>
      </c>
    </row>
    <row r="617" spans="1:37" ht="17.100000000000001" customHeight="1" x14ac:dyDescent="0.25">
      <c r="A617" s="132"/>
      <c r="H617" s="123"/>
      <c r="N617" s="100"/>
      <c r="O617" s="50"/>
      <c r="AH617" s="116"/>
      <c r="AI617" s="120"/>
      <c r="AJ617" s="83"/>
      <c r="AK617" s="80" t="s">
        <v>46</v>
      </c>
    </row>
    <row r="618" spans="1:37" ht="17.100000000000001" customHeight="1" x14ac:dyDescent="0.25">
      <c r="A618" s="132"/>
      <c r="H618" s="123"/>
      <c r="N618" s="100"/>
      <c r="O618" s="50"/>
      <c r="AH618" s="116"/>
      <c r="AI618" s="120"/>
      <c r="AJ618" s="83"/>
      <c r="AK618" s="80" t="s">
        <v>46</v>
      </c>
    </row>
    <row r="619" spans="1:37" ht="17.100000000000001" customHeight="1" x14ac:dyDescent="0.25">
      <c r="A619" s="132"/>
      <c r="H619" s="123"/>
      <c r="N619" s="100"/>
      <c r="O619" s="50"/>
      <c r="AH619" s="116"/>
      <c r="AI619" s="120"/>
      <c r="AJ619" s="83"/>
      <c r="AK619" s="80" t="s">
        <v>46</v>
      </c>
    </row>
    <row r="620" spans="1:37" ht="17.100000000000001" customHeight="1" x14ac:dyDescent="0.25">
      <c r="A620" s="132"/>
      <c r="H620" s="123"/>
      <c r="N620" s="100"/>
      <c r="O620" s="50"/>
      <c r="AH620" s="116"/>
      <c r="AI620" s="120"/>
      <c r="AJ620" s="83"/>
      <c r="AK620" s="80" t="s">
        <v>46</v>
      </c>
    </row>
    <row r="621" spans="1:37" ht="17.100000000000001" customHeight="1" x14ac:dyDescent="0.25">
      <c r="A621" s="132"/>
      <c r="H621" s="123"/>
      <c r="N621" s="100"/>
      <c r="O621" s="50"/>
      <c r="AH621" s="116"/>
      <c r="AI621" s="120"/>
      <c r="AJ621" s="83"/>
      <c r="AK621" s="80" t="s">
        <v>46</v>
      </c>
    </row>
    <row r="622" spans="1:37" ht="17.100000000000001" customHeight="1" x14ac:dyDescent="0.25">
      <c r="A622" s="132"/>
      <c r="H622" s="123"/>
      <c r="N622" s="100"/>
      <c r="O622" s="50"/>
      <c r="AH622" s="116"/>
      <c r="AI622" s="120"/>
      <c r="AJ622" s="83"/>
      <c r="AK622" s="80" t="s">
        <v>46</v>
      </c>
    </row>
    <row r="623" spans="1:37" ht="17.100000000000001" customHeight="1" x14ac:dyDescent="0.25">
      <c r="A623" s="132"/>
      <c r="H623" s="123"/>
      <c r="N623" s="100"/>
      <c r="O623" s="50"/>
      <c r="AH623" s="116"/>
      <c r="AI623" s="120"/>
      <c r="AJ623" s="83"/>
      <c r="AK623" s="80" t="s">
        <v>46</v>
      </c>
    </row>
    <row r="624" spans="1:37" ht="17.100000000000001" customHeight="1" x14ac:dyDescent="0.25">
      <c r="A624" s="132"/>
      <c r="H624" s="123"/>
      <c r="N624" s="100"/>
      <c r="O624" s="50"/>
      <c r="AH624" s="116"/>
      <c r="AI624" s="120"/>
      <c r="AJ624" s="83"/>
      <c r="AK624" s="80" t="s">
        <v>46</v>
      </c>
    </row>
    <row r="625" spans="1:37" ht="17.100000000000001" customHeight="1" x14ac:dyDescent="0.25">
      <c r="A625" s="132"/>
      <c r="H625" s="123"/>
      <c r="N625" s="100"/>
      <c r="O625" s="50"/>
      <c r="AH625" s="116"/>
      <c r="AI625" s="120"/>
      <c r="AJ625" s="83"/>
      <c r="AK625" s="80" t="s">
        <v>46</v>
      </c>
    </row>
    <row r="626" spans="1:37" ht="17.100000000000001" customHeight="1" x14ac:dyDescent="0.25">
      <c r="A626" s="132"/>
      <c r="H626" s="123"/>
      <c r="N626" s="100"/>
      <c r="O626" s="50"/>
      <c r="AH626" s="116"/>
      <c r="AI626" s="120"/>
      <c r="AJ626" s="83"/>
      <c r="AK626" s="80" t="s">
        <v>46</v>
      </c>
    </row>
    <row r="627" spans="1:37" ht="17.100000000000001" customHeight="1" x14ac:dyDescent="0.25">
      <c r="A627" s="132"/>
      <c r="H627" s="123"/>
      <c r="N627" s="100"/>
      <c r="O627" s="50"/>
      <c r="AH627" s="116"/>
      <c r="AI627" s="120"/>
      <c r="AJ627" s="83"/>
      <c r="AK627" s="80" t="s">
        <v>46</v>
      </c>
    </row>
    <row r="628" spans="1:37" ht="17.100000000000001" customHeight="1" x14ac:dyDescent="0.25">
      <c r="A628" s="132"/>
      <c r="H628" s="123"/>
      <c r="N628" s="100"/>
      <c r="O628" s="50"/>
      <c r="AH628" s="116"/>
      <c r="AI628" s="120"/>
      <c r="AJ628" s="83"/>
      <c r="AK628" s="80" t="s">
        <v>46</v>
      </c>
    </row>
    <row r="629" spans="1:37" ht="17.100000000000001" customHeight="1" x14ac:dyDescent="0.25">
      <c r="A629" s="132"/>
      <c r="H629" s="123"/>
      <c r="N629" s="100"/>
      <c r="O629" s="50"/>
      <c r="AH629" s="116"/>
      <c r="AI629" s="120"/>
      <c r="AJ629" s="83"/>
      <c r="AK629" s="80" t="s">
        <v>46</v>
      </c>
    </row>
    <row r="630" spans="1:37" ht="17.100000000000001" customHeight="1" x14ac:dyDescent="0.25">
      <c r="A630" s="132"/>
      <c r="H630" s="123"/>
      <c r="N630" s="100"/>
      <c r="O630" s="50"/>
      <c r="AH630" s="116"/>
      <c r="AI630" s="120"/>
      <c r="AJ630" s="83"/>
      <c r="AK630" s="80" t="s">
        <v>46</v>
      </c>
    </row>
    <row r="631" spans="1:37" ht="17.100000000000001" customHeight="1" x14ac:dyDescent="0.25">
      <c r="A631" s="132"/>
      <c r="H631" s="123"/>
      <c r="N631" s="100"/>
      <c r="O631" s="50"/>
      <c r="AH631" s="116"/>
      <c r="AI631" s="120"/>
      <c r="AJ631" s="83"/>
      <c r="AK631" s="80" t="s">
        <v>46</v>
      </c>
    </row>
    <row r="632" spans="1:37" ht="17.100000000000001" customHeight="1" x14ac:dyDescent="0.25">
      <c r="A632" s="132"/>
      <c r="H632" s="123"/>
      <c r="N632" s="100"/>
      <c r="O632" s="50"/>
      <c r="AH632" s="116"/>
      <c r="AI632" s="120"/>
      <c r="AJ632" s="83"/>
      <c r="AK632" s="80" t="s">
        <v>46</v>
      </c>
    </row>
    <row r="633" spans="1:37" ht="17.100000000000001" customHeight="1" x14ac:dyDescent="0.25">
      <c r="A633" s="132"/>
      <c r="H633" s="123"/>
      <c r="N633" s="100"/>
      <c r="O633" s="50"/>
      <c r="AH633" s="116"/>
      <c r="AI633" s="120"/>
      <c r="AJ633" s="83"/>
      <c r="AK633" s="80" t="s">
        <v>46</v>
      </c>
    </row>
    <row r="634" spans="1:37" ht="17.100000000000001" customHeight="1" x14ac:dyDescent="0.25">
      <c r="A634" s="132"/>
      <c r="H634" s="123"/>
      <c r="N634" s="100"/>
      <c r="O634" s="50"/>
      <c r="AH634" s="116"/>
      <c r="AI634" s="120"/>
      <c r="AJ634" s="83"/>
      <c r="AK634" s="80" t="s">
        <v>46</v>
      </c>
    </row>
    <row r="635" spans="1:37" ht="17.100000000000001" customHeight="1" x14ac:dyDescent="0.25">
      <c r="A635" s="132"/>
      <c r="H635" s="123"/>
      <c r="N635" s="100"/>
      <c r="O635" s="50"/>
      <c r="AH635" s="116"/>
      <c r="AI635" s="120"/>
      <c r="AJ635" s="83"/>
      <c r="AK635" s="80" t="s">
        <v>46</v>
      </c>
    </row>
    <row r="636" spans="1:37" ht="17.100000000000001" customHeight="1" x14ac:dyDescent="0.25">
      <c r="A636" s="132"/>
      <c r="H636" s="123"/>
      <c r="N636" s="100"/>
      <c r="O636" s="50"/>
      <c r="AH636" s="116"/>
      <c r="AI636" s="120"/>
      <c r="AJ636" s="83"/>
      <c r="AK636" s="80" t="s">
        <v>46</v>
      </c>
    </row>
    <row r="637" spans="1:37" ht="17.100000000000001" customHeight="1" x14ac:dyDescent="0.25">
      <c r="A637" s="132"/>
      <c r="H637" s="123"/>
      <c r="N637" s="100"/>
      <c r="O637" s="50"/>
      <c r="AH637" s="116"/>
      <c r="AI637" s="120"/>
      <c r="AJ637" s="83"/>
      <c r="AK637" s="80" t="s">
        <v>46</v>
      </c>
    </row>
    <row r="638" spans="1:37" ht="17.100000000000001" customHeight="1" x14ac:dyDescent="0.25">
      <c r="A638" s="132"/>
      <c r="H638" s="123"/>
      <c r="N638" s="100"/>
      <c r="O638" s="50"/>
      <c r="AH638" s="116"/>
      <c r="AI638" s="120"/>
      <c r="AJ638" s="83"/>
      <c r="AK638" s="80" t="s">
        <v>46</v>
      </c>
    </row>
    <row r="639" spans="1:37" ht="17.100000000000001" customHeight="1" x14ac:dyDescent="0.25">
      <c r="A639" s="132"/>
      <c r="H639" s="123"/>
      <c r="N639" s="100"/>
      <c r="O639" s="50"/>
      <c r="AH639" s="116"/>
      <c r="AI639" s="120"/>
      <c r="AJ639" s="83"/>
      <c r="AK639" s="80" t="s">
        <v>46</v>
      </c>
    </row>
    <row r="640" spans="1:37" ht="17.100000000000001" customHeight="1" x14ac:dyDescent="0.25">
      <c r="A640" s="132"/>
      <c r="H640" s="123"/>
      <c r="N640" s="100"/>
      <c r="O640" s="50"/>
      <c r="AH640" s="116"/>
      <c r="AI640" s="120"/>
      <c r="AJ640" s="83"/>
      <c r="AK640" s="80" t="s">
        <v>46</v>
      </c>
    </row>
    <row r="641" spans="1:37" ht="17.100000000000001" customHeight="1" x14ac:dyDescent="0.25">
      <c r="A641" s="132"/>
      <c r="H641" s="123"/>
      <c r="N641" s="100"/>
      <c r="O641" s="50"/>
      <c r="AH641" s="116"/>
      <c r="AI641" s="120"/>
      <c r="AJ641" s="83"/>
      <c r="AK641" s="80" t="s">
        <v>46</v>
      </c>
    </row>
    <row r="642" spans="1:37" ht="17.100000000000001" customHeight="1" x14ac:dyDescent="0.25">
      <c r="A642" s="132"/>
      <c r="H642" s="123"/>
      <c r="N642" s="100"/>
      <c r="O642" s="50"/>
      <c r="AH642" s="116"/>
      <c r="AI642" s="120"/>
      <c r="AJ642" s="83"/>
      <c r="AK642" s="80" t="s">
        <v>46</v>
      </c>
    </row>
    <row r="643" spans="1:37" ht="17.100000000000001" customHeight="1" x14ac:dyDescent="0.25">
      <c r="A643" s="132"/>
      <c r="H643" s="123"/>
      <c r="N643" s="100"/>
      <c r="O643" s="50"/>
      <c r="AH643" s="116"/>
      <c r="AI643" s="120"/>
      <c r="AJ643" s="83"/>
      <c r="AK643" s="80" t="s">
        <v>46</v>
      </c>
    </row>
    <row r="644" spans="1:37" ht="17.100000000000001" customHeight="1" x14ac:dyDescent="0.25">
      <c r="A644" s="132"/>
      <c r="H644" s="123"/>
      <c r="N644" s="100"/>
      <c r="O644" s="50"/>
      <c r="AH644" s="116"/>
      <c r="AI644" s="120"/>
      <c r="AJ644" s="83"/>
      <c r="AK644" s="80" t="s">
        <v>46</v>
      </c>
    </row>
    <row r="645" spans="1:37" ht="17.100000000000001" customHeight="1" x14ac:dyDescent="0.25">
      <c r="A645" s="132"/>
      <c r="H645" s="123"/>
      <c r="N645" s="100"/>
      <c r="O645" s="50"/>
      <c r="AH645" s="116"/>
      <c r="AI645" s="120"/>
      <c r="AJ645" s="83"/>
      <c r="AK645" s="80" t="s">
        <v>46</v>
      </c>
    </row>
    <row r="646" spans="1:37" ht="17.100000000000001" customHeight="1" x14ac:dyDescent="0.25">
      <c r="A646" s="132"/>
      <c r="H646" s="123"/>
      <c r="N646" s="100"/>
      <c r="O646" s="50"/>
      <c r="AH646" s="116"/>
      <c r="AI646" s="120"/>
      <c r="AJ646" s="83"/>
      <c r="AK646" s="80" t="s">
        <v>46</v>
      </c>
    </row>
    <row r="647" spans="1:37" ht="17.100000000000001" customHeight="1" x14ac:dyDescent="0.25">
      <c r="A647" s="132"/>
      <c r="H647" s="123"/>
      <c r="N647" s="100"/>
      <c r="O647" s="50"/>
      <c r="AH647" s="116"/>
      <c r="AI647" s="120"/>
      <c r="AJ647" s="83"/>
      <c r="AK647" s="80" t="s">
        <v>46</v>
      </c>
    </row>
    <row r="648" spans="1:37" ht="17.100000000000001" customHeight="1" x14ac:dyDescent="0.25">
      <c r="A648" s="132"/>
      <c r="H648" s="123"/>
      <c r="N648" s="100"/>
      <c r="O648" s="50"/>
      <c r="AH648" s="116"/>
      <c r="AI648" s="120"/>
      <c r="AJ648" s="83"/>
      <c r="AK648" s="80" t="s">
        <v>46</v>
      </c>
    </row>
    <row r="649" spans="1:37" ht="17.100000000000001" customHeight="1" x14ac:dyDescent="0.25">
      <c r="A649" s="132"/>
      <c r="H649" s="123"/>
      <c r="N649" s="100"/>
      <c r="O649" s="50"/>
      <c r="AH649" s="116"/>
      <c r="AI649" s="120"/>
      <c r="AJ649" s="83"/>
      <c r="AK649" s="80" t="s">
        <v>46</v>
      </c>
    </row>
    <row r="650" spans="1:37" ht="17.100000000000001" customHeight="1" x14ac:dyDescent="0.25">
      <c r="A650" s="132"/>
      <c r="H650" s="123"/>
      <c r="N650" s="100"/>
      <c r="O650" s="50"/>
      <c r="AH650" s="116"/>
      <c r="AI650" s="120"/>
      <c r="AJ650" s="83"/>
      <c r="AK650" s="80" t="s">
        <v>46</v>
      </c>
    </row>
    <row r="651" spans="1:37" ht="17.100000000000001" customHeight="1" x14ac:dyDescent="0.25">
      <c r="A651" s="132"/>
      <c r="H651" s="123"/>
      <c r="N651" s="100"/>
      <c r="O651" s="50"/>
      <c r="AH651" s="116"/>
      <c r="AI651" s="120"/>
      <c r="AJ651" s="83"/>
      <c r="AK651" s="80" t="s">
        <v>46</v>
      </c>
    </row>
    <row r="652" spans="1:37" ht="17.100000000000001" customHeight="1" x14ac:dyDescent="0.25">
      <c r="A652" s="132"/>
      <c r="H652" s="123"/>
      <c r="N652" s="100"/>
      <c r="O652" s="50"/>
      <c r="AH652" s="116"/>
      <c r="AI652" s="120"/>
      <c r="AJ652" s="83"/>
      <c r="AK652" s="80" t="s">
        <v>46</v>
      </c>
    </row>
    <row r="653" spans="1:37" ht="17.100000000000001" customHeight="1" x14ac:dyDescent="0.25">
      <c r="A653" s="132"/>
      <c r="H653" s="123"/>
      <c r="N653" s="100"/>
      <c r="O653" s="50"/>
      <c r="AH653" s="116"/>
      <c r="AI653" s="120"/>
      <c r="AJ653" s="83"/>
      <c r="AK653" s="80" t="s">
        <v>46</v>
      </c>
    </row>
    <row r="654" spans="1:37" ht="17.100000000000001" customHeight="1" x14ac:dyDescent="0.25">
      <c r="A654" s="132"/>
      <c r="H654" s="123"/>
      <c r="N654" s="100"/>
      <c r="O654" s="50"/>
      <c r="AH654" s="116"/>
      <c r="AI654" s="120"/>
      <c r="AJ654" s="83"/>
      <c r="AK654" s="80" t="s">
        <v>46</v>
      </c>
    </row>
    <row r="655" spans="1:37" ht="17.100000000000001" customHeight="1" x14ac:dyDescent="0.25">
      <c r="A655" s="132"/>
      <c r="H655" s="123"/>
      <c r="N655" s="100"/>
      <c r="O655" s="50"/>
      <c r="AH655" s="116"/>
      <c r="AI655" s="120"/>
      <c r="AJ655" s="83"/>
      <c r="AK655" s="80" t="s">
        <v>46</v>
      </c>
    </row>
    <row r="656" spans="1:37" ht="17.100000000000001" customHeight="1" x14ac:dyDescent="0.25">
      <c r="A656" s="132"/>
      <c r="H656" s="123"/>
      <c r="N656" s="100"/>
      <c r="O656" s="50"/>
      <c r="AH656" s="116"/>
      <c r="AI656" s="120"/>
      <c r="AJ656" s="83"/>
      <c r="AK656" s="80" t="s">
        <v>46</v>
      </c>
    </row>
    <row r="657" spans="1:37" ht="17.100000000000001" customHeight="1" x14ac:dyDescent="0.25">
      <c r="A657" s="132"/>
      <c r="H657" s="123"/>
      <c r="N657" s="100"/>
      <c r="O657" s="50"/>
      <c r="AH657" s="116"/>
      <c r="AI657" s="120"/>
      <c r="AJ657" s="83"/>
      <c r="AK657" s="80" t="s">
        <v>46</v>
      </c>
    </row>
    <row r="658" spans="1:37" ht="17.100000000000001" customHeight="1" x14ac:dyDescent="0.25">
      <c r="A658" s="132"/>
      <c r="H658" s="123"/>
      <c r="N658" s="100"/>
      <c r="O658" s="50"/>
      <c r="AH658" s="116"/>
      <c r="AI658" s="120"/>
      <c r="AJ658" s="83"/>
      <c r="AK658" s="80" t="s">
        <v>46</v>
      </c>
    </row>
    <row r="659" spans="1:37" ht="17.100000000000001" customHeight="1" x14ac:dyDescent="0.25">
      <c r="A659" s="132"/>
      <c r="H659" s="123"/>
      <c r="N659" s="100"/>
      <c r="O659" s="50"/>
      <c r="AH659" s="116"/>
      <c r="AI659" s="120"/>
      <c r="AJ659" s="83"/>
      <c r="AK659" s="80" t="s">
        <v>46</v>
      </c>
    </row>
    <row r="660" spans="1:37" ht="17.100000000000001" customHeight="1" x14ac:dyDescent="0.25">
      <c r="A660" s="132"/>
      <c r="H660" s="123"/>
      <c r="N660" s="100"/>
      <c r="O660" s="50"/>
      <c r="AH660" s="116"/>
      <c r="AI660" s="120"/>
      <c r="AJ660" s="83"/>
    </row>
    <row r="661" spans="1:37" ht="17.100000000000001" customHeight="1" x14ac:dyDescent="0.25">
      <c r="AH661" s="118"/>
      <c r="AI661" s="120"/>
      <c r="AJ661" s="83"/>
    </row>
    <row r="662" spans="1:37" ht="17.100000000000001" customHeight="1" x14ac:dyDescent="0.25">
      <c r="AH662" s="118"/>
      <c r="AI662" s="120"/>
    </row>
    <row r="663" spans="1:37" ht="17.100000000000001" customHeight="1" x14ac:dyDescent="0.25">
      <c r="AH663" s="118"/>
      <c r="AI663" s="120"/>
    </row>
    <row r="664" spans="1:37" ht="17.100000000000001" customHeight="1" x14ac:dyDescent="0.25">
      <c r="AH664" s="118"/>
      <c r="AI664" s="120"/>
    </row>
    <row r="665" spans="1:37" ht="17.100000000000001" customHeight="1" x14ac:dyDescent="0.25">
      <c r="AH665" s="118"/>
      <c r="AI665" s="120"/>
    </row>
    <row r="666" spans="1:37" ht="17.100000000000001" customHeight="1" x14ac:dyDescent="0.25">
      <c r="AH666" s="118"/>
      <c r="AI666" s="120"/>
    </row>
    <row r="667" spans="1:37" ht="17.100000000000001" customHeight="1" x14ac:dyDescent="0.25">
      <c r="AH667" s="118"/>
      <c r="AI667" s="120"/>
    </row>
    <row r="668" spans="1:37" ht="17.100000000000001" customHeight="1" x14ac:dyDescent="0.25">
      <c r="AH668" s="118"/>
      <c r="AI668" s="120"/>
    </row>
    <row r="669" spans="1:37" ht="17.100000000000001" customHeight="1" x14ac:dyDescent="0.25">
      <c r="AH669" s="118"/>
      <c r="AI669" s="120"/>
    </row>
    <row r="670" spans="1:37" ht="17.100000000000001" customHeight="1" x14ac:dyDescent="0.25">
      <c r="AH670" s="118"/>
      <c r="AI670" s="120"/>
    </row>
    <row r="671" spans="1:37" ht="17.100000000000001" customHeight="1" x14ac:dyDescent="0.25">
      <c r="AH671" s="118"/>
      <c r="AI671" s="120"/>
    </row>
    <row r="672" spans="1:37" ht="17.100000000000001" customHeight="1" x14ac:dyDescent="0.25">
      <c r="AH672" s="118"/>
      <c r="AI672" s="120"/>
    </row>
    <row r="673" spans="34:35" ht="17.100000000000001" customHeight="1" x14ac:dyDescent="0.25">
      <c r="AH673" s="118"/>
      <c r="AI673" s="120"/>
    </row>
    <row r="674" spans="34:35" ht="17.100000000000001" customHeight="1" x14ac:dyDescent="0.25">
      <c r="AH674" s="118"/>
      <c r="AI674" s="120"/>
    </row>
    <row r="675" spans="34:35" ht="17.100000000000001" customHeight="1" x14ac:dyDescent="0.25">
      <c r="AH675" s="118"/>
      <c r="AI675" s="120"/>
    </row>
    <row r="676" spans="34:35" ht="17.100000000000001" customHeight="1" x14ac:dyDescent="0.25">
      <c r="AH676" s="118"/>
      <c r="AI676" s="120"/>
    </row>
    <row r="677" spans="34:35" ht="17.100000000000001" customHeight="1" x14ac:dyDescent="0.25">
      <c r="AH677" s="118"/>
      <c r="AI677" s="120"/>
    </row>
    <row r="678" spans="34:35" ht="17.100000000000001" customHeight="1" x14ac:dyDescent="0.25">
      <c r="AH678" s="118"/>
      <c r="AI678" s="120"/>
    </row>
    <row r="679" spans="34:35" ht="17.100000000000001" customHeight="1" x14ac:dyDescent="0.25">
      <c r="AH679" s="118"/>
      <c r="AI679" s="120"/>
    </row>
    <row r="680" spans="34:35" ht="17.100000000000001" customHeight="1" x14ac:dyDescent="0.25">
      <c r="AH680" s="118"/>
      <c r="AI680" s="120"/>
    </row>
    <row r="681" spans="34:35" ht="17.100000000000001" customHeight="1" x14ac:dyDescent="0.25">
      <c r="AH681" s="118"/>
      <c r="AI681" s="120"/>
    </row>
    <row r="682" spans="34:35" ht="17.100000000000001" customHeight="1" x14ac:dyDescent="0.25">
      <c r="AH682" s="118"/>
      <c r="AI682" s="120"/>
    </row>
    <row r="683" spans="34:35" ht="17.100000000000001" customHeight="1" x14ac:dyDescent="0.25">
      <c r="AH683" s="118"/>
      <c r="AI683" s="120"/>
    </row>
    <row r="684" spans="34:35" ht="17.100000000000001" customHeight="1" x14ac:dyDescent="0.25">
      <c r="AH684" s="118"/>
      <c r="AI684" s="120"/>
    </row>
    <row r="685" spans="34:35" ht="17.100000000000001" customHeight="1" x14ac:dyDescent="0.25">
      <c r="AH685" s="118"/>
      <c r="AI685" s="120"/>
    </row>
    <row r="686" spans="34:35" ht="17.100000000000001" customHeight="1" x14ac:dyDescent="0.25">
      <c r="AH686" s="118"/>
      <c r="AI686" s="120"/>
    </row>
    <row r="687" spans="34:35" ht="17.100000000000001" customHeight="1" x14ac:dyDescent="0.25">
      <c r="AH687" s="118"/>
      <c r="AI687" s="120"/>
    </row>
    <row r="688" spans="34:35" ht="17.100000000000001" customHeight="1" x14ac:dyDescent="0.25">
      <c r="AH688" s="118"/>
      <c r="AI688" s="120"/>
    </row>
    <row r="689" spans="34:35" ht="17.100000000000001" customHeight="1" x14ac:dyDescent="0.25">
      <c r="AH689" s="118"/>
      <c r="AI689" s="120"/>
    </row>
    <row r="690" spans="34:35" ht="17.100000000000001" customHeight="1" x14ac:dyDescent="0.25">
      <c r="AH690" s="118"/>
      <c r="AI690" s="120"/>
    </row>
    <row r="691" spans="34:35" ht="17.100000000000001" customHeight="1" x14ac:dyDescent="0.25">
      <c r="AH691" s="118"/>
      <c r="AI691" s="120"/>
    </row>
    <row r="692" spans="34:35" ht="17.100000000000001" customHeight="1" x14ac:dyDescent="0.25">
      <c r="AH692" s="118"/>
      <c r="AI692" s="120"/>
    </row>
    <row r="693" spans="34:35" ht="17.100000000000001" customHeight="1" x14ac:dyDescent="0.25">
      <c r="AH693" s="118"/>
      <c r="AI693" s="120"/>
    </row>
    <row r="694" spans="34:35" ht="17.100000000000001" customHeight="1" x14ac:dyDescent="0.25">
      <c r="AH694" s="118"/>
      <c r="AI694" s="120"/>
    </row>
    <row r="695" spans="34:35" ht="17.100000000000001" customHeight="1" x14ac:dyDescent="0.25">
      <c r="AH695" s="118"/>
      <c r="AI695" s="120"/>
    </row>
    <row r="696" spans="34:35" ht="17.100000000000001" customHeight="1" x14ac:dyDescent="0.25">
      <c r="AH696" s="118"/>
      <c r="AI696" s="120"/>
    </row>
    <row r="697" spans="34:35" ht="17.100000000000001" customHeight="1" x14ac:dyDescent="0.25">
      <c r="AH697" s="118"/>
      <c r="AI697" s="120"/>
    </row>
    <row r="698" spans="34:35" ht="17.100000000000001" customHeight="1" x14ac:dyDescent="0.25">
      <c r="AH698" s="118"/>
      <c r="AI698" s="120"/>
    </row>
    <row r="699" spans="34:35" ht="17.100000000000001" customHeight="1" x14ac:dyDescent="0.25">
      <c r="AH699" s="118"/>
      <c r="AI699" s="120"/>
    </row>
    <row r="700" spans="34:35" ht="17.100000000000001" customHeight="1" x14ac:dyDescent="0.25">
      <c r="AH700" s="118"/>
      <c r="AI700" s="120"/>
    </row>
    <row r="701" spans="34:35" ht="17.100000000000001" customHeight="1" x14ac:dyDescent="0.25">
      <c r="AH701" s="118"/>
      <c r="AI701" s="120"/>
    </row>
    <row r="702" spans="34:35" ht="17.100000000000001" customHeight="1" x14ac:dyDescent="0.25">
      <c r="AH702" s="118"/>
      <c r="AI702" s="120"/>
    </row>
    <row r="703" spans="34:35" ht="17.100000000000001" customHeight="1" x14ac:dyDescent="0.25">
      <c r="AH703" s="118"/>
      <c r="AI703" s="120"/>
    </row>
    <row r="704" spans="34:35" ht="17.100000000000001" customHeight="1" x14ac:dyDescent="0.25">
      <c r="AH704" s="118"/>
      <c r="AI704" s="120"/>
    </row>
    <row r="705" spans="34:35" ht="17.100000000000001" customHeight="1" x14ac:dyDescent="0.25">
      <c r="AH705" s="118"/>
      <c r="AI705" s="120"/>
    </row>
    <row r="706" spans="34:35" ht="17.100000000000001" customHeight="1" x14ac:dyDescent="0.25">
      <c r="AH706" s="118"/>
      <c r="AI706" s="120"/>
    </row>
    <row r="707" spans="34:35" ht="17.100000000000001" customHeight="1" x14ac:dyDescent="0.25">
      <c r="AH707" s="118"/>
      <c r="AI707" s="120"/>
    </row>
    <row r="708" spans="34:35" ht="17.100000000000001" customHeight="1" x14ac:dyDescent="0.25">
      <c r="AH708" s="118"/>
      <c r="AI708" s="120"/>
    </row>
    <row r="709" spans="34:35" ht="17.100000000000001" customHeight="1" x14ac:dyDescent="0.25">
      <c r="AH709" s="118"/>
      <c r="AI709" s="120"/>
    </row>
    <row r="710" spans="34:35" ht="17.100000000000001" customHeight="1" x14ac:dyDescent="0.25">
      <c r="AH710" s="118"/>
      <c r="AI710" s="120"/>
    </row>
    <row r="711" spans="34:35" ht="17.100000000000001" customHeight="1" x14ac:dyDescent="0.25">
      <c r="AH711" s="118"/>
      <c r="AI711" s="120"/>
    </row>
    <row r="712" spans="34:35" ht="17.100000000000001" customHeight="1" x14ac:dyDescent="0.25">
      <c r="AH712" s="118"/>
      <c r="AI712" s="120"/>
    </row>
    <row r="713" spans="34:35" ht="17.100000000000001" customHeight="1" x14ac:dyDescent="0.25">
      <c r="AH713" s="118"/>
      <c r="AI713" s="120"/>
    </row>
    <row r="714" spans="34:35" ht="17.100000000000001" customHeight="1" x14ac:dyDescent="0.25">
      <c r="AH714" s="118"/>
      <c r="AI714" s="120"/>
    </row>
    <row r="715" spans="34:35" ht="17.100000000000001" customHeight="1" x14ac:dyDescent="0.25">
      <c r="AH715" s="118"/>
      <c r="AI715" s="120"/>
    </row>
    <row r="716" spans="34:35" ht="17.100000000000001" customHeight="1" x14ac:dyDescent="0.25">
      <c r="AH716" s="118"/>
      <c r="AI716" s="120"/>
    </row>
    <row r="717" spans="34:35" ht="17.100000000000001" customHeight="1" x14ac:dyDescent="0.25">
      <c r="AH717" s="118"/>
      <c r="AI717" s="120"/>
    </row>
    <row r="718" spans="34:35" ht="17.100000000000001" customHeight="1" x14ac:dyDescent="0.25">
      <c r="AH718" s="118"/>
      <c r="AI718" s="120"/>
    </row>
    <row r="719" spans="34:35" ht="17.100000000000001" customHeight="1" x14ac:dyDescent="0.25">
      <c r="AH719" s="118"/>
      <c r="AI719" s="120"/>
    </row>
    <row r="720" spans="34:35" ht="17.100000000000001" customHeight="1" x14ac:dyDescent="0.25">
      <c r="AH720" s="118"/>
      <c r="AI720" s="120"/>
    </row>
    <row r="721" spans="34:35" ht="17.100000000000001" customHeight="1" x14ac:dyDescent="0.25">
      <c r="AH721" s="118"/>
      <c r="AI721" s="120"/>
    </row>
    <row r="722" spans="34:35" ht="17.100000000000001" customHeight="1" x14ac:dyDescent="0.25">
      <c r="AH722" s="118"/>
      <c r="AI722" s="120"/>
    </row>
    <row r="723" spans="34:35" ht="17.100000000000001" customHeight="1" x14ac:dyDescent="0.25">
      <c r="AH723" s="118"/>
      <c r="AI723" s="120"/>
    </row>
    <row r="724" spans="34:35" ht="17.100000000000001" customHeight="1" x14ac:dyDescent="0.25">
      <c r="AH724" s="118"/>
      <c r="AI724" s="120"/>
    </row>
    <row r="725" spans="34:35" ht="17.100000000000001" customHeight="1" x14ac:dyDescent="0.25">
      <c r="AH725" s="118"/>
      <c r="AI725" s="120"/>
    </row>
    <row r="726" spans="34:35" ht="17.100000000000001" customHeight="1" x14ac:dyDescent="0.25">
      <c r="AH726" s="118"/>
      <c r="AI726" s="120"/>
    </row>
    <row r="727" spans="34:35" ht="17.100000000000001" customHeight="1" x14ac:dyDescent="0.25">
      <c r="AH727" s="118"/>
      <c r="AI727" s="120"/>
    </row>
    <row r="728" spans="34:35" ht="17.100000000000001" customHeight="1" x14ac:dyDescent="0.25">
      <c r="AH728" s="118"/>
      <c r="AI728" s="120"/>
    </row>
    <row r="729" spans="34:35" ht="17.100000000000001" customHeight="1" x14ac:dyDescent="0.25">
      <c r="AH729" s="118"/>
      <c r="AI729" s="120"/>
    </row>
    <row r="730" spans="34:35" ht="17.100000000000001" customHeight="1" x14ac:dyDescent="0.25">
      <c r="AH730" s="118"/>
      <c r="AI730" s="120"/>
    </row>
    <row r="731" spans="34:35" ht="17.100000000000001" customHeight="1" x14ac:dyDescent="0.25">
      <c r="AH731" s="118"/>
      <c r="AI731" s="120"/>
    </row>
    <row r="732" spans="34:35" ht="17.100000000000001" customHeight="1" x14ac:dyDescent="0.25">
      <c r="AH732" s="118"/>
      <c r="AI732" s="120"/>
    </row>
    <row r="733" spans="34:35" ht="17.100000000000001" customHeight="1" x14ac:dyDescent="0.25">
      <c r="AH733" s="118"/>
      <c r="AI733" s="120"/>
    </row>
    <row r="734" spans="34:35" ht="17.100000000000001" customHeight="1" x14ac:dyDescent="0.25">
      <c r="AH734" s="118"/>
      <c r="AI734" s="120"/>
    </row>
    <row r="735" spans="34:35" ht="17.100000000000001" customHeight="1" x14ac:dyDescent="0.25">
      <c r="AH735" s="118"/>
      <c r="AI735" s="120"/>
    </row>
    <row r="736" spans="34:35" ht="17.100000000000001" customHeight="1" x14ac:dyDescent="0.25">
      <c r="AH736" s="118"/>
      <c r="AI736" s="120"/>
    </row>
    <row r="737" spans="34:35" ht="17.100000000000001" customHeight="1" x14ac:dyDescent="0.25">
      <c r="AH737" s="118"/>
      <c r="AI737" s="120"/>
    </row>
    <row r="738" spans="34:35" ht="17.100000000000001" customHeight="1" x14ac:dyDescent="0.25">
      <c r="AH738" s="118"/>
      <c r="AI738" s="120"/>
    </row>
    <row r="739" spans="34:35" ht="17.100000000000001" customHeight="1" x14ac:dyDescent="0.25">
      <c r="AH739" s="118"/>
      <c r="AI739" s="120"/>
    </row>
    <row r="740" spans="34:35" ht="17.100000000000001" customHeight="1" x14ac:dyDescent="0.25">
      <c r="AH740" s="118"/>
      <c r="AI740" s="120"/>
    </row>
    <row r="741" spans="34:35" ht="17.100000000000001" customHeight="1" x14ac:dyDescent="0.25">
      <c r="AH741" s="118"/>
      <c r="AI741" s="120"/>
    </row>
    <row r="742" spans="34:35" ht="17.100000000000001" customHeight="1" x14ac:dyDescent="0.25">
      <c r="AH742" s="118"/>
      <c r="AI742" s="120"/>
    </row>
    <row r="743" spans="34:35" ht="17.100000000000001" customHeight="1" x14ac:dyDescent="0.25">
      <c r="AH743" s="118"/>
      <c r="AI743" s="120"/>
    </row>
    <row r="744" spans="34:35" ht="17.100000000000001" customHeight="1" x14ac:dyDescent="0.25">
      <c r="AH744" s="118"/>
      <c r="AI744" s="120"/>
    </row>
    <row r="745" spans="34:35" ht="17.100000000000001" customHeight="1" x14ac:dyDescent="0.25">
      <c r="AH745" s="118"/>
      <c r="AI745" s="120"/>
    </row>
    <row r="746" spans="34:35" ht="17.100000000000001" customHeight="1" x14ac:dyDescent="0.25">
      <c r="AH746" s="118"/>
      <c r="AI746" s="120"/>
    </row>
    <row r="747" spans="34:35" ht="17.100000000000001" customHeight="1" x14ac:dyDescent="0.25">
      <c r="AH747" s="118"/>
      <c r="AI747" s="120"/>
    </row>
    <row r="748" spans="34:35" ht="17.100000000000001" customHeight="1" x14ac:dyDescent="0.25">
      <c r="AH748" s="118"/>
      <c r="AI748" s="120"/>
    </row>
    <row r="749" spans="34:35" ht="17.100000000000001" customHeight="1" x14ac:dyDescent="0.25">
      <c r="AH749" s="118"/>
      <c r="AI749" s="120"/>
    </row>
    <row r="750" spans="34:35" ht="17.100000000000001" customHeight="1" x14ac:dyDescent="0.25">
      <c r="AH750" s="118"/>
      <c r="AI750" s="120"/>
    </row>
    <row r="751" spans="34:35" ht="17.100000000000001" customHeight="1" x14ac:dyDescent="0.25">
      <c r="AH751" s="118"/>
      <c r="AI751" s="120"/>
    </row>
    <row r="752" spans="34:35" ht="17.100000000000001" customHeight="1" x14ac:dyDescent="0.25">
      <c r="AH752" s="118"/>
      <c r="AI752" s="120"/>
    </row>
    <row r="753" spans="34:35" ht="17.100000000000001" customHeight="1" x14ac:dyDescent="0.25">
      <c r="AH753" s="118"/>
      <c r="AI753" s="120"/>
    </row>
    <row r="754" spans="34:35" ht="17.100000000000001" customHeight="1" x14ac:dyDescent="0.25">
      <c r="AH754" s="118"/>
      <c r="AI754" s="120"/>
    </row>
    <row r="755" spans="34:35" ht="17.100000000000001" customHeight="1" x14ac:dyDescent="0.25">
      <c r="AH755" s="118"/>
      <c r="AI755" s="120"/>
    </row>
    <row r="756" spans="34:35" ht="17.100000000000001" customHeight="1" x14ac:dyDescent="0.25">
      <c r="AH756" s="118"/>
      <c r="AI756" s="120"/>
    </row>
    <row r="757" spans="34:35" ht="17.100000000000001" customHeight="1" x14ac:dyDescent="0.25">
      <c r="AH757" s="118"/>
      <c r="AI757" s="120"/>
    </row>
    <row r="758" spans="34:35" ht="17.100000000000001" customHeight="1" x14ac:dyDescent="0.25">
      <c r="AH758" s="118"/>
      <c r="AI758" s="120"/>
    </row>
    <row r="759" spans="34:35" ht="17.100000000000001" customHeight="1" x14ac:dyDescent="0.25">
      <c r="AH759" s="118"/>
      <c r="AI759" s="120"/>
    </row>
    <row r="760" spans="34:35" ht="17.100000000000001" customHeight="1" x14ac:dyDescent="0.25">
      <c r="AH760" s="118"/>
      <c r="AI760" s="120"/>
    </row>
    <row r="761" spans="34:35" ht="17.100000000000001" customHeight="1" x14ac:dyDescent="0.25">
      <c r="AH761" s="118"/>
      <c r="AI761" s="120"/>
    </row>
    <row r="762" spans="34:35" ht="17.100000000000001" customHeight="1" x14ac:dyDescent="0.25">
      <c r="AH762" s="118"/>
      <c r="AI762" s="120"/>
    </row>
    <row r="763" spans="34:35" ht="17.100000000000001" customHeight="1" x14ac:dyDescent="0.25">
      <c r="AH763" s="118"/>
      <c r="AI763" s="120"/>
    </row>
    <row r="764" spans="34:35" ht="17.100000000000001" customHeight="1" x14ac:dyDescent="0.25">
      <c r="AH764" s="118"/>
      <c r="AI764" s="120"/>
    </row>
    <row r="765" spans="34:35" ht="17.100000000000001" customHeight="1" x14ac:dyDescent="0.25">
      <c r="AH765" s="118"/>
      <c r="AI765" s="120"/>
    </row>
    <row r="766" spans="34:35" ht="17.100000000000001" customHeight="1" x14ac:dyDescent="0.25">
      <c r="AH766" s="118"/>
      <c r="AI766" s="120"/>
    </row>
    <row r="767" spans="34:35" ht="17.100000000000001" customHeight="1" x14ac:dyDescent="0.25">
      <c r="AH767" s="118"/>
      <c r="AI767" s="120"/>
    </row>
    <row r="768" spans="34:35" ht="17.100000000000001" customHeight="1" x14ac:dyDescent="0.25">
      <c r="AH768" s="118"/>
      <c r="AI768" s="120"/>
    </row>
    <row r="769" spans="34:35" ht="17.100000000000001" customHeight="1" x14ac:dyDescent="0.25">
      <c r="AH769" s="118"/>
      <c r="AI769" s="120"/>
    </row>
    <row r="770" spans="34:35" ht="17.100000000000001" customHeight="1" x14ac:dyDescent="0.25">
      <c r="AH770" s="118"/>
      <c r="AI770" s="120"/>
    </row>
    <row r="771" spans="34:35" ht="17.100000000000001" customHeight="1" x14ac:dyDescent="0.25">
      <c r="AH771" s="118"/>
      <c r="AI771" s="120"/>
    </row>
    <row r="772" spans="34:35" ht="17.100000000000001" customHeight="1" x14ac:dyDescent="0.25">
      <c r="AH772" s="118"/>
      <c r="AI772" s="120"/>
    </row>
    <row r="773" spans="34:35" ht="17.100000000000001" customHeight="1" x14ac:dyDescent="0.25">
      <c r="AH773" s="118"/>
      <c r="AI773" s="120"/>
    </row>
    <row r="774" spans="34:35" ht="17.100000000000001" customHeight="1" x14ac:dyDescent="0.25">
      <c r="AH774" s="118"/>
      <c r="AI774" s="120"/>
    </row>
    <row r="775" spans="34:35" ht="17.100000000000001" customHeight="1" x14ac:dyDescent="0.25">
      <c r="AH775" s="118"/>
      <c r="AI775" s="120"/>
    </row>
    <row r="776" spans="34:35" ht="17.100000000000001" customHeight="1" x14ac:dyDescent="0.25">
      <c r="AH776" s="118"/>
      <c r="AI776" s="120"/>
    </row>
    <row r="777" spans="34:35" ht="17.100000000000001" customHeight="1" x14ac:dyDescent="0.25">
      <c r="AH777" s="118"/>
      <c r="AI777" s="120"/>
    </row>
    <row r="778" spans="34:35" ht="17.100000000000001" customHeight="1" x14ac:dyDescent="0.25">
      <c r="AH778" s="118"/>
      <c r="AI778" s="120"/>
    </row>
    <row r="779" spans="34:35" ht="17.100000000000001" customHeight="1" x14ac:dyDescent="0.25">
      <c r="AH779" s="118"/>
      <c r="AI779" s="120"/>
    </row>
    <row r="780" spans="34:35" ht="17.100000000000001" customHeight="1" x14ac:dyDescent="0.25">
      <c r="AH780" s="118"/>
      <c r="AI780" s="120"/>
    </row>
    <row r="781" spans="34:35" ht="17.100000000000001" customHeight="1" x14ac:dyDescent="0.25">
      <c r="AH781" s="118"/>
      <c r="AI781" s="120"/>
    </row>
    <row r="782" spans="34:35" ht="17.100000000000001" customHeight="1" x14ac:dyDescent="0.25">
      <c r="AH782" s="118"/>
      <c r="AI782" s="120"/>
    </row>
    <row r="783" spans="34:35" ht="17.100000000000001" customHeight="1" x14ac:dyDescent="0.25">
      <c r="AH783" s="118"/>
      <c r="AI783" s="120"/>
    </row>
    <row r="784" spans="34:35" ht="17.100000000000001" customHeight="1" x14ac:dyDescent="0.25">
      <c r="AH784" s="118"/>
      <c r="AI784" s="120"/>
    </row>
    <row r="785" spans="34:35" ht="17.100000000000001" customHeight="1" x14ac:dyDescent="0.25">
      <c r="AH785" s="118"/>
      <c r="AI785" s="120"/>
    </row>
    <row r="786" spans="34:35" ht="17.100000000000001" customHeight="1" x14ac:dyDescent="0.25">
      <c r="AH786" s="118"/>
      <c r="AI786" s="120"/>
    </row>
    <row r="787" spans="34:35" ht="17.100000000000001" customHeight="1" x14ac:dyDescent="0.25">
      <c r="AH787" s="118"/>
      <c r="AI787" s="120"/>
    </row>
    <row r="788" spans="34:35" ht="17.100000000000001" customHeight="1" x14ac:dyDescent="0.25">
      <c r="AH788" s="118"/>
      <c r="AI788" s="120"/>
    </row>
    <row r="789" spans="34:35" ht="17.100000000000001" customHeight="1" x14ac:dyDescent="0.25">
      <c r="AH789" s="118"/>
      <c r="AI789" s="120"/>
    </row>
    <row r="790" spans="34:35" ht="17.100000000000001" customHeight="1" x14ac:dyDescent="0.25">
      <c r="AH790" s="118"/>
      <c r="AI790" s="120"/>
    </row>
    <row r="791" spans="34:35" ht="17.100000000000001" customHeight="1" x14ac:dyDescent="0.25">
      <c r="AH791" s="118"/>
      <c r="AI791" s="120"/>
    </row>
    <row r="792" spans="34:35" ht="17.100000000000001" customHeight="1" x14ac:dyDescent="0.25">
      <c r="AH792" s="118"/>
      <c r="AI792" s="120"/>
    </row>
    <row r="793" spans="34:35" ht="17.100000000000001" customHeight="1" x14ac:dyDescent="0.25">
      <c r="AH793" s="118"/>
      <c r="AI793" s="120"/>
    </row>
    <row r="794" spans="34:35" ht="17.100000000000001" customHeight="1" x14ac:dyDescent="0.25">
      <c r="AH794" s="118"/>
      <c r="AI794" s="120"/>
    </row>
    <row r="795" spans="34:35" ht="17.100000000000001" customHeight="1" x14ac:dyDescent="0.25">
      <c r="AH795" s="118"/>
      <c r="AI795" s="120"/>
    </row>
    <row r="796" spans="34:35" ht="17.100000000000001" customHeight="1" x14ac:dyDescent="0.25">
      <c r="AH796" s="118"/>
      <c r="AI796" s="120"/>
    </row>
    <row r="797" spans="34:35" ht="17.100000000000001" customHeight="1" x14ac:dyDescent="0.25">
      <c r="AH797" s="118"/>
      <c r="AI797" s="120"/>
    </row>
    <row r="798" spans="34:35" ht="17.100000000000001" customHeight="1" x14ac:dyDescent="0.25">
      <c r="AH798" s="118"/>
      <c r="AI798" s="120"/>
    </row>
    <row r="799" spans="34:35" ht="17.100000000000001" customHeight="1" x14ac:dyDescent="0.25">
      <c r="AH799" s="118"/>
      <c r="AI799" s="120"/>
    </row>
    <row r="800" spans="34:35" ht="17.100000000000001" customHeight="1" x14ac:dyDescent="0.25">
      <c r="AH800" s="118"/>
      <c r="AI800" s="120"/>
    </row>
    <row r="801" spans="34:35" ht="17.100000000000001" customHeight="1" x14ac:dyDescent="0.25">
      <c r="AH801" s="118"/>
      <c r="AI801" s="120"/>
    </row>
    <row r="802" spans="34:35" ht="17.100000000000001" customHeight="1" x14ac:dyDescent="0.25">
      <c r="AH802" s="118"/>
      <c r="AI802" s="120"/>
    </row>
    <row r="803" spans="34:35" ht="17.100000000000001" customHeight="1" x14ac:dyDescent="0.25">
      <c r="AH803" s="118"/>
      <c r="AI803" s="120"/>
    </row>
    <row r="804" spans="34:35" ht="17.100000000000001" customHeight="1" x14ac:dyDescent="0.25">
      <c r="AH804" s="118"/>
      <c r="AI804" s="120"/>
    </row>
    <row r="805" spans="34:35" ht="17.100000000000001" customHeight="1" x14ac:dyDescent="0.25">
      <c r="AH805" s="118"/>
      <c r="AI805" s="120"/>
    </row>
    <row r="806" spans="34:35" ht="17.100000000000001" customHeight="1" x14ac:dyDescent="0.25">
      <c r="AH806" s="118"/>
      <c r="AI806" s="120"/>
    </row>
    <row r="807" spans="34:35" ht="17.100000000000001" customHeight="1" x14ac:dyDescent="0.25">
      <c r="AH807" s="118"/>
      <c r="AI807" s="120"/>
    </row>
    <row r="808" spans="34:35" ht="17.100000000000001" customHeight="1" x14ac:dyDescent="0.25">
      <c r="AH808" s="118"/>
      <c r="AI808" s="120"/>
    </row>
    <row r="809" spans="34:35" ht="17.100000000000001" customHeight="1" x14ac:dyDescent="0.25">
      <c r="AH809" s="118"/>
      <c r="AI809" s="120"/>
    </row>
    <row r="810" spans="34:35" ht="17.100000000000001" customHeight="1" x14ac:dyDescent="0.25">
      <c r="AH810" s="118"/>
      <c r="AI810" s="120"/>
    </row>
    <row r="811" spans="34:35" ht="17.100000000000001" customHeight="1" x14ac:dyDescent="0.25">
      <c r="AH811" s="118"/>
      <c r="AI811" s="120"/>
    </row>
    <row r="812" spans="34:35" ht="17.100000000000001" customHeight="1" x14ac:dyDescent="0.25">
      <c r="AH812" s="118"/>
      <c r="AI812" s="120"/>
    </row>
    <row r="813" spans="34:35" ht="17.100000000000001" customHeight="1" x14ac:dyDescent="0.25">
      <c r="AH813" s="118"/>
      <c r="AI813" s="120"/>
    </row>
    <row r="814" spans="34:35" ht="17.100000000000001" customHeight="1" x14ac:dyDescent="0.25">
      <c r="AH814" s="118"/>
      <c r="AI814" s="120"/>
    </row>
    <row r="815" spans="34:35" ht="17.100000000000001" customHeight="1" x14ac:dyDescent="0.25">
      <c r="AH815" s="118"/>
      <c r="AI815" s="120"/>
    </row>
    <row r="816" spans="34:35" ht="17.100000000000001" customHeight="1" x14ac:dyDescent="0.25">
      <c r="AH816" s="118"/>
      <c r="AI816" s="120"/>
    </row>
    <row r="817" spans="34:35" ht="17.100000000000001" customHeight="1" x14ac:dyDescent="0.25">
      <c r="AH817" s="118"/>
      <c r="AI817" s="120"/>
    </row>
    <row r="818" spans="34:35" ht="17.100000000000001" customHeight="1" x14ac:dyDescent="0.25">
      <c r="AH818" s="118"/>
      <c r="AI818" s="120"/>
    </row>
    <row r="819" spans="34:35" ht="17.100000000000001" customHeight="1" x14ac:dyDescent="0.25">
      <c r="AH819" s="118"/>
      <c r="AI819" s="120"/>
    </row>
    <row r="820" spans="34:35" ht="17.100000000000001" customHeight="1" x14ac:dyDescent="0.25">
      <c r="AH820" s="118"/>
      <c r="AI820" s="120"/>
    </row>
    <row r="821" spans="34:35" ht="17.100000000000001" customHeight="1" x14ac:dyDescent="0.25">
      <c r="AH821" s="118"/>
      <c r="AI821" s="120"/>
    </row>
    <row r="822" spans="34:35" ht="17.100000000000001" customHeight="1" x14ac:dyDescent="0.25">
      <c r="AH822" s="118"/>
      <c r="AI822" s="120"/>
    </row>
    <row r="823" spans="34:35" ht="17.100000000000001" customHeight="1" x14ac:dyDescent="0.25">
      <c r="AH823" s="118"/>
      <c r="AI823" s="120"/>
    </row>
    <row r="824" spans="34:35" ht="17.100000000000001" customHeight="1" x14ac:dyDescent="0.25">
      <c r="AH824" s="118"/>
      <c r="AI824" s="120"/>
    </row>
    <row r="825" spans="34:35" ht="17.100000000000001" customHeight="1" x14ac:dyDescent="0.25">
      <c r="AH825" s="118"/>
      <c r="AI825" s="120"/>
    </row>
    <row r="826" spans="34:35" ht="17.100000000000001" customHeight="1" x14ac:dyDescent="0.25">
      <c r="AH826" s="118"/>
      <c r="AI826" s="120"/>
    </row>
    <row r="827" spans="34:35" ht="17.100000000000001" customHeight="1" x14ac:dyDescent="0.25">
      <c r="AH827" s="118"/>
      <c r="AI827" s="120"/>
    </row>
    <row r="828" spans="34:35" ht="17.100000000000001" customHeight="1" x14ac:dyDescent="0.25">
      <c r="AH828" s="118"/>
      <c r="AI828" s="120"/>
    </row>
    <row r="829" spans="34:35" ht="17.100000000000001" customHeight="1" x14ac:dyDescent="0.25">
      <c r="AH829" s="118"/>
      <c r="AI829" s="120"/>
    </row>
    <row r="830" spans="34:35" ht="17.100000000000001" customHeight="1" x14ac:dyDescent="0.25">
      <c r="AH830" s="118"/>
      <c r="AI830" s="120"/>
    </row>
    <row r="831" spans="34:35" ht="17.100000000000001" customHeight="1" x14ac:dyDescent="0.25">
      <c r="AH831" s="118"/>
      <c r="AI831" s="120"/>
    </row>
    <row r="832" spans="34:35" ht="17.100000000000001" customHeight="1" x14ac:dyDescent="0.25">
      <c r="AH832" s="118"/>
      <c r="AI832" s="120"/>
    </row>
    <row r="833" spans="34:35" ht="17.100000000000001" customHeight="1" x14ac:dyDescent="0.25">
      <c r="AH833" s="118"/>
      <c r="AI833" s="120"/>
    </row>
    <row r="834" spans="34:35" ht="17.100000000000001" customHeight="1" x14ac:dyDescent="0.25">
      <c r="AH834" s="118"/>
      <c r="AI834" s="120"/>
    </row>
    <row r="835" spans="34:35" ht="17.100000000000001" customHeight="1" x14ac:dyDescent="0.25">
      <c r="AH835" s="118"/>
      <c r="AI835" s="120"/>
    </row>
    <row r="836" spans="34:35" ht="17.100000000000001" customHeight="1" x14ac:dyDescent="0.25">
      <c r="AH836" s="118"/>
      <c r="AI836" s="120"/>
    </row>
    <row r="837" spans="34:35" ht="17.100000000000001" customHeight="1" x14ac:dyDescent="0.25">
      <c r="AH837" s="118"/>
      <c r="AI837" s="120"/>
    </row>
    <row r="838" spans="34:35" ht="17.100000000000001" customHeight="1" x14ac:dyDescent="0.25">
      <c r="AH838" s="118"/>
      <c r="AI838" s="120"/>
    </row>
    <row r="839" spans="34:35" ht="17.100000000000001" customHeight="1" x14ac:dyDescent="0.25">
      <c r="AH839" s="118"/>
      <c r="AI839" s="120"/>
    </row>
    <row r="840" spans="34:35" ht="17.100000000000001" customHeight="1" x14ac:dyDescent="0.25">
      <c r="AH840" s="118"/>
      <c r="AI840" s="120"/>
    </row>
    <row r="841" spans="34:35" ht="17.100000000000001" customHeight="1" x14ac:dyDescent="0.25">
      <c r="AH841" s="118"/>
      <c r="AI841" s="120"/>
    </row>
    <row r="842" spans="34:35" ht="17.100000000000001" customHeight="1" x14ac:dyDescent="0.25">
      <c r="AH842" s="118"/>
      <c r="AI842" s="120"/>
    </row>
    <row r="843" spans="34:35" ht="17.100000000000001" customHeight="1" x14ac:dyDescent="0.25">
      <c r="AH843" s="118"/>
      <c r="AI843" s="120"/>
    </row>
    <row r="844" spans="34:35" ht="17.100000000000001" customHeight="1" x14ac:dyDescent="0.25">
      <c r="AH844" s="118"/>
      <c r="AI844" s="120"/>
    </row>
    <row r="845" spans="34:35" ht="17.100000000000001" customHeight="1" x14ac:dyDescent="0.25">
      <c r="AH845" s="118"/>
      <c r="AI845" s="120"/>
    </row>
    <row r="846" spans="34:35" ht="17.100000000000001" customHeight="1" x14ac:dyDescent="0.25">
      <c r="AH846" s="118"/>
      <c r="AI846" s="120"/>
    </row>
    <row r="847" spans="34:35" ht="17.100000000000001" customHeight="1" x14ac:dyDescent="0.25">
      <c r="AH847" s="118"/>
      <c r="AI847" s="120"/>
    </row>
    <row r="848" spans="34:35" ht="17.100000000000001" customHeight="1" x14ac:dyDescent="0.25">
      <c r="AH848" s="118"/>
      <c r="AI848" s="120"/>
    </row>
    <row r="849" spans="34:35" ht="17.100000000000001" customHeight="1" x14ac:dyDescent="0.25">
      <c r="AH849" s="118"/>
      <c r="AI849" s="120"/>
    </row>
    <row r="850" spans="34:35" ht="17.100000000000001" customHeight="1" x14ac:dyDescent="0.25">
      <c r="AH850" s="118"/>
      <c r="AI850" s="120"/>
    </row>
    <row r="851" spans="34:35" ht="17.100000000000001" customHeight="1" x14ac:dyDescent="0.25">
      <c r="AH851" s="118"/>
      <c r="AI851" s="120"/>
    </row>
    <row r="852" spans="34:35" ht="17.100000000000001" customHeight="1" x14ac:dyDescent="0.25">
      <c r="AH852" s="118"/>
      <c r="AI852" s="120"/>
    </row>
    <row r="853" spans="34:35" ht="17.100000000000001" customHeight="1" x14ac:dyDescent="0.25">
      <c r="AH853" s="118"/>
      <c r="AI853" s="120"/>
    </row>
    <row r="854" spans="34:35" ht="17.100000000000001" customHeight="1" x14ac:dyDescent="0.25">
      <c r="AH854" s="118"/>
      <c r="AI854" s="120"/>
    </row>
    <row r="855" spans="34:35" ht="17.100000000000001" customHeight="1" x14ac:dyDescent="0.25">
      <c r="AH855" s="118"/>
      <c r="AI855" s="120"/>
    </row>
    <row r="856" spans="34:35" ht="17.100000000000001" customHeight="1" x14ac:dyDescent="0.25">
      <c r="AH856" s="118"/>
      <c r="AI856" s="120"/>
    </row>
    <row r="857" spans="34:35" ht="17.100000000000001" customHeight="1" x14ac:dyDescent="0.25">
      <c r="AH857" s="118"/>
      <c r="AI857" s="120"/>
    </row>
    <row r="858" spans="34:35" ht="17.100000000000001" customHeight="1" x14ac:dyDescent="0.25">
      <c r="AH858" s="118"/>
      <c r="AI858" s="120"/>
    </row>
    <row r="859" spans="34:35" ht="17.100000000000001" customHeight="1" x14ac:dyDescent="0.25">
      <c r="AH859" s="118"/>
      <c r="AI859" s="120"/>
    </row>
    <row r="860" spans="34:35" ht="17.100000000000001" customHeight="1" x14ac:dyDescent="0.25">
      <c r="AH860" s="118"/>
      <c r="AI860" s="120"/>
    </row>
    <row r="861" spans="34:35" ht="17.100000000000001" customHeight="1" x14ac:dyDescent="0.25">
      <c r="AH861" s="118"/>
      <c r="AI861" s="120"/>
    </row>
    <row r="862" spans="34:35" ht="17.100000000000001" customHeight="1" x14ac:dyDescent="0.25">
      <c r="AH862" s="118"/>
      <c r="AI862" s="120"/>
    </row>
    <row r="863" spans="34:35" ht="17.100000000000001" customHeight="1" x14ac:dyDescent="0.25">
      <c r="AH863" s="118"/>
      <c r="AI863" s="120"/>
    </row>
    <row r="864" spans="34:35" ht="17.100000000000001" customHeight="1" x14ac:dyDescent="0.25">
      <c r="AH864" s="118"/>
      <c r="AI864" s="120"/>
    </row>
    <row r="865" spans="34:35" ht="17.100000000000001" customHeight="1" x14ac:dyDescent="0.25">
      <c r="AH865" s="118"/>
      <c r="AI865" s="120"/>
    </row>
    <row r="866" spans="34:35" ht="17.100000000000001" customHeight="1" x14ac:dyDescent="0.25">
      <c r="AH866" s="118"/>
      <c r="AI866" s="120"/>
    </row>
    <row r="867" spans="34:35" ht="17.100000000000001" customHeight="1" x14ac:dyDescent="0.25">
      <c r="AH867" s="118"/>
      <c r="AI867" s="120"/>
    </row>
    <row r="868" spans="34:35" ht="17.100000000000001" customHeight="1" x14ac:dyDescent="0.25">
      <c r="AH868" s="118"/>
      <c r="AI868" s="120"/>
    </row>
    <row r="869" spans="34:35" ht="17.100000000000001" customHeight="1" x14ac:dyDescent="0.25">
      <c r="AH869" s="118"/>
      <c r="AI869" s="120"/>
    </row>
    <row r="870" spans="34:35" ht="17.100000000000001" customHeight="1" x14ac:dyDescent="0.25">
      <c r="AH870" s="118"/>
      <c r="AI870" s="120"/>
    </row>
    <row r="871" spans="34:35" ht="17.100000000000001" customHeight="1" x14ac:dyDescent="0.25">
      <c r="AH871" s="118"/>
      <c r="AI871" s="120"/>
    </row>
    <row r="872" spans="34:35" ht="17.100000000000001" customHeight="1" x14ac:dyDescent="0.25">
      <c r="AH872" s="118"/>
      <c r="AI872" s="120"/>
    </row>
    <row r="873" spans="34:35" ht="17.100000000000001" customHeight="1" x14ac:dyDescent="0.25">
      <c r="AH873" s="118"/>
      <c r="AI873" s="120"/>
    </row>
    <row r="874" spans="34:35" ht="17.100000000000001" customHeight="1" x14ac:dyDescent="0.25">
      <c r="AH874" s="118"/>
      <c r="AI874" s="120"/>
    </row>
    <row r="875" spans="34:35" ht="17.100000000000001" customHeight="1" x14ac:dyDescent="0.25">
      <c r="AH875" s="118"/>
      <c r="AI875" s="120"/>
    </row>
    <row r="876" spans="34:35" ht="17.100000000000001" customHeight="1" x14ac:dyDescent="0.25">
      <c r="AH876" s="118"/>
      <c r="AI876" s="120"/>
    </row>
    <row r="877" spans="34:35" ht="17.100000000000001" customHeight="1" x14ac:dyDescent="0.25">
      <c r="AH877" s="118"/>
      <c r="AI877" s="120"/>
    </row>
    <row r="878" spans="34:35" ht="17.100000000000001" customHeight="1" x14ac:dyDescent="0.25">
      <c r="AH878" s="118"/>
      <c r="AI878" s="120"/>
    </row>
    <row r="879" spans="34:35" ht="17.100000000000001" customHeight="1" x14ac:dyDescent="0.25">
      <c r="AH879" s="118"/>
      <c r="AI879" s="120"/>
    </row>
    <row r="880" spans="34:35" ht="17.100000000000001" customHeight="1" x14ac:dyDescent="0.25">
      <c r="AH880" s="118"/>
      <c r="AI880" s="120"/>
    </row>
    <row r="881" spans="34:35" ht="17.100000000000001" customHeight="1" x14ac:dyDescent="0.25">
      <c r="AH881" s="118"/>
      <c r="AI881" s="120"/>
    </row>
    <row r="882" spans="34:35" ht="17.100000000000001" customHeight="1" x14ac:dyDescent="0.25">
      <c r="AH882" s="118"/>
      <c r="AI882" s="120"/>
    </row>
    <row r="883" spans="34:35" ht="17.100000000000001" customHeight="1" x14ac:dyDescent="0.25">
      <c r="AH883" s="118"/>
      <c r="AI883" s="120"/>
    </row>
    <row r="884" spans="34:35" ht="17.100000000000001" customHeight="1" x14ac:dyDescent="0.25">
      <c r="AH884" s="118"/>
      <c r="AI884" s="120"/>
    </row>
    <row r="885" spans="34:35" ht="17.100000000000001" customHeight="1" x14ac:dyDescent="0.25">
      <c r="AH885" s="118"/>
      <c r="AI885" s="120"/>
    </row>
    <row r="886" spans="34:35" ht="17.100000000000001" customHeight="1" x14ac:dyDescent="0.25">
      <c r="AH886" s="118"/>
      <c r="AI886" s="120"/>
    </row>
    <row r="887" spans="34:35" ht="17.100000000000001" customHeight="1" x14ac:dyDescent="0.25">
      <c r="AH887" s="118"/>
      <c r="AI887" s="120"/>
    </row>
    <row r="888" spans="34:35" ht="17.100000000000001" customHeight="1" x14ac:dyDescent="0.25">
      <c r="AH888" s="118"/>
      <c r="AI888" s="120"/>
    </row>
    <row r="889" spans="34:35" ht="17.100000000000001" customHeight="1" x14ac:dyDescent="0.25">
      <c r="AH889" s="118"/>
      <c r="AI889" s="120"/>
    </row>
    <row r="890" spans="34:35" ht="17.100000000000001" customHeight="1" x14ac:dyDescent="0.25">
      <c r="AH890" s="118"/>
      <c r="AI890" s="120"/>
    </row>
    <row r="891" spans="34:35" ht="17.100000000000001" customHeight="1" x14ac:dyDescent="0.25">
      <c r="AH891" s="118"/>
      <c r="AI891" s="120"/>
    </row>
    <row r="892" spans="34:35" ht="17.100000000000001" customHeight="1" x14ac:dyDescent="0.25">
      <c r="AH892" s="118"/>
      <c r="AI892" s="120"/>
    </row>
    <row r="893" spans="34:35" ht="17.100000000000001" customHeight="1" x14ac:dyDescent="0.25">
      <c r="AH893" s="118"/>
      <c r="AI893" s="120"/>
    </row>
    <row r="894" spans="34:35" ht="17.100000000000001" customHeight="1" x14ac:dyDescent="0.25">
      <c r="AH894" s="118"/>
      <c r="AI894" s="120"/>
    </row>
    <row r="895" spans="34:35" ht="17.100000000000001" customHeight="1" x14ac:dyDescent="0.25">
      <c r="AH895" s="118"/>
      <c r="AI895" s="120"/>
    </row>
    <row r="896" spans="34:35" ht="17.100000000000001" customHeight="1" x14ac:dyDescent="0.25">
      <c r="AH896" s="118"/>
      <c r="AI896" s="120"/>
    </row>
    <row r="897" spans="34:35" ht="17.100000000000001" customHeight="1" x14ac:dyDescent="0.25">
      <c r="AH897" s="118"/>
      <c r="AI897" s="120"/>
    </row>
    <row r="898" spans="34:35" ht="17.100000000000001" customHeight="1" x14ac:dyDescent="0.25">
      <c r="AH898" s="118"/>
      <c r="AI898" s="120"/>
    </row>
    <row r="899" spans="34:35" ht="17.100000000000001" customHeight="1" x14ac:dyDescent="0.25">
      <c r="AH899" s="118"/>
      <c r="AI899" s="120"/>
    </row>
    <row r="900" spans="34:35" ht="17.100000000000001" customHeight="1" x14ac:dyDescent="0.25">
      <c r="AH900" s="118"/>
      <c r="AI900" s="120"/>
    </row>
    <row r="901" spans="34:35" ht="17.100000000000001" customHeight="1" x14ac:dyDescent="0.25">
      <c r="AH901" s="118"/>
      <c r="AI901" s="120"/>
    </row>
    <row r="902" spans="34:35" ht="17.100000000000001" customHeight="1" x14ac:dyDescent="0.25">
      <c r="AH902" s="118"/>
      <c r="AI902" s="120"/>
    </row>
    <row r="903" spans="34:35" ht="17.100000000000001" customHeight="1" x14ac:dyDescent="0.25">
      <c r="AH903" s="118"/>
      <c r="AI903" s="120"/>
    </row>
    <row r="904" spans="34:35" ht="17.100000000000001" customHeight="1" x14ac:dyDescent="0.25">
      <c r="AH904" s="118"/>
      <c r="AI904" s="120"/>
    </row>
    <row r="905" spans="34:35" ht="17.100000000000001" customHeight="1" x14ac:dyDescent="0.25">
      <c r="AH905" s="118"/>
      <c r="AI905" s="120"/>
    </row>
    <row r="906" spans="34:35" ht="17.100000000000001" customHeight="1" x14ac:dyDescent="0.25">
      <c r="AH906" s="118"/>
      <c r="AI906" s="120"/>
    </row>
    <row r="907" spans="34:35" ht="17.100000000000001" customHeight="1" x14ac:dyDescent="0.25">
      <c r="AH907" s="118"/>
      <c r="AI907" s="120"/>
    </row>
    <row r="908" spans="34:35" ht="17.100000000000001" customHeight="1" x14ac:dyDescent="0.25">
      <c r="AH908" s="118"/>
      <c r="AI908" s="120"/>
    </row>
    <row r="909" spans="34:35" ht="17.100000000000001" customHeight="1" x14ac:dyDescent="0.25">
      <c r="AH909" s="118"/>
      <c r="AI909" s="120"/>
    </row>
    <row r="910" spans="34:35" ht="17.100000000000001" customHeight="1" x14ac:dyDescent="0.25">
      <c r="AH910" s="118"/>
      <c r="AI910" s="120"/>
    </row>
    <row r="911" spans="34:35" ht="17.100000000000001" customHeight="1" x14ac:dyDescent="0.25">
      <c r="AH911" s="118"/>
      <c r="AI911" s="120"/>
    </row>
    <row r="912" spans="34:35" ht="17.100000000000001" customHeight="1" x14ac:dyDescent="0.25">
      <c r="AH912" s="118"/>
      <c r="AI912" s="120"/>
    </row>
    <row r="913" spans="34:35" ht="17.100000000000001" customHeight="1" x14ac:dyDescent="0.25">
      <c r="AH913" s="118"/>
      <c r="AI913" s="120"/>
    </row>
    <row r="914" spans="34:35" ht="17.100000000000001" customHeight="1" x14ac:dyDescent="0.25">
      <c r="AH914" s="118"/>
      <c r="AI914" s="120"/>
    </row>
    <row r="915" spans="34:35" ht="17.100000000000001" customHeight="1" x14ac:dyDescent="0.25">
      <c r="AH915" s="118"/>
      <c r="AI915" s="120"/>
    </row>
    <row r="916" spans="34:35" ht="17.100000000000001" customHeight="1" x14ac:dyDescent="0.25">
      <c r="AH916" s="118"/>
      <c r="AI916" s="120"/>
    </row>
    <row r="917" spans="34:35" ht="17.100000000000001" customHeight="1" x14ac:dyDescent="0.25">
      <c r="AH917" s="118"/>
      <c r="AI917" s="120"/>
    </row>
    <row r="918" spans="34:35" ht="17.100000000000001" customHeight="1" x14ac:dyDescent="0.25">
      <c r="AH918" s="118"/>
      <c r="AI918" s="120"/>
    </row>
    <row r="919" spans="34:35" ht="17.100000000000001" customHeight="1" x14ac:dyDescent="0.25">
      <c r="AH919" s="118"/>
      <c r="AI919" s="120"/>
    </row>
    <row r="920" spans="34:35" ht="17.100000000000001" customHeight="1" x14ac:dyDescent="0.25">
      <c r="AH920" s="118"/>
      <c r="AI920" s="120"/>
    </row>
    <row r="921" spans="34:35" ht="17.100000000000001" customHeight="1" x14ac:dyDescent="0.25">
      <c r="AH921" s="118"/>
      <c r="AI921" s="120"/>
    </row>
    <row r="922" spans="34:35" ht="17.100000000000001" customHeight="1" x14ac:dyDescent="0.25">
      <c r="AH922" s="118"/>
      <c r="AI922" s="120"/>
    </row>
    <row r="923" spans="34:35" ht="17.100000000000001" customHeight="1" x14ac:dyDescent="0.25">
      <c r="AH923" s="118"/>
      <c r="AI923" s="120"/>
    </row>
    <row r="924" spans="34:35" ht="17.100000000000001" customHeight="1" x14ac:dyDescent="0.25">
      <c r="AH924" s="118"/>
      <c r="AI924" s="120"/>
    </row>
    <row r="925" spans="34:35" ht="17.100000000000001" customHeight="1" x14ac:dyDescent="0.25">
      <c r="AH925" s="118"/>
      <c r="AI925" s="120"/>
    </row>
    <row r="926" spans="34:35" ht="17.100000000000001" customHeight="1" x14ac:dyDescent="0.25">
      <c r="AH926" s="118"/>
      <c r="AI926" s="120"/>
    </row>
    <row r="927" spans="34:35" ht="17.100000000000001" customHeight="1" x14ac:dyDescent="0.25">
      <c r="AH927" s="118"/>
      <c r="AI927" s="120"/>
    </row>
    <row r="928" spans="34:35" ht="17.100000000000001" customHeight="1" x14ac:dyDescent="0.25">
      <c r="AH928" s="118"/>
      <c r="AI928" s="120"/>
    </row>
    <row r="929" spans="34:35" ht="17.100000000000001" customHeight="1" x14ac:dyDescent="0.25">
      <c r="AH929" s="118"/>
      <c r="AI929" s="120"/>
    </row>
    <row r="930" spans="34:35" ht="17.100000000000001" customHeight="1" x14ac:dyDescent="0.25">
      <c r="AH930" s="118"/>
      <c r="AI930" s="120"/>
    </row>
    <row r="931" spans="34:35" ht="17.100000000000001" customHeight="1" x14ac:dyDescent="0.25">
      <c r="AH931" s="118"/>
      <c r="AI931" s="120"/>
    </row>
    <row r="932" spans="34:35" ht="17.100000000000001" customHeight="1" x14ac:dyDescent="0.25">
      <c r="AH932" s="118"/>
      <c r="AI932" s="120"/>
    </row>
    <row r="933" spans="34:35" ht="17.100000000000001" customHeight="1" x14ac:dyDescent="0.25">
      <c r="AH933" s="118"/>
      <c r="AI933" s="120"/>
    </row>
    <row r="934" spans="34:35" ht="17.100000000000001" customHeight="1" x14ac:dyDescent="0.25">
      <c r="AH934" s="118"/>
      <c r="AI934" s="120"/>
    </row>
    <row r="935" spans="34:35" ht="17.100000000000001" customHeight="1" x14ac:dyDescent="0.25">
      <c r="AH935" s="118"/>
      <c r="AI935" s="120"/>
    </row>
    <row r="936" spans="34:35" ht="17.100000000000001" customHeight="1" x14ac:dyDescent="0.25">
      <c r="AH936" s="118"/>
      <c r="AI936" s="120"/>
    </row>
    <row r="937" spans="34:35" ht="17.100000000000001" customHeight="1" x14ac:dyDescent="0.25">
      <c r="AH937" s="118"/>
      <c r="AI937" s="120"/>
    </row>
    <row r="938" spans="34:35" ht="17.100000000000001" customHeight="1" x14ac:dyDescent="0.25">
      <c r="AH938" s="118"/>
      <c r="AI938" s="120"/>
    </row>
    <row r="939" spans="34:35" ht="17.100000000000001" customHeight="1" x14ac:dyDescent="0.25">
      <c r="AH939" s="118"/>
      <c r="AI939" s="120"/>
    </row>
    <row r="940" spans="34:35" ht="17.100000000000001" customHeight="1" x14ac:dyDescent="0.25">
      <c r="AH940" s="118"/>
      <c r="AI940" s="120"/>
    </row>
    <row r="941" spans="34:35" ht="17.100000000000001" customHeight="1" x14ac:dyDescent="0.25">
      <c r="AH941" s="118"/>
      <c r="AI941" s="120"/>
    </row>
    <row r="942" spans="34:35" ht="17.100000000000001" customHeight="1" x14ac:dyDescent="0.25">
      <c r="AH942" s="118"/>
      <c r="AI942" s="120"/>
    </row>
    <row r="943" spans="34:35" ht="17.100000000000001" customHeight="1" x14ac:dyDescent="0.25">
      <c r="AH943" s="118"/>
      <c r="AI943" s="120"/>
    </row>
    <row r="944" spans="34:35" ht="17.100000000000001" customHeight="1" x14ac:dyDescent="0.25">
      <c r="AH944" s="118"/>
      <c r="AI944" s="120"/>
    </row>
    <row r="945" spans="34:35" ht="17.100000000000001" customHeight="1" x14ac:dyDescent="0.25">
      <c r="AH945" s="118"/>
      <c r="AI945" s="120"/>
    </row>
    <row r="946" spans="34:35" ht="17.100000000000001" customHeight="1" x14ac:dyDescent="0.25">
      <c r="AH946" s="118"/>
      <c r="AI946" s="120"/>
    </row>
    <row r="947" spans="34:35" ht="17.100000000000001" customHeight="1" x14ac:dyDescent="0.25">
      <c r="AH947" s="118"/>
      <c r="AI947" s="120"/>
    </row>
    <row r="948" spans="34:35" ht="17.100000000000001" customHeight="1" x14ac:dyDescent="0.25">
      <c r="AH948" s="118"/>
      <c r="AI948" s="120"/>
    </row>
    <row r="949" spans="34:35" ht="17.100000000000001" customHeight="1" x14ac:dyDescent="0.25">
      <c r="AH949" s="118"/>
      <c r="AI949" s="120"/>
    </row>
    <row r="950" spans="34:35" ht="17.100000000000001" customHeight="1" x14ac:dyDescent="0.25">
      <c r="AH950" s="118"/>
      <c r="AI950" s="120"/>
    </row>
    <row r="951" spans="34:35" ht="17.100000000000001" customHeight="1" x14ac:dyDescent="0.25">
      <c r="AH951" s="118"/>
      <c r="AI951" s="120"/>
    </row>
    <row r="952" spans="34:35" ht="17.100000000000001" customHeight="1" x14ac:dyDescent="0.25">
      <c r="AH952" s="118"/>
      <c r="AI952" s="120"/>
    </row>
    <row r="953" spans="34:35" ht="17.100000000000001" customHeight="1" x14ac:dyDescent="0.25">
      <c r="AH953" s="118"/>
      <c r="AI953" s="120"/>
    </row>
    <row r="954" spans="34:35" ht="17.100000000000001" customHeight="1" x14ac:dyDescent="0.25">
      <c r="AH954" s="118"/>
      <c r="AI954" s="120"/>
    </row>
    <row r="955" spans="34:35" ht="17.100000000000001" customHeight="1" x14ac:dyDescent="0.25">
      <c r="AH955" s="118"/>
      <c r="AI955" s="120"/>
    </row>
    <row r="956" spans="34:35" ht="17.100000000000001" customHeight="1" x14ac:dyDescent="0.25">
      <c r="AH956" s="118"/>
      <c r="AI956" s="120"/>
    </row>
    <row r="957" spans="34:35" ht="17.100000000000001" customHeight="1" x14ac:dyDescent="0.25">
      <c r="AH957" s="118"/>
      <c r="AI957" s="120"/>
    </row>
    <row r="958" spans="34:35" ht="17.100000000000001" customHeight="1" x14ac:dyDescent="0.25">
      <c r="AH958" s="118"/>
      <c r="AI958" s="120"/>
    </row>
    <row r="959" spans="34:35" ht="17.100000000000001" customHeight="1" x14ac:dyDescent="0.25">
      <c r="AH959" s="118"/>
      <c r="AI959" s="120"/>
    </row>
    <row r="960" spans="34:35" ht="17.100000000000001" customHeight="1" x14ac:dyDescent="0.25">
      <c r="AH960" s="118"/>
      <c r="AI960" s="120"/>
    </row>
    <row r="961" spans="34:35" ht="17.100000000000001" customHeight="1" x14ac:dyDescent="0.25">
      <c r="AH961" s="118"/>
      <c r="AI961" s="120"/>
    </row>
    <row r="962" spans="34:35" ht="17.100000000000001" customHeight="1" x14ac:dyDescent="0.25">
      <c r="AH962" s="118"/>
      <c r="AI962" s="120"/>
    </row>
    <row r="963" spans="34:35" ht="17.100000000000001" customHeight="1" x14ac:dyDescent="0.25">
      <c r="AH963" s="118"/>
      <c r="AI963" s="120"/>
    </row>
    <row r="964" spans="34:35" ht="17.100000000000001" customHeight="1" x14ac:dyDescent="0.25">
      <c r="AH964" s="118"/>
      <c r="AI964" s="120"/>
    </row>
    <row r="965" spans="34:35" ht="17.100000000000001" customHeight="1" x14ac:dyDescent="0.25">
      <c r="AH965" s="118"/>
      <c r="AI965" s="120"/>
    </row>
    <row r="966" spans="34:35" ht="17.100000000000001" customHeight="1" x14ac:dyDescent="0.25">
      <c r="AH966" s="118"/>
      <c r="AI966" s="120"/>
    </row>
    <row r="967" spans="34:35" ht="17.100000000000001" customHeight="1" x14ac:dyDescent="0.25">
      <c r="AH967" s="118"/>
      <c r="AI967" s="120"/>
    </row>
    <row r="968" spans="34:35" ht="17.100000000000001" customHeight="1" x14ac:dyDescent="0.25">
      <c r="AH968" s="118"/>
      <c r="AI968" s="120"/>
    </row>
    <row r="969" spans="34:35" ht="17.100000000000001" customHeight="1" x14ac:dyDescent="0.25">
      <c r="AH969" s="118"/>
      <c r="AI969" s="120"/>
    </row>
    <row r="970" spans="34:35" ht="17.100000000000001" customHeight="1" x14ac:dyDescent="0.25">
      <c r="AH970" s="118"/>
      <c r="AI970" s="120"/>
    </row>
    <row r="971" spans="34:35" ht="17.100000000000001" customHeight="1" x14ac:dyDescent="0.25">
      <c r="AH971" s="118"/>
      <c r="AI971" s="120"/>
    </row>
    <row r="972" spans="34:35" ht="17.100000000000001" customHeight="1" x14ac:dyDescent="0.25">
      <c r="AH972" s="118"/>
      <c r="AI972" s="120"/>
    </row>
    <row r="973" spans="34:35" ht="17.100000000000001" customHeight="1" x14ac:dyDescent="0.25">
      <c r="AH973" s="118"/>
      <c r="AI973" s="120"/>
    </row>
    <row r="974" spans="34:35" ht="17.100000000000001" customHeight="1" x14ac:dyDescent="0.25">
      <c r="AH974" s="118"/>
      <c r="AI974" s="120"/>
    </row>
    <row r="975" spans="34:35" ht="17.100000000000001" customHeight="1" x14ac:dyDescent="0.25">
      <c r="AH975" s="118"/>
      <c r="AI975" s="120"/>
    </row>
    <row r="976" spans="34:35" ht="17.100000000000001" customHeight="1" x14ac:dyDescent="0.25">
      <c r="AH976" s="118"/>
      <c r="AI976" s="120"/>
    </row>
    <row r="977" spans="34:35" ht="17.100000000000001" customHeight="1" x14ac:dyDescent="0.25">
      <c r="AH977" s="118"/>
      <c r="AI977" s="120"/>
    </row>
    <row r="978" spans="34:35" ht="17.100000000000001" customHeight="1" x14ac:dyDescent="0.25">
      <c r="AH978" s="118"/>
      <c r="AI978" s="120"/>
    </row>
    <row r="979" spans="34:35" ht="17.100000000000001" customHeight="1" x14ac:dyDescent="0.25">
      <c r="AH979" s="118"/>
      <c r="AI979" s="120"/>
    </row>
    <row r="980" spans="34:35" ht="17.100000000000001" customHeight="1" x14ac:dyDescent="0.25">
      <c r="AH980" s="118"/>
      <c r="AI980" s="120"/>
    </row>
    <row r="981" spans="34:35" ht="17.100000000000001" customHeight="1" x14ac:dyDescent="0.25">
      <c r="AH981" s="118"/>
      <c r="AI981" s="120"/>
    </row>
    <row r="982" spans="34:35" ht="17.100000000000001" customHeight="1" x14ac:dyDescent="0.25">
      <c r="AH982" s="118"/>
      <c r="AI982" s="120"/>
    </row>
    <row r="983" spans="34:35" ht="17.100000000000001" customHeight="1" x14ac:dyDescent="0.25">
      <c r="AH983" s="118"/>
      <c r="AI983" s="120"/>
    </row>
    <row r="984" spans="34:35" ht="17.100000000000001" customHeight="1" x14ac:dyDescent="0.25">
      <c r="AH984" s="118"/>
      <c r="AI984" s="120"/>
    </row>
    <row r="985" spans="34:35" ht="17.100000000000001" customHeight="1" x14ac:dyDescent="0.25">
      <c r="AH985" s="118"/>
      <c r="AI985" s="120"/>
    </row>
    <row r="986" spans="34:35" ht="17.100000000000001" customHeight="1" x14ac:dyDescent="0.25">
      <c r="AH986" s="118"/>
      <c r="AI986" s="120"/>
    </row>
    <row r="987" spans="34:35" ht="17.100000000000001" customHeight="1" x14ac:dyDescent="0.25">
      <c r="AH987" s="118"/>
      <c r="AI987" s="120"/>
    </row>
    <row r="988" spans="34:35" ht="17.100000000000001" customHeight="1" x14ac:dyDescent="0.25">
      <c r="AH988" s="118"/>
      <c r="AI988" s="120"/>
    </row>
    <row r="989" spans="34:35" ht="17.100000000000001" customHeight="1" x14ac:dyDescent="0.25">
      <c r="AH989" s="118"/>
      <c r="AI989" s="120"/>
    </row>
    <row r="990" spans="34:35" ht="17.100000000000001" customHeight="1" x14ac:dyDescent="0.25">
      <c r="AH990" s="118"/>
      <c r="AI990" s="120"/>
    </row>
    <row r="991" spans="34:35" ht="17.100000000000001" customHeight="1" x14ac:dyDescent="0.25">
      <c r="AH991" s="118"/>
      <c r="AI991" s="120"/>
    </row>
    <row r="992" spans="34:35" ht="17.100000000000001" customHeight="1" x14ac:dyDescent="0.25">
      <c r="AH992" s="118"/>
      <c r="AI992" s="120"/>
    </row>
    <row r="993" spans="34:35" ht="17.100000000000001" customHeight="1" x14ac:dyDescent="0.25">
      <c r="AH993" s="118"/>
      <c r="AI993" s="120"/>
    </row>
    <row r="994" spans="34:35" ht="17.100000000000001" customHeight="1" x14ac:dyDescent="0.25">
      <c r="AH994" s="118"/>
      <c r="AI994" s="120"/>
    </row>
    <row r="995" spans="34:35" ht="17.100000000000001" customHeight="1" x14ac:dyDescent="0.25">
      <c r="AH995" s="118"/>
      <c r="AI995" s="120"/>
    </row>
    <row r="996" spans="34:35" ht="17.100000000000001" customHeight="1" x14ac:dyDescent="0.25">
      <c r="AH996" s="118"/>
      <c r="AI996" s="120"/>
    </row>
    <row r="997" spans="34:35" ht="17.100000000000001" customHeight="1" x14ac:dyDescent="0.25">
      <c r="AH997" s="118"/>
      <c r="AI997" s="120"/>
    </row>
    <row r="998" spans="34:35" ht="17.100000000000001" customHeight="1" x14ac:dyDescent="0.25">
      <c r="AH998" s="118"/>
      <c r="AI998" s="120"/>
    </row>
    <row r="999" spans="34:35" ht="17.100000000000001" customHeight="1" x14ac:dyDescent="0.25">
      <c r="AH999" s="118"/>
      <c r="AI999" s="120"/>
    </row>
    <row r="1000" spans="34:35" ht="17.100000000000001" customHeight="1" x14ac:dyDescent="0.25">
      <c r="AH1000" s="118"/>
      <c r="AI1000" s="120"/>
    </row>
    <row r="1001" spans="34:35" ht="17.100000000000001" customHeight="1" x14ac:dyDescent="0.25">
      <c r="AH1001" s="118"/>
      <c r="AI1001" s="120"/>
    </row>
    <row r="1002" spans="34:35" ht="17.100000000000001" customHeight="1" x14ac:dyDescent="0.25">
      <c r="AH1002" s="118"/>
      <c r="AI1002" s="120"/>
    </row>
    <row r="1003" spans="34:35" ht="17.100000000000001" customHeight="1" x14ac:dyDescent="0.25">
      <c r="AH1003" s="118"/>
      <c r="AI1003" s="120"/>
    </row>
    <row r="1004" spans="34:35" ht="17.100000000000001" customHeight="1" x14ac:dyDescent="0.25">
      <c r="AH1004" s="118"/>
      <c r="AI1004" s="120"/>
    </row>
    <row r="1005" spans="34:35" ht="17.100000000000001" customHeight="1" x14ac:dyDescent="0.25">
      <c r="AH1005" s="118"/>
      <c r="AI1005" s="120"/>
    </row>
    <row r="1006" spans="34:35" ht="17.100000000000001" customHeight="1" x14ac:dyDescent="0.25">
      <c r="AH1006" s="118"/>
      <c r="AI1006" s="120"/>
    </row>
    <row r="1007" spans="34:35" ht="17.100000000000001" customHeight="1" x14ac:dyDescent="0.25">
      <c r="AH1007" s="118"/>
      <c r="AI1007" s="120"/>
    </row>
    <row r="1008" spans="34:35" ht="17.100000000000001" customHeight="1" x14ac:dyDescent="0.25">
      <c r="AH1008" s="118"/>
      <c r="AI1008" s="120"/>
    </row>
    <row r="1009" spans="34:35" ht="17.100000000000001" customHeight="1" x14ac:dyDescent="0.25">
      <c r="AH1009" s="118"/>
      <c r="AI1009" s="120"/>
    </row>
    <row r="1010" spans="34:35" ht="17.100000000000001" customHeight="1" x14ac:dyDescent="0.25">
      <c r="AH1010" s="118"/>
      <c r="AI1010" s="120"/>
    </row>
    <row r="1011" spans="34:35" ht="17.100000000000001" customHeight="1" x14ac:dyDescent="0.25">
      <c r="AH1011" s="118"/>
      <c r="AI1011" s="120"/>
    </row>
    <row r="1012" spans="34:35" ht="17.100000000000001" customHeight="1" x14ac:dyDescent="0.25">
      <c r="AH1012" s="118"/>
      <c r="AI1012" s="120"/>
    </row>
    <row r="1013" spans="34:35" ht="17.100000000000001" customHeight="1" x14ac:dyDescent="0.25">
      <c r="AH1013" s="118"/>
      <c r="AI1013" s="120"/>
    </row>
    <row r="1014" spans="34:35" ht="17.100000000000001" customHeight="1" x14ac:dyDescent="0.25">
      <c r="AH1014" s="118"/>
      <c r="AI1014" s="120"/>
    </row>
    <row r="1015" spans="34:35" ht="17.100000000000001" customHeight="1" x14ac:dyDescent="0.25">
      <c r="AH1015" s="118"/>
      <c r="AI1015" s="120"/>
    </row>
    <row r="1016" spans="34:35" ht="17.100000000000001" customHeight="1" x14ac:dyDescent="0.25">
      <c r="AH1016" s="118"/>
      <c r="AI1016" s="120"/>
    </row>
    <row r="1017" spans="34:35" ht="17.100000000000001" customHeight="1" x14ac:dyDescent="0.25">
      <c r="AH1017" s="118"/>
      <c r="AI1017" s="120"/>
    </row>
    <row r="1018" spans="34:35" ht="17.100000000000001" customHeight="1" x14ac:dyDescent="0.25">
      <c r="AH1018" s="118"/>
      <c r="AI1018" s="120"/>
    </row>
    <row r="1019" spans="34:35" ht="17.100000000000001" customHeight="1" x14ac:dyDescent="0.25">
      <c r="AH1019" s="118"/>
      <c r="AI1019" s="120"/>
    </row>
    <row r="1020" spans="34:35" ht="17.100000000000001" customHeight="1" x14ac:dyDescent="0.25">
      <c r="AH1020" s="118"/>
      <c r="AI1020" s="120"/>
    </row>
    <row r="1021" spans="34:35" ht="17.100000000000001" customHeight="1" x14ac:dyDescent="0.25">
      <c r="AH1021" s="118"/>
      <c r="AI1021" s="120"/>
    </row>
    <row r="1022" spans="34:35" ht="17.100000000000001" customHeight="1" x14ac:dyDescent="0.25">
      <c r="AH1022" s="118"/>
      <c r="AI1022" s="120"/>
    </row>
    <row r="1023" spans="34:35" ht="17.100000000000001" customHeight="1" x14ac:dyDescent="0.25">
      <c r="AH1023" s="118"/>
      <c r="AI1023" s="120"/>
    </row>
    <row r="1024" spans="34:35" ht="17.100000000000001" customHeight="1" x14ac:dyDescent="0.25">
      <c r="AH1024" s="118"/>
      <c r="AI1024" s="120"/>
    </row>
    <row r="1025" spans="34:35" ht="17.100000000000001" customHeight="1" x14ac:dyDescent="0.25">
      <c r="AH1025" s="118"/>
      <c r="AI1025" s="120"/>
    </row>
    <row r="1026" spans="34:35" ht="17.100000000000001" customHeight="1" x14ac:dyDescent="0.25">
      <c r="AH1026" s="118"/>
      <c r="AI1026" s="120"/>
    </row>
    <row r="1027" spans="34:35" ht="17.100000000000001" customHeight="1" x14ac:dyDescent="0.25">
      <c r="AH1027" s="118"/>
      <c r="AI1027" s="120"/>
    </row>
    <row r="1028" spans="34:35" ht="17.100000000000001" customHeight="1" x14ac:dyDescent="0.25">
      <c r="AH1028" s="118"/>
      <c r="AI1028" s="120"/>
    </row>
    <row r="1029" spans="34:35" ht="17.100000000000001" customHeight="1" x14ac:dyDescent="0.25">
      <c r="AH1029" s="118"/>
      <c r="AI1029" s="120"/>
    </row>
    <row r="1030" spans="34:35" ht="17.100000000000001" customHeight="1" x14ac:dyDescent="0.25">
      <c r="AH1030" s="118"/>
      <c r="AI1030" s="120"/>
    </row>
    <row r="1031" spans="34:35" ht="17.100000000000001" customHeight="1" x14ac:dyDescent="0.25">
      <c r="AH1031" s="118"/>
      <c r="AI1031" s="120"/>
    </row>
    <row r="1032" spans="34:35" ht="17.100000000000001" customHeight="1" x14ac:dyDescent="0.25">
      <c r="AH1032" s="118"/>
      <c r="AI1032" s="120"/>
    </row>
    <row r="1033" spans="34:35" ht="17.100000000000001" customHeight="1" x14ac:dyDescent="0.25">
      <c r="AH1033" s="118"/>
      <c r="AI1033" s="120"/>
    </row>
    <row r="1034" spans="34:35" ht="17.100000000000001" customHeight="1" x14ac:dyDescent="0.25">
      <c r="AH1034" s="118"/>
      <c r="AI1034" s="120"/>
    </row>
    <row r="1035" spans="34:35" ht="17.100000000000001" customHeight="1" x14ac:dyDescent="0.25">
      <c r="AH1035" s="118"/>
      <c r="AI1035" s="120"/>
    </row>
    <row r="1036" spans="34:35" ht="17.100000000000001" customHeight="1" x14ac:dyDescent="0.25">
      <c r="AH1036" s="118"/>
      <c r="AI1036" s="120"/>
    </row>
    <row r="1037" spans="34:35" ht="17.100000000000001" customHeight="1" x14ac:dyDescent="0.25">
      <c r="AH1037" s="118"/>
      <c r="AI1037" s="120"/>
    </row>
    <row r="1038" spans="34:35" ht="17.100000000000001" customHeight="1" x14ac:dyDescent="0.25">
      <c r="AH1038" s="118"/>
      <c r="AI1038" s="120"/>
    </row>
    <row r="1039" spans="34:35" ht="17.100000000000001" customHeight="1" x14ac:dyDescent="0.25">
      <c r="AH1039" s="118"/>
      <c r="AI1039" s="120"/>
    </row>
    <row r="1040" spans="34:35" ht="17.100000000000001" customHeight="1" x14ac:dyDescent="0.25">
      <c r="AH1040" s="118"/>
      <c r="AI1040" s="120"/>
    </row>
    <row r="1041" spans="34:35" ht="17.100000000000001" customHeight="1" x14ac:dyDescent="0.25">
      <c r="AH1041" s="118"/>
      <c r="AI1041" s="120"/>
    </row>
    <row r="1042" spans="34:35" ht="17.100000000000001" customHeight="1" x14ac:dyDescent="0.25">
      <c r="AH1042" s="118"/>
      <c r="AI1042" s="120"/>
    </row>
    <row r="1043" spans="34:35" ht="17.100000000000001" customHeight="1" x14ac:dyDescent="0.25">
      <c r="AH1043" s="118"/>
      <c r="AI1043" s="120"/>
    </row>
    <row r="1044" spans="34:35" ht="17.100000000000001" customHeight="1" x14ac:dyDescent="0.25">
      <c r="AH1044" s="118"/>
      <c r="AI1044" s="120"/>
    </row>
    <row r="1045" spans="34:35" ht="17.100000000000001" customHeight="1" x14ac:dyDescent="0.25">
      <c r="AH1045" s="118"/>
      <c r="AI1045" s="120"/>
    </row>
    <row r="1046" spans="34:35" ht="17.100000000000001" customHeight="1" x14ac:dyDescent="0.25">
      <c r="AH1046" s="118"/>
      <c r="AI1046" s="120"/>
    </row>
    <row r="1047" spans="34:35" ht="17.100000000000001" customHeight="1" x14ac:dyDescent="0.25">
      <c r="AH1047" s="118"/>
      <c r="AI1047" s="120"/>
    </row>
    <row r="1048" spans="34:35" ht="17.100000000000001" customHeight="1" x14ac:dyDescent="0.25">
      <c r="AH1048" s="118"/>
      <c r="AI1048" s="120"/>
    </row>
    <row r="1049" spans="34:35" ht="17.100000000000001" customHeight="1" x14ac:dyDescent="0.25">
      <c r="AH1049" s="118"/>
      <c r="AI1049" s="120"/>
    </row>
    <row r="1050" spans="34:35" ht="17.100000000000001" customHeight="1" x14ac:dyDescent="0.25">
      <c r="AH1050" s="118"/>
      <c r="AI1050" s="120"/>
    </row>
    <row r="1051" spans="34:35" ht="17.100000000000001" customHeight="1" x14ac:dyDescent="0.25">
      <c r="AH1051" s="118"/>
      <c r="AI1051" s="120"/>
    </row>
    <row r="1052" spans="34:35" ht="17.100000000000001" customHeight="1" x14ac:dyDescent="0.25">
      <c r="AH1052" s="118"/>
      <c r="AI1052" s="120"/>
    </row>
    <row r="1053" spans="34:35" ht="17.100000000000001" customHeight="1" x14ac:dyDescent="0.25">
      <c r="AH1053" s="118"/>
      <c r="AI1053" s="120"/>
    </row>
    <row r="1054" spans="34:35" ht="17.100000000000001" customHeight="1" x14ac:dyDescent="0.25">
      <c r="AH1054" s="118"/>
      <c r="AI1054" s="120"/>
    </row>
    <row r="1055" spans="34:35" ht="17.100000000000001" customHeight="1" x14ac:dyDescent="0.25">
      <c r="AH1055" s="118"/>
      <c r="AI1055" s="120"/>
    </row>
    <row r="1056" spans="34:35" ht="17.100000000000001" customHeight="1" x14ac:dyDescent="0.25">
      <c r="AH1056" s="118"/>
      <c r="AI1056" s="120"/>
    </row>
    <row r="1057" spans="34:35" ht="17.100000000000001" customHeight="1" x14ac:dyDescent="0.25">
      <c r="AH1057" s="118"/>
      <c r="AI1057" s="120"/>
    </row>
    <row r="1058" spans="34:35" ht="17.100000000000001" customHeight="1" x14ac:dyDescent="0.25">
      <c r="AH1058" s="118"/>
      <c r="AI1058" s="120"/>
    </row>
    <row r="1059" spans="34:35" ht="17.100000000000001" customHeight="1" x14ac:dyDescent="0.25">
      <c r="AH1059" s="118"/>
      <c r="AI1059" s="120"/>
    </row>
    <row r="1060" spans="34:35" ht="17.100000000000001" customHeight="1" x14ac:dyDescent="0.25">
      <c r="AH1060" s="118"/>
      <c r="AI1060" s="120"/>
    </row>
    <row r="1061" spans="34:35" ht="17.100000000000001" customHeight="1" x14ac:dyDescent="0.25">
      <c r="AH1061" s="118"/>
      <c r="AI1061" s="120"/>
    </row>
    <row r="1062" spans="34:35" ht="17.100000000000001" customHeight="1" x14ac:dyDescent="0.25">
      <c r="AH1062" s="118"/>
      <c r="AI1062" s="120"/>
    </row>
    <row r="1063" spans="34:35" ht="17.100000000000001" customHeight="1" x14ac:dyDescent="0.25">
      <c r="AH1063" s="118"/>
      <c r="AI1063" s="120"/>
    </row>
    <row r="1064" spans="34:35" ht="17.100000000000001" customHeight="1" x14ac:dyDescent="0.25">
      <c r="AH1064" s="118"/>
      <c r="AI1064" s="120"/>
    </row>
    <row r="1065" spans="34:35" ht="17.100000000000001" customHeight="1" x14ac:dyDescent="0.25">
      <c r="AH1065" s="118"/>
      <c r="AI1065" s="120"/>
    </row>
    <row r="1066" spans="34:35" ht="17.100000000000001" customHeight="1" x14ac:dyDescent="0.25">
      <c r="AH1066" s="118"/>
      <c r="AI1066" s="120"/>
    </row>
    <row r="1067" spans="34:35" ht="17.100000000000001" customHeight="1" x14ac:dyDescent="0.25">
      <c r="AH1067" s="118"/>
      <c r="AI1067" s="120"/>
    </row>
    <row r="1068" spans="34:35" ht="17.100000000000001" customHeight="1" x14ac:dyDescent="0.25">
      <c r="AH1068" s="118"/>
      <c r="AI1068" s="120"/>
    </row>
    <row r="1069" spans="34:35" ht="17.100000000000001" customHeight="1" x14ac:dyDescent="0.25">
      <c r="AH1069" s="118"/>
      <c r="AI1069" s="120"/>
    </row>
    <row r="1070" spans="34:35" ht="17.100000000000001" customHeight="1" x14ac:dyDescent="0.25">
      <c r="AH1070" s="118"/>
      <c r="AI1070" s="120"/>
    </row>
    <row r="1071" spans="34:35" ht="17.100000000000001" customHeight="1" x14ac:dyDescent="0.25">
      <c r="AH1071" s="118"/>
      <c r="AI1071" s="120"/>
    </row>
    <row r="1072" spans="34:35" ht="17.100000000000001" customHeight="1" x14ac:dyDescent="0.25">
      <c r="AH1072" s="118"/>
      <c r="AI1072" s="120"/>
    </row>
    <row r="1073" spans="34:35" ht="17.100000000000001" customHeight="1" x14ac:dyDescent="0.25">
      <c r="AH1073" s="118"/>
      <c r="AI1073" s="120"/>
    </row>
    <row r="1074" spans="34:35" ht="17.100000000000001" customHeight="1" x14ac:dyDescent="0.25">
      <c r="AH1074" s="118"/>
      <c r="AI1074" s="120"/>
    </row>
    <row r="1075" spans="34:35" ht="17.100000000000001" customHeight="1" x14ac:dyDescent="0.25">
      <c r="AH1075" s="118"/>
      <c r="AI1075" s="120"/>
    </row>
    <row r="1076" spans="34:35" ht="17.100000000000001" customHeight="1" x14ac:dyDescent="0.25">
      <c r="AH1076" s="118"/>
      <c r="AI1076" s="120"/>
    </row>
    <row r="1077" spans="34:35" ht="17.100000000000001" customHeight="1" x14ac:dyDescent="0.25">
      <c r="AH1077" s="118"/>
      <c r="AI1077" s="120"/>
    </row>
    <row r="1078" spans="34:35" ht="17.100000000000001" customHeight="1" x14ac:dyDescent="0.25">
      <c r="AH1078" s="118"/>
      <c r="AI1078" s="120"/>
    </row>
    <row r="1079" spans="34:35" ht="17.100000000000001" customHeight="1" x14ac:dyDescent="0.25">
      <c r="AH1079" s="118"/>
      <c r="AI1079" s="120"/>
    </row>
    <row r="1080" spans="34:35" ht="17.100000000000001" customHeight="1" x14ac:dyDescent="0.25">
      <c r="AH1080" s="118"/>
      <c r="AI1080" s="120"/>
    </row>
    <row r="1081" spans="34:35" ht="17.100000000000001" customHeight="1" x14ac:dyDescent="0.25">
      <c r="AH1081" s="118"/>
      <c r="AI1081" s="120"/>
    </row>
    <row r="1082" spans="34:35" ht="17.100000000000001" customHeight="1" x14ac:dyDescent="0.25">
      <c r="AH1082" s="118"/>
      <c r="AI1082" s="120"/>
    </row>
    <row r="1083" spans="34:35" ht="17.100000000000001" customHeight="1" x14ac:dyDescent="0.25">
      <c r="AH1083" s="118"/>
      <c r="AI1083" s="120"/>
    </row>
    <row r="1084" spans="34:35" ht="17.100000000000001" customHeight="1" x14ac:dyDescent="0.25">
      <c r="AH1084" s="118"/>
      <c r="AI1084" s="120"/>
    </row>
    <row r="1085" spans="34:35" ht="17.100000000000001" customHeight="1" x14ac:dyDescent="0.25">
      <c r="AH1085" s="118"/>
      <c r="AI1085" s="120"/>
    </row>
    <row r="1086" spans="34:35" ht="17.100000000000001" customHeight="1" x14ac:dyDescent="0.25">
      <c r="AH1086" s="118"/>
      <c r="AI1086" s="120"/>
    </row>
    <row r="1087" spans="34:35" ht="17.100000000000001" customHeight="1" x14ac:dyDescent="0.25">
      <c r="AH1087" s="118"/>
      <c r="AI1087" s="120"/>
    </row>
    <row r="1088" spans="34:35" ht="17.100000000000001" customHeight="1" x14ac:dyDescent="0.25">
      <c r="AH1088" s="118"/>
      <c r="AI1088" s="120"/>
    </row>
    <row r="1089" spans="34:35" ht="17.100000000000001" customHeight="1" x14ac:dyDescent="0.25">
      <c r="AH1089" s="118"/>
      <c r="AI1089" s="120"/>
    </row>
    <row r="1090" spans="34:35" ht="17.100000000000001" customHeight="1" x14ac:dyDescent="0.25">
      <c r="AH1090" s="118"/>
      <c r="AI1090" s="120"/>
    </row>
    <row r="1091" spans="34:35" ht="17.100000000000001" customHeight="1" x14ac:dyDescent="0.25">
      <c r="AH1091" s="118"/>
      <c r="AI1091" s="120"/>
    </row>
    <row r="1092" spans="34:35" ht="17.100000000000001" customHeight="1" x14ac:dyDescent="0.25">
      <c r="AH1092" s="118"/>
      <c r="AI1092" s="120"/>
    </row>
    <row r="1093" spans="34:35" ht="17.100000000000001" customHeight="1" x14ac:dyDescent="0.25">
      <c r="AH1093" s="118"/>
      <c r="AI1093" s="120"/>
    </row>
    <row r="1094" spans="34:35" ht="17.100000000000001" customHeight="1" x14ac:dyDescent="0.25">
      <c r="AH1094" s="118"/>
      <c r="AI1094" s="120"/>
    </row>
    <row r="1095" spans="34:35" ht="17.100000000000001" customHeight="1" x14ac:dyDescent="0.25">
      <c r="AH1095" s="118"/>
      <c r="AI1095" s="120"/>
    </row>
    <row r="1096" spans="34:35" ht="17.100000000000001" customHeight="1" x14ac:dyDescent="0.25">
      <c r="AH1096" s="118"/>
      <c r="AI1096" s="120"/>
    </row>
    <row r="1097" spans="34:35" ht="17.100000000000001" customHeight="1" x14ac:dyDescent="0.25">
      <c r="AH1097" s="118"/>
      <c r="AI1097" s="120"/>
    </row>
    <row r="1098" spans="34:35" ht="17.100000000000001" customHeight="1" x14ac:dyDescent="0.25">
      <c r="AH1098" s="118"/>
      <c r="AI1098" s="120"/>
    </row>
    <row r="1099" spans="34:35" ht="17.100000000000001" customHeight="1" x14ac:dyDescent="0.25">
      <c r="AH1099" s="118"/>
      <c r="AI1099" s="120"/>
    </row>
    <row r="1100" spans="34:35" ht="17.100000000000001" customHeight="1" x14ac:dyDescent="0.25">
      <c r="AH1100" s="118"/>
      <c r="AI1100" s="120"/>
    </row>
    <row r="1101" spans="34:35" ht="17.100000000000001" customHeight="1" x14ac:dyDescent="0.25">
      <c r="AH1101" s="118"/>
      <c r="AI1101" s="120"/>
    </row>
    <row r="1102" spans="34:35" ht="17.100000000000001" customHeight="1" x14ac:dyDescent="0.25">
      <c r="AH1102" s="118"/>
      <c r="AI1102" s="120"/>
    </row>
    <row r="1103" spans="34:35" ht="17.100000000000001" customHeight="1" x14ac:dyDescent="0.25">
      <c r="AH1103" s="118"/>
      <c r="AI1103" s="120"/>
    </row>
    <row r="1104" spans="34:35" ht="17.100000000000001" customHeight="1" x14ac:dyDescent="0.25">
      <c r="AH1104" s="118"/>
      <c r="AI1104" s="120"/>
    </row>
    <row r="1105" spans="34:35" ht="17.100000000000001" customHeight="1" x14ac:dyDescent="0.25">
      <c r="AH1105" s="118"/>
      <c r="AI1105" s="120"/>
    </row>
    <row r="1106" spans="34:35" ht="17.100000000000001" customHeight="1" x14ac:dyDescent="0.25">
      <c r="AH1106" s="118"/>
      <c r="AI1106" s="120"/>
    </row>
    <row r="1107" spans="34:35" ht="17.100000000000001" customHeight="1" x14ac:dyDescent="0.25">
      <c r="AH1107" s="118"/>
      <c r="AI1107" s="120"/>
    </row>
    <row r="1108" spans="34:35" ht="17.100000000000001" customHeight="1" x14ac:dyDescent="0.25">
      <c r="AH1108" s="118"/>
      <c r="AI1108" s="120"/>
    </row>
    <row r="1109" spans="34:35" ht="17.100000000000001" customHeight="1" x14ac:dyDescent="0.25">
      <c r="AH1109" s="118"/>
      <c r="AI1109" s="120"/>
    </row>
    <row r="1110" spans="34:35" ht="17.100000000000001" customHeight="1" x14ac:dyDescent="0.25">
      <c r="AH1110" s="118"/>
      <c r="AI1110" s="120"/>
    </row>
    <row r="1111" spans="34:35" ht="17.100000000000001" customHeight="1" x14ac:dyDescent="0.25">
      <c r="AH1111" s="118"/>
      <c r="AI1111" s="120"/>
    </row>
    <row r="1112" spans="34:35" ht="17.100000000000001" customHeight="1" x14ac:dyDescent="0.25">
      <c r="AH1112" s="118"/>
      <c r="AI1112" s="120"/>
    </row>
    <row r="1113" spans="34:35" ht="17.100000000000001" customHeight="1" x14ac:dyDescent="0.25">
      <c r="AH1113" s="118"/>
      <c r="AI1113" s="120"/>
    </row>
    <row r="1114" spans="34:35" ht="17.100000000000001" customHeight="1" x14ac:dyDescent="0.25">
      <c r="AH1114" s="118"/>
      <c r="AI1114" s="120"/>
    </row>
    <row r="1115" spans="34:35" ht="17.100000000000001" customHeight="1" x14ac:dyDescent="0.25">
      <c r="AH1115" s="118"/>
      <c r="AI1115" s="120"/>
    </row>
    <row r="1116" spans="34:35" ht="17.100000000000001" customHeight="1" x14ac:dyDescent="0.25">
      <c r="AH1116" s="118"/>
      <c r="AI1116" s="120"/>
    </row>
    <row r="1117" spans="34:35" ht="17.100000000000001" customHeight="1" x14ac:dyDescent="0.25">
      <c r="AH1117" s="118"/>
      <c r="AI1117" s="120"/>
    </row>
    <row r="1118" spans="34:35" ht="17.100000000000001" customHeight="1" x14ac:dyDescent="0.25">
      <c r="AH1118" s="118"/>
      <c r="AI1118" s="120"/>
    </row>
    <row r="1119" spans="34:35" ht="17.100000000000001" customHeight="1" x14ac:dyDescent="0.25">
      <c r="AH1119" s="118"/>
      <c r="AI1119" s="120"/>
    </row>
    <row r="1120" spans="34:35" ht="17.100000000000001" customHeight="1" x14ac:dyDescent="0.25">
      <c r="AH1120" s="118"/>
      <c r="AI1120" s="120"/>
    </row>
    <row r="1121" spans="34:35" ht="17.100000000000001" customHeight="1" x14ac:dyDescent="0.25">
      <c r="AH1121" s="118"/>
      <c r="AI1121" s="120"/>
    </row>
    <row r="1122" spans="34:35" ht="17.100000000000001" customHeight="1" x14ac:dyDescent="0.25">
      <c r="AH1122" s="118"/>
      <c r="AI1122" s="120"/>
    </row>
    <row r="1123" spans="34:35" ht="17.100000000000001" customHeight="1" x14ac:dyDescent="0.25">
      <c r="AH1123" s="118"/>
      <c r="AI1123" s="120"/>
    </row>
    <row r="1124" spans="34:35" ht="17.100000000000001" customHeight="1" x14ac:dyDescent="0.25">
      <c r="AH1124" s="118"/>
      <c r="AI1124" s="120"/>
    </row>
    <row r="1125" spans="34:35" ht="17.100000000000001" customHeight="1" x14ac:dyDescent="0.25">
      <c r="AH1125" s="118"/>
      <c r="AI1125" s="120"/>
    </row>
    <row r="1126" spans="34:35" ht="17.100000000000001" customHeight="1" x14ac:dyDescent="0.25">
      <c r="AH1126" s="118"/>
      <c r="AI1126" s="120"/>
    </row>
    <row r="1127" spans="34:35" ht="17.100000000000001" customHeight="1" x14ac:dyDescent="0.25">
      <c r="AH1127" s="118"/>
      <c r="AI1127" s="120"/>
    </row>
    <row r="1128" spans="34:35" ht="17.100000000000001" customHeight="1" x14ac:dyDescent="0.25">
      <c r="AH1128" s="118"/>
      <c r="AI1128" s="120"/>
    </row>
    <row r="1129" spans="34:35" ht="17.100000000000001" customHeight="1" x14ac:dyDescent="0.25">
      <c r="AH1129" s="118"/>
      <c r="AI1129" s="120"/>
    </row>
    <row r="1130" spans="34:35" ht="17.100000000000001" customHeight="1" x14ac:dyDescent="0.25">
      <c r="AH1130" s="118"/>
      <c r="AI1130" s="120"/>
    </row>
    <row r="1131" spans="34:35" ht="17.100000000000001" customHeight="1" x14ac:dyDescent="0.25">
      <c r="AH1131" s="118"/>
      <c r="AI1131" s="120"/>
    </row>
    <row r="1132" spans="34:35" ht="17.100000000000001" customHeight="1" x14ac:dyDescent="0.25">
      <c r="AH1132" s="118"/>
      <c r="AI1132" s="120"/>
    </row>
    <row r="1133" spans="34:35" ht="17.100000000000001" customHeight="1" x14ac:dyDescent="0.25">
      <c r="AH1133" s="118"/>
      <c r="AI1133" s="120"/>
    </row>
    <row r="1134" spans="34:35" ht="17.100000000000001" customHeight="1" x14ac:dyDescent="0.25">
      <c r="AH1134" s="118"/>
      <c r="AI1134" s="120"/>
    </row>
    <row r="1135" spans="34:35" ht="17.100000000000001" customHeight="1" x14ac:dyDescent="0.25">
      <c r="AH1135" s="118"/>
      <c r="AI1135" s="120"/>
    </row>
    <row r="1136" spans="34:35" ht="17.100000000000001" customHeight="1" x14ac:dyDescent="0.25">
      <c r="AH1136" s="118"/>
      <c r="AI1136" s="120"/>
    </row>
    <row r="1137" spans="34:35" ht="17.100000000000001" customHeight="1" x14ac:dyDescent="0.25">
      <c r="AH1137" s="118"/>
      <c r="AI1137" s="120"/>
    </row>
    <row r="1138" spans="34:35" ht="17.100000000000001" customHeight="1" x14ac:dyDescent="0.25">
      <c r="AH1138" s="118"/>
      <c r="AI1138" s="120"/>
    </row>
    <row r="1139" spans="34:35" ht="17.100000000000001" customHeight="1" x14ac:dyDescent="0.25">
      <c r="AH1139" s="118"/>
      <c r="AI1139" s="120"/>
    </row>
    <row r="1140" spans="34:35" ht="17.100000000000001" customHeight="1" x14ac:dyDescent="0.25">
      <c r="AH1140" s="118"/>
      <c r="AI1140" s="120"/>
    </row>
    <row r="1141" spans="34:35" ht="17.100000000000001" customHeight="1" x14ac:dyDescent="0.25">
      <c r="AH1141" s="118"/>
      <c r="AI1141" s="120"/>
    </row>
    <row r="1142" spans="34:35" ht="17.100000000000001" customHeight="1" x14ac:dyDescent="0.25">
      <c r="AH1142" s="118"/>
      <c r="AI1142" s="120"/>
    </row>
    <row r="1143" spans="34:35" ht="17.100000000000001" customHeight="1" x14ac:dyDescent="0.25">
      <c r="AH1143" s="118"/>
      <c r="AI1143" s="120"/>
    </row>
    <row r="1144" spans="34:35" ht="17.100000000000001" customHeight="1" x14ac:dyDescent="0.25">
      <c r="AH1144" s="118"/>
      <c r="AI1144" s="120"/>
    </row>
    <row r="1145" spans="34:35" ht="17.100000000000001" customHeight="1" x14ac:dyDescent="0.25">
      <c r="AH1145" s="118"/>
      <c r="AI1145" s="120"/>
    </row>
    <row r="1146" spans="34:35" ht="17.100000000000001" customHeight="1" x14ac:dyDescent="0.25">
      <c r="AH1146" s="118"/>
      <c r="AI1146" s="120"/>
    </row>
    <row r="1147" spans="34:35" ht="17.100000000000001" customHeight="1" x14ac:dyDescent="0.25">
      <c r="AH1147" s="118"/>
      <c r="AI1147" s="120"/>
    </row>
    <row r="1148" spans="34:35" ht="17.100000000000001" customHeight="1" x14ac:dyDescent="0.25">
      <c r="AH1148" s="118"/>
      <c r="AI1148" s="120"/>
    </row>
    <row r="1149" spans="34:35" ht="17.100000000000001" customHeight="1" x14ac:dyDescent="0.25">
      <c r="AH1149" s="118"/>
      <c r="AI1149" s="120"/>
    </row>
    <row r="1150" spans="34:35" ht="17.100000000000001" customHeight="1" x14ac:dyDescent="0.25">
      <c r="AH1150" s="118"/>
      <c r="AI1150" s="120"/>
    </row>
    <row r="1151" spans="34:35" ht="17.100000000000001" customHeight="1" x14ac:dyDescent="0.25">
      <c r="AH1151" s="118"/>
      <c r="AI1151" s="120"/>
    </row>
    <row r="1152" spans="34:35" ht="17.100000000000001" customHeight="1" x14ac:dyDescent="0.25">
      <c r="AH1152" s="118"/>
      <c r="AI1152" s="120"/>
    </row>
    <row r="1153" spans="34:35" ht="17.100000000000001" customHeight="1" x14ac:dyDescent="0.25">
      <c r="AH1153" s="118"/>
      <c r="AI1153" s="120"/>
    </row>
    <row r="1154" spans="34:35" ht="17.100000000000001" customHeight="1" x14ac:dyDescent="0.25">
      <c r="AH1154" s="118"/>
      <c r="AI1154" s="120"/>
    </row>
    <row r="1155" spans="34:35" ht="17.100000000000001" customHeight="1" x14ac:dyDescent="0.25">
      <c r="AH1155" s="118"/>
      <c r="AI1155" s="120"/>
    </row>
    <row r="1156" spans="34:35" ht="17.100000000000001" customHeight="1" x14ac:dyDescent="0.25">
      <c r="AH1156" s="118"/>
      <c r="AI1156" s="120"/>
    </row>
    <row r="1157" spans="34:35" ht="17.100000000000001" customHeight="1" x14ac:dyDescent="0.25">
      <c r="AH1157" s="118"/>
      <c r="AI1157" s="120"/>
    </row>
    <row r="1158" spans="34:35" ht="17.100000000000001" customHeight="1" x14ac:dyDescent="0.25">
      <c r="AH1158" s="118"/>
      <c r="AI1158" s="120"/>
    </row>
    <row r="1159" spans="34:35" ht="17.100000000000001" customHeight="1" x14ac:dyDescent="0.25">
      <c r="AH1159" s="118"/>
      <c r="AI1159" s="120"/>
    </row>
    <row r="1160" spans="34:35" ht="17.100000000000001" customHeight="1" x14ac:dyDescent="0.25">
      <c r="AH1160" s="118"/>
      <c r="AI1160" s="120"/>
    </row>
    <row r="1161" spans="34:35" ht="17.100000000000001" customHeight="1" x14ac:dyDescent="0.25">
      <c r="AH1161" s="118"/>
      <c r="AI1161" s="120"/>
    </row>
    <row r="1162" spans="34:35" ht="17.100000000000001" customHeight="1" x14ac:dyDescent="0.25">
      <c r="AH1162" s="118"/>
      <c r="AI1162" s="120"/>
    </row>
    <row r="1163" spans="34:35" ht="17.100000000000001" customHeight="1" x14ac:dyDescent="0.25">
      <c r="AH1163" s="118"/>
      <c r="AI1163" s="120"/>
    </row>
    <row r="1164" spans="34:35" ht="17.100000000000001" customHeight="1" x14ac:dyDescent="0.25">
      <c r="AH1164" s="118"/>
      <c r="AI1164" s="120"/>
    </row>
    <row r="1165" spans="34:35" ht="17.100000000000001" customHeight="1" x14ac:dyDescent="0.25">
      <c r="AH1165" s="118"/>
      <c r="AI1165" s="120"/>
    </row>
    <row r="1166" spans="34:35" ht="17.100000000000001" customHeight="1" x14ac:dyDescent="0.25">
      <c r="AH1166" s="118"/>
      <c r="AI1166" s="120"/>
    </row>
    <row r="1167" spans="34:35" ht="17.100000000000001" customHeight="1" x14ac:dyDescent="0.25">
      <c r="AH1167" s="118"/>
      <c r="AI1167" s="120"/>
    </row>
    <row r="1168" spans="34:35" ht="17.100000000000001" customHeight="1" x14ac:dyDescent="0.25">
      <c r="AH1168" s="118"/>
      <c r="AI1168" s="120"/>
    </row>
    <row r="1169" spans="34:35" ht="17.100000000000001" customHeight="1" x14ac:dyDescent="0.25">
      <c r="AH1169" s="118"/>
      <c r="AI1169" s="120"/>
    </row>
    <row r="1170" spans="34:35" ht="17.100000000000001" customHeight="1" x14ac:dyDescent="0.25">
      <c r="AH1170" s="118"/>
      <c r="AI1170" s="120"/>
    </row>
    <row r="1171" spans="34:35" ht="17.100000000000001" customHeight="1" x14ac:dyDescent="0.25">
      <c r="AH1171" s="118"/>
      <c r="AI1171" s="120"/>
    </row>
    <row r="1172" spans="34:35" ht="17.100000000000001" customHeight="1" x14ac:dyDescent="0.25">
      <c r="AH1172" s="118"/>
      <c r="AI1172" s="120"/>
    </row>
    <row r="1173" spans="34:35" ht="17.100000000000001" customHeight="1" x14ac:dyDescent="0.25">
      <c r="AH1173" s="118"/>
      <c r="AI1173" s="120"/>
    </row>
    <row r="1174" spans="34:35" ht="17.100000000000001" customHeight="1" x14ac:dyDescent="0.25">
      <c r="AH1174" s="118"/>
      <c r="AI1174" s="120"/>
    </row>
    <row r="1175" spans="34:35" ht="17.100000000000001" customHeight="1" x14ac:dyDescent="0.25">
      <c r="AH1175" s="118"/>
      <c r="AI1175" s="120"/>
    </row>
    <row r="1176" spans="34:35" ht="17.100000000000001" customHeight="1" x14ac:dyDescent="0.25">
      <c r="AH1176" s="118"/>
      <c r="AI1176" s="120"/>
    </row>
    <row r="1177" spans="34:35" ht="17.100000000000001" customHeight="1" x14ac:dyDescent="0.25">
      <c r="AH1177" s="118"/>
      <c r="AI1177" s="120"/>
    </row>
    <row r="1178" spans="34:35" ht="17.100000000000001" customHeight="1" x14ac:dyDescent="0.25">
      <c r="AH1178" s="118"/>
      <c r="AI1178" s="120"/>
    </row>
    <row r="1179" spans="34:35" ht="17.100000000000001" customHeight="1" x14ac:dyDescent="0.25">
      <c r="AH1179" s="118"/>
      <c r="AI1179" s="120"/>
    </row>
    <row r="1180" spans="34:35" ht="17.100000000000001" customHeight="1" x14ac:dyDescent="0.25">
      <c r="AH1180" s="118"/>
      <c r="AI1180" s="120"/>
    </row>
    <row r="1181" spans="34:35" ht="17.100000000000001" customHeight="1" x14ac:dyDescent="0.25">
      <c r="AH1181" s="118"/>
      <c r="AI1181" s="120"/>
    </row>
    <row r="1182" spans="34:35" ht="17.100000000000001" customHeight="1" x14ac:dyDescent="0.25">
      <c r="AH1182" s="118"/>
      <c r="AI1182" s="120"/>
    </row>
    <row r="1183" spans="34:35" ht="17.100000000000001" customHeight="1" x14ac:dyDescent="0.25">
      <c r="AH1183" s="118"/>
      <c r="AI1183" s="120"/>
    </row>
    <row r="1184" spans="34:35" ht="17.100000000000001" customHeight="1" x14ac:dyDescent="0.25">
      <c r="AH1184" s="118"/>
      <c r="AI1184" s="120"/>
    </row>
    <row r="1185" spans="34:35" ht="17.100000000000001" customHeight="1" x14ac:dyDescent="0.25">
      <c r="AH1185" s="118"/>
      <c r="AI1185" s="120"/>
    </row>
    <row r="1186" spans="34:35" ht="17.100000000000001" customHeight="1" x14ac:dyDescent="0.25">
      <c r="AH1186" s="118"/>
      <c r="AI1186" s="120"/>
    </row>
    <row r="1187" spans="34:35" ht="17.100000000000001" customHeight="1" x14ac:dyDescent="0.25">
      <c r="AH1187" s="118"/>
      <c r="AI1187" s="120"/>
    </row>
    <row r="1188" spans="34:35" ht="17.100000000000001" customHeight="1" x14ac:dyDescent="0.25">
      <c r="AH1188" s="118"/>
      <c r="AI1188" s="120"/>
    </row>
    <row r="1189" spans="34:35" ht="17.100000000000001" customHeight="1" x14ac:dyDescent="0.25">
      <c r="AH1189" s="118"/>
      <c r="AI1189" s="120"/>
    </row>
    <row r="1190" spans="34:35" ht="17.100000000000001" customHeight="1" x14ac:dyDescent="0.25">
      <c r="AH1190" s="118"/>
      <c r="AI1190" s="120"/>
    </row>
    <row r="1191" spans="34:35" ht="17.100000000000001" customHeight="1" x14ac:dyDescent="0.25">
      <c r="AH1191" s="118"/>
      <c r="AI1191" s="120"/>
    </row>
    <row r="1192" spans="34:35" ht="17.100000000000001" customHeight="1" x14ac:dyDescent="0.25">
      <c r="AH1192" s="118"/>
      <c r="AI1192" s="120"/>
    </row>
    <row r="1193" spans="34:35" ht="17.100000000000001" customHeight="1" x14ac:dyDescent="0.25">
      <c r="AH1193" s="118"/>
      <c r="AI1193" s="120"/>
    </row>
    <row r="1194" spans="34:35" ht="17.100000000000001" customHeight="1" x14ac:dyDescent="0.25">
      <c r="AH1194" s="118"/>
      <c r="AI1194" s="120"/>
    </row>
    <row r="1195" spans="34:35" ht="17.100000000000001" customHeight="1" x14ac:dyDescent="0.25">
      <c r="AH1195" s="118"/>
      <c r="AI1195" s="120"/>
    </row>
    <row r="1196" spans="34:35" ht="17.100000000000001" customHeight="1" x14ac:dyDescent="0.25">
      <c r="AH1196" s="118"/>
      <c r="AI1196" s="120"/>
    </row>
    <row r="1197" spans="34:35" ht="17.100000000000001" customHeight="1" x14ac:dyDescent="0.25">
      <c r="AH1197" s="118"/>
      <c r="AI1197" s="120"/>
    </row>
    <row r="1198" spans="34:35" ht="17.100000000000001" customHeight="1" x14ac:dyDescent="0.25">
      <c r="AH1198" s="118"/>
      <c r="AI1198" s="120"/>
    </row>
    <row r="1199" spans="34:35" ht="17.100000000000001" customHeight="1" x14ac:dyDescent="0.25">
      <c r="AH1199" s="118"/>
      <c r="AI1199" s="120"/>
    </row>
    <row r="1200" spans="34:35" ht="17.100000000000001" customHeight="1" x14ac:dyDescent="0.25">
      <c r="AH1200" s="118"/>
      <c r="AI1200" s="120"/>
    </row>
    <row r="1201" spans="34:35" ht="17.100000000000001" customHeight="1" x14ac:dyDescent="0.25">
      <c r="AH1201" s="118"/>
      <c r="AI1201" s="120"/>
    </row>
    <row r="1202" spans="34:35" ht="17.100000000000001" customHeight="1" x14ac:dyDescent="0.25">
      <c r="AH1202" s="118"/>
      <c r="AI1202" s="120"/>
    </row>
    <row r="1203" spans="34:35" ht="17.100000000000001" customHeight="1" x14ac:dyDescent="0.25">
      <c r="AH1203" s="118"/>
      <c r="AI1203" s="120"/>
    </row>
    <row r="1204" spans="34:35" ht="17.100000000000001" customHeight="1" x14ac:dyDescent="0.25">
      <c r="AH1204" s="118"/>
      <c r="AI1204" s="120"/>
    </row>
    <row r="1205" spans="34:35" ht="17.100000000000001" customHeight="1" x14ac:dyDescent="0.25">
      <c r="AH1205" s="118"/>
      <c r="AI1205" s="120"/>
    </row>
    <row r="1206" spans="34:35" ht="17.100000000000001" customHeight="1" x14ac:dyDescent="0.25">
      <c r="AH1206" s="118"/>
      <c r="AI1206" s="120"/>
    </row>
    <row r="1207" spans="34:35" ht="17.100000000000001" customHeight="1" x14ac:dyDescent="0.25">
      <c r="AH1207" s="118"/>
      <c r="AI1207" s="120"/>
    </row>
    <row r="1208" spans="34:35" ht="17.100000000000001" customHeight="1" x14ac:dyDescent="0.25">
      <c r="AH1208" s="118"/>
      <c r="AI1208" s="120"/>
    </row>
    <row r="1209" spans="34:35" ht="17.100000000000001" customHeight="1" x14ac:dyDescent="0.25">
      <c r="AH1209" s="118"/>
      <c r="AI1209" s="120"/>
    </row>
    <row r="1210" spans="34:35" ht="17.100000000000001" customHeight="1" x14ac:dyDescent="0.25">
      <c r="AH1210" s="118"/>
      <c r="AI1210" s="120"/>
    </row>
    <row r="1211" spans="34:35" ht="17.100000000000001" customHeight="1" x14ac:dyDescent="0.25">
      <c r="AH1211" s="118"/>
      <c r="AI1211" s="120"/>
    </row>
    <row r="1212" spans="34:35" ht="17.100000000000001" customHeight="1" x14ac:dyDescent="0.25">
      <c r="AH1212" s="118"/>
      <c r="AI1212" s="120"/>
    </row>
    <row r="1213" spans="34:35" ht="17.100000000000001" customHeight="1" x14ac:dyDescent="0.25">
      <c r="AH1213" s="118"/>
      <c r="AI1213" s="120"/>
    </row>
    <row r="1214" spans="34:35" ht="17.100000000000001" customHeight="1" x14ac:dyDescent="0.25">
      <c r="AH1214" s="118"/>
      <c r="AI1214" s="120"/>
    </row>
    <row r="1215" spans="34:35" ht="17.100000000000001" customHeight="1" x14ac:dyDescent="0.25">
      <c r="AH1215" s="118"/>
      <c r="AI1215" s="120"/>
    </row>
    <row r="1216" spans="34:35" ht="17.100000000000001" customHeight="1" x14ac:dyDescent="0.25">
      <c r="AH1216" s="118"/>
      <c r="AI1216" s="120"/>
    </row>
    <row r="1217" spans="34:35" ht="17.100000000000001" customHeight="1" x14ac:dyDescent="0.25">
      <c r="AH1217" s="118"/>
      <c r="AI1217" s="120"/>
    </row>
    <row r="1218" spans="34:35" ht="17.100000000000001" customHeight="1" x14ac:dyDescent="0.25">
      <c r="AH1218" s="118"/>
      <c r="AI1218" s="120"/>
    </row>
    <row r="1219" spans="34:35" ht="17.100000000000001" customHeight="1" x14ac:dyDescent="0.25">
      <c r="AH1219" s="118"/>
      <c r="AI1219" s="120"/>
    </row>
    <row r="1220" spans="34:35" ht="17.100000000000001" customHeight="1" x14ac:dyDescent="0.25">
      <c r="AH1220" s="118"/>
      <c r="AI1220" s="120"/>
    </row>
    <row r="1221" spans="34:35" ht="17.100000000000001" customHeight="1" x14ac:dyDescent="0.25">
      <c r="AH1221" s="118"/>
      <c r="AI1221" s="120"/>
    </row>
    <row r="1222" spans="34:35" ht="17.100000000000001" customHeight="1" x14ac:dyDescent="0.25">
      <c r="AH1222" s="118"/>
      <c r="AI1222" s="120"/>
    </row>
    <row r="1223" spans="34:35" ht="17.100000000000001" customHeight="1" x14ac:dyDescent="0.25">
      <c r="AH1223" s="118"/>
      <c r="AI1223" s="120"/>
    </row>
    <row r="1224" spans="34:35" ht="17.100000000000001" customHeight="1" x14ac:dyDescent="0.25">
      <c r="AH1224" s="118"/>
      <c r="AI1224" s="120"/>
    </row>
    <row r="1225" spans="34:35" ht="17.100000000000001" customHeight="1" x14ac:dyDescent="0.25">
      <c r="AH1225" s="118"/>
      <c r="AI1225" s="120"/>
    </row>
    <row r="1226" spans="34:35" ht="17.100000000000001" customHeight="1" x14ac:dyDescent="0.25">
      <c r="AH1226" s="118"/>
      <c r="AI1226" s="120"/>
    </row>
    <row r="1227" spans="34:35" ht="17.100000000000001" customHeight="1" x14ac:dyDescent="0.25">
      <c r="AH1227" s="118"/>
      <c r="AI1227" s="120"/>
    </row>
    <row r="1228" spans="34:35" ht="17.100000000000001" customHeight="1" x14ac:dyDescent="0.25">
      <c r="AH1228" s="118"/>
      <c r="AI1228" s="120"/>
    </row>
    <row r="1229" spans="34:35" ht="17.100000000000001" customHeight="1" x14ac:dyDescent="0.25">
      <c r="AH1229" s="118"/>
      <c r="AI1229" s="120"/>
    </row>
    <row r="1230" spans="34:35" ht="17.100000000000001" customHeight="1" x14ac:dyDescent="0.25">
      <c r="AH1230" s="118"/>
      <c r="AI1230" s="120"/>
    </row>
    <row r="1231" spans="34:35" ht="17.100000000000001" customHeight="1" x14ac:dyDescent="0.25">
      <c r="AH1231" s="118"/>
      <c r="AI1231" s="120"/>
    </row>
    <row r="1232" spans="34:35" ht="17.100000000000001" customHeight="1" x14ac:dyDescent="0.25">
      <c r="AH1232" s="118"/>
      <c r="AI1232" s="120"/>
    </row>
    <row r="1233" spans="34:35" ht="17.100000000000001" customHeight="1" x14ac:dyDescent="0.25">
      <c r="AH1233" s="118"/>
      <c r="AI1233" s="120"/>
    </row>
    <row r="1234" spans="34:35" ht="17.100000000000001" customHeight="1" x14ac:dyDescent="0.25">
      <c r="AH1234" s="118"/>
      <c r="AI1234" s="120"/>
    </row>
    <row r="1235" spans="34:35" ht="17.100000000000001" customHeight="1" x14ac:dyDescent="0.25">
      <c r="AH1235" s="118"/>
      <c r="AI1235" s="120"/>
    </row>
    <row r="1236" spans="34:35" ht="17.100000000000001" customHeight="1" x14ac:dyDescent="0.25">
      <c r="AH1236" s="118"/>
      <c r="AI1236" s="120"/>
    </row>
    <row r="1237" spans="34:35" ht="17.100000000000001" customHeight="1" x14ac:dyDescent="0.25">
      <c r="AH1237" s="118"/>
      <c r="AI1237" s="120"/>
    </row>
    <row r="1238" spans="34:35" ht="17.100000000000001" customHeight="1" x14ac:dyDescent="0.25">
      <c r="AH1238" s="118"/>
      <c r="AI1238" s="120"/>
    </row>
    <row r="1239" spans="34:35" ht="17.100000000000001" customHeight="1" x14ac:dyDescent="0.25">
      <c r="AH1239" s="118"/>
      <c r="AI1239" s="120"/>
    </row>
    <row r="1240" spans="34:35" ht="17.100000000000001" customHeight="1" x14ac:dyDescent="0.25">
      <c r="AH1240" s="118"/>
      <c r="AI1240" s="120"/>
    </row>
    <row r="1241" spans="34:35" ht="17.100000000000001" customHeight="1" x14ac:dyDescent="0.25">
      <c r="AH1241" s="118"/>
      <c r="AI1241" s="120"/>
    </row>
    <row r="1242" spans="34:35" ht="17.100000000000001" customHeight="1" x14ac:dyDescent="0.25">
      <c r="AH1242" s="118"/>
      <c r="AI1242" s="120"/>
    </row>
    <row r="1243" spans="34:35" ht="17.100000000000001" customHeight="1" x14ac:dyDescent="0.25">
      <c r="AH1243" s="118"/>
      <c r="AI1243" s="120"/>
    </row>
    <row r="1244" spans="34:35" ht="17.100000000000001" customHeight="1" x14ac:dyDescent="0.25">
      <c r="AH1244" s="118"/>
      <c r="AI1244" s="120"/>
    </row>
    <row r="1245" spans="34:35" ht="17.100000000000001" customHeight="1" x14ac:dyDescent="0.25">
      <c r="AH1245" s="118"/>
      <c r="AI1245" s="120"/>
    </row>
    <row r="1246" spans="34:35" ht="17.100000000000001" customHeight="1" x14ac:dyDescent="0.25">
      <c r="AH1246" s="118"/>
      <c r="AI1246" s="120"/>
    </row>
    <row r="1247" spans="34:35" ht="17.100000000000001" customHeight="1" x14ac:dyDescent="0.25">
      <c r="AH1247" s="118"/>
      <c r="AI1247" s="120"/>
    </row>
    <row r="1248" spans="34:35" ht="17.100000000000001" customHeight="1" x14ac:dyDescent="0.25">
      <c r="AH1248" s="118"/>
      <c r="AI1248" s="120"/>
    </row>
    <row r="1249" spans="34:35" ht="17.100000000000001" customHeight="1" x14ac:dyDescent="0.25">
      <c r="AH1249" s="118"/>
      <c r="AI1249" s="120"/>
    </row>
    <row r="1250" spans="34:35" ht="17.100000000000001" customHeight="1" x14ac:dyDescent="0.25">
      <c r="AH1250" s="118"/>
      <c r="AI1250" s="120"/>
    </row>
    <row r="1251" spans="34:35" ht="17.100000000000001" customHeight="1" x14ac:dyDescent="0.25">
      <c r="AH1251" s="118"/>
      <c r="AI1251" s="120"/>
    </row>
    <row r="1252" spans="34:35" ht="17.100000000000001" customHeight="1" x14ac:dyDescent="0.25">
      <c r="AH1252" s="118"/>
      <c r="AI1252" s="120"/>
    </row>
    <row r="1253" spans="34:35" ht="17.100000000000001" customHeight="1" x14ac:dyDescent="0.25">
      <c r="AH1253" s="118"/>
      <c r="AI1253" s="120"/>
    </row>
    <row r="1254" spans="34:35" ht="17.100000000000001" customHeight="1" x14ac:dyDescent="0.25">
      <c r="AH1254" s="118"/>
      <c r="AI1254" s="120"/>
    </row>
    <row r="1255" spans="34:35" ht="17.100000000000001" customHeight="1" x14ac:dyDescent="0.25">
      <c r="AH1255" s="118"/>
      <c r="AI1255" s="120"/>
    </row>
    <row r="1256" spans="34:35" ht="17.100000000000001" customHeight="1" x14ac:dyDescent="0.25">
      <c r="AH1256" s="118"/>
      <c r="AI1256" s="120"/>
    </row>
    <row r="1257" spans="34:35" ht="17.100000000000001" customHeight="1" x14ac:dyDescent="0.25">
      <c r="AH1257" s="118"/>
      <c r="AI1257" s="120"/>
    </row>
    <row r="1258" spans="34:35" ht="17.100000000000001" customHeight="1" x14ac:dyDescent="0.25">
      <c r="AH1258" s="118"/>
      <c r="AI1258" s="120"/>
    </row>
    <row r="1259" spans="34:35" ht="17.100000000000001" customHeight="1" x14ac:dyDescent="0.25">
      <c r="AH1259" s="118"/>
      <c r="AI1259" s="120"/>
    </row>
    <row r="1260" spans="34:35" ht="17.100000000000001" customHeight="1" x14ac:dyDescent="0.25">
      <c r="AH1260" s="118"/>
      <c r="AI1260" s="120"/>
    </row>
    <row r="1261" spans="34:35" ht="17.100000000000001" customHeight="1" x14ac:dyDescent="0.25">
      <c r="AH1261" s="118"/>
      <c r="AI1261" s="120"/>
    </row>
    <row r="1262" spans="34:35" ht="17.100000000000001" customHeight="1" x14ac:dyDescent="0.25">
      <c r="AH1262" s="118"/>
      <c r="AI1262" s="120"/>
    </row>
    <row r="1263" spans="34:35" ht="17.100000000000001" customHeight="1" x14ac:dyDescent="0.25">
      <c r="AH1263" s="118"/>
      <c r="AI1263" s="120"/>
    </row>
    <row r="1264" spans="34:35" ht="17.100000000000001" customHeight="1" x14ac:dyDescent="0.25">
      <c r="AH1264" s="118"/>
      <c r="AI1264" s="120"/>
    </row>
    <row r="1265" spans="34:35" ht="17.100000000000001" customHeight="1" x14ac:dyDescent="0.25">
      <c r="AH1265" s="118"/>
      <c r="AI1265" s="120"/>
    </row>
    <row r="1266" spans="34:35" ht="17.100000000000001" customHeight="1" x14ac:dyDescent="0.25">
      <c r="AH1266" s="118"/>
      <c r="AI1266" s="120"/>
    </row>
    <row r="1267" spans="34:35" ht="17.100000000000001" customHeight="1" x14ac:dyDescent="0.25">
      <c r="AH1267" s="118"/>
      <c r="AI1267" s="120"/>
    </row>
    <row r="1268" spans="34:35" ht="17.100000000000001" customHeight="1" x14ac:dyDescent="0.25">
      <c r="AH1268" s="118"/>
      <c r="AI1268" s="120"/>
    </row>
    <row r="1269" spans="34:35" ht="17.100000000000001" customHeight="1" x14ac:dyDescent="0.25">
      <c r="AH1269" s="118"/>
      <c r="AI1269" s="120"/>
    </row>
    <row r="1270" spans="34:35" ht="17.100000000000001" customHeight="1" x14ac:dyDescent="0.25">
      <c r="AH1270" s="118"/>
      <c r="AI1270" s="120"/>
    </row>
    <row r="1271" spans="34:35" ht="17.100000000000001" customHeight="1" x14ac:dyDescent="0.25">
      <c r="AH1271" s="118"/>
      <c r="AI1271" s="120"/>
    </row>
    <row r="1272" spans="34:35" ht="17.100000000000001" customHeight="1" x14ac:dyDescent="0.25">
      <c r="AH1272" s="118"/>
      <c r="AI1272" s="120"/>
    </row>
    <row r="1273" spans="34:35" ht="17.100000000000001" customHeight="1" x14ac:dyDescent="0.25">
      <c r="AH1273" s="118"/>
      <c r="AI1273" s="120"/>
    </row>
    <row r="1274" spans="34:35" ht="17.100000000000001" customHeight="1" x14ac:dyDescent="0.25">
      <c r="AH1274" s="118"/>
      <c r="AI1274" s="120"/>
    </row>
    <row r="1275" spans="34:35" ht="17.100000000000001" customHeight="1" x14ac:dyDescent="0.25">
      <c r="AH1275" s="118"/>
      <c r="AI1275" s="120"/>
    </row>
    <row r="1276" spans="34:35" ht="17.100000000000001" customHeight="1" x14ac:dyDescent="0.25">
      <c r="AH1276" s="118"/>
      <c r="AI1276" s="120"/>
    </row>
    <row r="1277" spans="34:35" ht="17.100000000000001" customHeight="1" x14ac:dyDescent="0.25">
      <c r="AH1277" s="118"/>
      <c r="AI1277" s="120"/>
    </row>
    <row r="1278" spans="34:35" ht="17.100000000000001" customHeight="1" x14ac:dyDescent="0.25">
      <c r="AH1278" s="118"/>
      <c r="AI1278" s="120"/>
    </row>
    <row r="1279" spans="34:35" ht="17.100000000000001" customHeight="1" x14ac:dyDescent="0.25">
      <c r="AH1279" s="118"/>
      <c r="AI1279" s="120"/>
    </row>
    <row r="1280" spans="34:35" ht="17.100000000000001" customHeight="1" x14ac:dyDescent="0.25">
      <c r="AH1280" s="118"/>
      <c r="AI1280" s="120"/>
    </row>
    <row r="1281" spans="34:35" ht="17.100000000000001" customHeight="1" x14ac:dyDescent="0.25">
      <c r="AH1281" s="118"/>
      <c r="AI1281" s="120"/>
    </row>
    <row r="1282" spans="34:35" ht="17.100000000000001" customHeight="1" x14ac:dyDescent="0.25">
      <c r="AH1282" s="118"/>
      <c r="AI1282" s="120"/>
    </row>
    <row r="1283" spans="34:35" ht="17.100000000000001" customHeight="1" x14ac:dyDescent="0.25">
      <c r="AH1283" s="118"/>
      <c r="AI1283" s="120"/>
    </row>
    <row r="1284" spans="34:35" ht="17.100000000000001" customHeight="1" x14ac:dyDescent="0.25">
      <c r="AH1284" s="118"/>
      <c r="AI1284" s="120"/>
    </row>
    <row r="1285" spans="34:35" ht="17.100000000000001" customHeight="1" x14ac:dyDescent="0.25">
      <c r="AH1285" s="118"/>
      <c r="AI1285" s="120"/>
    </row>
    <row r="1286" spans="34:35" ht="17.100000000000001" customHeight="1" x14ac:dyDescent="0.25">
      <c r="AH1286" s="118"/>
      <c r="AI1286" s="120"/>
    </row>
    <row r="1287" spans="34:35" ht="17.100000000000001" customHeight="1" x14ac:dyDescent="0.25">
      <c r="AH1287" s="118"/>
      <c r="AI1287" s="120"/>
    </row>
    <row r="1288" spans="34:35" ht="17.100000000000001" customHeight="1" x14ac:dyDescent="0.25">
      <c r="AH1288" s="118"/>
      <c r="AI1288" s="120"/>
    </row>
    <row r="1289" spans="34:35" ht="17.100000000000001" customHeight="1" x14ac:dyDescent="0.25">
      <c r="AH1289" s="118"/>
      <c r="AI1289" s="120"/>
    </row>
    <row r="1290" spans="34:35" ht="17.100000000000001" customHeight="1" x14ac:dyDescent="0.25">
      <c r="AH1290" s="118"/>
      <c r="AI1290" s="120"/>
    </row>
    <row r="1291" spans="34:35" ht="17.100000000000001" customHeight="1" x14ac:dyDescent="0.25">
      <c r="AH1291" s="118"/>
      <c r="AI1291" s="120"/>
    </row>
    <row r="1292" spans="34:35" ht="17.100000000000001" customHeight="1" x14ac:dyDescent="0.25">
      <c r="AH1292" s="118"/>
      <c r="AI1292" s="120"/>
    </row>
    <row r="1293" spans="34:35" ht="17.100000000000001" customHeight="1" x14ac:dyDescent="0.25">
      <c r="AH1293" s="118"/>
      <c r="AI1293" s="120"/>
    </row>
    <row r="1294" spans="34:35" ht="17.100000000000001" customHeight="1" x14ac:dyDescent="0.25">
      <c r="AH1294" s="118"/>
      <c r="AI1294" s="120"/>
    </row>
    <row r="1295" spans="34:35" ht="17.100000000000001" customHeight="1" x14ac:dyDescent="0.25">
      <c r="AH1295" s="118"/>
      <c r="AI1295" s="120"/>
    </row>
    <row r="1296" spans="34:35" ht="17.100000000000001" customHeight="1" x14ac:dyDescent="0.25">
      <c r="AH1296" s="118"/>
      <c r="AI1296" s="120"/>
    </row>
    <row r="1297" spans="34:35" ht="17.100000000000001" customHeight="1" x14ac:dyDescent="0.25">
      <c r="AH1297" s="118"/>
      <c r="AI1297" s="120"/>
    </row>
    <row r="1298" spans="34:35" ht="17.100000000000001" customHeight="1" x14ac:dyDescent="0.25">
      <c r="AH1298" s="118"/>
      <c r="AI1298" s="120"/>
    </row>
    <row r="1299" spans="34:35" ht="17.100000000000001" customHeight="1" x14ac:dyDescent="0.25">
      <c r="AH1299" s="118"/>
      <c r="AI1299" s="120"/>
    </row>
    <row r="1300" spans="34:35" ht="17.100000000000001" customHeight="1" x14ac:dyDescent="0.25">
      <c r="AH1300" s="118"/>
      <c r="AI1300" s="120"/>
    </row>
    <row r="1301" spans="34:35" ht="17.100000000000001" customHeight="1" x14ac:dyDescent="0.25">
      <c r="AH1301" s="118"/>
      <c r="AI1301" s="120"/>
    </row>
    <row r="1302" spans="34:35" ht="17.100000000000001" customHeight="1" x14ac:dyDescent="0.25">
      <c r="AH1302" s="118"/>
      <c r="AI1302" s="120"/>
    </row>
    <row r="1303" spans="34:35" ht="17.100000000000001" customHeight="1" x14ac:dyDescent="0.25">
      <c r="AH1303" s="118"/>
      <c r="AI1303" s="120"/>
    </row>
    <row r="1304" spans="34:35" ht="17.100000000000001" customHeight="1" x14ac:dyDescent="0.25">
      <c r="AH1304" s="118"/>
      <c r="AI1304" s="120"/>
    </row>
    <row r="1305" spans="34:35" ht="17.100000000000001" customHeight="1" x14ac:dyDescent="0.25">
      <c r="AH1305" s="118"/>
      <c r="AI1305" s="120"/>
    </row>
    <row r="1306" spans="34:35" ht="17.100000000000001" customHeight="1" x14ac:dyDescent="0.25">
      <c r="AH1306" s="118"/>
      <c r="AI1306" s="120"/>
    </row>
    <row r="1307" spans="34:35" ht="17.100000000000001" customHeight="1" x14ac:dyDescent="0.25">
      <c r="AH1307" s="118"/>
      <c r="AI1307" s="120"/>
    </row>
    <row r="1308" spans="34:35" ht="17.100000000000001" customHeight="1" x14ac:dyDescent="0.25">
      <c r="AH1308" s="118"/>
      <c r="AI1308" s="120"/>
    </row>
    <row r="1309" spans="34:35" ht="17.100000000000001" customHeight="1" x14ac:dyDescent="0.25">
      <c r="AH1309" s="118"/>
      <c r="AI1309" s="120"/>
    </row>
    <row r="1310" spans="34:35" ht="17.100000000000001" customHeight="1" x14ac:dyDescent="0.25">
      <c r="AH1310" s="118"/>
      <c r="AI1310" s="120"/>
    </row>
    <row r="1311" spans="34:35" ht="17.100000000000001" customHeight="1" x14ac:dyDescent="0.25">
      <c r="AH1311" s="118"/>
      <c r="AI1311" s="120"/>
    </row>
    <row r="1312" spans="34:35" ht="17.100000000000001" customHeight="1" x14ac:dyDescent="0.25">
      <c r="AH1312" s="118"/>
      <c r="AI1312" s="120"/>
    </row>
    <row r="1313" spans="34:35" ht="17.100000000000001" customHeight="1" x14ac:dyDescent="0.25">
      <c r="AH1313" s="118"/>
      <c r="AI1313" s="120"/>
    </row>
    <row r="1314" spans="34:35" ht="17.100000000000001" customHeight="1" x14ac:dyDescent="0.25">
      <c r="AH1314" s="118"/>
      <c r="AI1314" s="120"/>
    </row>
    <row r="1315" spans="34:35" ht="17.100000000000001" customHeight="1" x14ac:dyDescent="0.25">
      <c r="AH1315" s="118"/>
      <c r="AI1315" s="120"/>
    </row>
    <row r="1316" spans="34:35" ht="17.100000000000001" customHeight="1" x14ac:dyDescent="0.25">
      <c r="AH1316" s="118"/>
      <c r="AI1316" s="120"/>
    </row>
    <row r="1317" spans="34:35" ht="17.100000000000001" customHeight="1" x14ac:dyDescent="0.25">
      <c r="AH1317" s="118"/>
      <c r="AI1317" s="120"/>
    </row>
    <row r="1318" spans="34:35" ht="17.100000000000001" customHeight="1" x14ac:dyDescent="0.25">
      <c r="AH1318" s="118"/>
      <c r="AI1318" s="120"/>
    </row>
    <row r="1319" spans="34:35" ht="17.100000000000001" customHeight="1" x14ac:dyDescent="0.25">
      <c r="AH1319" s="118"/>
      <c r="AI1319" s="120"/>
    </row>
    <row r="1320" spans="34:35" ht="17.100000000000001" customHeight="1" x14ac:dyDescent="0.25">
      <c r="AH1320" s="118"/>
      <c r="AI1320" s="120"/>
    </row>
    <row r="1321" spans="34:35" ht="17.100000000000001" customHeight="1" x14ac:dyDescent="0.25">
      <c r="AH1321" s="118"/>
      <c r="AI1321" s="120"/>
    </row>
    <row r="1322" spans="34:35" ht="17.100000000000001" customHeight="1" x14ac:dyDescent="0.25">
      <c r="AH1322" s="118"/>
      <c r="AI1322" s="120"/>
    </row>
    <row r="1323" spans="34:35" ht="17.100000000000001" customHeight="1" x14ac:dyDescent="0.25">
      <c r="AH1323" s="118"/>
      <c r="AI1323" s="120"/>
    </row>
    <row r="1324" spans="34:35" ht="17.100000000000001" customHeight="1" x14ac:dyDescent="0.25">
      <c r="AH1324" s="118"/>
      <c r="AI1324" s="120"/>
    </row>
    <row r="1325" spans="34:35" ht="17.100000000000001" customHeight="1" x14ac:dyDescent="0.25">
      <c r="AH1325" s="118"/>
      <c r="AI1325" s="120"/>
    </row>
    <row r="1326" spans="34:35" ht="17.100000000000001" customHeight="1" x14ac:dyDescent="0.25">
      <c r="AH1326" s="118"/>
      <c r="AI1326" s="120"/>
    </row>
    <row r="1327" spans="34:35" ht="17.100000000000001" customHeight="1" x14ac:dyDescent="0.25">
      <c r="AH1327" s="118"/>
      <c r="AI1327" s="120"/>
    </row>
    <row r="1328" spans="34:35" ht="17.100000000000001" customHeight="1" x14ac:dyDescent="0.25">
      <c r="AH1328" s="118"/>
      <c r="AI1328" s="120"/>
    </row>
    <row r="1329" spans="34:35" ht="17.100000000000001" customHeight="1" x14ac:dyDescent="0.25">
      <c r="AH1329" s="118"/>
      <c r="AI1329" s="120"/>
    </row>
    <row r="1330" spans="34:35" ht="17.100000000000001" customHeight="1" x14ac:dyDescent="0.25">
      <c r="AH1330" s="118"/>
      <c r="AI1330" s="120"/>
    </row>
    <row r="1331" spans="34:35" ht="17.100000000000001" customHeight="1" x14ac:dyDescent="0.25">
      <c r="AH1331" s="118"/>
      <c r="AI1331" s="120"/>
    </row>
    <row r="1332" spans="34:35" ht="17.100000000000001" customHeight="1" x14ac:dyDescent="0.25">
      <c r="AH1332" s="118"/>
      <c r="AI1332" s="120"/>
    </row>
    <row r="1333" spans="34:35" ht="17.100000000000001" customHeight="1" x14ac:dyDescent="0.25">
      <c r="AH1333" s="118"/>
      <c r="AI1333" s="120"/>
    </row>
    <row r="1334" spans="34:35" ht="17.100000000000001" customHeight="1" x14ac:dyDescent="0.25">
      <c r="AH1334" s="118"/>
      <c r="AI1334" s="120"/>
    </row>
    <row r="1335" spans="34:35" ht="17.100000000000001" customHeight="1" x14ac:dyDescent="0.25">
      <c r="AH1335" s="118"/>
      <c r="AI1335" s="120"/>
    </row>
    <row r="1336" spans="34:35" ht="17.100000000000001" customHeight="1" x14ac:dyDescent="0.25">
      <c r="AH1336" s="118"/>
      <c r="AI1336" s="120"/>
    </row>
    <row r="1337" spans="34:35" ht="17.100000000000001" customHeight="1" x14ac:dyDescent="0.25">
      <c r="AH1337" s="118"/>
      <c r="AI1337" s="120"/>
    </row>
    <row r="1338" spans="34:35" ht="17.100000000000001" customHeight="1" x14ac:dyDescent="0.25">
      <c r="AH1338" s="118"/>
      <c r="AI1338" s="120"/>
    </row>
    <row r="1339" spans="34:35" ht="17.100000000000001" customHeight="1" x14ac:dyDescent="0.25">
      <c r="AH1339" s="118"/>
      <c r="AI1339" s="120"/>
    </row>
    <row r="1340" spans="34:35" ht="17.100000000000001" customHeight="1" x14ac:dyDescent="0.25">
      <c r="AH1340" s="118"/>
      <c r="AI1340" s="120"/>
    </row>
    <row r="1341" spans="34:35" ht="17.100000000000001" customHeight="1" x14ac:dyDescent="0.25">
      <c r="AH1341" s="118"/>
      <c r="AI1341" s="120"/>
    </row>
    <row r="1342" spans="34:35" ht="17.100000000000001" customHeight="1" x14ac:dyDescent="0.25">
      <c r="AH1342" s="118"/>
      <c r="AI1342" s="120"/>
    </row>
    <row r="1343" spans="34:35" ht="17.100000000000001" customHeight="1" x14ac:dyDescent="0.25">
      <c r="AH1343" s="118"/>
      <c r="AI1343" s="120"/>
    </row>
    <row r="1344" spans="34:35" ht="17.100000000000001" customHeight="1" x14ac:dyDescent="0.25">
      <c r="AH1344" s="118"/>
      <c r="AI1344" s="120"/>
    </row>
    <row r="1345" spans="34:35" ht="17.100000000000001" customHeight="1" x14ac:dyDescent="0.25">
      <c r="AH1345" s="118"/>
      <c r="AI1345" s="120"/>
    </row>
    <row r="1346" spans="34:35" ht="17.100000000000001" customHeight="1" x14ac:dyDescent="0.25">
      <c r="AH1346" s="118"/>
      <c r="AI1346" s="120"/>
    </row>
    <row r="1347" spans="34:35" ht="17.100000000000001" customHeight="1" x14ac:dyDescent="0.25">
      <c r="AH1347" s="118"/>
      <c r="AI1347" s="120"/>
    </row>
    <row r="1348" spans="34:35" ht="17.100000000000001" customHeight="1" x14ac:dyDescent="0.25">
      <c r="AH1348" s="118"/>
      <c r="AI1348" s="120"/>
    </row>
    <row r="1349" spans="34:35" ht="17.100000000000001" customHeight="1" x14ac:dyDescent="0.25">
      <c r="AH1349" s="118"/>
      <c r="AI1349" s="120"/>
    </row>
    <row r="1350" spans="34:35" ht="17.100000000000001" customHeight="1" x14ac:dyDescent="0.25">
      <c r="AH1350" s="118"/>
      <c r="AI1350" s="120"/>
    </row>
    <row r="1351" spans="34:35" ht="17.100000000000001" customHeight="1" x14ac:dyDescent="0.25">
      <c r="AH1351" s="118"/>
      <c r="AI1351" s="120"/>
    </row>
    <row r="1352" spans="34:35" ht="17.100000000000001" customHeight="1" x14ac:dyDescent="0.25">
      <c r="AH1352" s="118"/>
      <c r="AI1352" s="120"/>
    </row>
    <row r="1353" spans="34:35" ht="17.100000000000001" customHeight="1" x14ac:dyDescent="0.25">
      <c r="AH1353" s="118"/>
      <c r="AI1353" s="120"/>
    </row>
    <row r="1354" spans="34:35" ht="17.100000000000001" customHeight="1" x14ac:dyDescent="0.25">
      <c r="AH1354" s="118"/>
      <c r="AI1354" s="120"/>
    </row>
    <row r="1355" spans="34:35" ht="17.100000000000001" customHeight="1" x14ac:dyDescent="0.25">
      <c r="AH1355" s="118"/>
      <c r="AI1355" s="120"/>
    </row>
    <row r="1356" spans="34:35" ht="17.100000000000001" customHeight="1" x14ac:dyDescent="0.25">
      <c r="AH1356" s="118"/>
      <c r="AI1356" s="120"/>
    </row>
    <row r="1357" spans="34:35" ht="17.100000000000001" customHeight="1" x14ac:dyDescent="0.25">
      <c r="AH1357" s="118"/>
      <c r="AI1357" s="120"/>
    </row>
    <row r="1358" spans="34:35" ht="17.100000000000001" customHeight="1" x14ac:dyDescent="0.25">
      <c r="AH1358" s="118"/>
      <c r="AI1358" s="120"/>
    </row>
    <row r="1359" spans="34:35" ht="17.100000000000001" customHeight="1" x14ac:dyDescent="0.25">
      <c r="AH1359" s="118"/>
      <c r="AI1359" s="120"/>
    </row>
    <row r="1360" spans="34:35" ht="17.100000000000001" customHeight="1" x14ac:dyDescent="0.25">
      <c r="AH1360" s="118"/>
      <c r="AI1360" s="120"/>
    </row>
    <row r="1361" spans="34:35" ht="17.100000000000001" customHeight="1" x14ac:dyDescent="0.25">
      <c r="AH1361" s="118"/>
      <c r="AI1361" s="120"/>
    </row>
    <row r="1362" spans="34:35" ht="17.100000000000001" customHeight="1" x14ac:dyDescent="0.25">
      <c r="AH1362" s="118"/>
      <c r="AI1362" s="120"/>
    </row>
    <row r="1363" spans="34:35" ht="17.100000000000001" customHeight="1" x14ac:dyDescent="0.25">
      <c r="AH1363" s="118"/>
      <c r="AI1363" s="120"/>
    </row>
    <row r="1364" spans="34:35" ht="17.100000000000001" customHeight="1" x14ac:dyDescent="0.25">
      <c r="AH1364" s="118"/>
      <c r="AI1364" s="120"/>
    </row>
    <row r="1365" spans="34:35" ht="17.100000000000001" customHeight="1" x14ac:dyDescent="0.25">
      <c r="AH1365" s="118"/>
      <c r="AI1365" s="120"/>
    </row>
    <row r="1366" spans="34:35" ht="17.100000000000001" customHeight="1" x14ac:dyDescent="0.25">
      <c r="AH1366" s="118"/>
      <c r="AI1366" s="120"/>
    </row>
    <row r="1367" spans="34:35" ht="17.100000000000001" customHeight="1" x14ac:dyDescent="0.25">
      <c r="AH1367" s="118"/>
      <c r="AI1367" s="120"/>
    </row>
    <row r="1368" spans="34:35" ht="17.100000000000001" customHeight="1" x14ac:dyDescent="0.25">
      <c r="AH1368" s="118"/>
      <c r="AI1368" s="120"/>
    </row>
    <row r="1369" spans="34:35" ht="17.100000000000001" customHeight="1" x14ac:dyDescent="0.25">
      <c r="AH1369" s="118"/>
      <c r="AI1369" s="120"/>
    </row>
    <row r="1370" spans="34:35" ht="17.100000000000001" customHeight="1" x14ac:dyDescent="0.25">
      <c r="AH1370" s="118"/>
      <c r="AI1370" s="120"/>
    </row>
    <row r="1371" spans="34:35" ht="17.100000000000001" customHeight="1" x14ac:dyDescent="0.25">
      <c r="AH1371" s="118"/>
      <c r="AI1371" s="120"/>
    </row>
    <row r="1372" spans="34:35" ht="17.100000000000001" customHeight="1" x14ac:dyDescent="0.25">
      <c r="AH1372" s="118"/>
      <c r="AI1372" s="120"/>
    </row>
    <row r="1373" spans="34:35" ht="17.100000000000001" customHeight="1" x14ac:dyDescent="0.25">
      <c r="AH1373" s="118"/>
      <c r="AI1373" s="120"/>
    </row>
    <row r="1374" spans="34:35" ht="17.100000000000001" customHeight="1" x14ac:dyDescent="0.25">
      <c r="AH1374" s="118"/>
      <c r="AI1374" s="120"/>
    </row>
    <row r="1375" spans="34:35" ht="17.100000000000001" customHeight="1" x14ac:dyDescent="0.25">
      <c r="AH1375" s="118"/>
      <c r="AI1375" s="120"/>
    </row>
    <row r="1376" spans="34:35" ht="17.100000000000001" customHeight="1" x14ac:dyDescent="0.25">
      <c r="AH1376" s="118"/>
      <c r="AI1376" s="120"/>
    </row>
    <row r="1377" spans="34:35" ht="17.100000000000001" customHeight="1" x14ac:dyDescent="0.25">
      <c r="AH1377" s="118"/>
      <c r="AI1377" s="120"/>
    </row>
    <row r="1378" spans="34:35" ht="17.100000000000001" customHeight="1" x14ac:dyDescent="0.25">
      <c r="AH1378" s="118"/>
      <c r="AI1378" s="120"/>
    </row>
    <row r="1379" spans="34:35" ht="17.100000000000001" customHeight="1" x14ac:dyDescent="0.25">
      <c r="AH1379" s="118"/>
      <c r="AI1379" s="120"/>
    </row>
    <row r="1380" spans="34:35" ht="17.100000000000001" customHeight="1" x14ac:dyDescent="0.25">
      <c r="AH1380" s="118"/>
      <c r="AI1380" s="120"/>
    </row>
    <row r="1381" spans="34:35" ht="17.100000000000001" customHeight="1" x14ac:dyDescent="0.25">
      <c r="AH1381" s="118"/>
      <c r="AI1381" s="120"/>
    </row>
    <row r="1382" spans="34:35" ht="17.100000000000001" customHeight="1" x14ac:dyDescent="0.25">
      <c r="AH1382" s="118"/>
      <c r="AI1382" s="120"/>
    </row>
    <row r="1383" spans="34:35" ht="17.100000000000001" customHeight="1" x14ac:dyDescent="0.25">
      <c r="AH1383" s="118"/>
      <c r="AI1383" s="120"/>
    </row>
    <row r="1384" spans="34:35" ht="17.100000000000001" customHeight="1" x14ac:dyDescent="0.25">
      <c r="AH1384" s="118"/>
      <c r="AI1384" s="120"/>
    </row>
    <row r="1385" spans="34:35" ht="17.100000000000001" customHeight="1" x14ac:dyDescent="0.25">
      <c r="AH1385" s="118"/>
      <c r="AI1385" s="120"/>
    </row>
    <row r="1386" spans="34:35" ht="17.100000000000001" customHeight="1" x14ac:dyDescent="0.25">
      <c r="AH1386" s="118"/>
      <c r="AI1386" s="120"/>
    </row>
    <row r="1387" spans="34:35" ht="17.100000000000001" customHeight="1" x14ac:dyDescent="0.25">
      <c r="AH1387" s="118"/>
      <c r="AI1387" s="120"/>
    </row>
    <row r="1388" spans="34:35" ht="17.100000000000001" customHeight="1" x14ac:dyDescent="0.25">
      <c r="AH1388" s="118"/>
      <c r="AI1388" s="120"/>
    </row>
    <row r="1389" spans="34:35" ht="17.100000000000001" customHeight="1" x14ac:dyDescent="0.25">
      <c r="AH1389" s="118"/>
      <c r="AI1389" s="120"/>
    </row>
    <row r="1390" spans="34:35" ht="17.100000000000001" customHeight="1" x14ac:dyDescent="0.25">
      <c r="AH1390" s="118"/>
      <c r="AI1390" s="120"/>
    </row>
    <row r="1391" spans="34:35" ht="17.100000000000001" customHeight="1" x14ac:dyDescent="0.25">
      <c r="AH1391" s="118"/>
      <c r="AI1391" s="120"/>
    </row>
    <row r="1392" spans="34:35" ht="17.100000000000001" customHeight="1" x14ac:dyDescent="0.25">
      <c r="AH1392" s="118"/>
      <c r="AI1392" s="120"/>
    </row>
    <row r="1393" spans="34:35" ht="17.100000000000001" customHeight="1" x14ac:dyDescent="0.25">
      <c r="AH1393" s="118"/>
      <c r="AI1393" s="120"/>
    </row>
    <row r="1394" spans="34:35" ht="17.100000000000001" customHeight="1" x14ac:dyDescent="0.25">
      <c r="AH1394" s="118"/>
      <c r="AI1394" s="120"/>
    </row>
    <row r="1395" spans="34:35" ht="17.100000000000001" customHeight="1" x14ac:dyDescent="0.25">
      <c r="AH1395" s="118"/>
      <c r="AI1395" s="120"/>
    </row>
    <row r="1396" spans="34:35" ht="17.100000000000001" customHeight="1" x14ac:dyDescent="0.25">
      <c r="AH1396" s="118"/>
      <c r="AI1396" s="120"/>
    </row>
    <row r="1397" spans="34:35" ht="17.100000000000001" customHeight="1" x14ac:dyDescent="0.25">
      <c r="AH1397" s="118"/>
      <c r="AI1397" s="120"/>
    </row>
    <row r="1398" spans="34:35" ht="17.100000000000001" customHeight="1" x14ac:dyDescent="0.25">
      <c r="AH1398" s="118"/>
      <c r="AI1398" s="120"/>
    </row>
    <row r="1399" spans="34:35" ht="17.100000000000001" customHeight="1" x14ac:dyDescent="0.25">
      <c r="AH1399" s="118"/>
      <c r="AI1399" s="120"/>
    </row>
    <row r="1400" spans="34:35" ht="17.100000000000001" customHeight="1" x14ac:dyDescent="0.25">
      <c r="AH1400" s="118"/>
      <c r="AI1400" s="120"/>
    </row>
    <row r="1401" spans="34:35" ht="17.100000000000001" customHeight="1" x14ac:dyDescent="0.25">
      <c r="AH1401" s="118"/>
      <c r="AI1401" s="120"/>
    </row>
    <row r="1402" spans="34:35" ht="17.100000000000001" customHeight="1" x14ac:dyDescent="0.25">
      <c r="AH1402" s="118"/>
      <c r="AI1402" s="120"/>
    </row>
    <row r="1403" spans="34:35" ht="17.100000000000001" customHeight="1" x14ac:dyDescent="0.25">
      <c r="AH1403" s="118"/>
      <c r="AI1403" s="120"/>
    </row>
    <row r="1404" spans="34:35" ht="17.100000000000001" customHeight="1" x14ac:dyDescent="0.25">
      <c r="AH1404" s="118"/>
      <c r="AI1404" s="120"/>
    </row>
    <row r="1405" spans="34:35" ht="17.100000000000001" customHeight="1" x14ac:dyDescent="0.25">
      <c r="AH1405" s="118"/>
      <c r="AI1405" s="120"/>
    </row>
    <row r="1406" spans="34:35" ht="17.100000000000001" customHeight="1" x14ac:dyDescent="0.25">
      <c r="AH1406" s="118"/>
      <c r="AI1406" s="120"/>
    </row>
    <row r="1407" spans="34:35" ht="17.100000000000001" customHeight="1" x14ac:dyDescent="0.25">
      <c r="AH1407" s="118"/>
      <c r="AI1407" s="120"/>
    </row>
    <row r="1408" spans="34:35" ht="17.100000000000001" customHeight="1" x14ac:dyDescent="0.25">
      <c r="AH1408" s="118"/>
      <c r="AI1408" s="120"/>
    </row>
    <row r="1409" spans="34:35" ht="17.100000000000001" customHeight="1" x14ac:dyDescent="0.25">
      <c r="AH1409" s="118"/>
      <c r="AI1409" s="120"/>
    </row>
    <row r="1410" spans="34:35" ht="17.100000000000001" customHeight="1" x14ac:dyDescent="0.25">
      <c r="AH1410" s="118"/>
      <c r="AI1410" s="120"/>
    </row>
    <row r="1411" spans="34:35" ht="17.100000000000001" customHeight="1" x14ac:dyDescent="0.25">
      <c r="AH1411" s="118"/>
      <c r="AI1411" s="120"/>
    </row>
    <row r="1412" spans="34:35" ht="17.100000000000001" customHeight="1" x14ac:dyDescent="0.25">
      <c r="AH1412" s="118"/>
      <c r="AI1412" s="120"/>
    </row>
    <row r="1413" spans="34:35" ht="17.100000000000001" customHeight="1" x14ac:dyDescent="0.25">
      <c r="AH1413" s="118"/>
      <c r="AI1413" s="120"/>
    </row>
    <row r="1414" spans="34:35" ht="17.100000000000001" customHeight="1" x14ac:dyDescent="0.25">
      <c r="AH1414" s="118"/>
      <c r="AI1414" s="120"/>
    </row>
    <row r="1415" spans="34:35" ht="17.100000000000001" customHeight="1" x14ac:dyDescent="0.25">
      <c r="AH1415" s="118"/>
      <c r="AI1415" s="120"/>
    </row>
    <row r="1416" spans="34:35" ht="17.100000000000001" customHeight="1" x14ac:dyDescent="0.25">
      <c r="AH1416" s="118"/>
      <c r="AI1416" s="120"/>
    </row>
    <row r="1417" spans="34:35" ht="17.100000000000001" customHeight="1" x14ac:dyDescent="0.25">
      <c r="AH1417" s="118"/>
      <c r="AI1417" s="120"/>
    </row>
    <row r="1418" spans="34:35" ht="17.100000000000001" customHeight="1" x14ac:dyDescent="0.25">
      <c r="AH1418" s="118"/>
      <c r="AI1418" s="120"/>
    </row>
    <row r="1419" spans="34:35" ht="17.100000000000001" customHeight="1" x14ac:dyDescent="0.25">
      <c r="AH1419" s="118"/>
      <c r="AI1419" s="120"/>
    </row>
    <row r="1420" spans="34:35" ht="17.100000000000001" customHeight="1" x14ac:dyDescent="0.25">
      <c r="AH1420" s="118"/>
      <c r="AI1420" s="120"/>
    </row>
    <row r="1421" spans="34:35" ht="17.100000000000001" customHeight="1" x14ac:dyDescent="0.25">
      <c r="AH1421" s="118"/>
      <c r="AI1421" s="120"/>
    </row>
    <row r="1422" spans="34:35" ht="17.100000000000001" customHeight="1" x14ac:dyDescent="0.25">
      <c r="AH1422" s="118"/>
      <c r="AI1422" s="120"/>
    </row>
    <row r="1423" spans="34:35" ht="17.100000000000001" customHeight="1" x14ac:dyDescent="0.25">
      <c r="AH1423" s="118"/>
      <c r="AI1423" s="120"/>
    </row>
    <row r="1424" spans="34:35" ht="17.100000000000001" customHeight="1" x14ac:dyDescent="0.25">
      <c r="AH1424" s="118"/>
      <c r="AI1424" s="120"/>
    </row>
    <row r="1425" spans="34:35" ht="17.100000000000001" customHeight="1" x14ac:dyDescent="0.25">
      <c r="AH1425" s="118"/>
      <c r="AI1425" s="120"/>
    </row>
    <row r="1426" spans="34:35" ht="17.100000000000001" customHeight="1" x14ac:dyDescent="0.25">
      <c r="AH1426" s="118"/>
      <c r="AI1426" s="120"/>
    </row>
    <row r="1427" spans="34:35" ht="17.100000000000001" customHeight="1" x14ac:dyDescent="0.25">
      <c r="AH1427" s="118"/>
      <c r="AI1427" s="120"/>
    </row>
    <row r="1428" spans="34:35" ht="17.100000000000001" customHeight="1" x14ac:dyDescent="0.25">
      <c r="AH1428" s="118"/>
      <c r="AI1428" s="120"/>
    </row>
    <row r="1429" spans="34:35" ht="17.100000000000001" customHeight="1" x14ac:dyDescent="0.25">
      <c r="AH1429" s="118"/>
      <c r="AI1429" s="120"/>
    </row>
    <row r="1430" spans="34:35" ht="17.100000000000001" customHeight="1" x14ac:dyDescent="0.25">
      <c r="AH1430" s="118"/>
      <c r="AI1430" s="120"/>
    </row>
    <row r="1431" spans="34:35" ht="17.100000000000001" customHeight="1" x14ac:dyDescent="0.25">
      <c r="AH1431" s="118"/>
      <c r="AI1431" s="120"/>
    </row>
    <row r="1432" spans="34:35" ht="17.100000000000001" customHeight="1" x14ac:dyDescent="0.25">
      <c r="AH1432" s="118"/>
      <c r="AI1432" s="120"/>
    </row>
    <row r="1433" spans="34:35" ht="17.100000000000001" customHeight="1" x14ac:dyDescent="0.25">
      <c r="AH1433" s="118"/>
      <c r="AI1433" s="120"/>
    </row>
    <row r="1434" spans="34:35" ht="17.100000000000001" customHeight="1" x14ac:dyDescent="0.25">
      <c r="AH1434" s="118"/>
      <c r="AI1434" s="120"/>
    </row>
    <row r="1435" spans="34:35" ht="17.100000000000001" customHeight="1" x14ac:dyDescent="0.25">
      <c r="AH1435" s="118"/>
      <c r="AI1435" s="120"/>
    </row>
    <row r="1436" spans="34:35" ht="17.100000000000001" customHeight="1" x14ac:dyDescent="0.25">
      <c r="AH1436" s="118"/>
      <c r="AI1436" s="120"/>
    </row>
    <row r="1437" spans="34:35" ht="17.100000000000001" customHeight="1" x14ac:dyDescent="0.25">
      <c r="AH1437" s="118"/>
      <c r="AI1437" s="120"/>
    </row>
    <row r="1438" spans="34:35" ht="17.100000000000001" customHeight="1" x14ac:dyDescent="0.25">
      <c r="AH1438" s="118"/>
      <c r="AI1438" s="120"/>
    </row>
    <row r="1439" spans="34:35" ht="17.100000000000001" customHeight="1" x14ac:dyDescent="0.25">
      <c r="AH1439" s="118"/>
      <c r="AI1439" s="120"/>
    </row>
    <row r="1440" spans="34:35" ht="17.100000000000001" customHeight="1" x14ac:dyDescent="0.25">
      <c r="AH1440" s="118"/>
      <c r="AI1440" s="120"/>
    </row>
    <row r="1441" spans="34:35" ht="17.100000000000001" customHeight="1" x14ac:dyDescent="0.25">
      <c r="AH1441" s="118"/>
      <c r="AI1441" s="120"/>
    </row>
    <row r="1442" spans="34:35" ht="17.100000000000001" customHeight="1" x14ac:dyDescent="0.25">
      <c r="AH1442" s="118"/>
      <c r="AI1442" s="120"/>
    </row>
    <row r="1443" spans="34:35" ht="17.100000000000001" customHeight="1" x14ac:dyDescent="0.25">
      <c r="AH1443" s="118"/>
      <c r="AI1443" s="120"/>
    </row>
    <row r="1444" spans="34:35" ht="17.100000000000001" customHeight="1" x14ac:dyDescent="0.25">
      <c r="AH1444" s="118"/>
      <c r="AI1444" s="120"/>
    </row>
    <row r="1445" spans="34:35" ht="17.100000000000001" customHeight="1" x14ac:dyDescent="0.25">
      <c r="AH1445" s="118"/>
      <c r="AI1445" s="120"/>
    </row>
    <row r="1446" spans="34:35" ht="17.100000000000001" customHeight="1" x14ac:dyDescent="0.25">
      <c r="AH1446" s="118"/>
      <c r="AI1446" s="120"/>
    </row>
    <row r="1447" spans="34:35" ht="17.100000000000001" customHeight="1" x14ac:dyDescent="0.25">
      <c r="AH1447" s="118"/>
      <c r="AI1447" s="120"/>
    </row>
    <row r="1448" spans="34:35" ht="17.100000000000001" customHeight="1" x14ac:dyDescent="0.25">
      <c r="AH1448" s="118"/>
      <c r="AI1448" s="120"/>
    </row>
    <row r="1449" spans="34:35" ht="17.100000000000001" customHeight="1" x14ac:dyDescent="0.25">
      <c r="AH1449" s="118"/>
      <c r="AI1449" s="120"/>
    </row>
    <row r="1450" spans="34:35" ht="17.100000000000001" customHeight="1" x14ac:dyDescent="0.25">
      <c r="AH1450" s="118"/>
      <c r="AI1450" s="120"/>
    </row>
    <row r="1451" spans="34:35" ht="17.100000000000001" customHeight="1" x14ac:dyDescent="0.25">
      <c r="AH1451" s="118"/>
      <c r="AI1451" s="120"/>
    </row>
    <row r="1452" spans="34:35" ht="17.100000000000001" customHeight="1" x14ac:dyDescent="0.25">
      <c r="AH1452" s="118"/>
      <c r="AI1452" s="120"/>
    </row>
    <row r="1453" spans="34:35" ht="17.100000000000001" customHeight="1" x14ac:dyDescent="0.25">
      <c r="AH1453" s="118"/>
      <c r="AI1453" s="120"/>
    </row>
    <row r="1454" spans="34:35" ht="17.100000000000001" customHeight="1" x14ac:dyDescent="0.25">
      <c r="AH1454" s="118"/>
      <c r="AI1454" s="120"/>
    </row>
    <row r="1455" spans="34:35" ht="17.100000000000001" customHeight="1" x14ac:dyDescent="0.25">
      <c r="AH1455" s="118"/>
      <c r="AI1455" s="120"/>
    </row>
    <row r="1456" spans="34:35" ht="17.100000000000001" customHeight="1" x14ac:dyDescent="0.25">
      <c r="AH1456" s="118"/>
      <c r="AI1456" s="120"/>
    </row>
    <row r="1457" spans="34:35" ht="17.100000000000001" customHeight="1" x14ac:dyDescent="0.25">
      <c r="AH1457" s="118"/>
      <c r="AI1457" s="120"/>
    </row>
    <row r="1458" spans="34:35" ht="17.100000000000001" customHeight="1" x14ac:dyDescent="0.25">
      <c r="AH1458" s="118"/>
      <c r="AI1458" s="120"/>
    </row>
    <row r="1459" spans="34:35" ht="17.100000000000001" customHeight="1" x14ac:dyDescent="0.25">
      <c r="AH1459" s="118"/>
      <c r="AI1459" s="120"/>
    </row>
    <row r="1460" spans="34:35" ht="17.100000000000001" customHeight="1" x14ac:dyDescent="0.25">
      <c r="AH1460" s="118"/>
      <c r="AI1460" s="120"/>
    </row>
    <row r="1461" spans="34:35" ht="17.100000000000001" customHeight="1" x14ac:dyDescent="0.25">
      <c r="AH1461" s="118"/>
      <c r="AI1461" s="120"/>
    </row>
    <row r="1462" spans="34:35" ht="17.100000000000001" customHeight="1" x14ac:dyDescent="0.25">
      <c r="AH1462" s="118"/>
      <c r="AI1462" s="120"/>
    </row>
    <row r="1463" spans="34:35" ht="17.100000000000001" customHeight="1" x14ac:dyDescent="0.25">
      <c r="AH1463" s="118"/>
      <c r="AI1463" s="120"/>
    </row>
    <row r="1464" spans="34:35" ht="17.100000000000001" customHeight="1" x14ac:dyDescent="0.25">
      <c r="AH1464" s="118"/>
      <c r="AI1464" s="120"/>
    </row>
    <row r="1465" spans="34:35" ht="17.100000000000001" customHeight="1" x14ac:dyDescent="0.25">
      <c r="AH1465" s="118"/>
      <c r="AI1465" s="120"/>
    </row>
    <row r="1466" spans="34:35" ht="17.100000000000001" customHeight="1" x14ac:dyDescent="0.25">
      <c r="AH1466" s="118"/>
      <c r="AI1466" s="120"/>
    </row>
    <row r="1467" spans="34:35" ht="17.100000000000001" customHeight="1" x14ac:dyDescent="0.25">
      <c r="AH1467" s="118"/>
      <c r="AI1467" s="120"/>
    </row>
    <row r="1468" spans="34:35" ht="17.100000000000001" customHeight="1" x14ac:dyDescent="0.25">
      <c r="AH1468" s="118"/>
      <c r="AI1468" s="120"/>
    </row>
    <row r="1469" spans="34:35" ht="17.100000000000001" customHeight="1" x14ac:dyDescent="0.25">
      <c r="AH1469" s="118"/>
      <c r="AI1469" s="120"/>
    </row>
    <row r="1470" spans="34:35" ht="17.100000000000001" customHeight="1" x14ac:dyDescent="0.25">
      <c r="AH1470" s="118"/>
      <c r="AI1470" s="120"/>
    </row>
    <row r="1471" spans="34:35" ht="17.100000000000001" customHeight="1" x14ac:dyDescent="0.25">
      <c r="AH1471" s="118"/>
      <c r="AI1471" s="120"/>
    </row>
    <row r="1472" spans="34:35" ht="17.100000000000001" customHeight="1" x14ac:dyDescent="0.25">
      <c r="AH1472" s="118"/>
      <c r="AI1472" s="120"/>
    </row>
    <row r="1473" spans="34:35" ht="17.100000000000001" customHeight="1" x14ac:dyDescent="0.25">
      <c r="AH1473" s="118"/>
      <c r="AI1473" s="120"/>
    </row>
    <row r="1474" spans="34:35" ht="17.100000000000001" customHeight="1" x14ac:dyDescent="0.25">
      <c r="AH1474" s="118"/>
      <c r="AI1474" s="120"/>
    </row>
    <row r="1475" spans="34:35" ht="17.100000000000001" customHeight="1" x14ac:dyDescent="0.25">
      <c r="AH1475" s="118"/>
      <c r="AI1475" s="120"/>
    </row>
    <row r="1476" spans="34:35" ht="17.100000000000001" customHeight="1" x14ac:dyDescent="0.25">
      <c r="AH1476" s="118"/>
      <c r="AI1476" s="120"/>
    </row>
    <row r="1477" spans="34:35" ht="17.100000000000001" customHeight="1" x14ac:dyDescent="0.25">
      <c r="AH1477" s="118"/>
      <c r="AI1477" s="120"/>
    </row>
    <row r="1478" spans="34:35" ht="17.100000000000001" customHeight="1" x14ac:dyDescent="0.25">
      <c r="AH1478" s="118"/>
      <c r="AI1478" s="120"/>
    </row>
    <row r="1479" spans="34:35" ht="17.100000000000001" customHeight="1" x14ac:dyDescent="0.25">
      <c r="AH1479" s="118"/>
      <c r="AI1479" s="120"/>
    </row>
    <row r="1480" spans="34:35" ht="17.100000000000001" customHeight="1" x14ac:dyDescent="0.25">
      <c r="AH1480" s="118"/>
      <c r="AI1480" s="120"/>
    </row>
    <row r="1481" spans="34:35" ht="17.100000000000001" customHeight="1" x14ac:dyDescent="0.25">
      <c r="AH1481" s="118"/>
      <c r="AI1481" s="120"/>
    </row>
    <row r="1482" spans="34:35" ht="17.100000000000001" customHeight="1" x14ac:dyDescent="0.25">
      <c r="AH1482" s="118"/>
      <c r="AI1482" s="120"/>
    </row>
    <row r="1483" spans="34:35" ht="17.100000000000001" customHeight="1" x14ac:dyDescent="0.25">
      <c r="AH1483" s="118"/>
      <c r="AI1483" s="120"/>
    </row>
    <row r="1484" spans="34:35" ht="17.100000000000001" customHeight="1" x14ac:dyDescent="0.25">
      <c r="AH1484" s="118"/>
      <c r="AI1484" s="120"/>
    </row>
    <row r="1485" spans="34:35" ht="17.100000000000001" customHeight="1" x14ac:dyDescent="0.25">
      <c r="AH1485" s="118"/>
      <c r="AI1485" s="120"/>
    </row>
    <row r="1486" spans="34:35" ht="17.100000000000001" customHeight="1" x14ac:dyDescent="0.25">
      <c r="AH1486" s="118"/>
      <c r="AI1486" s="120"/>
    </row>
    <row r="1487" spans="34:35" ht="17.100000000000001" customHeight="1" x14ac:dyDescent="0.25">
      <c r="AH1487" s="118"/>
      <c r="AI1487" s="120"/>
    </row>
    <row r="1488" spans="34:35" ht="17.100000000000001" customHeight="1" x14ac:dyDescent="0.25">
      <c r="AH1488" s="118"/>
      <c r="AI1488" s="120"/>
    </row>
    <row r="1489" spans="34:35" ht="17.100000000000001" customHeight="1" x14ac:dyDescent="0.25">
      <c r="AH1489" s="118"/>
      <c r="AI1489" s="120"/>
    </row>
    <row r="1490" spans="34:35" ht="17.100000000000001" customHeight="1" x14ac:dyDescent="0.25">
      <c r="AH1490" s="118"/>
      <c r="AI1490" s="120"/>
    </row>
    <row r="1491" spans="34:35" ht="17.100000000000001" customHeight="1" x14ac:dyDescent="0.25">
      <c r="AH1491" s="118"/>
      <c r="AI1491" s="120"/>
    </row>
    <row r="1492" spans="34:35" ht="17.100000000000001" customHeight="1" x14ac:dyDescent="0.25">
      <c r="AH1492" s="118"/>
      <c r="AI1492" s="120"/>
    </row>
    <row r="1493" spans="34:35" ht="17.100000000000001" customHeight="1" x14ac:dyDescent="0.25">
      <c r="AH1493" s="118"/>
      <c r="AI1493" s="120"/>
    </row>
    <row r="1494" spans="34:35" ht="17.100000000000001" customHeight="1" x14ac:dyDescent="0.25">
      <c r="AH1494" s="118"/>
      <c r="AI1494" s="120"/>
    </row>
    <row r="1495" spans="34:35" ht="17.100000000000001" customHeight="1" x14ac:dyDescent="0.25">
      <c r="AH1495" s="118"/>
      <c r="AI1495" s="120"/>
    </row>
    <row r="1496" spans="34:35" ht="17.100000000000001" customHeight="1" x14ac:dyDescent="0.25">
      <c r="AH1496" s="118"/>
      <c r="AI1496" s="120"/>
    </row>
    <row r="1497" spans="34:35" ht="17.100000000000001" customHeight="1" x14ac:dyDescent="0.25">
      <c r="AH1497" s="118"/>
      <c r="AI1497" s="120"/>
    </row>
    <row r="1498" spans="34:35" ht="17.100000000000001" customHeight="1" x14ac:dyDescent="0.25">
      <c r="AH1498" s="118"/>
      <c r="AI1498" s="120"/>
    </row>
    <row r="1499" spans="34:35" ht="17.100000000000001" customHeight="1" x14ac:dyDescent="0.25">
      <c r="AH1499" s="118"/>
      <c r="AI1499" s="120"/>
    </row>
    <row r="1500" spans="34:35" ht="17.100000000000001" customHeight="1" x14ac:dyDescent="0.25">
      <c r="AH1500" s="118"/>
      <c r="AI1500" s="120"/>
    </row>
    <row r="1501" spans="34:35" ht="17.100000000000001" customHeight="1" x14ac:dyDescent="0.25">
      <c r="AH1501" s="118"/>
      <c r="AI1501" s="120"/>
    </row>
    <row r="1502" spans="34:35" ht="17.100000000000001" customHeight="1" x14ac:dyDescent="0.25">
      <c r="AH1502" s="118"/>
      <c r="AI1502" s="120"/>
    </row>
    <row r="1503" spans="34:35" ht="17.100000000000001" customHeight="1" x14ac:dyDescent="0.25">
      <c r="AH1503" s="118"/>
      <c r="AI1503" s="120"/>
    </row>
    <row r="1504" spans="34:35" ht="17.100000000000001" customHeight="1" x14ac:dyDescent="0.25">
      <c r="AH1504" s="118"/>
      <c r="AI1504" s="120"/>
    </row>
    <row r="1505" spans="34:35" ht="17.100000000000001" customHeight="1" x14ac:dyDescent="0.25">
      <c r="AH1505" s="118"/>
      <c r="AI1505" s="120"/>
    </row>
    <row r="1506" spans="34:35" ht="17.100000000000001" customHeight="1" x14ac:dyDescent="0.25">
      <c r="AH1506" s="118"/>
      <c r="AI1506" s="120"/>
    </row>
    <row r="1507" spans="34:35" ht="17.100000000000001" customHeight="1" x14ac:dyDescent="0.25">
      <c r="AH1507" s="118"/>
      <c r="AI1507" s="120"/>
    </row>
    <row r="1508" spans="34:35" ht="17.100000000000001" customHeight="1" x14ac:dyDescent="0.25">
      <c r="AH1508" s="118"/>
      <c r="AI1508" s="120"/>
    </row>
    <row r="1509" spans="34:35" ht="17.100000000000001" customHeight="1" x14ac:dyDescent="0.25">
      <c r="AH1509" s="118"/>
      <c r="AI1509" s="120"/>
    </row>
    <row r="1510" spans="34:35" ht="17.100000000000001" customHeight="1" x14ac:dyDescent="0.25">
      <c r="AH1510" s="118"/>
      <c r="AI1510" s="120"/>
    </row>
    <row r="1511" spans="34:35" ht="17.100000000000001" customHeight="1" x14ac:dyDescent="0.25">
      <c r="AH1511" s="118"/>
      <c r="AI1511" s="120"/>
    </row>
    <row r="1512" spans="34:35" ht="17.100000000000001" customHeight="1" x14ac:dyDescent="0.25">
      <c r="AH1512" s="118"/>
      <c r="AI1512" s="120"/>
    </row>
    <row r="1513" spans="34:35" ht="17.100000000000001" customHeight="1" x14ac:dyDescent="0.25">
      <c r="AH1513" s="118"/>
      <c r="AI1513" s="120"/>
    </row>
    <row r="1514" spans="34:35" ht="17.100000000000001" customHeight="1" x14ac:dyDescent="0.25">
      <c r="AH1514" s="118"/>
      <c r="AI1514" s="120"/>
    </row>
    <row r="1515" spans="34:35" ht="17.100000000000001" customHeight="1" x14ac:dyDescent="0.25">
      <c r="AH1515" s="118"/>
      <c r="AI1515" s="120"/>
    </row>
    <row r="1516" spans="34:35" ht="17.100000000000001" customHeight="1" x14ac:dyDescent="0.25">
      <c r="AH1516" s="118"/>
      <c r="AI1516" s="120"/>
    </row>
    <row r="1517" spans="34:35" ht="17.100000000000001" customHeight="1" x14ac:dyDescent="0.25">
      <c r="AH1517" s="118"/>
      <c r="AI1517" s="120"/>
    </row>
    <row r="1518" spans="34:35" ht="17.100000000000001" customHeight="1" x14ac:dyDescent="0.25">
      <c r="AH1518" s="118"/>
      <c r="AI1518" s="120"/>
    </row>
    <row r="1519" spans="34:35" ht="17.100000000000001" customHeight="1" x14ac:dyDescent="0.25">
      <c r="AH1519" s="118"/>
      <c r="AI1519" s="120"/>
    </row>
    <row r="1520" spans="34:35" ht="17.100000000000001" customHeight="1" x14ac:dyDescent="0.25">
      <c r="AH1520" s="118"/>
      <c r="AI1520" s="120"/>
    </row>
    <row r="1521" spans="34:35" ht="17.100000000000001" customHeight="1" x14ac:dyDescent="0.25">
      <c r="AH1521" s="118"/>
      <c r="AI1521" s="120"/>
    </row>
    <row r="1522" spans="34:35" ht="17.100000000000001" customHeight="1" x14ac:dyDescent="0.25">
      <c r="AH1522" s="118"/>
      <c r="AI1522" s="120"/>
    </row>
    <row r="1523" spans="34:35" ht="17.100000000000001" customHeight="1" x14ac:dyDescent="0.25">
      <c r="AH1523" s="118"/>
      <c r="AI1523" s="120"/>
    </row>
    <row r="1524" spans="34:35" ht="17.100000000000001" customHeight="1" x14ac:dyDescent="0.25">
      <c r="AH1524" s="118"/>
      <c r="AI1524" s="120"/>
    </row>
    <row r="1525" spans="34:35" ht="17.100000000000001" customHeight="1" x14ac:dyDescent="0.25">
      <c r="AH1525" s="118"/>
      <c r="AI1525" s="120"/>
    </row>
    <row r="1526" spans="34:35" ht="17.100000000000001" customHeight="1" x14ac:dyDescent="0.25">
      <c r="AH1526" s="118"/>
      <c r="AI1526" s="120"/>
    </row>
    <row r="1527" spans="34:35" ht="17.100000000000001" customHeight="1" x14ac:dyDescent="0.25">
      <c r="AH1527" s="118"/>
      <c r="AI1527" s="120"/>
    </row>
    <row r="1528" spans="34:35" ht="17.100000000000001" customHeight="1" x14ac:dyDescent="0.25">
      <c r="AH1528" s="118"/>
      <c r="AI1528" s="120"/>
    </row>
    <row r="1529" spans="34:35" ht="17.100000000000001" customHeight="1" x14ac:dyDescent="0.25">
      <c r="AH1529" s="118"/>
      <c r="AI1529" s="120"/>
    </row>
    <row r="1530" spans="34:35" ht="17.100000000000001" customHeight="1" x14ac:dyDescent="0.25">
      <c r="AH1530" s="118"/>
      <c r="AI1530" s="120"/>
    </row>
    <row r="1531" spans="34:35" ht="17.100000000000001" customHeight="1" x14ac:dyDescent="0.25">
      <c r="AH1531" s="118"/>
      <c r="AI1531" s="120"/>
    </row>
    <row r="1532" spans="34:35" ht="17.100000000000001" customHeight="1" x14ac:dyDescent="0.25">
      <c r="AH1532" s="118"/>
      <c r="AI1532" s="120"/>
    </row>
    <row r="1533" spans="34:35" ht="17.100000000000001" customHeight="1" x14ac:dyDescent="0.25">
      <c r="AH1533" s="118"/>
      <c r="AI1533" s="120"/>
    </row>
    <row r="1534" spans="34:35" ht="17.100000000000001" customHeight="1" x14ac:dyDescent="0.25">
      <c r="AH1534" s="118"/>
      <c r="AI1534" s="120"/>
    </row>
    <row r="1535" spans="34:35" ht="17.100000000000001" customHeight="1" x14ac:dyDescent="0.25">
      <c r="AH1535" s="118"/>
      <c r="AI1535" s="120"/>
    </row>
    <row r="1536" spans="34:35" ht="17.100000000000001" customHeight="1" x14ac:dyDescent="0.25">
      <c r="AH1536" s="118"/>
      <c r="AI1536" s="120"/>
    </row>
    <row r="1537" spans="34:35" ht="17.100000000000001" customHeight="1" x14ac:dyDescent="0.25">
      <c r="AH1537" s="118"/>
      <c r="AI1537" s="120"/>
    </row>
    <row r="1538" spans="34:35" ht="17.100000000000001" customHeight="1" x14ac:dyDescent="0.25">
      <c r="AH1538" s="118"/>
      <c r="AI1538" s="120"/>
    </row>
    <row r="1539" spans="34:35" ht="17.100000000000001" customHeight="1" x14ac:dyDescent="0.25">
      <c r="AH1539" s="118"/>
      <c r="AI1539" s="120"/>
    </row>
    <row r="1540" spans="34:35" ht="17.100000000000001" customHeight="1" x14ac:dyDescent="0.25">
      <c r="AH1540" s="118"/>
      <c r="AI1540" s="120"/>
    </row>
    <row r="1541" spans="34:35" ht="17.100000000000001" customHeight="1" x14ac:dyDescent="0.25">
      <c r="AH1541" s="118"/>
      <c r="AI1541" s="120"/>
    </row>
    <row r="1542" spans="34:35" ht="17.100000000000001" customHeight="1" x14ac:dyDescent="0.25">
      <c r="AH1542" s="118"/>
      <c r="AI1542" s="120"/>
    </row>
    <row r="1543" spans="34:35" ht="17.100000000000001" customHeight="1" x14ac:dyDescent="0.25">
      <c r="AH1543" s="118"/>
      <c r="AI1543" s="120"/>
    </row>
    <row r="1544" spans="34:35" ht="17.100000000000001" customHeight="1" x14ac:dyDescent="0.25">
      <c r="AH1544" s="118"/>
      <c r="AI1544" s="120"/>
    </row>
    <row r="1545" spans="34:35" ht="17.100000000000001" customHeight="1" x14ac:dyDescent="0.25">
      <c r="AH1545" s="118"/>
      <c r="AI1545" s="120"/>
    </row>
    <row r="1546" spans="34:35" ht="17.100000000000001" customHeight="1" x14ac:dyDescent="0.25">
      <c r="AH1546" s="118"/>
      <c r="AI1546" s="120"/>
    </row>
    <row r="1547" spans="34:35" ht="17.100000000000001" customHeight="1" x14ac:dyDescent="0.25">
      <c r="AH1547" s="118"/>
      <c r="AI1547" s="120"/>
    </row>
    <row r="1548" spans="34:35" ht="17.100000000000001" customHeight="1" x14ac:dyDescent="0.25">
      <c r="AH1548" s="118"/>
      <c r="AI1548" s="120"/>
    </row>
    <row r="1549" spans="34:35" ht="17.100000000000001" customHeight="1" x14ac:dyDescent="0.25">
      <c r="AH1549" s="118"/>
      <c r="AI1549" s="120"/>
    </row>
    <row r="1550" spans="34:35" ht="17.100000000000001" customHeight="1" x14ac:dyDescent="0.25">
      <c r="AH1550" s="118"/>
      <c r="AI1550" s="120"/>
    </row>
    <row r="1551" spans="34:35" ht="17.100000000000001" customHeight="1" x14ac:dyDescent="0.25">
      <c r="AH1551" s="118"/>
      <c r="AI1551" s="120"/>
    </row>
    <row r="1552" spans="34:35" ht="17.100000000000001" customHeight="1" x14ac:dyDescent="0.25">
      <c r="AH1552" s="118"/>
      <c r="AI1552" s="120"/>
    </row>
    <row r="1553" spans="34:35" ht="17.100000000000001" customHeight="1" x14ac:dyDescent="0.25">
      <c r="AH1553" s="118"/>
      <c r="AI1553" s="120"/>
    </row>
    <row r="1554" spans="34:35" ht="17.100000000000001" customHeight="1" x14ac:dyDescent="0.25">
      <c r="AH1554" s="118"/>
      <c r="AI1554" s="120"/>
    </row>
    <row r="1555" spans="34:35" ht="17.100000000000001" customHeight="1" x14ac:dyDescent="0.25">
      <c r="AH1555" s="118"/>
      <c r="AI1555" s="120"/>
    </row>
    <row r="1556" spans="34:35" ht="17.100000000000001" customHeight="1" x14ac:dyDescent="0.25">
      <c r="AH1556" s="118"/>
      <c r="AI1556" s="120"/>
    </row>
    <row r="1557" spans="34:35" ht="17.100000000000001" customHeight="1" x14ac:dyDescent="0.25">
      <c r="AH1557" s="118"/>
      <c r="AI1557" s="120"/>
    </row>
    <row r="1558" spans="34:35" ht="17.100000000000001" customHeight="1" x14ac:dyDescent="0.25">
      <c r="AH1558" s="118"/>
      <c r="AI1558" s="120"/>
    </row>
    <row r="1559" spans="34:35" ht="17.100000000000001" customHeight="1" x14ac:dyDescent="0.25">
      <c r="AH1559" s="118"/>
      <c r="AI1559" s="120"/>
    </row>
    <row r="1560" spans="34:35" ht="17.100000000000001" customHeight="1" x14ac:dyDescent="0.25">
      <c r="AH1560" s="118"/>
      <c r="AI1560" s="120"/>
    </row>
    <row r="1561" spans="34:35" ht="17.100000000000001" customHeight="1" x14ac:dyDescent="0.25">
      <c r="AH1561" s="118"/>
      <c r="AI1561" s="120"/>
    </row>
    <row r="1562" spans="34:35" ht="17.100000000000001" customHeight="1" x14ac:dyDescent="0.25">
      <c r="AH1562" s="118"/>
      <c r="AI1562" s="120"/>
    </row>
    <row r="1563" spans="34:35" ht="17.100000000000001" customHeight="1" x14ac:dyDescent="0.25">
      <c r="AH1563" s="118"/>
      <c r="AI1563" s="120"/>
    </row>
    <row r="1564" spans="34:35" ht="17.100000000000001" customHeight="1" x14ac:dyDescent="0.25">
      <c r="AH1564" s="118"/>
      <c r="AI1564" s="120"/>
    </row>
    <row r="1565" spans="34:35" ht="17.100000000000001" customHeight="1" x14ac:dyDescent="0.25">
      <c r="AH1565" s="118"/>
      <c r="AI1565" s="120"/>
    </row>
    <row r="1566" spans="34:35" ht="17.100000000000001" customHeight="1" x14ac:dyDescent="0.25">
      <c r="AH1566" s="118"/>
      <c r="AI1566" s="120"/>
    </row>
    <row r="1567" spans="34:35" ht="17.100000000000001" customHeight="1" x14ac:dyDescent="0.25">
      <c r="AH1567" s="118"/>
      <c r="AI1567" s="120"/>
    </row>
    <row r="1568" spans="34:35" ht="17.100000000000001" customHeight="1" x14ac:dyDescent="0.25">
      <c r="AH1568" s="118"/>
      <c r="AI1568" s="120"/>
    </row>
    <row r="1569" spans="34:35" ht="17.100000000000001" customHeight="1" x14ac:dyDescent="0.25">
      <c r="AH1569" s="118"/>
      <c r="AI1569" s="120"/>
    </row>
    <row r="1570" spans="34:35" ht="17.100000000000001" customHeight="1" x14ac:dyDescent="0.25">
      <c r="AH1570" s="118"/>
      <c r="AI1570" s="120"/>
    </row>
    <row r="1571" spans="34:35" ht="17.100000000000001" customHeight="1" x14ac:dyDescent="0.25">
      <c r="AH1571" s="118"/>
      <c r="AI1571" s="120"/>
    </row>
    <row r="1572" spans="34:35" ht="17.100000000000001" customHeight="1" x14ac:dyDescent="0.25">
      <c r="AH1572" s="118"/>
      <c r="AI1572" s="120"/>
    </row>
    <row r="1573" spans="34:35" ht="17.100000000000001" customHeight="1" x14ac:dyDescent="0.25">
      <c r="AH1573" s="118"/>
      <c r="AI1573" s="120"/>
    </row>
    <row r="1574" spans="34:35" ht="17.100000000000001" customHeight="1" x14ac:dyDescent="0.25">
      <c r="AH1574" s="118"/>
      <c r="AI1574" s="120"/>
    </row>
    <row r="1575" spans="34:35" ht="17.100000000000001" customHeight="1" x14ac:dyDescent="0.25">
      <c r="AH1575" s="118"/>
      <c r="AI1575" s="120"/>
    </row>
    <row r="1576" spans="34:35" ht="17.100000000000001" customHeight="1" x14ac:dyDescent="0.25">
      <c r="AH1576" s="118"/>
      <c r="AI1576" s="120"/>
    </row>
    <row r="1577" spans="34:35" ht="17.100000000000001" customHeight="1" x14ac:dyDescent="0.25">
      <c r="AH1577" s="118"/>
      <c r="AI1577" s="120"/>
    </row>
    <row r="1578" spans="34:35" ht="17.100000000000001" customHeight="1" x14ac:dyDescent="0.25">
      <c r="AH1578" s="118"/>
      <c r="AI1578" s="120"/>
    </row>
    <row r="1579" spans="34:35" ht="17.100000000000001" customHeight="1" x14ac:dyDescent="0.25">
      <c r="AH1579" s="118"/>
      <c r="AI1579" s="120"/>
    </row>
    <row r="1580" spans="34:35" ht="17.100000000000001" customHeight="1" x14ac:dyDescent="0.25">
      <c r="AH1580" s="118"/>
      <c r="AI1580" s="120"/>
    </row>
    <row r="1581" spans="34:35" ht="17.100000000000001" customHeight="1" x14ac:dyDescent="0.25">
      <c r="AH1581" s="118"/>
      <c r="AI1581" s="120"/>
    </row>
    <row r="1582" spans="34:35" ht="17.100000000000001" customHeight="1" x14ac:dyDescent="0.25">
      <c r="AH1582" s="118"/>
      <c r="AI1582" s="120"/>
    </row>
    <row r="1583" spans="34:35" ht="17.100000000000001" customHeight="1" x14ac:dyDescent="0.25">
      <c r="AH1583" s="118"/>
      <c r="AI1583" s="120"/>
    </row>
    <row r="1584" spans="34:35" ht="17.100000000000001" customHeight="1" x14ac:dyDescent="0.25">
      <c r="AH1584" s="118"/>
      <c r="AI1584" s="120"/>
    </row>
    <row r="1585" spans="34:35" ht="17.100000000000001" customHeight="1" x14ac:dyDescent="0.25">
      <c r="AH1585" s="118"/>
      <c r="AI1585" s="120"/>
    </row>
    <row r="1586" spans="34:35" ht="17.100000000000001" customHeight="1" x14ac:dyDescent="0.25">
      <c r="AH1586" s="118"/>
      <c r="AI1586" s="120"/>
    </row>
    <row r="1587" spans="34:35" ht="17.100000000000001" customHeight="1" x14ac:dyDescent="0.25">
      <c r="AH1587" s="118"/>
      <c r="AI1587" s="120"/>
    </row>
    <row r="1588" spans="34:35" ht="17.100000000000001" customHeight="1" x14ac:dyDescent="0.25">
      <c r="AH1588" s="118"/>
      <c r="AI1588" s="120"/>
    </row>
    <row r="1589" spans="34:35" ht="17.100000000000001" customHeight="1" x14ac:dyDescent="0.25">
      <c r="AH1589" s="118"/>
      <c r="AI1589" s="120"/>
    </row>
    <row r="1590" spans="34:35" ht="17.100000000000001" customHeight="1" x14ac:dyDescent="0.25">
      <c r="AH1590" s="118"/>
      <c r="AI1590" s="120"/>
    </row>
    <row r="1591" spans="34:35" ht="17.100000000000001" customHeight="1" x14ac:dyDescent="0.25">
      <c r="AH1591" s="118"/>
      <c r="AI1591" s="120"/>
    </row>
    <row r="1592" spans="34:35" ht="17.100000000000001" customHeight="1" x14ac:dyDescent="0.25">
      <c r="AH1592" s="118"/>
      <c r="AI1592" s="120"/>
    </row>
    <row r="1593" spans="34:35" ht="17.100000000000001" customHeight="1" x14ac:dyDescent="0.25">
      <c r="AH1593" s="118"/>
      <c r="AI1593" s="120"/>
    </row>
    <row r="1594" spans="34:35" ht="17.100000000000001" customHeight="1" x14ac:dyDescent="0.25">
      <c r="AH1594" s="118"/>
      <c r="AI1594" s="120"/>
    </row>
    <row r="1595" spans="34:35" ht="17.100000000000001" customHeight="1" x14ac:dyDescent="0.25">
      <c r="AH1595" s="118"/>
      <c r="AI1595" s="120"/>
    </row>
    <row r="1596" spans="34:35" ht="17.100000000000001" customHeight="1" x14ac:dyDescent="0.25">
      <c r="AH1596" s="118"/>
      <c r="AI1596" s="120"/>
    </row>
    <row r="1597" spans="34:35" ht="17.100000000000001" customHeight="1" x14ac:dyDescent="0.25">
      <c r="AH1597" s="118"/>
      <c r="AI1597" s="120"/>
    </row>
    <row r="1598" spans="34:35" ht="17.100000000000001" customHeight="1" x14ac:dyDescent="0.25">
      <c r="AH1598" s="118"/>
      <c r="AI1598" s="120"/>
    </row>
    <row r="1599" spans="34:35" ht="17.100000000000001" customHeight="1" x14ac:dyDescent="0.25">
      <c r="AH1599" s="118"/>
      <c r="AI1599" s="120"/>
    </row>
    <row r="1600" spans="34:35" ht="17.100000000000001" customHeight="1" x14ac:dyDescent="0.25">
      <c r="AH1600" s="118"/>
      <c r="AI1600" s="120"/>
    </row>
    <row r="1601" spans="34:35" ht="17.100000000000001" customHeight="1" x14ac:dyDescent="0.25">
      <c r="AH1601" s="118"/>
      <c r="AI1601" s="120"/>
    </row>
    <row r="1602" spans="34:35" ht="17.100000000000001" customHeight="1" x14ac:dyDescent="0.25">
      <c r="AH1602" s="118"/>
      <c r="AI1602" s="120"/>
    </row>
    <row r="1603" spans="34:35" ht="17.100000000000001" customHeight="1" x14ac:dyDescent="0.25">
      <c r="AH1603" s="118"/>
      <c r="AI1603" s="120"/>
    </row>
    <row r="1604" spans="34:35" ht="17.100000000000001" customHeight="1" x14ac:dyDescent="0.25">
      <c r="AH1604" s="118"/>
      <c r="AI1604" s="120"/>
    </row>
    <row r="1605" spans="34:35" ht="17.100000000000001" customHeight="1" x14ac:dyDescent="0.25">
      <c r="AH1605" s="118"/>
      <c r="AI1605" s="120"/>
    </row>
    <row r="1606" spans="34:35" ht="17.100000000000001" customHeight="1" x14ac:dyDescent="0.25">
      <c r="AH1606" s="118"/>
      <c r="AI1606" s="120"/>
    </row>
    <row r="1607" spans="34:35" ht="17.100000000000001" customHeight="1" x14ac:dyDescent="0.25">
      <c r="AH1607" s="118"/>
      <c r="AI1607" s="120"/>
    </row>
    <row r="1608" spans="34:35" ht="17.100000000000001" customHeight="1" x14ac:dyDescent="0.25">
      <c r="AH1608" s="118"/>
      <c r="AI1608" s="120"/>
    </row>
    <row r="1609" spans="34:35" ht="17.100000000000001" customHeight="1" x14ac:dyDescent="0.25">
      <c r="AH1609" s="118"/>
      <c r="AI1609" s="120"/>
    </row>
    <row r="1610" spans="34:35" ht="17.100000000000001" customHeight="1" x14ac:dyDescent="0.25">
      <c r="AH1610" s="118"/>
      <c r="AI1610" s="120"/>
    </row>
    <row r="1611" spans="34:35" ht="17.100000000000001" customHeight="1" x14ac:dyDescent="0.25">
      <c r="AH1611" s="118"/>
      <c r="AI1611" s="120"/>
    </row>
    <row r="1612" spans="34:35" ht="17.100000000000001" customHeight="1" x14ac:dyDescent="0.25">
      <c r="AH1612" s="118"/>
      <c r="AI1612" s="120"/>
    </row>
    <row r="1613" spans="34:35" ht="17.100000000000001" customHeight="1" x14ac:dyDescent="0.25">
      <c r="AH1613" s="118"/>
      <c r="AI1613" s="120"/>
    </row>
    <row r="1614" spans="34:35" ht="17.100000000000001" customHeight="1" x14ac:dyDescent="0.25">
      <c r="AH1614" s="118"/>
      <c r="AI1614" s="120"/>
    </row>
    <row r="1615" spans="34:35" ht="17.100000000000001" customHeight="1" x14ac:dyDescent="0.25">
      <c r="AH1615" s="118"/>
      <c r="AI1615" s="120"/>
    </row>
    <row r="1616" spans="34:35" ht="17.100000000000001" customHeight="1" x14ac:dyDescent="0.25">
      <c r="AH1616" s="118"/>
      <c r="AI1616" s="120"/>
    </row>
    <row r="1617" spans="34:35" ht="17.100000000000001" customHeight="1" x14ac:dyDescent="0.25">
      <c r="AH1617" s="118"/>
      <c r="AI1617" s="120"/>
    </row>
    <row r="1618" spans="34:35" ht="17.100000000000001" customHeight="1" x14ac:dyDescent="0.25">
      <c r="AH1618" s="118"/>
      <c r="AI1618" s="120"/>
    </row>
    <row r="1619" spans="34:35" ht="17.100000000000001" customHeight="1" x14ac:dyDescent="0.25">
      <c r="AH1619" s="118"/>
      <c r="AI1619" s="120"/>
    </row>
    <row r="1620" spans="34:35" ht="17.100000000000001" customHeight="1" x14ac:dyDescent="0.25">
      <c r="AH1620" s="118"/>
      <c r="AI1620" s="120"/>
    </row>
    <row r="1621" spans="34:35" ht="17.100000000000001" customHeight="1" x14ac:dyDescent="0.25">
      <c r="AH1621" s="118"/>
      <c r="AI1621" s="120"/>
    </row>
    <row r="1622" spans="34:35" ht="17.100000000000001" customHeight="1" x14ac:dyDescent="0.25">
      <c r="AH1622" s="118"/>
      <c r="AI1622" s="120"/>
    </row>
    <row r="1623" spans="34:35" ht="17.100000000000001" customHeight="1" x14ac:dyDescent="0.25">
      <c r="AH1623" s="118"/>
      <c r="AI1623" s="120"/>
    </row>
    <row r="1624" spans="34:35" ht="17.100000000000001" customHeight="1" x14ac:dyDescent="0.25">
      <c r="AH1624" s="118"/>
      <c r="AI1624" s="120"/>
    </row>
    <row r="1625" spans="34:35" ht="17.100000000000001" customHeight="1" x14ac:dyDescent="0.25">
      <c r="AH1625" s="118"/>
      <c r="AI1625" s="120"/>
    </row>
    <row r="1626" spans="34:35" ht="17.100000000000001" customHeight="1" x14ac:dyDescent="0.25">
      <c r="AH1626" s="118"/>
      <c r="AI1626" s="120"/>
    </row>
    <row r="1627" spans="34:35" ht="17.100000000000001" customHeight="1" x14ac:dyDescent="0.25">
      <c r="AH1627" s="118"/>
      <c r="AI1627" s="120"/>
    </row>
    <row r="1628" spans="34:35" ht="17.100000000000001" customHeight="1" x14ac:dyDescent="0.25">
      <c r="AH1628" s="118"/>
      <c r="AI1628" s="120"/>
    </row>
    <row r="1629" spans="34:35" ht="17.100000000000001" customHeight="1" x14ac:dyDescent="0.25">
      <c r="AH1629" s="118"/>
      <c r="AI1629" s="120"/>
    </row>
    <row r="1630" spans="34:35" ht="17.100000000000001" customHeight="1" x14ac:dyDescent="0.25">
      <c r="AH1630" s="118"/>
      <c r="AI1630" s="120"/>
    </row>
    <row r="1631" spans="34:35" ht="17.100000000000001" customHeight="1" x14ac:dyDescent="0.25">
      <c r="AH1631" s="118"/>
      <c r="AI1631" s="120"/>
    </row>
    <row r="1632" spans="34:35" ht="17.100000000000001" customHeight="1" x14ac:dyDescent="0.25">
      <c r="AH1632" s="118"/>
      <c r="AI1632" s="120"/>
    </row>
    <row r="1633" spans="34:35" ht="17.100000000000001" customHeight="1" x14ac:dyDescent="0.25">
      <c r="AH1633" s="118"/>
      <c r="AI1633" s="120"/>
    </row>
    <row r="1634" spans="34:35" ht="17.100000000000001" customHeight="1" x14ac:dyDescent="0.25">
      <c r="AH1634" s="118"/>
      <c r="AI1634" s="120"/>
    </row>
    <row r="1635" spans="34:35" ht="17.100000000000001" customHeight="1" x14ac:dyDescent="0.25">
      <c r="AH1635" s="118"/>
      <c r="AI1635" s="120"/>
    </row>
    <row r="1636" spans="34:35" ht="17.100000000000001" customHeight="1" x14ac:dyDescent="0.25">
      <c r="AH1636" s="118"/>
      <c r="AI1636" s="120"/>
    </row>
    <row r="1637" spans="34:35" ht="17.100000000000001" customHeight="1" x14ac:dyDescent="0.25">
      <c r="AH1637" s="118"/>
      <c r="AI1637" s="120"/>
    </row>
    <row r="1638" spans="34:35" ht="17.100000000000001" customHeight="1" x14ac:dyDescent="0.25">
      <c r="AH1638" s="118"/>
      <c r="AI1638" s="120"/>
    </row>
    <row r="1639" spans="34:35" ht="17.100000000000001" customHeight="1" x14ac:dyDescent="0.25">
      <c r="AH1639" s="118"/>
      <c r="AI1639" s="120"/>
    </row>
    <row r="1640" spans="34:35" ht="17.100000000000001" customHeight="1" x14ac:dyDescent="0.25">
      <c r="AH1640" s="118"/>
      <c r="AI1640" s="120"/>
    </row>
    <row r="1641" spans="34:35" ht="17.100000000000001" customHeight="1" x14ac:dyDescent="0.25">
      <c r="AH1641" s="118"/>
      <c r="AI1641" s="120"/>
    </row>
    <row r="1642" spans="34:35" ht="17.100000000000001" customHeight="1" x14ac:dyDescent="0.25">
      <c r="AH1642" s="118"/>
      <c r="AI1642" s="120"/>
    </row>
    <row r="1643" spans="34:35" ht="17.100000000000001" customHeight="1" x14ac:dyDescent="0.25">
      <c r="AH1643" s="118"/>
      <c r="AI1643" s="120"/>
    </row>
    <row r="1644" spans="34:35" ht="17.100000000000001" customHeight="1" x14ac:dyDescent="0.25">
      <c r="AH1644" s="118"/>
      <c r="AI1644" s="120"/>
    </row>
    <row r="1645" spans="34:35" ht="17.100000000000001" customHeight="1" x14ac:dyDescent="0.25">
      <c r="AH1645" s="118"/>
      <c r="AI1645" s="120"/>
    </row>
    <row r="1646" spans="34:35" ht="17.100000000000001" customHeight="1" x14ac:dyDescent="0.25">
      <c r="AH1646" s="118"/>
      <c r="AI1646" s="120"/>
    </row>
    <row r="1647" spans="34:35" ht="17.100000000000001" customHeight="1" x14ac:dyDescent="0.25">
      <c r="AH1647" s="118"/>
      <c r="AI1647" s="120"/>
    </row>
    <row r="1648" spans="34:35" ht="17.100000000000001" customHeight="1" x14ac:dyDescent="0.25">
      <c r="AH1648" s="118"/>
      <c r="AI1648" s="120"/>
    </row>
    <row r="1649" spans="34:35" ht="17.100000000000001" customHeight="1" x14ac:dyDescent="0.25">
      <c r="AH1649" s="118"/>
      <c r="AI1649" s="120"/>
    </row>
    <row r="1650" spans="34:35" ht="17.100000000000001" customHeight="1" x14ac:dyDescent="0.25">
      <c r="AH1650" s="118"/>
      <c r="AI1650" s="120"/>
    </row>
    <row r="1651" spans="34:35" ht="17.100000000000001" customHeight="1" x14ac:dyDescent="0.25">
      <c r="AH1651" s="118"/>
      <c r="AI1651" s="120"/>
    </row>
    <row r="1652" spans="34:35" ht="17.100000000000001" customHeight="1" x14ac:dyDescent="0.25">
      <c r="AH1652" s="118"/>
      <c r="AI1652" s="120"/>
    </row>
    <row r="1653" spans="34:35" ht="17.100000000000001" customHeight="1" x14ac:dyDescent="0.25">
      <c r="AH1653" s="118"/>
      <c r="AI1653" s="120"/>
    </row>
    <row r="1654" spans="34:35" ht="17.100000000000001" customHeight="1" x14ac:dyDescent="0.25">
      <c r="AH1654" s="118"/>
      <c r="AI1654" s="120"/>
    </row>
    <row r="1655" spans="34:35" ht="17.100000000000001" customHeight="1" x14ac:dyDescent="0.25">
      <c r="AH1655" s="118"/>
      <c r="AI1655" s="120"/>
    </row>
    <row r="1656" spans="34:35" ht="17.100000000000001" customHeight="1" x14ac:dyDescent="0.25">
      <c r="AH1656" s="118"/>
      <c r="AI1656" s="120"/>
    </row>
    <row r="1657" spans="34:35" ht="17.100000000000001" customHeight="1" x14ac:dyDescent="0.25">
      <c r="AH1657" s="118"/>
      <c r="AI1657" s="120"/>
    </row>
    <row r="1658" spans="34:35" ht="17.100000000000001" customHeight="1" x14ac:dyDescent="0.25">
      <c r="AH1658" s="118"/>
      <c r="AI1658" s="120"/>
    </row>
    <row r="1659" spans="34:35" ht="17.100000000000001" customHeight="1" x14ac:dyDescent="0.25">
      <c r="AH1659" s="118"/>
      <c r="AI1659" s="120"/>
    </row>
    <row r="1660" spans="34:35" ht="17.100000000000001" customHeight="1" x14ac:dyDescent="0.25">
      <c r="AH1660" s="118"/>
      <c r="AI1660" s="120"/>
    </row>
    <row r="1661" spans="34:35" ht="17.100000000000001" customHeight="1" x14ac:dyDescent="0.25">
      <c r="AH1661" s="118"/>
      <c r="AI1661" s="120"/>
    </row>
    <row r="1662" spans="34:35" ht="17.100000000000001" customHeight="1" x14ac:dyDescent="0.25">
      <c r="AH1662" s="118"/>
      <c r="AI1662" s="120"/>
    </row>
    <row r="1663" spans="34:35" ht="17.100000000000001" customHeight="1" x14ac:dyDescent="0.25">
      <c r="AH1663" s="118"/>
      <c r="AI1663" s="120"/>
    </row>
    <row r="1664" spans="34:35" ht="17.100000000000001" customHeight="1" x14ac:dyDescent="0.25">
      <c r="AH1664" s="118"/>
      <c r="AI1664" s="120"/>
    </row>
    <row r="1665" spans="34:35" ht="17.100000000000001" customHeight="1" x14ac:dyDescent="0.25">
      <c r="AH1665" s="118"/>
      <c r="AI1665" s="120"/>
    </row>
    <row r="1666" spans="34:35" ht="17.100000000000001" customHeight="1" x14ac:dyDescent="0.25">
      <c r="AH1666" s="118"/>
      <c r="AI1666" s="120"/>
    </row>
    <row r="1667" spans="34:35" ht="17.100000000000001" customHeight="1" x14ac:dyDescent="0.25">
      <c r="AH1667" s="118"/>
      <c r="AI1667" s="120"/>
    </row>
    <row r="1668" spans="34:35" ht="17.100000000000001" customHeight="1" x14ac:dyDescent="0.25">
      <c r="AH1668" s="118"/>
      <c r="AI1668" s="120"/>
    </row>
    <row r="1669" spans="34:35" ht="17.100000000000001" customHeight="1" x14ac:dyDescent="0.25">
      <c r="AH1669" s="118"/>
      <c r="AI1669" s="120"/>
    </row>
    <row r="1670" spans="34:35" ht="17.100000000000001" customHeight="1" x14ac:dyDescent="0.25">
      <c r="AH1670" s="118"/>
      <c r="AI1670" s="120"/>
    </row>
    <row r="1671" spans="34:35" ht="17.100000000000001" customHeight="1" x14ac:dyDescent="0.25">
      <c r="AH1671" s="118"/>
      <c r="AI1671" s="120"/>
    </row>
    <row r="1672" spans="34:35" ht="17.100000000000001" customHeight="1" x14ac:dyDescent="0.25">
      <c r="AH1672" s="118"/>
      <c r="AI1672" s="120"/>
    </row>
    <row r="1673" spans="34:35" ht="17.100000000000001" customHeight="1" x14ac:dyDescent="0.25">
      <c r="AH1673" s="118"/>
      <c r="AI1673" s="120"/>
    </row>
    <row r="1674" spans="34:35" ht="17.100000000000001" customHeight="1" x14ac:dyDescent="0.25">
      <c r="AH1674" s="118"/>
      <c r="AI1674" s="120"/>
    </row>
    <row r="1675" spans="34:35" ht="17.100000000000001" customHeight="1" x14ac:dyDescent="0.25">
      <c r="AH1675" s="118"/>
      <c r="AI1675" s="120"/>
    </row>
    <row r="1676" spans="34:35" ht="17.100000000000001" customHeight="1" x14ac:dyDescent="0.25">
      <c r="AH1676" s="118"/>
      <c r="AI1676" s="120"/>
    </row>
    <row r="1677" spans="34:35" ht="17.100000000000001" customHeight="1" x14ac:dyDescent="0.25">
      <c r="AH1677" s="118"/>
      <c r="AI1677" s="120"/>
    </row>
    <row r="1678" spans="34:35" ht="17.100000000000001" customHeight="1" x14ac:dyDescent="0.25">
      <c r="AH1678" s="118"/>
      <c r="AI1678" s="120"/>
    </row>
    <row r="1679" spans="34:35" ht="17.100000000000001" customHeight="1" x14ac:dyDescent="0.25">
      <c r="AH1679" s="118"/>
      <c r="AI1679" s="120"/>
    </row>
    <row r="1680" spans="34:35" ht="17.100000000000001" customHeight="1" x14ac:dyDescent="0.25">
      <c r="AH1680" s="118"/>
      <c r="AI1680" s="120"/>
    </row>
    <row r="1681" spans="34:35" ht="17.100000000000001" customHeight="1" x14ac:dyDescent="0.25">
      <c r="AH1681" s="118"/>
      <c r="AI1681" s="120"/>
    </row>
    <row r="1682" spans="34:35" ht="17.100000000000001" customHeight="1" x14ac:dyDescent="0.25">
      <c r="AH1682" s="118"/>
      <c r="AI1682" s="120"/>
    </row>
    <row r="1683" spans="34:35" ht="17.100000000000001" customHeight="1" x14ac:dyDescent="0.25">
      <c r="AH1683" s="118"/>
      <c r="AI1683" s="120"/>
    </row>
    <row r="1684" spans="34:35" ht="17.100000000000001" customHeight="1" x14ac:dyDescent="0.25">
      <c r="AH1684" s="118"/>
      <c r="AI1684" s="120"/>
    </row>
    <row r="1685" spans="34:35" ht="17.100000000000001" customHeight="1" x14ac:dyDescent="0.25">
      <c r="AH1685" s="118"/>
      <c r="AI1685" s="120"/>
    </row>
    <row r="1686" spans="34:35" ht="17.100000000000001" customHeight="1" x14ac:dyDescent="0.25">
      <c r="AH1686" s="118"/>
      <c r="AI1686" s="120"/>
    </row>
    <row r="1687" spans="34:35" ht="17.100000000000001" customHeight="1" x14ac:dyDescent="0.25">
      <c r="AH1687" s="118"/>
      <c r="AI1687" s="120"/>
    </row>
    <row r="1688" spans="34:35" ht="17.100000000000001" customHeight="1" x14ac:dyDescent="0.25">
      <c r="AH1688" s="118"/>
      <c r="AI1688" s="120"/>
    </row>
    <row r="1689" spans="34:35" ht="17.100000000000001" customHeight="1" x14ac:dyDescent="0.25">
      <c r="AH1689" s="118"/>
      <c r="AI1689" s="120"/>
    </row>
    <row r="1690" spans="34:35" ht="17.100000000000001" customHeight="1" x14ac:dyDescent="0.25">
      <c r="AH1690" s="118"/>
      <c r="AI1690" s="120"/>
    </row>
    <row r="1691" spans="34:35" ht="17.100000000000001" customHeight="1" x14ac:dyDescent="0.25">
      <c r="AH1691" s="118"/>
      <c r="AI1691" s="120"/>
    </row>
    <row r="1692" spans="34:35" ht="17.100000000000001" customHeight="1" x14ac:dyDescent="0.25">
      <c r="AH1692" s="118"/>
      <c r="AI1692" s="120"/>
    </row>
    <row r="1693" spans="34:35" ht="17.100000000000001" customHeight="1" x14ac:dyDescent="0.25">
      <c r="AH1693" s="118"/>
      <c r="AI1693" s="120"/>
    </row>
    <row r="1694" spans="34:35" ht="17.100000000000001" customHeight="1" x14ac:dyDescent="0.25">
      <c r="AH1694" s="118"/>
      <c r="AI1694" s="120"/>
    </row>
    <row r="1695" spans="34:35" ht="17.100000000000001" customHeight="1" x14ac:dyDescent="0.25">
      <c r="AH1695" s="118"/>
      <c r="AI1695" s="120"/>
    </row>
    <row r="1696" spans="34:35" ht="17.100000000000001" customHeight="1" x14ac:dyDescent="0.25">
      <c r="AH1696" s="118"/>
      <c r="AI1696" s="120"/>
    </row>
    <row r="1697" spans="34:35" ht="17.100000000000001" customHeight="1" x14ac:dyDescent="0.25">
      <c r="AH1697" s="118"/>
      <c r="AI1697" s="120"/>
    </row>
    <row r="1698" spans="34:35" ht="17.100000000000001" customHeight="1" x14ac:dyDescent="0.25">
      <c r="AH1698" s="118"/>
      <c r="AI1698" s="120"/>
    </row>
    <row r="1699" spans="34:35" ht="17.100000000000001" customHeight="1" x14ac:dyDescent="0.25">
      <c r="AH1699" s="118"/>
      <c r="AI1699" s="120"/>
    </row>
    <row r="1700" spans="34:35" ht="17.100000000000001" customHeight="1" x14ac:dyDescent="0.25">
      <c r="AH1700" s="118"/>
      <c r="AI1700" s="120"/>
    </row>
    <row r="1701" spans="34:35" ht="17.100000000000001" customHeight="1" x14ac:dyDescent="0.25">
      <c r="AH1701" s="118"/>
      <c r="AI1701" s="120"/>
    </row>
    <row r="1702" spans="34:35" ht="17.100000000000001" customHeight="1" x14ac:dyDescent="0.25">
      <c r="AH1702" s="118"/>
      <c r="AI1702" s="120"/>
    </row>
    <row r="1703" spans="34:35" ht="17.100000000000001" customHeight="1" x14ac:dyDescent="0.25">
      <c r="AH1703" s="118"/>
      <c r="AI1703" s="120"/>
    </row>
    <row r="1704" spans="34:35" ht="17.100000000000001" customHeight="1" x14ac:dyDescent="0.25">
      <c r="AH1704" s="118"/>
      <c r="AI1704" s="120"/>
    </row>
    <row r="1705" spans="34:35" ht="17.100000000000001" customHeight="1" x14ac:dyDescent="0.25">
      <c r="AH1705" s="118"/>
      <c r="AI1705" s="120"/>
    </row>
    <row r="1706" spans="34:35" ht="17.100000000000001" customHeight="1" x14ac:dyDescent="0.25">
      <c r="AH1706" s="118"/>
      <c r="AI1706" s="120"/>
    </row>
    <row r="1707" spans="34:35" ht="17.100000000000001" customHeight="1" x14ac:dyDescent="0.25">
      <c r="AH1707" s="118"/>
      <c r="AI1707" s="120"/>
    </row>
    <row r="1708" spans="34:35" ht="17.100000000000001" customHeight="1" x14ac:dyDescent="0.25">
      <c r="AH1708" s="118"/>
      <c r="AI1708" s="120"/>
    </row>
    <row r="1709" spans="34:35" ht="17.100000000000001" customHeight="1" x14ac:dyDescent="0.25">
      <c r="AH1709" s="118"/>
      <c r="AI1709" s="120"/>
    </row>
    <row r="1710" spans="34:35" ht="17.100000000000001" customHeight="1" x14ac:dyDescent="0.25">
      <c r="AH1710" s="118"/>
      <c r="AI1710" s="120"/>
    </row>
    <row r="1711" spans="34:35" ht="17.100000000000001" customHeight="1" x14ac:dyDescent="0.25">
      <c r="AH1711" s="118"/>
      <c r="AI1711" s="120"/>
    </row>
    <row r="1712" spans="34:35" ht="17.100000000000001" customHeight="1" x14ac:dyDescent="0.25">
      <c r="AH1712" s="118"/>
      <c r="AI1712" s="120"/>
    </row>
    <row r="1713" spans="34:35" ht="17.100000000000001" customHeight="1" x14ac:dyDescent="0.25">
      <c r="AH1713" s="118"/>
      <c r="AI1713" s="120"/>
    </row>
    <row r="1714" spans="34:35" ht="17.100000000000001" customHeight="1" x14ac:dyDescent="0.25">
      <c r="AH1714" s="118"/>
      <c r="AI1714" s="120"/>
    </row>
    <row r="1715" spans="34:35" ht="17.100000000000001" customHeight="1" x14ac:dyDescent="0.25">
      <c r="AH1715" s="118"/>
      <c r="AI1715" s="120"/>
    </row>
    <row r="1716" spans="34:35" ht="17.100000000000001" customHeight="1" x14ac:dyDescent="0.25">
      <c r="AH1716" s="118"/>
      <c r="AI1716" s="120"/>
    </row>
    <row r="1717" spans="34:35" ht="17.100000000000001" customHeight="1" x14ac:dyDescent="0.25">
      <c r="AH1717" s="118"/>
      <c r="AI1717" s="120"/>
    </row>
    <row r="1718" spans="34:35" ht="17.100000000000001" customHeight="1" x14ac:dyDescent="0.25">
      <c r="AH1718" s="118"/>
      <c r="AI1718" s="120"/>
    </row>
    <row r="1719" spans="34:35" ht="17.100000000000001" customHeight="1" x14ac:dyDescent="0.25">
      <c r="AH1719" s="118"/>
      <c r="AI1719" s="120"/>
    </row>
    <row r="1720" spans="34:35" ht="17.100000000000001" customHeight="1" x14ac:dyDescent="0.25">
      <c r="AH1720" s="118"/>
      <c r="AI1720" s="120"/>
    </row>
    <row r="1721" spans="34:35" ht="17.100000000000001" customHeight="1" x14ac:dyDescent="0.25">
      <c r="AH1721" s="118"/>
      <c r="AI1721" s="120"/>
    </row>
    <row r="1722" spans="34:35" ht="17.100000000000001" customHeight="1" x14ac:dyDescent="0.25">
      <c r="AH1722" s="118"/>
      <c r="AI1722" s="120"/>
    </row>
    <row r="1723" spans="34:35" ht="17.100000000000001" customHeight="1" x14ac:dyDescent="0.25">
      <c r="AH1723" s="118"/>
      <c r="AI1723" s="120"/>
    </row>
    <row r="1724" spans="34:35" ht="17.100000000000001" customHeight="1" x14ac:dyDescent="0.25">
      <c r="AH1724" s="118"/>
      <c r="AI1724" s="120"/>
    </row>
    <row r="1725" spans="34:35" ht="17.100000000000001" customHeight="1" x14ac:dyDescent="0.25">
      <c r="AH1725" s="118"/>
      <c r="AI1725" s="120"/>
    </row>
    <row r="1726" spans="34:35" ht="17.100000000000001" customHeight="1" x14ac:dyDescent="0.25">
      <c r="AH1726" s="118"/>
      <c r="AI1726" s="120"/>
    </row>
    <row r="1727" spans="34:35" ht="17.100000000000001" customHeight="1" x14ac:dyDescent="0.25">
      <c r="AH1727" s="118"/>
      <c r="AI1727" s="120"/>
    </row>
    <row r="1728" spans="34:35" ht="17.100000000000001" customHeight="1" x14ac:dyDescent="0.25">
      <c r="AH1728" s="118"/>
      <c r="AI1728" s="120"/>
    </row>
    <row r="1729" spans="34:35" ht="17.100000000000001" customHeight="1" x14ac:dyDescent="0.25">
      <c r="AH1729" s="118"/>
      <c r="AI1729" s="120"/>
    </row>
    <row r="1730" spans="34:35" ht="17.100000000000001" customHeight="1" x14ac:dyDescent="0.25">
      <c r="AH1730" s="118"/>
      <c r="AI1730" s="120"/>
    </row>
    <row r="1731" spans="34:35" ht="17.100000000000001" customHeight="1" x14ac:dyDescent="0.25">
      <c r="AH1731" s="118"/>
      <c r="AI1731" s="120"/>
    </row>
    <row r="1732" spans="34:35" ht="17.100000000000001" customHeight="1" x14ac:dyDescent="0.25">
      <c r="AH1732" s="118"/>
      <c r="AI1732" s="120"/>
    </row>
    <row r="1733" spans="34:35" ht="17.100000000000001" customHeight="1" x14ac:dyDescent="0.25">
      <c r="AH1733" s="118"/>
      <c r="AI1733" s="120"/>
    </row>
    <row r="1734" spans="34:35" ht="17.100000000000001" customHeight="1" x14ac:dyDescent="0.25">
      <c r="AH1734" s="118"/>
      <c r="AI1734" s="120"/>
    </row>
    <row r="1735" spans="34:35" ht="17.100000000000001" customHeight="1" x14ac:dyDescent="0.25">
      <c r="AH1735" s="118"/>
      <c r="AI1735" s="120"/>
    </row>
    <row r="1736" spans="34:35" ht="17.100000000000001" customHeight="1" x14ac:dyDescent="0.25">
      <c r="AH1736" s="118"/>
      <c r="AI1736" s="120"/>
    </row>
    <row r="1737" spans="34:35" ht="17.100000000000001" customHeight="1" x14ac:dyDescent="0.25">
      <c r="AH1737" s="118"/>
      <c r="AI1737" s="120"/>
    </row>
    <row r="1738" spans="34:35" ht="17.100000000000001" customHeight="1" x14ac:dyDescent="0.25">
      <c r="AH1738" s="118"/>
      <c r="AI1738" s="120"/>
    </row>
    <row r="1739" spans="34:35" ht="17.100000000000001" customHeight="1" x14ac:dyDescent="0.25">
      <c r="AH1739" s="118"/>
      <c r="AI1739" s="120"/>
    </row>
    <row r="1740" spans="34:35" ht="17.100000000000001" customHeight="1" x14ac:dyDescent="0.25">
      <c r="AH1740" s="118"/>
      <c r="AI1740" s="120"/>
    </row>
    <row r="1741" spans="34:35" ht="17.100000000000001" customHeight="1" x14ac:dyDescent="0.25">
      <c r="AH1741" s="118"/>
      <c r="AI1741" s="120"/>
    </row>
    <row r="1742" spans="34:35" ht="17.100000000000001" customHeight="1" x14ac:dyDescent="0.25">
      <c r="AH1742" s="118"/>
      <c r="AI1742" s="120"/>
    </row>
    <row r="1743" spans="34:35" ht="17.100000000000001" customHeight="1" x14ac:dyDescent="0.25">
      <c r="AH1743" s="118"/>
      <c r="AI1743" s="120"/>
    </row>
    <row r="1744" spans="34:35" ht="17.100000000000001" customHeight="1" x14ac:dyDescent="0.25">
      <c r="AH1744" s="118"/>
      <c r="AI1744" s="120"/>
    </row>
    <row r="1745" spans="34:35" ht="17.100000000000001" customHeight="1" x14ac:dyDescent="0.25">
      <c r="AH1745" s="118"/>
      <c r="AI1745" s="120"/>
    </row>
    <row r="1746" spans="34:35" ht="17.100000000000001" customHeight="1" x14ac:dyDescent="0.25">
      <c r="AH1746" s="118"/>
      <c r="AI1746" s="120"/>
    </row>
    <row r="1747" spans="34:35" ht="17.100000000000001" customHeight="1" x14ac:dyDescent="0.25">
      <c r="AH1747" s="118"/>
      <c r="AI1747" s="120"/>
    </row>
    <row r="1748" spans="34:35" ht="17.100000000000001" customHeight="1" x14ac:dyDescent="0.25">
      <c r="AH1748" s="118"/>
      <c r="AI1748" s="120"/>
    </row>
    <row r="1749" spans="34:35" ht="17.100000000000001" customHeight="1" x14ac:dyDescent="0.25">
      <c r="AH1749" s="118"/>
      <c r="AI1749" s="120"/>
    </row>
    <row r="1750" spans="34:35" ht="17.100000000000001" customHeight="1" x14ac:dyDescent="0.25">
      <c r="AH1750" s="118"/>
      <c r="AI1750" s="120"/>
    </row>
    <row r="1751" spans="34:35" ht="17.100000000000001" customHeight="1" x14ac:dyDescent="0.25">
      <c r="AH1751" s="118"/>
      <c r="AI1751" s="120"/>
    </row>
    <row r="1752" spans="34:35" ht="17.100000000000001" customHeight="1" x14ac:dyDescent="0.25">
      <c r="AH1752" s="118"/>
      <c r="AI1752" s="120"/>
    </row>
    <row r="1753" spans="34:35" ht="17.100000000000001" customHeight="1" x14ac:dyDescent="0.25">
      <c r="AH1753" s="118"/>
      <c r="AI1753" s="120"/>
    </row>
    <row r="1754" spans="34:35" ht="17.100000000000001" customHeight="1" x14ac:dyDescent="0.25">
      <c r="AH1754" s="118"/>
      <c r="AI1754" s="120"/>
    </row>
    <row r="1755" spans="34:35" ht="17.100000000000001" customHeight="1" x14ac:dyDescent="0.25">
      <c r="AH1755" s="118"/>
      <c r="AI1755" s="120"/>
    </row>
    <row r="1756" spans="34:35" ht="17.100000000000001" customHeight="1" x14ac:dyDescent="0.25">
      <c r="AH1756" s="118"/>
      <c r="AI1756" s="120"/>
    </row>
    <row r="1757" spans="34:35" ht="17.100000000000001" customHeight="1" x14ac:dyDescent="0.25">
      <c r="AH1757" s="118"/>
      <c r="AI1757" s="120"/>
    </row>
    <row r="1758" spans="34:35" ht="17.100000000000001" customHeight="1" x14ac:dyDescent="0.25">
      <c r="AH1758" s="118"/>
      <c r="AI1758" s="120"/>
    </row>
    <row r="1759" spans="34:35" ht="17.100000000000001" customHeight="1" x14ac:dyDescent="0.25">
      <c r="AH1759" s="118"/>
      <c r="AI1759" s="120"/>
    </row>
    <row r="1760" spans="34:35" ht="17.100000000000001" customHeight="1" x14ac:dyDescent="0.25">
      <c r="AH1760" s="118"/>
      <c r="AI1760" s="120"/>
    </row>
    <row r="1761" spans="34:35" ht="17.100000000000001" customHeight="1" x14ac:dyDescent="0.25">
      <c r="AH1761" s="118"/>
      <c r="AI1761" s="120"/>
    </row>
    <row r="1762" spans="34:35" ht="17.100000000000001" customHeight="1" x14ac:dyDescent="0.25">
      <c r="AH1762" s="118"/>
      <c r="AI1762" s="120"/>
    </row>
    <row r="1763" spans="34:35" ht="17.100000000000001" customHeight="1" x14ac:dyDescent="0.25">
      <c r="AH1763" s="118"/>
      <c r="AI1763" s="120"/>
    </row>
    <row r="1764" spans="34:35" ht="17.100000000000001" customHeight="1" x14ac:dyDescent="0.25">
      <c r="AH1764" s="118"/>
      <c r="AI1764" s="120"/>
    </row>
    <row r="1765" spans="34:35" ht="17.100000000000001" customHeight="1" x14ac:dyDescent="0.25">
      <c r="AH1765" s="118"/>
      <c r="AI1765" s="120"/>
    </row>
    <row r="1766" spans="34:35" ht="17.100000000000001" customHeight="1" x14ac:dyDescent="0.25">
      <c r="AH1766" s="118"/>
      <c r="AI1766" s="120"/>
    </row>
    <row r="1767" spans="34:35" ht="17.100000000000001" customHeight="1" x14ac:dyDescent="0.25">
      <c r="AH1767" s="118"/>
      <c r="AI1767" s="120"/>
    </row>
    <row r="1768" spans="34:35" ht="17.100000000000001" customHeight="1" x14ac:dyDescent="0.25">
      <c r="AH1768" s="118"/>
      <c r="AI1768" s="120"/>
    </row>
    <row r="1769" spans="34:35" ht="17.100000000000001" customHeight="1" x14ac:dyDescent="0.25">
      <c r="AH1769" s="118"/>
      <c r="AI1769" s="120"/>
    </row>
    <row r="1770" spans="34:35" ht="17.100000000000001" customHeight="1" x14ac:dyDescent="0.25">
      <c r="AH1770" s="118"/>
      <c r="AI1770" s="120"/>
    </row>
    <row r="1771" spans="34:35" ht="17.100000000000001" customHeight="1" x14ac:dyDescent="0.25">
      <c r="AH1771" s="118"/>
      <c r="AI1771" s="120"/>
    </row>
    <row r="1772" spans="34:35" ht="17.100000000000001" customHeight="1" x14ac:dyDescent="0.25">
      <c r="AH1772" s="118"/>
      <c r="AI1772" s="120"/>
    </row>
    <row r="1773" spans="34:35" ht="17.100000000000001" customHeight="1" x14ac:dyDescent="0.25">
      <c r="AH1773" s="118"/>
      <c r="AI1773" s="120"/>
    </row>
    <row r="1774" spans="34:35" ht="17.100000000000001" customHeight="1" x14ac:dyDescent="0.25">
      <c r="AH1774" s="118"/>
      <c r="AI1774" s="120"/>
    </row>
    <row r="1775" spans="34:35" ht="17.100000000000001" customHeight="1" x14ac:dyDescent="0.25">
      <c r="AH1775" s="118"/>
      <c r="AI1775" s="120"/>
    </row>
    <row r="1776" spans="34:35" ht="17.100000000000001" customHeight="1" x14ac:dyDescent="0.25">
      <c r="AH1776" s="118"/>
      <c r="AI1776" s="120"/>
    </row>
    <row r="1777" spans="34:35" ht="17.100000000000001" customHeight="1" x14ac:dyDescent="0.25">
      <c r="AH1777" s="118"/>
      <c r="AI1777" s="120"/>
    </row>
    <row r="1778" spans="34:35" ht="17.100000000000001" customHeight="1" x14ac:dyDescent="0.25">
      <c r="AH1778" s="118"/>
      <c r="AI1778" s="120"/>
    </row>
    <row r="1779" spans="34:35" ht="17.100000000000001" customHeight="1" x14ac:dyDescent="0.25">
      <c r="AH1779" s="118"/>
      <c r="AI1779" s="120"/>
    </row>
    <row r="1780" spans="34:35" ht="17.100000000000001" customHeight="1" x14ac:dyDescent="0.25">
      <c r="AH1780" s="118"/>
      <c r="AI1780" s="120"/>
    </row>
    <row r="1781" spans="34:35" ht="17.100000000000001" customHeight="1" x14ac:dyDescent="0.25">
      <c r="AH1781" s="118"/>
      <c r="AI1781" s="120"/>
    </row>
    <row r="1782" spans="34:35" ht="17.100000000000001" customHeight="1" x14ac:dyDescent="0.25">
      <c r="AH1782" s="118"/>
      <c r="AI1782" s="120"/>
    </row>
    <row r="1783" spans="34:35" ht="17.100000000000001" customHeight="1" x14ac:dyDescent="0.25">
      <c r="AH1783" s="118"/>
      <c r="AI1783" s="120"/>
    </row>
    <row r="1784" spans="34:35" ht="17.100000000000001" customHeight="1" x14ac:dyDescent="0.25">
      <c r="AH1784" s="118"/>
      <c r="AI1784" s="120"/>
    </row>
    <row r="1785" spans="34:35" ht="17.100000000000001" customHeight="1" x14ac:dyDescent="0.25">
      <c r="AH1785" s="118"/>
      <c r="AI1785" s="120"/>
    </row>
    <row r="1786" spans="34:35" ht="17.100000000000001" customHeight="1" x14ac:dyDescent="0.25">
      <c r="AH1786" s="118"/>
      <c r="AI1786" s="120"/>
    </row>
    <row r="1787" spans="34:35" ht="17.100000000000001" customHeight="1" x14ac:dyDescent="0.25">
      <c r="AH1787" s="118"/>
      <c r="AI1787" s="120"/>
    </row>
    <row r="1788" spans="34:35" ht="17.100000000000001" customHeight="1" x14ac:dyDescent="0.25">
      <c r="AH1788" s="118"/>
      <c r="AI1788" s="120"/>
    </row>
    <row r="1789" spans="34:35" ht="17.100000000000001" customHeight="1" x14ac:dyDescent="0.25">
      <c r="AH1789" s="118"/>
      <c r="AI1789" s="120"/>
    </row>
    <row r="1790" spans="34:35" ht="17.100000000000001" customHeight="1" x14ac:dyDescent="0.25">
      <c r="AH1790" s="118"/>
      <c r="AI1790" s="120"/>
    </row>
    <row r="1791" spans="34:35" ht="17.100000000000001" customHeight="1" x14ac:dyDescent="0.25">
      <c r="AH1791" s="118"/>
      <c r="AI1791" s="120"/>
    </row>
    <row r="1792" spans="34:35" ht="17.100000000000001" customHeight="1" x14ac:dyDescent="0.25">
      <c r="AH1792" s="118"/>
      <c r="AI1792" s="120"/>
    </row>
    <row r="1793" spans="34:35" ht="17.100000000000001" customHeight="1" x14ac:dyDescent="0.25">
      <c r="AH1793" s="118"/>
      <c r="AI1793" s="120"/>
    </row>
    <row r="1794" spans="34:35" ht="17.100000000000001" customHeight="1" x14ac:dyDescent="0.25">
      <c r="AH1794" s="118"/>
      <c r="AI1794" s="120"/>
    </row>
    <row r="1795" spans="34:35" ht="17.100000000000001" customHeight="1" x14ac:dyDescent="0.25">
      <c r="AH1795" s="118"/>
      <c r="AI1795" s="120"/>
    </row>
    <row r="1796" spans="34:35" ht="17.100000000000001" customHeight="1" x14ac:dyDescent="0.25">
      <c r="AH1796" s="118"/>
      <c r="AI1796" s="120"/>
    </row>
    <row r="1797" spans="34:35" ht="17.100000000000001" customHeight="1" x14ac:dyDescent="0.25">
      <c r="AH1797" s="118"/>
      <c r="AI1797" s="120"/>
    </row>
    <row r="1798" spans="34:35" ht="17.100000000000001" customHeight="1" x14ac:dyDescent="0.25">
      <c r="AH1798" s="118"/>
      <c r="AI1798" s="120"/>
    </row>
    <row r="1799" spans="34:35" ht="17.100000000000001" customHeight="1" x14ac:dyDescent="0.25">
      <c r="AH1799" s="118"/>
      <c r="AI1799" s="120"/>
    </row>
    <row r="1800" spans="34:35" ht="17.100000000000001" customHeight="1" x14ac:dyDescent="0.25">
      <c r="AH1800" s="118"/>
      <c r="AI1800" s="120"/>
    </row>
    <row r="1801" spans="34:35" ht="17.100000000000001" customHeight="1" x14ac:dyDescent="0.25">
      <c r="AH1801" s="118"/>
      <c r="AI1801" s="120"/>
    </row>
    <row r="1802" spans="34:35" ht="17.100000000000001" customHeight="1" x14ac:dyDescent="0.25">
      <c r="AH1802" s="118"/>
      <c r="AI1802" s="120"/>
    </row>
    <row r="1803" spans="34:35" ht="17.100000000000001" customHeight="1" x14ac:dyDescent="0.25">
      <c r="AH1803" s="118"/>
      <c r="AI1803" s="120"/>
    </row>
    <row r="1804" spans="34:35" ht="17.100000000000001" customHeight="1" x14ac:dyDescent="0.25">
      <c r="AH1804" s="118"/>
      <c r="AI1804" s="120"/>
    </row>
    <row r="1805" spans="34:35" ht="17.100000000000001" customHeight="1" x14ac:dyDescent="0.25">
      <c r="AH1805" s="118"/>
      <c r="AI1805" s="120"/>
    </row>
    <row r="1806" spans="34:35" ht="17.100000000000001" customHeight="1" x14ac:dyDescent="0.25">
      <c r="AH1806" s="118"/>
      <c r="AI1806" s="120"/>
    </row>
    <row r="1807" spans="34:35" ht="17.100000000000001" customHeight="1" x14ac:dyDescent="0.25">
      <c r="AH1807" s="118"/>
      <c r="AI1807" s="120"/>
    </row>
    <row r="1808" spans="34:35" ht="17.100000000000001" customHeight="1" x14ac:dyDescent="0.25">
      <c r="AH1808" s="118"/>
      <c r="AI1808" s="120"/>
    </row>
    <row r="1809" spans="34:35" ht="17.100000000000001" customHeight="1" x14ac:dyDescent="0.25">
      <c r="AH1809" s="118"/>
      <c r="AI1809" s="120"/>
    </row>
    <row r="1810" spans="34:35" ht="17.100000000000001" customHeight="1" x14ac:dyDescent="0.25">
      <c r="AH1810" s="118"/>
      <c r="AI1810" s="120"/>
    </row>
    <row r="1811" spans="34:35" ht="17.100000000000001" customHeight="1" x14ac:dyDescent="0.25">
      <c r="AH1811" s="118"/>
      <c r="AI1811" s="120"/>
    </row>
    <row r="1812" spans="34:35" ht="17.100000000000001" customHeight="1" x14ac:dyDescent="0.25">
      <c r="AH1812" s="118"/>
      <c r="AI1812" s="120"/>
    </row>
    <row r="1813" spans="34:35" ht="17.100000000000001" customHeight="1" x14ac:dyDescent="0.25">
      <c r="AH1813" s="118"/>
      <c r="AI1813" s="120"/>
    </row>
    <row r="1814" spans="34:35" ht="17.100000000000001" customHeight="1" x14ac:dyDescent="0.25">
      <c r="AH1814" s="118"/>
      <c r="AI1814" s="120"/>
    </row>
    <row r="1815" spans="34:35" ht="17.100000000000001" customHeight="1" x14ac:dyDescent="0.25">
      <c r="AH1815" s="118"/>
      <c r="AI1815" s="120"/>
    </row>
    <row r="1816" spans="34:35" ht="17.100000000000001" customHeight="1" x14ac:dyDescent="0.25">
      <c r="AH1816" s="118"/>
      <c r="AI1816" s="120"/>
    </row>
    <row r="1817" spans="34:35" ht="17.100000000000001" customHeight="1" x14ac:dyDescent="0.25">
      <c r="AH1817" s="118"/>
      <c r="AI1817" s="120"/>
    </row>
    <row r="1818" spans="34:35" ht="17.100000000000001" customHeight="1" x14ac:dyDescent="0.25">
      <c r="AH1818" s="118"/>
      <c r="AI1818" s="120"/>
    </row>
    <row r="1819" spans="34:35" ht="17.100000000000001" customHeight="1" x14ac:dyDescent="0.25">
      <c r="AH1819" s="118"/>
      <c r="AI1819" s="120"/>
    </row>
    <row r="1820" spans="34:35" ht="17.100000000000001" customHeight="1" x14ac:dyDescent="0.25">
      <c r="AH1820" s="118"/>
      <c r="AI1820" s="120"/>
    </row>
    <row r="1821" spans="34:35" ht="17.100000000000001" customHeight="1" x14ac:dyDescent="0.25">
      <c r="AH1821" s="118"/>
      <c r="AI1821" s="120"/>
    </row>
    <row r="1822" spans="34:35" ht="17.100000000000001" customHeight="1" x14ac:dyDescent="0.25">
      <c r="AH1822" s="118"/>
      <c r="AI1822" s="120"/>
    </row>
    <row r="1823" spans="34:35" ht="17.100000000000001" customHeight="1" x14ac:dyDescent="0.25">
      <c r="AH1823" s="118"/>
      <c r="AI1823" s="120"/>
    </row>
    <row r="1824" spans="34:35" ht="17.100000000000001" customHeight="1" x14ac:dyDescent="0.25">
      <c r="AH1824" s="118"/>
      <c r="AI1824" s="120"/>
    </row>
    <row r="1825" spans="34:35" ht="17.100000000000001" customHeight="1" x14ac:dyDescent="0.25">
      <c r="AH1825" s="118"/>
      <c r="AI1825" s="120"/>
    </row>
    <row r="1826" spans="34:35" ht="17.100000000000001" customHeight="1" x14ac:dyDescent="0.25">
      <c r="AH1826" s="118"/>
      <c r="AI1826" s="120"/>
    </row>
    <row r="1827" spans="34:35" ht="17.100000000000001" customHeight="1" x14ac:dyDescent="0.25">
      <c r="AH1827" s="118"/>
      <c r="AI1827" s="120"/>
    </row>
    <row r="1828" spans="34:35" ht="17.100000000000001" customHeight="1" x14ac:dyDescent="0.25">
      <c r="AH1828" s="118"/>
      <c r="AI1828" s="120"/>
    </row>
    <row r="1829" spans="34:35" ht="17.100000000000001" customHeight="1" x14ac:dyDescent="0.25">
      <c r="AH1829" s="118"/>
      <c r="AI1829" s="120"/>
    </row>
    <row r="1830" spans="34:35" ht="17.100000000000001" customHeight="1" x14ac:dyDescent="0.25">
      <c r="AH1830" s="118"/>
      <c r="AI1830" s="120"/>
    </row>
    <row r="1831" spans="34:35" ht="17.100000000000001" customHeight="1" x14ac:dyDescent="0.25">
      <c r="AH1831" s="118"/>
      <c r="AI1831" s="120"/>
    </row>
    <row r="1832" spans="34:35" ht="17.100000000000001" customHeight="1" x14ac:dyDescent="0.25">
      <c r="AH1832" s="118"/>
      <c r="AI1832" s="120"/>
    </row>
    <row r="1833" spans="34:35" ht="17.100000000000001" customHeight="1" x14ac:dyDescent="0.25">
      <c r="AH1833" s="118"/>
      <c r="AI1833" s="120"/>
    </row>
    <row r="1834" spans="34:35" ht="17.100000000000001" customHeight="1" x14ac:dyDescent="0.25">
      <c r="AH1834" s="118"/>
      <c r="AI1834" s="120"/>
    </row>
    <row r="1835" spans="34:35" ht="17.100000000000001" customHeight="1" x14ac:dyDescent="0.25">
      <c r="AH1835" s="118"/>
      <c r="AI1835" s="120"/>
    </row>
    <row r="1836" spans="34:35" ht="17.100000000000001" customHeight="1" x14ac:dyDescent="0.25">
      <c r="AH1836" s="118"/>
      <c r="AI1836" s="120"/>
    </row>
    <row r="1837" spans="34:35" ht="17.100000000000001" customHeight="1" x14ac:dyDescent="0.25">
      <c r="AH1837" s="118"/>
      <c r="AI1837" s="120"/>
    </row>
    <row r="1838" spans="34:35" ht="17.100000000000001" customHeight="1" x14ac:dyDescent="0.25">
      <c r="AH1838" s="118"/>
      <c r="AI1838" s="120"/>
    </row>
    <row r="1839" spans="34:35" ht="17.100000000000001" customHeight="1" x14ac:dyDescent="0.25">
      <c r="AH1839" s="118"/>
      <c r="AI1839" s="120"/>
    </row>
    <row r="1840" spans="34:35" ht="17.100000000000001" customHeight="1" x14ac:dyDescent="0.25">
      <c r="AH1840" s="118"/>
      <c r="AI1840" s="120"/>
    </row>
    <row r="1841" spans="34:35" ht="17.100000000000001" customHeight="1" x14ac:dyDescent="0.25">
      <c r="AH1841" s="118"/>
      <c r="AI1841" s="120"/>
    </row>
    <row r="1842" spans="34:35" ht="17.100000000000001" customHeight="1" x14ac:dyDescent="0.25">
      <c r="AH1842" s="118"/>
      <c r="AI1842" s="120"/>
    </row>
    <row r="1843" spans="34:35" ht="17.100000000000001" customHeight="1" x14ac:dyDescent="0.25">
      <c r="AH1843" s="118"/>
      <c r="AI1843" s="120"/>
    </row>
    <row r="1844" spans="34:35" ht="17.100000000000001" customHeight="1" x14ac:dyDescent="0.25">
      <c r="AH1844" s="118"/>
      <c r="AI1844" s="120"/>
    </row>
    <row r="1845" spans="34:35" ht="17.100000000000001" customHeight="1" x14ac:dyDescent="0.25">
      <c r="AH1845" s="118"/>
      <c r="AI1845" s="120"/>
    </row>
    <row r="1846" spans="34:35" ht="17.100000000000001" customHeight="1" x14ac:dyDescent="0.25">
      <c r="AH1846" s="118"/>
      <c r="AI1846" s="120"/>
    </row>
    <row r="1847" spans="34:35" ht="17.100000000000001" customHeight="1" x14ac:dyDescent="0.25">
      <c r="AH1847" s="118"/>
      <c r="AI1847" s="120"/>
    </row>
    <row r="1848" spans="34:35" ht="17.100000000000001" customHeight="1" x14ac:dyDescent="0.25">
      <c r="AH1848" s="118"/>
      <c r="AI1848" s="120"/>
    </row>
    <row r="1849" spans="34:35" ht="17.100000000000001" customHeight="1" x14ac:dyDescent="0.25">
      <c r="AH1849" s="118"/>
      <c r="AI1849" s="120"/>
    </row>
    <row r="1850" spans="34:35" ht="17.100000000000001" customHeight="1" x14ac:dyDescent="0.25">
      <c r="AH1850" s="118"/>
      <c r="AI1850" s="120"/>
    </row>
    <row r="1851" spans="34:35" ht="17.100000000000001" customHeight="1" x14ac:dyDescent="0.25">
      <c r="AH1851" s="118"/>
      <c r="AI1851" s="120"/>
    </row>
    <row r="1852" spans="34:35" ht="17.100000000000001" customHeight="1" x14ac:dyDescent="0.25">
      <c r="AH1852" s="118"/>
      <c r="AI1852" s="120"/>
    </row>
    <row r="1853" spans="34:35" ht="17.100000000000001" customHeight="1" x14ac:dyDescent="0.25">
      <c r="AH1853" s="118"/>
      <c r="AI1853" s="120"/>
    </row>
    <row r="1854" spans="34:35" ht="17.100000000000001" customHeight="1" x14ac:dyDescent="0.25">
      <c r="AH1854" s="118"/>
      <c r="AI1854" s="120"/>
    </row>
    <row r="1855" spans="34:35" ht="17.100000000000001" customHeight="1" x14ac:dyDescent="0.25">
      <c r="AH1855" s="118"/>
      <c r="AI1855" s="120"/>
    </row>
    <row r="1856" spans="34:35" ht="17.100000000000001" customHeight="1" x14ac:dyDescent="0.25">
      <c r="AH1856" s="118"/>
      <c r="AI1856" s="120"/>
    </row>
    <row r="1857" spans="34:35" ht="17.100000000000001" customHeight="1" x14ac:dyDescent="0.25">
      <c r="AH1857" s="118"/>
      <c r="AI1857" s="120"/>
    </row>
    <row r="1858" spans="34:35" ht="17.100000000000001" customHeight="1" x14ac:dyDescent="0.25">
      <c r="AH1858" s="118"/>
      <c r="AI1858" s="120"/>
    </row>
    <row r="1859" spans="34:35" ht="17.100000000000001" customHeight="1" x14ac:dyDescent="0.25">
      <c r="AH1859" s="118"/>
      <c r="AI1859" s="120"/>
    </row>
    <row r="1860" spans="34:35" ht="17.100000000000001" customHeight="1" x14ac:dyDescent="0.25">
      <c r="AH1860" s="118"/>
      <c r="AI1860" s="120"/>
    </row>
    <row r="1861" spans="34:35" ht="17.100000000000001" customHeight="1" x14ac:dyDescent="0.25">
      <c r="AH1861" s="118"/>
      <c r="AI1861" s="120"/>
    </row>
    <row r="1862" spans="34:35" ht="17.100000000000001" customHeight="1" x14ac:dyDescent="0.25">
      <c r="AH1862" s="118"/>
      <c r="AI1862" s="120"/>
    </row>
    <row r="1863" spans="34:35" ht="17.100000000000001" customHeight="1" x14ac:dyDescent="0.25">
      <c r="AH1863" s="118"/>
      <c r="AI1863" s="120"/>
    </row>
    <row r="1864" spans="34:35" ht="17.100000000000001" customHeight="1" x14ac:dyDescent="0.25">
      <c r="AH1864" s="118"/>
      <c r="AI1864" s="120"/>
    </row>
    <row r="1865" spans="34:35" ht="17.100000000000001" customHeight="1" x14ac:dyDescent="0.25">
      <c r="AH1865" s="118"/>
      <c r="AI1865" s="120"/>
    </row>
    <row r="1866" spans="34:35" ht="17.100000000000001" customHeight="1" x14ac:dyDescent="0.25">
      <c r="AH1866" s="118"/>
      <c r="AI1866" s="120"/>
    </row>
    <row r="1867" spans="34:35" ht="17.100000000000001" customHeight="1" x14ac:dyDescent="0.25">
      <c r="AH1867" s="118"/>
      <c r="AI1867" s="120"/>
    </row>
    <row r="1868" spans="34:35" ht="17.100000000000001" customHeight="1" x14ac:dyDescent="0.25">
      <c r="AH1868" s="118"/>
      <c r="AI1868" s="120"/>
    </row>
    <row r="1869" spans="34:35" ht="17.100000000000001" customHeight="1" x14ac:dyDescent="0.25">
      <c r="AH1869" s="118"/>
      <c r="AI1869" s="120"/>
    </row>
    <row r="1870" spans="34:35" ht="17.100000000000001" customHeight="1" x14ac:dyDescent="0.25">
      <c r="AH1870" s="118"/>
      <c r="AI1870" s="120"/>
    </row>
    <row r="1871" spans="34:35" ht="17.100000000000001" customHeight="1" x14ac:dyDescent="0.25">
      <c r="AH1871" s="118"/>
      <c r="AI1871" s="120"/>
    </row>
    <row r="1872" spans="34:35" ht="17.100000000000001" customHeight="1" x14ac:dyDescent="0.25">
      <c r="AH1872" s="118"/>
      <c r="AI1872" s="120"/>
    </row>
    <row r="1873" spans="34:35" ht="17.100000000000001" customHeight="1" x14ac:dyDescent="0.25">
      <c r="AH1873" s="118"/>
      <c r="AI1873" s="120"/>
    </row>
    <row r="1874" spans="34:35" ht="17.100000000000001" customHeight="1" x14ac:dyDescent="0.25">
      <c r="AH1874" s="118"/>
      <c r="AI1874" s="120"/>
    </row>
    <row r="1875" spans="34:35" ht="17.100000000000001" customHeight="1" x14ac:dyDescent="0.25">
      <c r="AH1875" s="118"/>
      <c r="AI1875" s="120"/>
    </row>
    <row r="1876" spans="34:35" ht="17.100000000000001" customHeight="1" x14ac:dyDescent="0.25">
      <c r="AH1876" s="118"/>
      <c r="AI1876" s="120"/>
    </row>
    <row r="1877" spans="34:35" ht="17.100000000000001" customHeight="1" x14ac:dyDescent="0.25">
      <c r="AH1877" s="118"/>
      <c r="AI1877" s="120"/>
    </row>
    <row r="1878" spans="34:35" ht="17.100000000000001" customHeight="1" x14ac:dyDescent="0.25">
      <c r="AH1878" s="118"/>
      <c r="AI1878" s="120"/>
    </row>
    <row r="1879" spans="34:35" ht="17.100000000000001" customHeight="1" x14ac:dyDescent="0.25">
      <c r="AH1879" s="118"/>
      <c r="AI1879" s="120"/>
    </row>
    <row r="1880" spans="34:35" ht="17.100000000000001" customHeight="1" x14ac:dyDescent="0.25">
      <c r="AH1880" s="118"/>
      <c r="AI1880" s="120"/>
    </row>
    <row r="1881" spans="34:35" ht="17.100000000000001" customHeight="1" x14ac:dyDescent="0.25">
      <c r="AH1881" s="118"/>
      <c r="AI1881" s="120"/>
    </row>
    <row r="1882" spans="34:35" ht="17.100000000000001" customHeight="1" x14ac:dyDescent="0.25">
      <c r="AH1882" s="118"/>
      <c r="AI1882" s="120"/>
    </row>
    <row r="1883" spans="34:35" ht="17.100000000000001" customHeight="1" x14ac:dyDescent="0.25">
      <c r="AH1883" s="118"/>
      <c r="AI1883" s="120"/>
    </row>
    <row r="1884" spans="34:35" ht="17.100000000000001" customHeight="1" x14ac:dyDescent="0.25">
      <c r="AH1884" s="118"/>
      <c r="AI1884" s="120"/>
    </row>
    <row r="1885" spans="34:35" ht="17.100000000000001" customHeight="1" x14ac:dyDescent="0.25">
      <c r="AH1885" s="118"/>
      <c r="AI1885" s="120"/>
    </row>
    <row r="1886" spans="34:35" ht="17.100000000000001" customHeight="1" x14ac:dyDescent="0.25">
      <c r="AH1886" s="118"/>
      <c r="AI1886" s="120"/>
    </row>
    <row r="1887" spans="34:35" ht="17.100000000000001" customHeight="1" x14ac:dyDescent="0.25">
      <c r="AH1887" s="118"/>
      <c r="AI1887" s="120"/>
    </row>
    <row r="1888" spans="34:35" ht="17.100000000000001" customHeight="1" x14ac:dyDescent="0.25">
      <c r="AH1888" s="118"/>
      <c r="AI1888" s="120"/>
    </row>
    <row r="1889" spans="34:35" ht="17.100000000000001" customHeight="1" x14ac:dyDescent="0.25">
      <c r="AH1889" s="118"/>
      <c r="AI1889" s="120"/>
    </row>
    <row r="1890" spans="34:35" ht="17.100000000000001" customHeight="1" x14ac:dyDescent="0.25">
      <c r="AH1890" s="118"/>
      <c r="AI1890" s="120"/>
    </row>
    <row r="1891" spans="34:35" ht="17.100000000000001" customHeight="1" x14ac:dyDescent="0.25">
      <c r="AH1891" s="118"/>
      <c r="AI1891" s="120"/>
    </row>
    <row r="1892" spans="34:35" ht="17.100000000000001" customHeight="1" x14ac:dyDescent="0.25">
      <c r="AH1892" s="118"/>
      <c r="AI1892" s="120"/>
    </row>
    <row r="1893" spans="34:35" ht="17.100000000000001" customHeight="1" x14ac:dyDescent="0.25">
      <c r="AH1893" s="118"/>
      <c r="AI1893" s="120"/>
    </row>
    <row r="1894" spans="34:35" ht="17.100000000000001" customHeight="1" x14ac:dyDescent="0.25">
      <c r="AH1894" s="118"/>
      <c r="AI1894" s="120"/>
    </row>
    <row r="1895" spans="34:35" ht="17.100000000000001" customHeight="1" x14ac:dyDescent="0.25">
      <c r="AH1895" s="118"/>
      <c r="AI1895" s="120"/>
    </row>
    <row r="1896" spans="34:35" ht="17.100000000000001" customHeight="1" x14ac:dyDescent="0.25">
      <c r="AH1896" s="118"/>
      <c r="AI1896" s="120"/>
    </row>
    <row r="1897" spans="34:35" ht="17.100000000000001" customHeight="1" x14ac:dyDescent="0.25">
      <c r="AH1897" s="118"/>
      <c r="AI1897" s="120"/>
    </row>
    <row r="1898" spans="34:35" ht="17.100000000000001" customHeight="1" x14ac:dyDescent="0.25">
      <c r="AH1898" s="118"/>
      <c r="AI1898" s="120"/>
    </row>
    <row r="1899" spans="34:35" ht="17.100000000000001" customHeight="1" x14ac:dyDescent="0.25">
      <c r="AH1899" s="118"/>
      <c r="AI1899" s="120"/>
    </row>
    <row r="1900" spans="34:35" ht="17.100000000000001" customHeight="1" x14ac:dyDescent="0.25">
      <c r="AH1900" s="118"/>
      <c r="AI1900" s="120"/>
    </row>
    <row r="1901" spans="34:35" ht="17.100000000000001" customHeight="1" x14ac:dyDescent="0.25">
      <c r="AH1901" s="118"/>
      <c r="AI1901" s="120"/>
    </row>
    <row r="1902" spans="34:35" ht="17.100000000000001" customHeight="1" x14ac:dyDescent="0.25">
      <c r="AH1902" s="118"/>
      <c r="AI1902" s="120"/>
    </row>
    <row r="1903" spans="34:35" ht="17.100000000000001" customHeight="1" x14ac:dyDescent="0.25">
      <c r="AH1903" s="118"/>
      <c r="AI1903" s="120"/>
    </row>
    <row r="1904" spans="34:35" ht="17.100000000000001" customHeight="1" x14ac:dyDescent="0.25">
      <c r="AH1904" s="118"/>
      <c r="AI1904" s="120"/>
    </row>
    <row r="1905" spans="34:35" ht="17.100000000000001" customHeight="1" x14ac:dyDescent="0.25">
      <c r="AH1905" s="118"/>
      <c r="AI1905" s="120"/>
    </row>
    <row r="1906" spans="34:35" ht="17.100000000000001" customHeight="1" x14ac:dyDescent="0.25">
      <c r="AH1906" s="118"/>
      <c r="AI1906" s="120"/>
    </row>
    <row r="1907" spans="34:35" ht="17.100000000000001" customHeight="1" x14ac:dyDescent="0.25">
      <c r="AH1907" s="118"/>
      <c r="AI1907" s="120"/>
    </row>
    <row r="1908" spans="34:35" ht="17.100000000000001" customHeight="1" x14ac:dyDescent="0.25">
      <c r="AH1908" s="118"/>
      <c r="AI1908" s="120"/>
    </row>
    <row r="1909" spans="34:35" ht="17.100000000000001" customHeight="1" x14ac:dyDescent="0.25">
      <c r="AH1909" s="118"/>
      <c r="AI1909" s="120"/>
    </row>
    <row r="1910" spans="34:35" ht="17.100000000000001" customHeight="1" x14ac:dyDescent="0.25">
      <c r="AH1910" s="118"/>
      <c r="AI1910" s="120"/>
    </row>
    <row r="1911" spans="34:35" ht="17.100000000000001" customHeight="1" x14ac:dyDescent="0.25">
      <c r="AH1911" s="118"/>
      <c r="AI1911" s="120"/>
    </row>
    <row r="1912" spans="34:35" ht="17.100000000000001" customHeight="1" x14ac:dyDescent="0.25">
      <c r="AH1912" s="118"/>
      <c r="AI1912" s="120"/>
    </row>
    <row r="1913" spans="34:35" ht="17.100000000000001" customHeight="1" x14ac:dyDescent="0.25">
      <c r="AH1913" s="118"/>
      <c r="AI1913" s="120"/>
    </row>
    <row r="1914" spans="34:35" ht="17.100000000000001" customHeight="1" x14ac:dyDescent="0.25">
      <c r="AH1914" s="118"/>
      <c r="AI1914" s="120"/>
    </row>
    <row r="1915" spans="34:35" ht="17.100000000000001" customHeight="1" x14ac:dyDescent="0.25">
      <c r="AH1915" s="118"/>
      <c r="AI1915" s="120"/>
    </row>
    <row r="1916" spans="34:35" ht="17.100000000000001" customHeight="1" x14ac:dyDescent="0.25">
      <c r="AH1916" s="118"/>
      <c r="AI1916" s="120"/>
    </row>
    <row r="1917" spans="34:35" ht="17.100000000000001" customHeight="1" x14ac:dyDescent="0.25">
      <c r="AH1917" s="118"/>
      <c r="AI1917" s="120"/>
    </row>
    <row r="1918" spans="34:35" ht="17.100000000000001" customHeight="1" x14ac:dyDescent="0.25">
      <c r="AH1918" s="118"/>
      <c r="AI1918" s="120"/>
    </row>
    <row r="1919" spans="34:35" ht="17.100000000000001" customHeight="1" x14ac:dyDescent="0.25">
      <c r="AH1919" s="118"/>
      <c r="AI1919" s="120"/>
    </row>
    <row r="1920" spans="34:35" ht="17.100000000000001" customHeight="1" x14ac:dyDescent="0.25">
      <c r="AH1920" s="118"/>
      <c r="AI1920" s="120"/>
    </row>
    <row r="1921" spans="34:35" ht="17.100000000000001" customHeight="1" x14ac:dyDescent="0.25">
      <c r="AH1921" s="118"/>
      <c r="AI1921" s="120"/>
    </row>
    <row r="1922" spans="34:35" ht="17.100000000000001" customHeight="1" x14ac:dyDescent="0.25">
      <c r="AH1922" s="118"/>
      <c r="AI1922" s="120"/>
    </row>
    <row r="1923" spans="34:35" ht="17.100000000000001" customHeight="1" x14ac:dyDescent="0.25">
      <c r="AH1923" s="118"/>
      <c r="AI1923" s="120"/>
    </row>
    <row r="1924" spans="34:35" ht="17.100000000000001" customHeight="1" x14ac:dyDescent="0.25">
      <c r="AH1924" s="118"/>
      <c r="AI1924" s="120"/>
    </row>
    <row r="1925" spans="34:35" ht="17.100000000000001" customHeight="1" x14ac:dyDescent="0.25">
      <c r="AH1925" s="118"/>
      <c r="AI1925" s="120"/>
    </row>
    <row r="1926" spans="34:35" ht="17.100000000000001" customHeight="1" x14ac:dyDescent="0.25">
      <c r="AH1926" s="118"/>
      <c r="AI1926" s="120"/>
    </row>
    <row r="1927" spans="34:35" ht="17.100000000000001" customHeight="1" x14ac:dyDescent="0.25">
      <c r="AH1927" s="118"/>
      <c r="AI1927" s="120"/>
    </row>
    <row r="1928" spans="34:35" ht="17.100000000000001" customHeight="1" x14ac:dyDescent="0.25">
      <c r="AH1928" s="118"/>
      <c r="AI1928" s="120"/>
    </row>
    <row r="1929" spans="34:35" ht="17.100000000000001" customHeight="1" x14ac:dyDescent="0.25">
      <c r="AH1929" s="118"/>
      <c r="AI1929" s="120"/>
    </row>
    <row r="1930" spans="34:35" ht="17.100000000000001" customHeight="1" x14ac:dyDescent="0.25">
      <c r="AH1930" s="118"/>
      <c r="AI1930" s="120"/>
    </row>
    <row r="1931" spans="34:35" ht="17.100000000000001" customHeight="1" x14ac:dyDescent="0.25">
      <c r="AH1931" s="118"/>
      <c r="AI1931" s="120"/>
    </row>
    <row r="1932" spans="34:35" ht="17.100000000000001" customHeight="1" x14ac:dyDescent="0.25">
      <c r="AH1932" s="118"/>
      <c r="AI1932" s="120"/>
    </row>
    <row r="1933" spans="34:35" ht="17.100000000000001" customHeight="1" x14ac:dyDescent="0.25">
      <c r="AH1933" s="118"/>
      <c r="AI1933" s="120"/>
    </row>
    <row r="1934" spans="34:35" ht="17.100000000000001" customHeight="1" x14ac:dyDescent="0.25">
      <c r="AH1934" s="118"/>
      <c r="AI1934" s="120"/>
    </row>
    <row r="1935" spans="34:35" ht="17.100000000000001" customHeight="1" x14ac:dyDescent="0.25">
      <c r="AH1935" s="118"/>
      <c r="AI1935" s="120"/>
    </row>
    <row r="1936" spans="34:35" ht="17.100000000000001" customHeight="1" x14ac:dyDescent="0.25">
      <c r="AH1936" s="118"/>
      <c r="AI1936" s="120"/>
    </row>
    <row r="1937" spans="34:35" ht="17.100000000000001" customHeight="1" x14ac:dyDescent="0.25">
      <c r="AH1937" s="118"/>
      <c r="AI1937" s="120"/>
    </row>
    <row r="1938" spans="34:35" ht="17.100000000000001" customHeight="1" x14ac:dyDescent="0.25">
      <c r="AH1938" s="118"/>
      <c r="AI1938" s="120"/>
    </row>
    <row r="1939" spans="34:35" ht="17.100000000000001" customHeight="1" x14ac:dyDescent="0.25">
      <c r="AH1939" s="118"/>
      <c r="AI1939" s="120"/>
    </row>
    <row r="1940" spans="34:35" ht="17.100000000000001" customHeight="1" x14ac:dyDescent="0.25">
      <c r="AH1940" s="118"/>
      <c r="AI1940" s="120"/>
    </row>
    <row r="1941" spans="34:35" ht="17.100000000000001" customHeight="1" x14ac:dyDescent="0.25">
      <c r="AH1941" s="118"/>
      <c r="AI1941" s="120"/>
    </row>
    <row r="1942" spans="34:35" ht="17.100000000000001" customHeight="1" x14ac:dyDescent="0.25">
      <c r="AH1942" s="118"/>
      <c r="AI1942" s="120"/>
    </row>
    <row r="1943" spans="34:35" ht="17.100000000000001" customHeight="1" x14ac:dyDescent="0.25">
      <c r="AH1943" s="118"/>
      <c r="AI1943" s="120"/>
    </row>
    <row r="1944" spans="34:35" ht="17.100000000000001" customHeight="1" x14ac:dyDescent="0.25">
      <c r="AH1944" s="118"/>
      <c r="AI1944" s="120"/>
    </row>
    <row r="1945" spans="34:35" ht="17.100000000000001" customHeight="1" x14ac:dyDescent="0.25">
      <c r="AH1945" s="118"/>
      <c r="AI1945" s="120"/>
    </row>
    <row r="1946" spans="34:35" ht="17.100000000000001" customHeight="1" x14ac:dyDescent="0.25">
      <c r="AH1946" s="118"/>
      <c r="AI1946" s="120"/>
    </row>
    <row r="1947" spans="34:35" ht="17.100000000000001" customHeight="1" x14ac:dyDescent="0.25">
      <c r="AH1947" s="118"/>
      <c r="AI1947" s="120"/>
    </row>
    <row r="1948" spans="34:35" ht="17.100000000000001" customHeight="1" x14ac:dyDescent="0.25">
      <c r="AH1948" s="118"/>
      <c r="AI1948" s="120"/>
    </row>
    <row r="1949" spans="34:35" ht="17.100000000000001" customHeight="1" x14ac:dyDescent="0.25">
      <c r="AH1949" s="118"/>
      <c r="AI1949" s="120"/>
    </row>
    <row r="1950" spans="34:35" ht="17.100000000000001" customHeight="1" x14ac:dyDescent="0.25">
      <c r="AH1950" s="118"/>
      <c r="AI1950" s="120"/>
    </row>
    <row r="1951" spans="34:35" ht="17.100000000000001" customHeight="1" x14ac:dyDescent="0.25">
      <c r="AH1951" s="118"/>
      <c r="AI1951" s="120"/>
    </row>
    <row r="1952" spans="34:35" ht="17.100000000000001" customHeight="1" x14ac:dyDescent="0.25">
      <c r="AH1952" s="118"/>
      <c r="AI1952" s="120"/>
    </row>
    <row r="1953" spans="34:35" ht="17.100000000000001" customHeight="1" x14ac:dyDescent="0.25">
      <c r="AH1953" s="118"/>
      <c r="AI1953" s="120"/>
    </row>
    <row r="1954" spans="34:35" ht="17.100000000000001" customHeight="1" x14ac:dyDescent="0.25">
      <c r="AH1954" s="118"/>
      <c r="AI1954" s="120"/>
    </row>
    <row r="1955" spans="34:35" ht="17.100000000000001" customHeight="1" x14ac:dyDescent="0.25">
      <c r="AH1955" s="118"/>
      <c r="AI1955" s="120"/>
    </row>
    <row r="1956" spans="34:35" ht="17.100000000000001" customHeight="1" x14ac:dyDescent="0.25">
      <c r="AH1956" s="118"/>
      <c r="AI1956" s="120"/>
    </row>
    <row r="1957" spans="34:35" ht="17.100000000000001" customHeight="1" x14ac:dyDescent="0.25">
      <c r="AH1957" s="118"/>
      <c r="AI1957" s="120"/>
    </row>
    <row r="1958" spans="34:35" ht="17.100000000000001" customHeight="1" x14ac:dyDescent="0.25">
      <c r="AH1958" s="118"/>
      <c r="AI1958" s="120"/>
    </row>
    <row r="1959" spans="34:35" ht="17.100000000000001" customHeight="1" x14ac:dyDescent="0.25">
      <c r="AH1959" s="118"/>
      <c r="AI1959" s="120"/>
    </row>
    <row r="1960" spans="34:35" ht="17.100000000000001" customHeight="1" x14ac:dyDescent="0.25">
      <c r="AH1960" s="118"/>
      <c r="AI1960" s="120"/>
    </row>
    <row r="1961" spans="34:35" ht="17.100000000000001" customHeight="1" x14ac:dyDescent="0.25">
      <c r="AH1961" s="118"/>
      <c r="AI1961" s="120"/>
    </row>
    <row r="1962" spans="34:35" ht="17.100000000000001" customHeight="1" x14ac:dyDescent="0.25">
      <c r="AH1962" s="118"/>
      <c r="AI1962" s="120"/>
    </row>
    <row r="1963" spans="34:35" ht="17.100000000000001" customHeight="1" x14ac:dyDescent="0.25">
      <c r="AH1963" s="118"/>
      <c r="AI1963" s="120"/>
    </row>
    <row r="1964" spans="34:35" ht="17.100000000000001" customHeight="1" x14ac:dyDescent="0.25">
      <c r="AH1964" s="118"/>
      <c r="AI1964" s="120"/>
    </row>
    <row r="1965" spans="34:35" ht="17.100000000000001" customHeight="1" x14ac:dyDescent="0.25">
      <c r="AH1965" s="118"/>
      <c r="AI1965" s="120"/>
    </row>
    <row r="1966" spans="34:35" ht="17.100000000000001" customHeight="1" x14ac:dyDescent="0.25">
      <c r="AH1966" s="118"/>
      <c r="AI1966" s="120"/>
    </row>
    <row r="1967" spans="34:35" ht="17.100000000000001" customHeight="1" x14ac:dyDescent="0.25">
      <c r="AH1967" s="118"/>
      <c r="AI1967" s="120"/>
    </row>
    <row r="1968" spans="34:35" ht="17.100000000000001" customHeight="1" x14ac:dyDescent="0.25">
      <c r="AH1968" s="118"/>
      <c r="AI1968" s="120"/>
    </row>
    <row r="1969" spans="34:35" ht="17.100000000000001" customHeight="1" x14ac:dyDescent="0.25">
      <c r="AH1969" s="118"/>
      <c r="AI1969" s="120"/>
    </row>
    <row r="1970" spans="34:35" ht="17.100000000000001" customHeight="1" x14ac:dyDescent="0.25">
      <c r="AH1970" s="118"/>
      <c r="AI1970" s="120"/>
    </row>
    <row r="1971" spans="34:35" ht="17.100000000000001" customHeight="1" x14ac:dyDescent="0.25">
      <c r="AH1971" s="118"/>
      <c r="AI1971" s="120"/>
    </row>
    <row r="1972" spans="34:35" ht="17.100000000000001" customHeight="1" x14ac:dyDescent="0.25">
      <c r="AH1972" s="118"/>
      <c r="AI1972" s="120"/>
    </row>
    <row r="1973" spans="34:35" ht="17.100000000000001" customHeight="1" x14ac:dyDescent="0.25">
      <c r="AH1973" s="118"/>
      <c r="AI1973" s="120"/>
    </row>
    <row r="1974" spans="34:35" ht="17.100000000000001" customHeight="1" x14ac:dyDescent="0.25">
      <c r="AH1974" s="118"/>
      <c r="AI1974" s="120"/>
    </row>
    <row r="1975" spans="34:35" ht="17.100000000000001" customHeight="1" x14ac:dyDescent="0.25">
      <c r="AH1975" s="118"/>
      <c r="AI1975" s="120"/>
    </row>
    <row r="1976" spans="34:35" ht="17.100000000000001" customHeight="1" x14ac:dyDescent="0.25">
      <c r="AH1976" s="118"/>
      <c r="AI1976" s="120"/>
    </row>
    <row r="1977" spans="34:35" ht="17.100000000000001" customHeight="1" x14ac:dyDescent="0.25">
      <c r="AH1977" s="118"/>
      <c r="AI1977" s="120"/>
    </row>
    <row r="1978" spans="34:35" ht="17.100000000000001" customHeight="1" x14ac:dyDescent="0.25">
      <c r="AH1978" s="118"/>
      <c r="AI1978" s="120"/>
    </row>
    <row r="1979" spans="34:35" ht="17.100000000000001" customHeight="1" x14ac:dyDescent="0.25">
      <c r="AH1979" s="118"/>
      <c r="AI1979" s="120"/>
    </row>
    <row r="1980" spans="34:35" ht="17.100000000000001" customHeight="1" x14ac:dyDescent="0.25">
      <c r="AH1980" s="118"/>
      <c r="AI1980" s="120"/>
    </row>
    <row r="1981" spans="34:35" ht="17.100000000000001" customHeight="1" x14ac:dyDescent="0.25">
      <c r="AH1981" s="118"/>
      <c r="AI1981" s="120"/>
    </row>
    <row r="1982" spans="34:35" ht="17.100000000000001" customHeight="1" x14ac:dyDescent="0.25">
      <c r="AH1982" s="118"/>
      <c r="AI1982" s="120"/>
    </row>
    <row r="1983" spans="34:35" ht="17.100000000000001" customHeight="1" x14ac:dyDescent="0.25">
      <c r="AH1983" s="118"/>
      <c r="AI1983" s="120"/>
    </row>
    <row r="1984" spans="34:35" ht="17.100000000000001" customHeight="1" x14ac:dyDescent="0.25">
      <c r="AH1984" s="118"/>
      <c r="AI1984" s="120"/>
    </row>
    <row r="1985" spans="34:35" ht="17.100000000000001" customHeight="1" x14ac:dyDescent="0.25">
      <c r="AH1985" s="118"/>
      <c r="AI1985" s="120"/>
    </row>
    <row r="1986" spans="34:35" ht="17.100000000000001" customHeight="1" x14ac:dyDescent="0.25">
      <c r="AH1986" s="118"/>
      <c r="AI1986" s="120"/>
    </row>
    <row r="1987" spans="34:35" ht="17.100000000000001" customHeight="1" x14ac:dyDescent="0.25">
      <c r="AH1987" s="118"/>
      <c r="AI1987" s="120"/>
    </row>
    <row r="1988" spans="34:35" ht="17.100000000000001" customHeight="1" x14ac:dyDescent="0.25">
      <c r="AH1988" s="118"/>
      <c r="AI1988" s="120"/>
    </row>
    <row r="1989" spans="34:35" ht="17.100000000000001" customHeight="1" x14ac:dyDescent="0.25">
      <c r="AH1989" s="118"/>
      <c r="AI1989" s="120"/>
    </row>
    <row r="1990" spans="34:35" ht="17.100000000000001" customHeight="1" x14ac:dyDescent="0.25">
      <c r="AH1990" s="118"/>
      <c r="AI1990" s="120"/>
    </row>
    <row r="1991" spans="34:35" ht="17.100000000000001" customHeight="1" x14ac:dyDescent="0.25">
      <c r="AH1991" s="118"/>
      <c r="AI1991" s="120"/>
    </row>
    <row r="1992" spans="34:35" ht="17.100000000000001" customHeight="1" x14ac:dyDescent="0.25">
      <c r="AH1992" s="118"/>
      <c r="AI1992" s="120"/>
    </row>
    <row r="1993" spans="34:35" ht="17.100000000000001" customHeight="1" x14ac:dyDescent="0.25">
      <c r="AH1993" s="118"/>
      <c r="AI1993" s="120"/>
    </row>
    <row r="1994" spans="34:35" ht="17.100000000000001" customHeight="1" x14ac:dyDescent="0.25">
      <c r="AH1994" s="118"/>
      <c r="AI1994" s="120"/>
    </row>
    <row r="1995" spans="34:35" ht="17.100000000000001" customHeight="1" x14ac:dyDescent="0.25">
      <c r="AH1995" s="118"/>
      <c r="AI1995" s="120"/>
    </row>
    <row r="1996" spans="34:35" ht="17.100000000000001" customHeight="1" x14ac:dyDescent="0.25">
      <c r="AH1996" s="118"/>
      <c r="AI1996" s="120"/>
    </row>
    <row r="1997" spans="34:35" ht="17.100000000000001" customHeight="1" x14ac:dyDescent="0.25">
      <c r="AH1997" s="118"/>
      <c r="AI1997" s="120"/>
    </row>
    <row r="1998" spans="34:35" ht="17.100000000000001" customHeight="1" x14ac:dyDescent="0.25">
      <c r="AH1998" s="118"/>
      <c r="AI1998" s="120"/>
    </row>
    <row r="1999" spans="34:35" ht="17.100000000000001" customHeight="1" x14ac:dyDescent="0.25">
      <c r="AH1999" s="118"/>
      <c r="AI1999" s="120"/>
    </row>
    <row r="2000" spans="34:35" ht="17.100000000000001" customHeight="1" x14ac:dyDescent="0.25">
      <c r="AH2000" s="118"/>
      <c r="AI2000" s="120"/>
    </row>
  </sheetData>
  <mergeCells count="4">
    <mergeCell ref="AK1:AL1"/>
    <mergeCell ref="AG1:AI1"/>
    <mergeCell ref="AM1:AN1"/>
    <mergeCell ref="AO1:AP1"/>
  </mergeCells>
  <phoneticPr fontId="21" type="noConversion"/>
  <conditionalFormatting sqref="D1:E1048576">
    <cfRule type="cellIs" dxfId="94" priority="18" operator="equal">
      <formula>"y"</formula>
    </cfRule>
  </conditionalFormatting>
  <conditionalFormatting sqref="G1:G1048576">
    <cfRule type="containsText" dxfId="93" priority="17" operator="containsText" text="*">
      <formula>NOT(ISERROR(SEARCH("*",G1)))</formula>
    </cfRule>
  </conditionalFormatting>
  <conditionalFormatting sqref="N1:N1048576">
    <cfRule type="cellIs" dxfId="92" priority="16" operator="equal">
      <formula>"y"</formula>
    </cfRule>
  </conditionalFormatting>
  <conditionalFormatting sqref="A1:A1048576">
    <cfRule type="duplicateValues" dxfId="91" priority="15"/>
  </conditionalFormatting>
  <conditionalFormatting sqref="O1:O1048576">
    <cfRule type="duplicateValues" dxfId="90" priority="14"/>
  </conditionalFormatting>
  <conditionalFormatting sqref="P1:P1048576">
    <cfRule type="duplicateValues" dxfId="89" priority="13"/>
  </conditionalFormatting>
  <conditionalFormatting sqref="Q1:Q1048576">
    <cfRule type="duplicateValues" dxfId="88" priority="12"/>
  </conditionalFormatting>
  <conditionalFormatting sqref="T1:T1048576">
    <cfRule type="duplicateValues" dxfId="87" priority="11"/>
  </conditionalFormatting>
  <conditionalFormatting sqref="U1:U1048576">
    <cfRule type="duplicateValues" dxfId="86" priority="10"/>
  </conditionalFormatting>
  <conditionalFormatting sqref="X1:X1048576">
    <cfRule type="duplicateValues" dxfId="85" priority="9"/>
  </conditionalFormatting>
  <conditionalFormatting sqref="Y1:Y1048576">
    <cfRule type="duplicateValues" dxfId="84" priority="8"/>
  </conditionalFormatting>
  <conditionalFormatting sqref="O1:Q1048576">
    <cfRule type="containsText" dxfId="83" priority="7" operator="containsText" text=" ">
      <formula>NOT(ISERROR(SEARCH(" ",O1)))</formula>
    </cfRule>
  </conditionalFormatting>
  <conditionalFormatting sqref="A1:AI1048576">
    <cfRule type="cellIs" dxfId="82" priority="4" operator="equal">
      <formula>"n/a"</formula>
    </cfRule>
    <cfRule type="cellIs" dxfId="81" priority="6" operator="equal">
      <formula>"n"</formula>
    </cfRule>
  </conditionalFormatting>
  <conditionalFormatting sqref="I1:I1048576">
    <cfRule type="expression" dxfId="80" priority="5">
      <formula>LEN(TRIM(I1))=0</formula>
    </cfRule>
  </conditionalFormatting>
  <conditionalFormatting sqref="G6">
    <cfRule type="containsText" dxfId="79" priority="3" operator="containsText" text="*">
      <formula>NOT(ISERROR(SEARCH("*",G6)))</formula>
    </cfRule>
  </conditionalFormatting>
  <conditionalFormatting sqref="G4:G5">
    <cfRule type="containsText" dxfId="78" priority="2" operator="containsText" text="*">
      <formula>NOT(ISERROR(SEARCH("*",G4)))</formula>
    </cfRule>
  </conditionalFormatting>
  <conditionalFormatting sqref="G4:M5">
    <cfRule type="cellIs" dxfId="77" priority="1" operator="equal">
      <formula>"y"</formula>
    </cfRule>
  </conditionalFormatting>
  <dataValidations count="2">
    <dataValidation type="list" allowBlank="1" showInputMessage="1" showErrorMessage="1" sqref="C7:C200 F7:F200" xr:uid="{16BDE138-FB0C-4134-AC3E-B940F6CFA413}">
      <formula1>#REF!</formula1>
    </dataValidation>
    <dataValidation type="list" errorStyle="information" allowBlank="1" showInputMessage="1" showErrorMessage="1" sqref="E7:E660" xr:uid="{076E70B1-C303-4E67-B18A-4C28CFFA8872}">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0" r:id="rId4" name="Button 46">
              <controlPr defaultSize="0" print="0" autoFill="0" autoPict="0" macro="[0]!Convert_CJK_Currencies.Convert_CJK_Currencies">
                <anchor moveWithCells="1">
                  <from>
                    <xdr:col>36</xdr:col>
                    <xdr:colOff>142875</xdr:colOff>
                    <xdr:row>5</xdr:row>
                    <xdr:rowOff>142875</xdr:rowOff>
                  </from>
                  <to>
                    <xdr:col>37</xdr:col>
                    <xdr:colOff>714375</xdr:colOff>
                    <xdr:row>5</xdr:row>
                    <xdr:rowOff>381000</xdr:rowOff>
                  </to>
                </anchor>
              </controlPr>
            </control>
          </mc:Choice>
        </mc:AlternateContent>
        <mc:AlternateContent xmlns:mc="http://schemas.openxmlformats.org/markup-compatibility/2006">
          <mc:Choice Requires="x14">
            <control shapeId="1117" r:id="rId5" name="Button 93">
              <controlPr defaultSize="0" print="0" autoFill="0" autoPict="0" macro="[0]!Reset_Donations_Formatting.Reset_Donations_Formatting">
                <anchor moveWithCells="1">
                  <from>
                    <xdr:col>38</xdr:col>
                    <xdr:colOff>142875</xdr:colOff>
                    <xdr:row>5</xdr:row>
                    <xdr:rowOff>142875</xdr:rowOff>
                  </from>
                  <to>
                    <xdr:col>39</xdr:col>
                    <xdr:colOff>714375</xdr:colOff>
                    <xdr:row>5</xdr:row>
                    <xdr:rowOff>381000</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C5659-FB42-4A9E-A631-93A7B0576981}">
  <sheetPr codeName="Sheet12">
    <tabColor theme="9" tint="0.79998168889431442"/>
  </sheetPr>
  <dimension ref="A1:N11"/>
  <sheetViews>
    <sheetView view="pageLayout" topLeftCell="A5" zoomScaleNormal="100" workbookViewId="0">
      <selection activeCell="A11" sqref="A1:A11"/>
    </sheetView>
  </sheetViews>
  <sheetFormatPr defaultColWidth="9.140625" defaultRowHeight="36" x14ac:dyDescent="0.55000000000000004"/>
  <cols>
    <col min="1" max="1" width="4" bestFit="1" customWidth="1"/>
    <col min="2" max="2" width="5" style="34" customWidth="1"/>
    <col min="3" max="3" width="5" customWidth="1"/>
    <col min="4" max="4" width="10.140625" style="44" customWidth="1"/>
    <col min="5" max="5" width="2.5703125" customWidth="1"/>
    <col min="6" max="6" width="6.42578125" customWidth="1"/>
    <col min="7" max="7" width="2.5703125" customWidth="1"/>
    <col min="8" max="8" width="6.42578125" customWidth="1"/>
    <col min="9" max="9" width="3.7109375" customWidth="1"/>
    <col min="10" max="10" width="12.140625" customWidth="1"/>
    <col min="11" max="11" width="6.42578125" customWidth="1"/>
    <col min="12" max="12" width="3.7109375" customWidth="1"/>
    <col min="13" max="13" width="6.42578125" customWidth="1"/>
    <col min="14" max="14" width="26.7109375" customWidth="1"/>
  </cols>
  <sheetData>
    <row r="1" spans="1:14" ht="69" customHeight="1" x14ac:dyDescent="0.25">
      <c r="A1" s="33" t="s">
        <v>59</v>
      </c>
      <c r="B1" s="65" t="s">
        <v>60</v>
      </c>
      <c r="C1" s="35" t="s">
        <v>61</v>
      </c>
      <c r="D1" s="43"/>
      <c r="E1" s="35" t="s">
        <v>62</v>
      </c>
      <c r="F1" s="38"/>
      <c r="G1" s="36" t="s">
        <v>63</v>
      </c>
      <c r="H1" s="40" t="s">
        <v>64</v>
      </c>
      <c r="I1" s="39"/>
      <c r="J1" s="37" t="s">
        <v>65</v>
      </c>
      <c r="K1" s="42"/>
      <c r="L1" s="41" t="s">
        <v>66</v>
      </c>
      <c r="M1" s="42"/>
      <c r="N1" s="66"/>
    </row>
    <row r="2" spans="1:14" ht="69" customHeight="1" x14ac:dyDescent="0.25">
      <c r="A2" s="33" t="s">
        <v>59</v>
      </c>
      <c r="B2" s="65" t="s">
        <v>60</v>
      </c>
      <c r="C2" s="35" t="s">
        <v>61</v>
      </c>
      <c r="D2" s="43"/>
      <c r="E2" s="35" t="s">
        <v>62</v>
      </c>
      <c r="F2" s="38"/>
      <c r="G2" s="36" t="s">
        <v>63</v>
      </c>
      <c r="H2" s="40" t="s">
        <v>64</v>
      </c>
      <c r="I2" s="39"/>
      <c r="J2" s="37" t="s">
        <v>65</v>
      </c>
      <c r="K2" s="42"/>
      <c r="L2" s="41" t="s">
        <v>66</v>
      </c>
      <c r="M2" s="42"/>
      <c r="N2" s="67"/>
    </row>
    <row r="3" spans="1:14" ht="69" customHeight="1" x14ac:dyDescent="0.25">
      <c r="A3" s="33" t="s">
        <v>59</v>
      </c>
      <c r="B3" s="65" t="s">
        <v>60</v>
      </c>
      <c r="C3" s="35" t="s">
        <v>61</v>
      </c>
      <c r="D3" s="43"/>
      <c r="E3" s="35" t="s">
        <v>62</v>
      </c>
      <c r="F3" s="38"/>
      <c r="G3" s="36" t="s">
        <v>63</v>
      </c>
      <c r="H3" s="40" t="s">
        <v>64</v>
      </c>
      <c r="I3" s="39"/>
      <c r="J3" s="37" t="s">
        <v>65</v>
      </c>
      <c r="K3" s="42"/>
      <c r="L3" s="41" t="s">
        <v>66</v>
      </c>
      <c r="M3" s="42"/>
      <c r="N3" s="67"/>
    </row>
    <row r="4" spans="1:14" ht="69" customHeight="1" x14ac:dyDescent="0.25">
      <c r="A4" s="33" t="s">
        <v>59</v>
      </c>
      <c r="B4" s="65" t="s">
        <v>60</v>
      </c>
      <c r="C4" s="35" t="s">
        <v>61</v>
      </c>
      <c r="D4" s="43"/>
      <c r="E4" s="35" t="s">
        <v>62</v>
      </c>
      <c r="F4" s="38"/>
      <c r="G4" s="36" t="s">
        <v>63</v>
      </c>
      <c r="H4" s="40" t="s">
        <v>64</v>
      </c>
      <c r="I4" s="39"/>
      <c r="J4" s="37" t="s">
        <v>65</v>
      </c>
      <c r="K4" s="42"/>
      <c r="L4" s="41" t="s">
        <v>66</v>
      </c>
      <c r="M4" s="42"/>
      <c r="N4" s="67"/>
    </row>
    <row r="5" spans="1:14" ht="69" customHeight="1" x14ac:dyDescent="0.25">
      <c r="A5" s="33" t="s">
        <v>59</v>
      </c>
      <c r="B5" s="65" t="s">
        <v>60</v>
      </c>
      <c r="C5" s="35" t="s">
        <v>61</v>
      </c>
      <c r="D5" s="43"/>
      <c r="E5" s="35" t="s">
        <v>62</v>
      </c>
      <c r="F5" s="38"/>
      <c r="G5" s="36" t="s">
        <v>63</v>
      </c>
      <c r="H5" s="40" t="s">
        <v>64</v>
      </c>
      <c r="I5" s="39"/>
      <c r="J5" s="37" t="s">
        <v>65</v>
      </c>
      <c r="K5" s="42"/>
      <c r="L5" s="41" t="s">
        <v>66</v>
      </c>
      <c r="M5" s="42"/>
      <c r="N5" s="67"/>
    </row>
    <row r="6" spans="1:14" ht="69" customHeight="1" x14ac:dyDescent="0.25">
      <c r="A6" s="33" t="s">
        <v>59</v>
      </c>
      <c r="B6" s="65" t="s">
        <v>60</v>
      </c>
      <c r="C6" s="35" t="s">
        <v>61</v>
      </c>
      <c r="D6" s="43"/>
      <c r="E6" s="35" t="s">
        <v>62</v>
      </c>
      <c r="F6" s="38"/>
      <c r="G6" s="36" t="s">
        <v>63</v>
      </c>
      <c r="H6" s="40" t="s">
        <v>64</v>
      </c>
      <c r="I6" s="39"/>
      <c r="J6" s="37" t="s">
        <v>65</v>
      </c>
      <c r="K6" s="42"/>
      <c r="L6" s="41" t="s">
        <v>66</v>
      </c>
      <c r="M6" s="42"/>
      <c r="N6" s="67"/>
    </row>
    <row r="7" spans="1:14" ht="69" customHeight="1" x14ac:dyDescent="0.25">
      <c r="A7" s="33" t="s">
        <v>59</v>
      </c>
      <c r="B7" s="65" t="s">
        <v>60</v>
      </c>
      <c r="C7" s="35" t="s">
        <v>61</v>
      </c>
      <c r="D7" s="43"/>
      <c r="E7" s="35" t="s">
        <v>62</v>
      </c>
      <c r="F7" s="38"/>
      <c r="G7" s="36" t="s">
        <v>63</v>
      </c>
      <c r="H7" s="40" t="s">
        <v>64</v>
      </c>
      <c r="I7" s="39"/>
      <c r="J7" s="37" t="s">
        <v>65</v>
      </c>
      <c r="K7" s="42"/>
      <c r="L7" s="41" t="s">
        <v>66</v>
      </c>
      <c r="M7" s="42"/>
      <c r="N7" s="67"/>
    </row>
    <row r="8" spans="1:14" ht="69" customHeight="1" x14ac:dyDescent="0.25">
      <c r="A8" s="33" t="s">
        <v>59</v>
      </c>
      <c r="B8" s="65" t="s">
        <v>60</v>
      </c>
      <c r="C8" s="35" t="s">
        <v>61</v>
      </c>
      <c r="D8" s="43"/>
      <c r="E8" s="35" t="s">
        <v>62</v>
      </c>
      <c r="F8" s="38"/>
      <c r="G8" s="36" t="s">
        <v>63</v>
      </c>
      <c r="H8" s="40" t="s">
        <v>64</v>
      </c>
      <c r="I8" s="39"/>
      <c r="J8" s="37" t="s">
        <v>65</v>
      </c>
      <c r="K8" s="42"/>
      <c r="L8" s="41" t="s">
        <v>66</v>
      </c>
      <c r="M8" s="42"/>
      <c r="N8" s="67"/>
    </row>
    <row r="9" spans="1:14" ht="69" customHeight="1" x14ac:dyDescent="0.25">
      <c r="A9" s="33" t="s">
        <v>59</v>
      </c>
      <c r="B9" s="65" t="s">
        <v>60</v>
      </c>
      <c r="C9" s="35" t="s">
        <v>61</v>
      </c>
      <c r="D9" s="43"/>
      <c r="E9" s="35" t="s">
        <v>62</v>
      </c>
      <c r="F9" s="38"/>
      <c r="G9" s="36" t="s">
        <v>63</v>
      </c>
      <c r="H9" s="40" t="s">
        <v>64</v>
      </c>
      <c r="I9" s="39"/>
      <c r="J9" s="37" t="s">
        <v>65</v>
      </c>
      <c r="K9" s="42"/>
      <c r="L9" s="41" t="s">
        <v>66</v>
      </c>
      <c r="M9" s="42"/>
      <c r="N9" s="67"/>
    </row>
    <row r="10" spans="1:14" ht="69" customHeight="1" x14ac:dyDescent="0.25">
      <c r="A10" s="33" t="s">
        <v>59</v>
      </c>
      <c r="B10" s="65" t="s">
        <v>60</v>
      </c>
      <c r="C10" s="35" t="s">
        <v>61</v>
      </c>
      <c r="D10" s="43"/>
      <c r="E10" s="35" t="s">
        <v>62</v>
      </c>
      <c r="F10" s="38"/>
      <c r="G10" s="36" t="s">
        <v>63</v>
      </c>
      <c r="H10" s="40" t="s">
        <v>64</v>
      </c>
      <c r="I10" s="39"/>
      <c r="J10" s="37" t="s">
        <v>65</v>
      </c>
      <c r="K10" s="42"/>
      <c r="L10" s="41" t="s">
        <v>66</v>
      </c>
      <c r="M10" s="42"/>
      <c r="N10" s="67"/>
    </row>
    <row r="11" spans="1:14" ht="69" customHeight="1" x14ac:dyDescent="0.25">
      <c r="A11" s="33" t="s">
        <v>59</v>
      </c>
      <c r="B11" s="35" t="s">
        <v>60</v>
      </c>
      <c r="C11" s="35" t="s">
        <v>61</v>
      </c>
      <c r="D11" s="43"/>
      <c r="E11" s="35" t="s">
        <v>62</v>
      </c>
      <c r="F11" s="38"/>
      <c r="G11" s="36" t="s">
        <v>63</v>
      </c>
      <c r="H11" s="40" t="s">
        <v>64</v>
      </c>
      <c r="I11" s="39"/>
      <c r="J11" s="37" t="s">
        <v>65</v>
      </c>
      <c r="K11" s="42"/>
      <c r="L11" s="41" t="s">
        <v>66</v>
      </c>
      <c r="M11" s="42"/>
      <c r="N11" s="68"/>
    </row>
  </sheetData>
  <pageMargins left="0.25" right="0.25" top="0.25" bottom="0.25" header="0" footer="0"/>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0CE09-35B9-4934-9649-917BFA36AFD1}">
  <sheetPr codeName="Sheet11"/>
  <dimension ref="A1:M33"/>
  <sheetViews>
    <sheetView view="pageLayout" zoomScaleNormal="100" workbookViewId="0">
      <selection activeCell="O6" sqref="O6"/>
    </sheetView>
  </sheetViews>
  <sheetFormatPr defaultColWidth="9.140625" defaultRowHeight="15" x14ac:dyDescent="0.25"/>
  <cols>
    <col min="1" max="1" width="3.7109375" customWidth="1"/>
    <col min="2" max="3" width="5" customWidth="1"/>
    <col min="4" max="4" width="8.85546875" customWidth="1"/>
    <col min="6" max="6" width="16" customWidth="1"/>
    <col min="7" max="8" width="6.42578125" customWidth="1"/>
    <col min="9" max="9" width="2.5703125" customWidth="1"/>
    <col min="10" max="10" width="6.42578125" customWidth="1"/>
    <col min="13" max="13" width="11.42578125" customWidth="1"/>
  </cols>
  <sheetData>
    <row r="1" spans="1:13" ht="20.85" customHeight="1" x14ac:dyDescent="0.25">
      <c r="A1" s="213" t="s">
        <v>59</v>
      </c>
      <c r="B1" s="200" t="s">
        <v>60</v>
      </c>
      <c r="C1" s="203" t="s">
        <v>61</v>
      </c>
      <c r="D1" s="206"/>
      <c r="E1" s="71" t="s">
        <v>62</v>
      </c>
      <c r="F1" s="67"/>
      <c r="G1" s="71" t="s">
        <v>67</v>
      </c>
      <c r="H1" s="72"/>
      <c r="I1" s="73" t="s">
        <v>68</v>
      </c>
      <c r="J1" s="72"/>
      <c r="K1" s="71" t="s">
        <v>173</v>
      </c>
      <c r="L1" s="73"/>
      <c r="M1" s="67"/>
    </row>
    <row r="2" spans="1:13" ht="20.85" customHeight="1" x14ac:dyDescent="0.25">
      <c r="A2" s="214"/>
      <c r="B2" s="201"/>
      <c r="C2" s="204"/>
      <c r="D2" s="207"/>
      <c r="E2" s="74"/>
      <c r="G2" s="70" t="s">
        <v>69</v>
      </c>
      <c r="H2" s="209"/>
      <c r="I2" s="209"/>
      <c r="J2" s="209"/>
      <c r="K2" s="209"/>
      <c r="L2" s="209"/>
      <c r="M2" s="210"/>
    </row>
    <row r="3" spans="1:13" ht="20.85" customHeight="1" x14ac:dyDescent="0.25">
      <c r="A3" s="215"/>
      <c r="B3" s="202"/>
      <c r="C3" s="205"/>
      <c r="D3" s="208"/>
      <c r="E3" s="75" t="s">
        <v>70</v>
      </c>
      <c r="F3" s="63"/>
      <c r="G3" s="76"/>
      <c r="H3" s="211"/>
      <c r="I3" s="211"/>
      <c r="J3" s="211"/>
      <c r="K3" s="211"/>
      <c r="L3" s="211"/>
      <c r="M3" s="212"/>
    </row>
    <row r="4" spans="1:13" ht="20.85" customHeight="1" x14ac:dyDescent="0.25">
      <c r="A4" s="213" t="s">
        <v>59</v>
      </c>
      <c r="B4" s="200" t="s">
        <v>60</v>
      </c>
      <c r="C4" s="203" t="s">
        <v>61</v>
      </c>
      <c r="D4" s="206"/>
      <c r="E4" s="71" t="s">
        <v>62</v>
      </c>
      <c r="F4" s="67"/>
      <c r="G4" s="71" t="s">
        <v>67</v>
      </c>
      <c r="H4" s="72"/>
      <c r="I4" s="73" t="s">
        <v>68</v>
      </c>
      <c r="J4" s="72"/>
      <c r="K4" s="71" t="s">
        <v>173</v>
      </c>
      <c r="L4" s="67"/>
      <c r="M4" s="67"/>
    </row>
    <row r="5" spans="1:13" ht="20.85" customHeight="1" x14ac:dyDescent="0.25">
      <c r="A5" s="214"/>
      <c r="B5" s="201"/>
      <c r="C5" s="204"/>
      <c r="D5" s="207"/>
      <c r="E5" s="74"/>
      <c r="G5" s="70" t="s">
        <v>69</v>
      </c>
      <c r="H5" s="209"/>
      <c r="I5" s="209"/>
      <c r="J5" s="209"/>
      <c r="K5" s="209"/>
      <c r="L5" s="209"/>
      <c r="M5" s="210"/>
    </row>
    <row r="6" spans="1:13" ht="20.85" customHeight="1" x14ac:dyDescent="0.25">
      <c r="A6" s="215"/>
      <c r="B6" s="202"/>
      <c r="C6" s="205"/>
      <c r="D6" s="208"/>
      <c r="E6" s="75" t="s">
        <v>70</v>
      </c>
      <c r="F6" s="63"/>
      <c r="G6" s="76"/>
      <c r="H6" s="211"/>
      <c r="I6" s="211"/>
      <c r="J6" s="211"/>
      <c r="K6" s="211"/>
      <c r="L6" s="211"/>
      <c r="M6" s="212"/>
    </row>
    <row r="7" spans="1:13" ht="20.85" customHeight="1" x14ac:dyDescent="0.25">
      <c r="A7" s="213" t="s">
        <v>59</v>
      </c>
      <c r="B7" s="200" t="s">
        <v>60</v>
      </c>
      <c r="C7" s="203" t="s">
        <v>61</v>
      </c>
      <c r="D7" s="206"/>
      <c r="E7" s="71" t="s">
        <v>62</v>
      </c>
      <c r="F7" s="67"/>
      <c r="G7" s="71" t="s">
        <v>67</v>
      </c>
      <c r="H7" s="72"/>
      <c r="I7" s="73" t="s">
        <v>68</v>
      </c>
      <c r="J7" s="72"/>
      <c r="K7" s="71" t="s">
        <v>173</v>
      </c>
      <c r="L7" s="67"/>
      <c r="M7" s="67"/>
    </row>
    <row r="8" spans="1:13" ht="20.85" customHeight="1" x14ac:dyDescent="0.25">
      <c r="A8" s="214"/>
      <c r="B8" s="201"/>
      <c r="C8" s="204"/>
      <c r="D8" s="207"/>
      <c r="E8" s="74"/>
      <c r="G8" s="70" t="s">
        <v>69</v>
      </c>
      <c r="H8" s="209"/>
      <c r="I8" s="209"/>
      <c r="J8" s="209"/>
      <c r="K8" s="209"/>
      <c r="L8" s="209"/>
      <c r="M8" s="210"/>
    </row>
    <row r="9" spans="1:13" ht="20.85" customHeight="1" x14ac:dyDescent="0.25">
      <c r="A9" s="215"/>
      <c r="B9" s="202"/>
      <c r="C9" s="205"/>
      <c r="D9" s="208"/>
      <c r="E9" s="75" t="s">
        <v>70</v>
      </c>
      <c r="F9" s="63"/>
      <c r="G9" s="76"/>
      <c r="H9" s="211"/>
      <c r="I9" s="211"/>
      <c r="J9" s="211"/>
      <c r="K9" s="211"/>
      <c r="L9" s="211"/>
      <c r="M9" s="212"/>
    </row>
    <row r="10" spans="1:13" ht="20.85" customHeight="1" x14ac:dyDescent="0.25">
      <c r="A10" s="213" t="s">
        <v>59</v>
      </c>
      <c r="B10" s="200" t="s">
        <v>60</v>
      </c>
      <c r="C10" s="203" t="s">
        <v>61</v>
      </c>
      <c r="D10" s="206"/>
      <c r="E10" s="71" t="s">
        <v>62</v>
      </c>
      <c r="F10" s="67"/>
      <c r="G10" s="71" t="s">
        <v>67</v>
      </c>
      <c r="H10" s="72"/>
      <c r="I10" s="73" t="s">
        <v>68</v>
      </c>
      <c r="J10" s="72"/>
      <c r="K10" s="71" t="s">
        <v>173</v>
      </c>
      <c r="L10" s="67"/>
      <c r="M10" s="67"/>
    </row>
    <row r="11" spans="1:13" ht="20.85" customHeight="1" x14ac:dyDescent="0.25">
      <c r="A11" s="214"/>
      <c r="B11" s="201"/>
      <c r="C11" s="204"/>
      <c r="D11" s="207"/>
      <c r="E11" s="74"/>
      <c r="G11" s="70" t="s">
        <v>69</v>
      </c>
      <c r="H11" s="209"/>
      <c r="I11" s="209"/>
      <c r="J11" s="209"/>
      <c r="K11" s="209"/>
      <c r="L11" s="209"/>
      <c r="M11" s="210"/>
    </row>
    <row r="12" spans="1:13" ht="20.85" customHeight="1" x14ac:dyDescent="0.25">
      <c r="A12" s="215"/>
      <c r="B12" s="202"/>
      <c r="C12" s="205"/>
      <c r="D12" s="208"/>
      <c r="E12" s="75" t="s">
        <v>70</v>
      </c>
      <c r="F12" s="63"/>
      <c r="G12" s="76"/>
      <c r="H12" s="211"/>
      <c r="I12" s="211"/>
      <c r="J12" s="211"/>
      <c r="K12" s="211"/>
      <c r="L12" s="211"/>
      <c r="M12" s="212"/>
    </row>
    <row r="13" spans="1:13" ht="20.85" customHeight="1" x14ac:dyDescent="0.25">
      <c r="A13" s="213" t="s">
        <v>59</v>
      </c>
      <c r="B13" s="200" t="s">
        <v>60</v>
      </c>
      <c r="C13" s="203" t="s">
        <v>61</v>
      </c>
      <c r="D13" s="206"/>
      <c r="E13" s="71" t="s">
        <v>62</v>
      </c>
      <c r="F13" s="67"/>
      <c r="G13" s="71" t="s">
        <v>67</v>
      </c>
      <c r="H13" s="72"/>
      <c r="I13" s="73" t="s">
        <v>68</v>
      </c>
      <c r="J13" s="72"/>
      <c r="K13" s="71" t="s">
        <v>173</v>
      </c>
      <c r="L13" s="67"/>
      <c r="M13" s="67"/>
    </row>
    <row r="14" spans="1:13" ht="20.85" customHeight="1" x14ac:dyDescent="0.25">
      <c r="A14" s="214"/>
      <c r="B14" s="201"/>
      <c r="C14" s="204"/>
      <c r="D14" s="207"/>
      <c r="E14" s="74"/>
      <c r="G14" s="70" t="s">
        <v>69</v>
      </c>
      <c r="H14" s="209"/>
      <c r="I14" s="209"/>
      <c r="J14" s="209"/>
      <c r="K14" s="209"/>
      <c r="L14" s="209"/>
      <c r="M14" s="210"/>
    </row>
    <row r="15" spans="1:13" ht="20.85" customHeight="1" x14ac:dyDescent="0.25">
      <c r="A15" s="215"/>
      <c r="B15" s="202"/>
      <c r="C15" s="205"/>
      <c r="D15" s="208"/>
      <c r="E15" s="75" t="s">
        <v>70</v>
      </c>
      <c r="F15" s="63"/>
      <c r="G15" s="76"/>
      <c r="H15" s="211"/>
      <c r="I15" s="211"/>
      <c r="J15" s="211"/>
      <c r="K15" s="211"/>
      <c r="L15" s="211"/>
      <c r="M15" s="212"/>
    </row>
    <row r="16" spans="1:13" ht="20.85" customHeight="1" x14ac:dyDescent="0.25">
      <c r="A16" s="213" t="s">
        <v>59</v>
      </c>
      <c r="B16" s="200" t="s">
        <v>60</v>
      </c>
      <c r="C16" s="203" t="s">
        <v>61</v>
      </c>
      <c r="D16" s="206"/>
      <c r="E16" s="71" t="s">
        <v>62</v>
      </c>
      <c r="F16" s="67"/>
      <c r="G16" s="71" t="s">
        <v>67</v>
      </c>
      <c r="H16" s="72"/>
      <c r="I16" s="73" t="s">
        <v>68</v>
      </c>
      <c r="J16" s="72"/>
      <c r="K16" s="71" t="s">
        <v>173</v>
      </c>
      <c r="L16" s="67"/>
      <c r="M16" s="67"/>
    </row>
    <row r="17" spans="1:13" ht="20.85" customHeight="1" x14ac:dyDescent="0.25">
      <c r="A17" s="214"/>
      <c r="B17" s="201"/>
      <c r="C17" s="204"/>
      <c r="D17" s="207"/>
      <c r="E17" s="74"/>
      <c r="G17" s="70" t="s">
        <v>69</v>
      </c>
      <c r="H17" s="209"/>
      <c r="I17" s="209"/>
      <c r="J17" s="209"/>
      <c r="K17" s="209"/>
      <c r="L17" s="209"/>
      <c r="M17" s="210"/>
    </row>
    <row r="18" spans="1:13" ht="20.85" customHeight="1" x14ac:dyDescent="0.25">
      <c r="A18" s="215"/>
      <c r="B18" s="202"/>
      <c r="C18" s="205"/>
      <c r="D18" s="208"/>
      <c r="E18" s="75" t="s">
        <v>70</v>
      </c>
      <c r="F18" s="63"/>
      <c r="G18" s="76"/>
      <c r="H18" s="211"/>
      <c r="I18" s="211"/>
      <c r="J18" s="211"/>
      <c r="K18" s="211"/>
      <c r="L18" s="211"/>
      <c r="M18" s="212"/>
    </row>
    <row r="19" spans="1:13" ht="20.85" customHeight="1" x14ac:dyDescent="0.25">
      <c r="A19" s="213" t="s">
        <v>59</v>
      </c>
      <c r="B19" s="200" t="s">
        <v>60</v>
      </c>
      <c r="C19" s="203" t="s">
        <v>61</v>
      </c>
      <c r="D19" s="206"/>
      <c r="E19" s="71" t="s">
        <v>62</v>
      </c>
      <c r="F19" s="67"/>
      <c r="G19" s="71" t="s">
        <v>67</v>
      </c>
      <c r="H19" s="72"/>
      <c r="I19" s="73" t="s">
        <v>68</v>
      </c>
      <c r="J19" s="72"/>
      <c r="K19" s="71" t="s">
        <v>173</v>
      </c>
      <c r="L19" s="67"/>
      <c r="M19" s="67"/>
    </row>
    <row r="20" spans="1:13" ht="20.85" customHeight="1" x14ac:dyDescent="0.25">
      <c r="A20" s="214"/>
      <c r="B20" s="201"/>
      <c r="C20" s="204"/>
      <c r="D20" s="207"/>
      <c r="E20" s="74"/>
      <c r="G20" s="70" t="s">
        <v>69</v>
      </c>
      <c r="H20" s="209"/>
      <c r="I20" s="209"/>
      <c r="J20" s="209"/>
      <c r="K20" s="209"/>
      <c r="L20" s="209"/>
      <c r="M20" s="210"/>
    </row>
    <row r="21" spans="1:13" ht="20.85" customHeight="1" x14ac:dyDescent="0.25">
      <c r="A21" s="215"/>
      <c r="B21" s="202"/>
      <c r="C21" s="205"/>
      <c r="D21" s="208"/>
      <c r="E21" s="75" t="s">
        <v>70</v>
      </c>
      <c r="F21" s="63"/>
      <c r="G21" s="76"/>
      <c r="H21" s="211"/>
      <c r="I21" s="211"/>
      <c r="J21" s="211"/>
      <c r="K21" s="211"/>
      <c r="L21" s="211"/>
      <c r="M21" s="212"/>
    </row>
    <row r="22" spans="1:13" ht="20.85" customHeight="1" x14ac:dyDescent="0.25">
      <c r="A22" s="213" t="s">
        <v>59</v>
      </c>
      <c r="B22" s="200" t="s">
        <v>60</v>
      </c>
      <c r="C22" s="203" t="s">
        <v>61</v>
      </c>
      <c r="D22" s="206"/>
      <c r="E22" s="71" t="s">
        <v>62</v>
      </c>
      <c r="F22" s="67"/>
      <c r="G22" s="71" t="s">
        <v>67</v>
      </c>
      <c r="H22" s="72"/>
      <c r="I22" s="73" t="s">
        <v>68</v>
      </c>
      <c r="J22" s="72"/>
      <c r="K22" s="71" t="s">
        <v>173</v>
      </c>
      <c r="L22" s="67"/>
      <c r="M22" s="67"/>
    </row>
    <row r="23" spans="1:13" ht="20.85" customHeight="1" x14ac:dyDescent="0.25">
      <c r="A23" s="214"/>
      <c r="B23" s="201"/>
      <c r="C23" s="204"/>
      <c r="D23" s="207"/>
      <c r="E23" s="74"/>
      <c r="G23" s="70" t="s">
        <v>69</v>
      </c>
      <c r="H23" s="209"/>
      <c r="I23" s="209"/>
      <c r="J23" s="209"/>
      <c r="K23" s="209"/>
      <c r="L23" s="209"/>
      <c r="M23" s="210"/>
    </row>
    <row r="24" spans="1:13" ht="20.85" customHeight="1" x14ac:dyDescent="0.25">
      <c r="A24" s="215"/>
      <c r="B24" s="202"/>
      <c r="C24" s="205"/>
      <c r="D24" s="208"/>
      <c r="E24" s="75" t="s">
        <v>70</v>
      </c>
      <c r="F24" s="63"/>
      <c r="G24" s="76"/>
      <c r="H24" s="211"/>
      <c r="I24" s="211"/>
      <c r="J24" s="211"/>
      <c r="K24" s="211"/>
      <c r="L24" s="211"/>
      <c r="M24" s="212"/>
    </row>
    <row r="25" spans="1:13" ht="20.85" customHeight="1" x14ac:dyDescent="0.25">
      <c r="A25" s="213" t="s">
        <v>59</v>
      </c>
      <c r="B25" s="200" t="s">
        <v>60</v>
      </c>
      <c r="C25" s="203" t="s">
        <v>61</v>
      </c>
      <c r="D25" s="206"/>
      <c r="E25" s="71" t="s">
        <v>62</v>
      </c>
      <c r="F25" s="67"/>
      <c r="G25" s="71" t="s">
        <v>67</v>
      </c>
      <c r="H25" s="72"/>
      <c r="I25" s="73" t="s">
        <v>68</v>
      </c>
      <c r="J25" s="72"/>
      <c r="K25" s="71" t="s">
        <v>173</v>
      </c>
      <c r="L25" s="67"/>
      <c r="M25" s="67"/>
    </row>
    <row r="26" spans="1:13" ht="20.85" customHeight="1" x14ac:dyDescent="0.25">
      <c r="A26" s="214"/>
      <c r="B26" s="201"/>
      <c r="C26" s="204"/>
      <c r="D26" s="207"/>
      <c r="E26" s="74"/>
      <c r="G26" s="70" t="s">
        <v>69</v>
      </c>
      <c r="H26" s="209"/>
      <c r="I26" s="209"/>
      <c r="J26" s="209"/>
      <c r="K26" s="209"/>
      <c r="L26" s="209"/>
      <c r="M26" s="210"/>
    </row>
    <row r="27" spans="1:13" ht="20.85" customHeight="1" x14ac:dyDescent="0.25">
      <c r="A27" s="215"/>
      <c r="B27" s="202"/>
      <c r="C27" s="205"/>
      <c r="D27" s="208"/>
      <c r="E27" s="75" t="s">
        <v>70</v>
      </c>
      <c r="F27" s="63"/>
      <c r="G27" s="76"/>
      <c r="H27" s="211"/>
      <c r="I27" s="211"/>
      <c r="J27" s="211"/>
      <c r="K27" s="211"/>
      <c r="L27" s="211"/>
      <c r="M27" s="212"/>
    </row>
    <row r="28" spans="1:13" ht="20.85" customHeight="1" x14ac:dyDescent="0.25">
      <c r="A28" s="213" t="s">
        <v>59</v>
      </c>
      <c r="B28" s="200" t="s">
        <v>60</v>
      </c>
      <c r="C28" s="203" t="s">
        <v>61</v>
      </c>
      <c r="D28" s="206"/>
      <c r="E28" s="71" t="s">
        <v>62</v>
      </c>
      <c r="F28" s="67"/>
      <c r="G28" s="71" t="s">
        <v>67</v>
      </c>
      <c r="H28" s="72"/>
      <c r="I28" s="73" t="s">
        <v>68</v>
      </c>
      <c r="J28" s="72"/>
      <c r="K28" s="71" t="s">
        <v>173</v>
      </c>
      <c r="L28" s="67"/>
      <c r="M28" s="67"/>
    </row>
    <row r="29" spans="1:13" ht="20.85" customHeight="1" x14ac:dyDescent="0.25">
      <c r="A29" s="214"/>
      <c r="B29" s="201"/>
      <c r="C29" s="204"/>
      <c r="D29" s="207"/>
      <c r="E29" s="74"/>
      <c r="G29" s="70" t="s">
        <v>69</v>
      </c>
      <c r="H29" s="209"/>
      <c r="I29" s="209"/>
      <c r="J29" s="209"/>
      <c r="K29" s="209"/>
      <c r="L29" s="209"/>
      <c r="M29" s="210"/>
    </row>
    <row r="30" spans="1:13" ht="20.85" customHeight="1" x14ac:dyDescent="0.25">
      <c r="A30" s="215"/>
      <c r="B30" s="202"/>
      <c r="C30" s="205"/>
      <c r="D30" s="208"/>
      <c r="E30" s="75" t="s">
        <v>70</v>
      </c>
      <c r="F30" s="63"/>
      <c r="G30" s="76"/>
      <c r="H30" s="211"/>
      <c r="I30" s="211"/>
      <c r="J30" s="211"/>
      <c r="K30" s="211"/>
      <c r="L30" s="211"/>
      <c r="M30" s="212"/>
    </row>
    <row r="31" spans="1:13" ht="20.85" customHeight="1" x14ac:dyDescent="0.25">
      <c r="A31" s="213" t="s">
        <v>59</v>
      </c>
      <c r="B31" s="200" t="s">
        <v>60</v>
      </c>
      <c r="C31" s="203" t="s">
        <v>61</v>
      </c>
      <c r="D31" s="206"/>
      <c r="E31" s="71" t="s">
        <v>62</v>
      </c>
      <c r="F31" s="67"/>
      <c r="G31" s="71" t="s">
        <v>67</v>
      </c>
      <c r="H31" s="72"/>
      <c r="I31" s="73" t="s">
        <v>68</v>
      </c>
      <c r="J31" s="72"/>
      <c r="K31" s="71" t="s">
        <v>173</v>
      </c>
      <c r="L31" s="67"/>
      <c r="M31" s="67"/>
    </row>
    <row r="32" spans="1:13" ht="20.85" customHeight="1" x14ac:dyDescent="0.25">
      <c r="A32" s="214"/>
      <c r="B32" s="201"/>
      <c r="C32" s="204"/>
      <c r="D32" s="207"/>
      <c r="E32" s="74"/>
      <c r="G32" s="70" t="s">
        <v>69</v>
      </c>
      <c r="H32" s="209"/>
      <c r="I32" s="209"/>
      <c r="J32" s="209"/>
      <c r="K32" s="209"/>
      <c r="L32" s="209"/>
      <c r="M32" s="210"/>
    </row>
    <row r="33" spans="1:13" ht="20.85" customHeight="1" x14ac:dyDescent="0.25">
      <c r="A33" s="215"/>
      <c r="B33" s="202"/>
      <c r="C33" s="205"/>
      <c r="D33" s="208"/>
      <c r="E33" s="75" t="s">
        <v>70</v>
      </c>
      <c r="F33" s="63"/>
      <c r="G33" s="76"/>
      <c r="H33" s="211"/>
      <c r="I33" s="211"/>
      <c r="J33" s="211"/>
      <c r="K33" s="211"/>
      <c r="L33" s="211"/>
      <c r="M33" s="212"/>
    </row>
  </sheetData>
  <mergeCells count="55">
    <mergeCell ref="A31:A33"/>
    <mergeCell ref="B31:B33"/>
    <mergeCell ref="C31:C33"/>
    <mergeCell ref="D31:D33"/>
    <mergeCell ref="H32:M33"/>
    <mergeCell ref="A25:A27"/>
    <mergeCell ref="B25:B27"/>
    <mergeCell ref="C25:C27"/>
    <mergeCell ref="D25:D27"/>
    <mergeCell ref="H26:M27"/>
    <mergeCell ref="A28:A30"/>
    <mergeCell ref="B28:B30"/>
    <mergeCell ref="C28:C30"/>
    <mergeCell ref="D28:D30"/>
    <mergeCell ref="H29:M30"/>
    <mergeCell ref="A19:A21"/>
    <mergeCell ref="B19:B21"/>
    <mergeCell ref="C19:C21"/>
    <mergeCell ref="D19:D21"/>
    <mergeCell ref="H20:M21"/>
    <mergeCell ref="A22:A24"/>
    <mergeCell ref="B22:B24"/>
    <mergeCell ref="C22:C24"/>
    <mergeCell ref="D22:D24"/>
    <mergeCell ref="H23:M24"/>
    <mergeCell ref="A13:A15"/>
    <mergeCell ref="B13:B15"/>
    <mergeCell ref="C13:C15"/>
    <mergeCell ref="D13:D15"/>
    <mergeCell ref="H14:M15"/>
    <mergeCell ref="A16:A18"/>
    <mergeCell ref="B16:B18"/>
    <mergeCell ref="C16:C18"/>
    <mergeCell ref="D16:D18"/>
    <mergeCell ref="H17:M18"/>
    <mergeCell ref="A7:A9"/>
    <mergeCell ref="B7:B9"/>
    <mergeCell ref="C7:C9"/>
    <mergeCell ref="D7:D9"/>
    <mergeCell ref="H8:M9"/>
    <mergeCell ref="A10:A12"/>
    <mergeCell ref="B10:B12"/>
    <mergeCell ref="C10:C12"/>
    <mergeCell ref="D10:D12"/>
    <mergeCell ref="H11:M12"/>
    <mergeCell ref="B1:B3"/>
    <mergeCell ref="C1:C3"/>
    <mergeCell ref="D1:D3"/>
    <mergeCell ref="H2:M3"/>
    <mergeCell ref="A4:A6"/>
    <mergeCell ref="B4:B6"/>
    <mergeCell ref="C4:C6"/>
    <mergeCell ref="D4:D6"/>
    <mergeCell ref="H5:M6"/>
    <mergeCell ref="A1:A3"/>
  </mergeCells>
  <pageMargins left="0.25" right="0.25" top="0.75" bottom="0.75" header="0.3" footer="0.3"/>
  <pageSetup orientation="portrait" r:id="rId1"/>
  <headerFooter>
    <oddHeader>&amp;C&amp;K00-049manual slips</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4A46A9-5ED9-40F1-BAF1-DD307AB40A1C}">
  <sheetPr codeName="Sheet14"/>
  <dimension ref="A1:M9"/>
  <sheetViews>
    <sheetView view="pageLayout" zoomScaleNormal="100" workbookViewId="0">
      <selection activeCell="I1" sqref="I1:M1"/>
    </sheetView>
  </sheetViews>
  <sheetFormatPr defaultColWidth="9.140625" defaultRowHeight="72" customHeight="1" x14ac:dyDescent="0.25"/>
  <cols>
    <col min="2" max="2" width="5" customWidth="1"/>
    <col min="3" max="3" width="7.5703125" style="153" customWidth="1"/>
    <col min="4" max="4" width="5" customWidth="1"/>
    <col min="5" max="5" width="5.7109375" style="148" customWidth="1"/>
    <col min="6" max="6" width="3.140625" style="151" customWidth="1"/>
    <col min="7" max="7" width="5.7109375" style="150" customWidth="1"/>
    <col min="9" max="13" width="9.140625" style="152"/>
  </cols>
  <sheetData>
    <row r="1" spans="1:13" ht="72" customHeight="1" x14ac:dyDescent="0.25">
      <c r="A1" s="145" t="s">
        <v>180</v>
      </c>
      <c r="B1" s="146" t="s">
        <v>179</v>
      </c>
      <c r="C1" s="149"/>
      <c r="D1" s="146" t="s">
        <v>178</v>
      </c>
      <c r="E1" s="147"/>
      <c r="F1" s="146" t="s">
        <v>181</v>
      </c>
      <c r="H1" s="31" t="s">
        <v>182</v>
      </c>
      <c r="I1" s="216"/>
      <c r="J1" s="216"/>
      <c r="K1" s="216"/>
      <c r="L1" s="216"/>
      <c r="M1" s="216"/>
    </row>
    <row r="2" spans="1:13" ht="72" customHeight="1" x14ac:dyDescent="0.25">
      <c r="A2" s="145" t="s">
        <v>180</v>
      </c>
      <c r="B2" s="146" t="s">
        <v>179</v>
      </c>
      <c r="C2" s="149"/>
      <c r="D2" s="146" t="s">
        <v>178</v>
      </c>
      <c r="E2" s="147"/>
      <c r="F2" s="146" t="s">
        <v>181</v>
      </c>
      <c r="H2" s="31" t="s">
        <v>182</v>
      </c>
      <c r="I2" s="216"/>
      <c r="J2" s="216"/>
      <c r="K2" s="216"/>
      <c r="L2" s="216"/>
      <c r="M2" s="216"/>
    </row>
    <row r="3" spans="1:13" ht="72" customHeight="1" x14ac:dyDescent="0.25">
      <c r="A3" s="145" t="s">
        <v>180</v>
      </c>
      <c r="B3" s="146" t="s">
        <v>179</v>
      </c>
      <c r="C3" s="149"/>
      <c r="D3" s="146" t="s">
        <v>178</v>
      </c>
      <c r="E3" s="147"/>
      <c r="F3" s="146" t="s">
        <v>181</v>
      </c>
      <c r="H3" s="31" t="s">
        <v>182</v>
      </c>
      <c r="I3" s="216"/>
      <c r="J3" s="216"/>
      <c r="K3" s="216"/>
      <c r="L3" s="216"/>
      <c r="M3" s="216"/>
    </row>
    <row r="4" spans="1:13" ht="72" customHeight="1" x14ac:dyDescent="0.25">
      <c r="A4" s="145" t="s">
        <v>180</v>
      </c>
      <c r="B4" s="146" t="s">
        <v>179</v>
      </c>
      <c r="C4" s="149"/>
      <c r="D4" s="146" t="s">
        <v>178</v>
      </c>
      <c r="E4" s="147"/>
      <c r="F4" s="146" t="s">
        <v>181</v>
      </c>
      <c r="H4" s="31" t="s">
        <v>182</v>
      </c>
      <c r="I4" s="216"/>
      <c r="J4" s="216"/>
      <c r="K4" s="216"/>
      <c r="L4" s="216"/>
      <c r="M4" s="216"/>
    </row>
    <row r="5" spans="1:13" ht="72" customHeight="1" x14ac:dyDescent="0.25">
      <c r="A5" s="145" t="s">
        <v>180</v>
      </c>
      <c r="B5" s="146" t="s">
        <v>179</v>
      </c>
      <c r="C5" s="149"/>
      <c r="D5" s="146" t="s">
        <v>178</v>
      </c>
      <c r="E5" s="147"/>
      <c r="F5" s="146" t="s">
        <v>181</v>
      </c>
      <c r="H5" s="31" t="s">
        <v>182</v>
      </c>
      <c r="I5" s="216"/>
      <c r="J5" s="216"/>
      <c r="K5" s="216"/>
      <c r="L5" s="216"/>
      <c r="M5" s="216"/>
    </row>
    <row r="6" spans="1:13" ht="72" customHeight="1" x14ac:dyDescent="0.25">
      <c r="A6" s="145" t="s">
        <v>180</v>
      </c>
      <c r="B6" s="146" t="s">
        <v>179</v>
      </c>
      <c r="C6" s="149"/>
      <c r="D6" s="146" t="s">
        <v>178</v>
      </c>
      <c r="E6" s="147"/>
      <c r="F6" s="146" t="s">
        <v>181</v>
      </c>
      <c r="H6" s="31" t="s">
        <v>182</v>
      </c>
      <c r="I6" s="216"/>
      <c r="J6" s="216"/>
      <c r="K6" s="216"/>
      <c r="L6" s="216"/>
      <c r="M6" s="216"/>
    </row>
    <row r="7" spans="1:13" ht="72" customHeight="1" x14ac:dyDescent="0.25">
      <c r="A7" s="145" t="s">
        <v>180</v>
      </c>
      <c r="B7" s="146" t="s">
        <v>179</v>
      </c>
      <c r="C7" s="149"/>
      <c r="D7" s="146" t="s">
        <v>178</v>
      </c>
      <c r="E7" s="147"/>
      <c r="F7" s="146" t="s">
        <v>181</v>
      </c>
      <c r="H7" s="31" t="s">
        <v>182</v>
      </c>
      <c r="I7" s="216"/>
      <c r="J7" s="216"/>
      <c r="K7" s="216"/>
      <c r="L7" s="216"/>
      <c r="M7" s="216"/>
    </row>
    <row r="8" spans="1:13" ht="72" customHeight="1" x14ac:dyDescent="0.25">
      <c r="A8" s="145" t="s">
        <v>180</v>
      </c>
      <c r="B8" s="146" t="s">
        <v>179</v>
      </c>
      <c r="C8" s="149"/>
      <c r="D8" s="146" t="s">
        <v>178</v>
      </c>
      <c r="E8" s="147"/>
      <c r="F8" s="146" t="s">
        <v>181</v>
      </c>
      <c r="H8" s="31" t="s">
        <v>182</v>
      </c>
      <c r="I8" s="216"/>
      <c r="J8" s="216"/>
      <c r="K8" s="216"/>
      <c r="L8" s="216"/>
      <c r="M8" s="216"/>
    </row>
    <row r="9" spans="1:13" ht="72" customHeight="1" x14ac:dyDescent="0.25">
      <c r="A9" s="145" t="s">
        <v>180</v>
      </c>
      <c r="B9" s="146" t="s">
        <v>179</v>
      </c>
      <c r="C9" s="149"/>
      <c r="D9" s="146" t="s">
        <v>178</v>
      </c>
      <c r="E9" s="147"/>
      <c r="F9" s="146" t="s">
        <v>181</v>
      </c>
      <c r="H9" s="31" t="s">
        <v>182</v>
      </c>
      <c r="I9" s="216"/>
      <c r="J9" s="216"/>
      <c r="K9" s="216"/>
      <c r="L9" s="216"/>
      <c r="M9" s="216"/>
    </row>
  </sheetData>
  <mergeCells count="9">
    <mergeCell ref="I6:M6"/>
    <mergeCell ref="I7:M7"/>
    <mergeCell ref="I8:M8"/>
    <mergeCell ref="I9:M9"/>
    <mergeCell ref="I1:M1"/>
    <mergeCell ref="I2:M2"/>
    <mergeCell ref="I3:M3"/>
    <mergeCell ref="I4:M4"/>
    <mergeCell ref="I5:M5"/>
  </mergeCells>
  <pageMargins left="0.25" right="0.25" top="0.75" bottom="0.75" header="0.3" footer="0.3"/>
  <pageSetup orientation="portrait" r:id="rId1"/>
  <headerFooter>
    <oddHeader>&amp;C&amp;K00-049semi automatic slips</oddHead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31D92-954E-4468-A78C-D788B37DBE2B}">
  <sheetPr codeName="Sheet10">
    <tabColor theme="4"/>
  </sheetPr>
  <dimension ref="A1:C9"/>
  <sheetViews>
    <sheetView zoomScaleNormal="100" workbookViewId="0">
      <selection activeCell="P10" sqref="P10"/>
    </sheetView>
  </sheetViews>
  <sheetFormatPr defaultRowHeight="15" x14ac:dyDescent="0.25"/>
  <cols>
    <col min="1" max="1" width="12.28515625" bestFit="1" customWidth="1"/>
    <col min="2" max="2" width="7.140625" bestFit="1" customWidth="1"/>
  </cols>
  <sheetData>
    <row r="1" spans="1:3" s="2" customFormat="1" ht="20.100000000000001" customHeight="1" x14ac:dyDescent="0.25">
      <c r="A1" s="164" t="s">
        <v>29</v>
      </c>
      <c r="B1" t="s">
        <v>188</v>
      </c>
      <c r="C1"/>
    </row>
    <row r="2" spans="1:3" x14ac:dyDescent="0.25">
      <c r="A2" s="30" t="s">
        <v>172</v>
      </c>
      <c r="B2">
        <v>2</v>
      </c>
    </row>
    <row r="3" spans="1:3" x14ac:dyDescent="0.25">
      <c r="A3" s="30" t="s">
        <v>72</v>
      </c>
      <c r="B3">
        <v>3</v>
      </c>
    </row>
    <row r="4" spans="1:3" x14ac:dyDescent="0.25">
      <c r="A4" s="30" t="s">
        <v>75</v>
      </c>
      <c r="B4">
        <v>4</v>
      </c>
    </row>
    <row r="5" spans="1:3" x14ac:dyDescent="0.25">
      <c r="A5" s="30" t="s">
        <v>53</v>
      </c>
      <c r="B5">
        <v>23</v>
      </c>
    </row>
    <row r="6" spans="1:3" x14ac:dyDescent="0.25">
      <c r="A6" s="30" t="s">
        <v>51</v>
      </c>
      <c r="B6">
        <v>26</v>
      </c>
    </row>
    <row r="7" spans="1:3" x14ac:dyDescent="0.25">
      <c r="A7" s="30" t="s">
        <v>47</v>
      </c>
      <c r="B7">
        <v>46</v>
      </c>
    </row>
    <row r="8" spans="1:3" x14ac:dyDescent="0.25">
      <c r="A8" s="30" t="s">
        <v>43</v>
      </c>
      <c r="B8">
        <v>65</v>
      </c>
    </row>
    <row r="9" spans="1:3" x14ac:dyDescent="0.25">
      <c r="A9" s="30" t="s">
        <v>71</v>
      </c>
      <c r="B9">
        <v>169</v>
      </c>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5361" r:id="rId5" name="Button 1">
              <controlPr defaultSize="0" print="0" autoFill="0" autoPict="0" macro="[0]!Refresh_Collection_Data">
                <anchor moveWithCells="1">
                  <from>
                    <xdr:col>3</xdr:col>
                    <xdr:colOff>0</xdr:colOff>
                    <xdr:row>0</xdr:row>
                    <xdr:rowOff>200025</xdr:rowOff>
                  </from>
                  <to>
                    <xdr:col>4</xdr:col>
                    <xdr:colOff>304800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9E80B-C41D-4F74-881C-19DADE76573F}">
  <sheetPr codeName="Sheet15">
    <tabColor theme="4"/>
  </sheetPr>
  <dimension ref="A1:V205"/>
  <sheetViews>
    <sheetView topLeftCell="E171" workbookViewId="0">
      <selection activeCell="Q187" sqref="Q187"/>
    </sheetView>
  </sheetViews>
  <sheetFormatPr defaultRowHeight="15" x14ac:dyDescent="0.25"/>
  <cols>
    <col min="1" max="1" width="15.7109375" hidden="1" customWidth="1"/>
    <col min="2" max="2" width="15.7109375" style="2" hidden="1" customWidth="1"/>
    <col min="3" max="3" width="9.140625" style="2" hidden="1" customWidth="1"/>
    <col min="4" max="4" width="40.7109375" style="2" customWidth="1"/>
    <col min="5" max="5" width="7.140625" style="2" bestFit="1" customWidth="1"/>
    <col min="6" max="6" width="20.7109375" style="2" customWidth="1"/>
    <col min="7" max="16" width="9.140625" style="2"/>
    <col min="17" max="18" width="15.7109375" customWidth="1"/>
    <col min="19" max="19" width="9.140625" style="2" customWidth="1"/>
    <col min="20" max="20" width="36.42578125" style="2" bestFit="1" customWidth="1"/>
    <col min="21" max="21" width="7.140625" style="2" bestFit="1" customWidth="1"/>
    <col min="22" max="22" width="20.7109375" style="2" customWidth="1"/>
    <col min="23" max="16384" width="9.140625" style="2"/>
  </cols>
  <sheetData>
    <row r="1" spans="1:22" ht="20.100000000000001" customHeight="1" x14ac:dyDescent="0.25">
      <c r="A1" s="154" t="s">
        <v>184</v>
      </c>
      <c r="B1" t="str">
        <f t="shared" ref="B1:B66" si="0">IFERROR(REPLACE(A1,FIND(" ; ",A1),20,""),A1)</f>
        <v>Source - ST (RE)</v>
      </c>
      <c r="D1" s="164" t="s">
        <v>185</v>
      </c>
      <c r="E1" t="s">
        <v>188</v>
      </c>
      <c r="F1"/>
      <c r="Q1" s="155" t="s">
        <v>186</v>
      </c>
      <c r="R1" s="2" t="str">
        <f t="shared" ref="R1:R66" si="1">IFERROR(REPLACE(Q1,FIND(" ; ",Q1),20,""),Q1)</f>
        <v>Source - ST (N)</v>
      </c>
      <c r="T1" s="164" t="s">
        <v>187</v>
      </c>
      <c r="U1" t="s">
        <v>188</v>
      </c>
      <c r="V1"/>
    </row>
    <row r="2" spans="1:22" x14ac:dyDescent="0.25">
      <c r="A2" s="165" cm="1">
        <f t="array" ref="A2:A195">Donation[Series (R/E)]</f>
        <v>0</v>
      </c>
      <c r="B2">
        <f t="shared" si="0"/>
        <v>0</v>
      </c>
      <c r="D2" s="30" t="s">
        <v>1343</v>
      </c>
      <c r="E2">
        <v>1</v>
      </c>
      <c r="F2"/>
      <c r="Q2" s="165" cm="1">
        <f t="array" ref="Q2:Q195">Donation[Series (N)]</f>
        <v>0</v>
      </c>
      <c r="R2" s="2">
        <f t="shared" si="1"/>
        <v>0</v>
      </c>
      <c r="T2" s="30" t="s">
        <v>1371</v>
      </c>
      <c r="U2">
        <v>1</v>
      </c>
      <c r="V2"/>
    </row>
    <row r="3" spans="1:22" x14ac:dyDescent="0.25">
      <c r="A3">
        <v>0</v>
      </c>
      <c r="B3">
        <f t="shared" si="0"/>
        <v>0</v>
      </c>
      <c r="D3" s="30" t="s">
        <v>158</v>
      </c>
      <c r="E3">
        <v>1</v>
      </c>
      <c r="F3"/>
      <c r="Q3">
        <v>0</v>
      </c>
      <c r="R3" s="2">
        <f t="shared" si="1"/>
        <v>0</v>
      </c>
      <c r="T3" s="30" t="s">
        <v>1363</v>
      </c>
      <c r="U3">
        <v>1</v>
      </c>
      <c r="V3"/>
    </row>
    <row r="4" spans="1:22" x14ac:dyDescent="0.25">
      <c r="A4">
        <v>0</v>
      </c>
      <c r="B4">
        <f t="shared" si="0"/>
        <v>0</v>
      </c>
      <c r="D4" s="30" t="s">
        <v>1344</v>
      </c>
      <c r="E4">
        <v>1</v>
      </c>
      <c r="F4"/>
      <c r="Q4">
        <v>0</v>
      </c>
      <c r="R4" s="2">
        <f t="shared" si="1"/>
        <v>0</v>
      </c>
      <c r="T4" s="30" t="s">
        <v>1370</v>
      </c>
      <c r="U4">
        <v>1</v>
      </c>
      <c r="V4"/>
    </row>
    <row r="5" spans="1:22" x14ac:dyDescent="0.25">
      <c r="A5">
        <v>0</v>
      </c>
      <c r="B5">
        <f t="shared" si="0"/>
        <v>0</v>
      </c>
      <c r="D5" s="30" t="s">
        <v>56</v>
      </c>
      <c r="E5">
        <v>1</v>
      </c>
      <c r="F5"/>
      <c r="Q5">
        <v>0</v>
      </c>
      <c r="R5" s="2">
        <f t="shared" si="1"/>
        <v>0</v>
      </c>
      <c r="T5" s="30" t="s">
        <v>1269</v>
      </c>
      <c r="U5">
        <v>1</v>
      </c>
      <c r="V5"/>
    </row>
    <row r="6" spans="1:22" x14ac:dyDescent="0.25">
      <c r="A6">
        <v>0</v>
      </c>
      <c r="B6">
        <f t="shared" si="0"/>
        <v>0</v>
      </c>
      <c r="D6" s="30" t="s">
        <v>1345</v>
      </c>
      <c r="E6">
        <v>1</v>
      </c>
      <c r="F6"/>
      <c r="Q6">
        <v>0</v>
      </c>
      <c r="R6" s="2">
        <f t="shared" si="1"/>
        <v>0</v>
      </c>
      <c r="T6" s="30" t="s">
        <v>1360</v>
      </c>
      <c r="U6">
        <v>1</v>
      </c>
      <c r="V6"/>
    </row>
    <row r="7" spans="1:22" x14ac:dyDescent="0.25">
      <c r="A7">
        <v>0</v>
      </c>
      <c r="B7">
        <f t="shared" si="0"/>
        <v>0</v>
      </c>
      <c r="D7" s="30" t="s">
        <v>177</v>
      </c>
      <c r="E7">
        <v>1</v>
      </c>
      <c r="F7"/>
      <c r="Q7">
        <v>0</v>
      </c>
      <c r="R7" s="2">
        <f t="shared" si="1"/>
        <v>0</v>
      </c>
      <c r="T7" s="30" t="s">
        <v>1364</v>
      </c>
      <c r="U7">
        <v>1</v>
      </c>
      <c r="V7"/>
    </row>
    <row r="8" spans="1:22" x14ac:dyDescent="0.25">
      <c r="A8">
        <v>0</v>
      </c>
      <c r="B8">
        <f t="shared" si="0"/>
        <v>0</v>
      </c>
      <c r="D8" s="30" t="s">
        <v>1268</v>
      </c>
      <c r="E8">
        <v>1</v>
      </c>
      <c r="F8"/>
      <c r="Q8">
        <v>0</v>
      </c>
      <c r="R8" s="2">
        <f t="shared" si="1"/>
        <v>0</v>
      </c>
      <c r="T8" s="30" t="s">
        <v>1369</v>
      </c>
      <c r="U8">
        <v>1</v>
      </c>
      <c r="V8"/>
    </row>
    <row r="9" spans="1:22" x14ac:dyDescent="0.25">
      <c r="A9">
        <v>0</v>
      </c>
      <c r="B9">
        <f t="shared" si="0"/>
        <v>0</v>
      </c>
      <c r="D9" s="30" t="s">
        <v>175</v>
      </c>
      <c r="E9">
        <v>1</v>
      </c>
      <c r="F9"/>
      <c r="Q9">
        <v>0</v>
      </c>
      <c r="R9" s="2">
        <f t="shared" si="1"/>
        <v>0</v>
      </c>
      <c r="T9" s="30" t="s">
        <v>1366</v>
      </c>
      <c r="U9">
        <v>1</v>
      </c>
      <c r="V9"/>
    </row>
    <row r="10" spans="1:22" x14ac:dyDescent="0.25">
      <c r="A10">
        <v>0</v>
      </c>
      <c r="B10">
        <f t="shared" si="0"/>
        <v>0</v>
      </c>
      <c r="D10" s="30" t="s">
        <v>1349</v>
      </c>
      <c r="E10">
        <v>1</v>
      </c>
      <c r="F10"/>
      <c r="Q10">
        <v>0</v>
      </c>
      <c r="R10" s="2">
        <f t="shared" si="1"/>
        <v>0</v>
      </c>
      <c r="T10" s="30" t="s">
        <v>1361</v>
      </c>
      <c r="U10">
        <v>1</v>
      </c>
      <c r="V10"/>
    </row>
    <row r="11" spans="1:22" x14ac:dyDescent="0.25">
      <c r="A11">
        <v>0</v>
      </c>
      <c r="B11">
        <f t="shared" si="0"/>
        <v>0</v>
      </c>
      <c r="D11" s="30" t="s">
        <v>1348</v>
      </c>
      <c r="E11">
        <v>1</v>
      </c>
      <c r="F11"/>
      <c r="Q11">
        <v>0</v>
      </c>
      <c r="R11" s="2">
        <f t="shared" si="1"/>
        <v>0</v>
      </c>
      <c r="T11" s="30" t="s">
        <v>1367</v>
      </c>
      <c r="U11">
        <v>1</v>
      </c>
      <c r="V11"/>
    </row>
    <row r="12" spans="1:22" x14ac:dyDescent="0.25">
      <c r="A12">
        <v>0</v>
      </c>
      <c r="B12">
        <f t="shared" si="0"/>
        <v>0</v>
      </c>
      <c r="D12" s="30" t="s">
        <v>1342</v>
      </c>
      <c r="E12">
        <v>1</v>
      </c>
      <c r="F12"/>
      <c r="Q12">
        <v>0</v>
      </c>
      <c r="R12" s="2">
        <f t="shared" si="1"/>
        <v>0</v>
      </c>
      <c r="T12" s="30" t="s">
        <v>176</v>
      </c>
      <c r="U12">
        <v>2</v>
      </c>
      <c r="V12"/>
    </row>
    <row r="13" spans="1:22" x14ac:dyDescent="0.25">
      <c r="A13">
        <v>0</v>
      </c>
      <c r="B13">
        <f t="shared" si="0"/>
        <v>0</v>
      </c>
      <c r="D13" s="30" t="s">
        <v>1347</v>
      </c>
      <c r="E13">
        <v>1</v>
      </c>
      <c r="F13"/>
      <c r="Q13">
        <v>0</v>
      </c>
      <c r="R13" s="2">
        <f t="shared" si="1"/>
        <v>0</v>
      </c>
      <c r="T13" s="30" t="s">
        <v>1359</v>
      </c>
      <c r="U13">
        <v>3</v>
      </c>
      <c r="V13"/>
    </row>
    <row r="14" spans="1:22" x14ac:dyDescent="0.25">
      <c r="A14">
        <v>0</v>
      </c>
      <c r="B14">
        <f t="shared" si="0"/>
        <v>0</v>
      </c>
      <c r="D14" s="30" t="s">
        <v>1346</v>
      </c>
      <c r="E14">
        <v>1</v>
      </c>
      <c r="F14"/>
      <c r="Q14">
        <v>0</v>
      </c>
      <c r="R14" s="2">
        <f t="shared" si="1"/>
        <v>0</v>
      </c>
      <c r="T14" s="30" t="s">
        <v>1368</v>
      </c>
      <c r="U14">
        <v>4</v>
      </c>
      <c r="V14"/>
    </row>
    <row r="15" spans="1:22" x14ac:dyDescent="0.25">
      <c r="A15">
        <v>0</v>
      </c>
      <c r="B15">
        <f t="shared" si="0"/>
        <v>0</v>
      </c>
      <c r="D15" s="30" t="s">
        <v>1350</v>
      </c>
      <c r="E15">
        <v>2</v>
      </c>
      <c r="F15"/>
      <c r="Q15">
        <v>0</v>
      </c>
      <c r="R15" s="2">
        <f t="shared" si="1"/>
        <v>0</v>
      </c>
      <c r="T15" s="30" t="s">
        <v>1365</v>
      </c>
      <c r="U15">
        <v>5</v>
      </c>
      <c r="V15"/>
    </row>
    <row r="16" spans="1:22" x14ac:dyDescent="0.25">
      <c r="A16">
        <v>0</v>
      </c>
      <c r="B16">
        <f t="shared" si="0"/>
        <v>0</v>
      </c>
      <c r="D16" s="30" t="s">
        <v>1351</v>
      </c>
      <c r="E16">
        <v>3</v>
      </c>
      <c r="F16"/>
      <c r="Q16">
        <v>0</v>
      </c>
      <c r="R16" s="2">
        <f t="shared" si="1"/>
        <v>0</v>
      </c>
      <c r="T16" s="30" t="s">
        <v>156</v>
      </c>
      <c r="U16">
        <v>8</v>
      </c>
      <c r="V16"/>
    </row>
    <row r="17" spans="1:22" x14ac:dyDescent="0.25">
      <c r="A17">
        <v>0</v>
      </c>
      <c r="B17">
        <f t="shared" si="0"/>
        <v>0</v>
      </c>
      <c r="D17" s="30" t="s">
        <v>1352</v>
      </c>
      <c r="E17">
        <v>4</v>
      </c>
      <c r="F17"/>
      <c r="Q17">
        <v>0</v>
      </c>
      <c r="R17" s="2">
        <f t="shared" si="1"/>
        <v>0</v>
      </c>
      <c r="T17" s="30" t="s">
        <v>1358</v>
      </c>
      <c r="U17">
        <v>12</v>
      </c>
      <c r="V17"/>
    </row>
    <row r="18" spans="1:22" x14ac:dyDescent="0.25">
      <c r="A18">
        <v>0</v>
      </c>
      <c r="B18">
        <f t="shared" si="0"/>
        <v>0</v>
      </c>
      <c r="D18" s="30" t="s">
        <v>1353</v>
      </c>
      <c r="E18">
        <v>5</v>
      </c>
      <c r="F18"/>
      <c r="Q18">
        <v>0</v>
      </c>
      <c r="R18" s="2">
        <f t="shared" si="1"/>
        <v>0</v>
      </c>
      <c r="T18" s="30" t="s">
        <v>1362</v>
      </c>
      <c r="U18">
        <v>14</v>
      </c>
      <c r="V18"/>
    </row>
    <row r="19" spans="1:22" x14ac:dyDescent="0.25">
      <c r="A19">
        <v>0</v>
      </c>
      <c r="B19">
        <f t="shared" si="0"/>
        <v>0</v>
      </c>
      <c r="D19" s="30" t="s">
        <v>155</v>
      </c>
      <c r="E19">
        <v>7</v>
      </c>
      <c r="F19"/>
      <c r="Q19">
        <v>0</v>
      </c>
      <c r="R19" s="2">
        <f t="shared" si="1"/>
        <v>0</v>
      </c>
      <c r="T19" s="30" t="s">
        <v>1357</v>
      </c>
      <c r="U19">
        <v>52</v>
      </c>
    </row>
    <row r="20" spans="1:22" x14ac:dyDescent="0.25">
      <c r="A20">
        <v>0</v>
      </c>
      <c r="B20">
        <f t="shared" si="0"/>
        <v>0</v>
      </c>
      <c r="D20" s="30" t="s">
        <v>1356</v>
      </c>
      <c r="E20">
        <v>11</v>
      </c>
      <c r="F20"/>
      <c r="Q20">
        <v>0</v>
      </c>
      <c r="R20" s="2">
        <f t="shared" si="1"/>
        <v>0</v>
      </c>
      <c r="T20"/>
      <c r="U20"/>
    </row>
    <row r="21" spans="1:22" x14ac:dyDescent="0.25">
      <c r="A21">
        <v>0</v>
      </c>
      <c r="B21">
        <f t="shared" si="0"/>
        <v>0</v>
      </c>
      <c r="D21" s="30" t="s">
        <v>1354</v>
      </c>
      <c r="E21">
        <v>14</v>
      </c>
      <c r="F21"/>
      <c r="Q21">
        <v>0</v>
      </c>
      <c r="R21" s="2">
        <f t="shared" si="1"/>
        <v>0</v>
      </c>
      <c r="T21"/>
      <c r="U21"/>
    </row>
    <row r="22" spans="1:22" x14ac:dyDescent="0.25">
      <c r="A22">
        <v>0</v>
      </c>
      <c r="B22">
        <f t="shared" si="0"/>
        <v>0</v>
      </c>
      <c r="D22" s="30" t="s">
        <v>1355</v>
      </c>
      <c r="E22">
        <v>53</v>
      </c>
      <c r="F22"/>
      <c r="Q22">
        <v>0</v>
      </c>
      <c r="R22" s="2">
        <f t="shared" si="1"/>
        <v>0</v>
      </c>
      <c r="T22"/>
      <c r="U22"/>
    </row>
    <row r="23" spans="1:22" x14ac:dyDescent="0.25">
      <c r="A23">
        <v>0</v>
      </c>
      <c r="B23">
        <f t="shared" si="0"/>
        <v>0</v>
      </c>
      <c r="D23"/>
      <c r="E23"/>
      <c r="F23"/>
      <c r="Q23">
        <v>0</v>
      </c>
      <c r="R23" s="2">
        <f t="shared" si="1"/>
        <v>0</v>
      </c>
      <c r="T23"/>
      <c r="U23"/>
    </row>
    <row r="24" spans="1:22" x14ac:dyDescent="0.25">
      <c r="A24">
        <v>0</v>
      </c>
      <c r="B24">
        <f t="shared" si="0"/>
        <v>0</v>
      </c>
      <c r="D24"/>
      <c r="E24"/>
      <c r="F24"/>
      <c r="Q24">
        <v>0</v>
      </c>
      <c r="R24" s="2">
        <f t="shared" si="1"/>
        <v>0</v>
      </c>
      <c r="T24"/>
      <c r="U24"/>
    </row>
    <row r="25" spans="1:22" x14ac:dyDescent="0.25">
      <c r="A25">
        <v>0</v>
      </c>
      <c r="B25">
        <f t="shared" si="0"/>
        <v>0</v>
      </c>
      <c r="D25"/>
      <c r="E25"/>
      <c r="F25"/>
      <c r="Q25">
        <v>0</v>
      </c>
      <c r="R25" s="2">
        <f t="shared" si="1"/>
        <v>0</v>
      </c>
      <c r="T25"/>
      <c r="U25"/>
    </row>
    <row r="26" spans="1:22" x14ac:dyDescent="0.25">
      <c r="A26">
        <v>0</v>
      </c>
      <c r="B26">
        <f t="shared" si="0"/>
        <v>0</v>
      </c>
      <c r="D26"/>
      <c r="E26"/>
      <c r="F26"/>
      <c r="Q26">
        <v>0</v>
      </c>
      <c r="R26" s="2">
        <f t="shared" si="1"/>
        <v>0</v>
      </c>
      <c r="T26"/>
      <c r="U26"/>
    </row>
    <row r="27" spans="1:22" x14ac:dyDescent="0.25">
      <c r="A27">
        <v>0</v>
      </c>
      <c r="B27">
        <f t="shared" si="0"/>
        <v>0</v>
      </c>
      <c r="D27"/>
      <c r="E27"/>
      <c r="F27"/>
      <c r="Q27">
        <v>0</v>
      </c>
      <c r="R27" s="2">
        <f t="shared" si="1"/>
        <v>0</v>
      </c>
      <c r="T27"/>
      <c r="U27"/>
    </row>
    <row r="28" spans="1:22" x14ac:dyDescent="0.25">
      <c r="A28">
        <v>0</v>
      </c>
      <c r="B28">
        <f t="shared" si="0"/>
        <v>0</v>
      </c>
      <c r="D28"/>
      <c r="E28"/>
      <c r="F28"/>
      <c r="Q28">
        <v>0</v>
      </c>
      <c r="R28" s="2">
        <f t="shared" si="1"/>
        <v>0</v>
      </c>
      <c r="T28"/>
      <c r="U28"/>
    </row>
    <row r="29" spans="1:22" x14ac:dyDescent="0.25">
      <c r="A29">
        <v>0</v>
      </c>
      <c r="B29">
        <f t="shared" si="0"/>
        <v>0</v>
      </c>
      <c r="D29"/>
      <c r="E29"/>
      <c r="F29"/>
      <c r="Q29">
        <v>0</v>
      </c>
      <c r="R29" s="2">
        <f t="shared" si="1"/>
        <v>0</v>
      </c>
    </row>
    <row r="30" spans="1:22" x14ac:dyDescent="0.25">
      <c r="A30">
        <v>0</v>
      </c>
      <c r="B30">
        <f t="shared" si="0"/>
        <v>0</v>
      </c>
      <c r="D30"/>
      <c r="E30"/>
      <c r="Q30">
        <v>0</v>
      </c>
      <c r="R30" s="2">
        <f t="shared" si="1"/>
        <v>0</v>
      </c>
    </row>
    <row r="31" spans="1:22" x14ac:dyDescent="0.25">
      <c r="A31">
        <v>0</v>
      </c>
      <c r="B31">
        <f t="shared" si="0"/>
        <v>0</v>
      </c>
      <c r="D31"/>
      <c r="E31"/>
      <c r="Q31">
        <v>0</v>
      </c>
      <c r="R31" s="2">
        <f t="shared" si="1"/>
        <v>0</v>
      </c>
    </row>
    <row r="32" spans="1:22" x14ac:dyDescent="0.25">
      <c r="A32">
        <v>0</v>
      </c>
      <c r="B32">
        <f t="shared" si="0"/>
        <v>0</v>
      </c>
      <c r="D32"/>
      <c r="E32"/>
      <c r="Q32">
        <v>0</v>
      </c>
      <c r="R32" s="2">
        <f t="shared" si="1"/>
        <v>0</v>
      </c>
    </row>
    <row r="33" spans="1:18" x14ac:dyDescent="0.25">
      <c r="A33">
        <v>0</v>
      </c>
      <c r="B33">
        <f t="shared" si="0"/>
        <v>0</v>
      </c>
      <c r="D33"/>
      <c r="E33"/>
      <c r="Q33">
        <v>0</v>
      </c>
      <c r="R33" s="2">
        <f t="shared" si="1"/>
        <v>0</v>
      </c>
    </row>
    <row r="34" spans="1:18" x14ac:dyDescent="0.25">
      <c r="A34">
        <v>0</v>
      </c>
      <c r="B34">
        <f t="shared" si="0"/>
        <v>0</v>
      </c>
      <c r="D34"/>
      <c r="E34"/>
      <c r="Q34">
        <v>0</v>
      </c>
      <c r="R34" s="2">
        <f t="shared" si="1"/>
        <v>0</v>
      </c>
    </row>
    <row r="35" spans="1:18" x14ac:dyDescent="0.25">
      <c r="A35">
        <v>0</v>
      </c>
      <c r="B35">
        <f t="shared" si="0"/>
        <v>0</v>
      </c>
      <c r="D35"/>
      <c r="E35"/>
      <c r="Q35">
        <v>0</v>
      </c>
      <c r="R35" s="2">
        <f t="shared" si="1"/>
        <v>0</v>
      </c>
    </row>
    <row r="36" spans="1:18" x14ac:dyDescent="0.25">
      <c r="A36">
        <v>0</v>
      </c>
      <c r="B36">
        <f t="shared" si="0"/>
        <v>0</v>
      </c>
      <c r="D36"/>
      <c r="E36"/>
      <c r="Q36">
        <v>0</v>
      </c>
      <c r="R36" s="2">
        <f t="shared" si="1"/>
        <v>0</v>
      </c>
    </row>
    <row r="37" spans="1:18" x14ac:dyDescent="0.25">
      <c r="A37">
        <v>0</v>
      </c>
      <c r="B37">
        <f t="shared" si="0"/>
        <v>0</v>
      </c>
      <c r="D37"/>
      <c r="E37"/>
      <c r="Q37">
        <v>0</v>
      </c>
      <c r="R37" s="2">
        <f t="shared" si="1"/>
        <v>0</v>
      </c>
    </row>
    <row r="38" spans="1:18" x14ac:dyDescent="0.25">
      <c r="A38">
        <v>0</v>
      </c>
      <c r="B38">
        <f t="shared" si="0"/>
        <v>0</v>
      </c>
      <c r="D38"/>
      <c r="E38"/>
      <c r="Q38">
        <v>0</v>
      </c>
      <c r="R38" s="2">
        <f t="shared" si="1"/>
        <v>0</v>
      </c>
    </row>
    <row r="39" spans="1:18" x14ac:dyDescent="0.25">
      <c r="A39">
        <v>0</v>
      </c>
      <c r="B39">
        <f t="shared" si="0"/>
        <v>0</v>
      </c>
      <c r="D39"/>
      <c r="E39"/>
      <c r="Q39">
        <v>0</v>
      </c>
      <c r="R39" s="2">
        <f t="shared" si="1"/>
        <v>0</v>
      </c>
    </row>
    <row r="40" spans="1:18" x14ac:dyDescent="0.25">
      <c r="A40">
        <v>0</v>
      </c>
      <c r="B40">
        <f t="shared" si="0"/>
        <v>0</v>
      </c>
      <c r="D40"/>
      <c r="E40"/>
      <c r="Q40">
        <v>0</v>
      </c>
      <c r="R40" s="2">
        <f t="shared" si="1"/>
        <v>0</v>
      </c>
    </row>
    <row r="41" spans="1:18" x14ac:dyDescent="0.25">
      <c r="A41">
        <v>0</v>
      </c>
      <c r="B41">
        <f t="shared" si="0"/>
        <v>0</v>
      </c>
      <c r="D41"/>
      <c r="E41"/>
      <c r="Q41">
        <v>0</v>
      </c>
      <c r="R41" s="2">
        <f t="shared" si="1"/>
        <v>0</v>
      </c>
    </row>
    <row r="42" spans="1:18" x14ac:dyDescent="0.25">
      <c r="A42">
        <v>0</v>
      </c>
      <c r="B42">
        <f t="shared" si="0"/>
        <v>0</v>
      </c>
      <c r="D42"/>
      <c r="E42"/>
      <c r="Q42">
        <v>0</v>
      </c>
      <c r="R42" s="2">
        <f t="shared" si="1"/>
        <v>0</v>
      </c>
    </row>
    <row r="43" spans="1:18" x14ac:dyDescent="0.25">
      <c r="A43">
        <v>0</v>
      </c>
      <c r="B43">
        <f t="shared" si="0"/>
        <v>0</v>
      </c>
      <c r="D43"/>
      <c r="E43"/>
      <c r="Q43">
        <v>0</v>
      </c>
      <c r="R43" s="2">
        <f t="shared" si="1"/>
        <v>0</v>
      </c>
    </row>
    <row r="44" spans="1:18" x14ac:dyDescent="0.25">
      <c r="A44">
        <v>0</v>
      </c>
      <c r="B44">
        <f t="shared" si="0"/>
        <v>0</v>
      </c>
      <c r="D44"/>
      <c r="E44"/>
      <c r="Q44">
        <v>0</v>
      </c>
      <c r="R44" s="2">
        <f t="shared" si="1"/>
        <v>0</v>
      </c>
    </row>
    <row r="45" spans="1:18" x14ac:dyDescent="0.25">
      <c r="A45">
        <v>0</v>
      </c>
      <c r="B45">
        <f t="shared" si="0"/>
        <v>0</v>
      </c>
      <c r="D45"/>
      <c r="E45"/>
      <c r="Q45">
        <v>0</v>
      </c>
      <c r="R45" s="2">
        <f t="shared" si="1"/>
        <v>0</v>
      </c>
    </row>
    <row r="46" spans="1:18" x14ac:dyDescent="0.25">
      <c r="A46">
        <v>0</v>
      </c>
      <c r="B46">
        <f t="shared" si="0"/>
        <v>0</v>
      </c>
      <c r="D46"/>
      <c r="E46"/>
      <c r="Q46">
        <v>0</v>
      </c>
      <c r="R46" s="2">
        <f t="shared" si="1"/>
        <v>0</v>
      </c>
    </row>
    <row r="47" spans="1:18" x14ac:dyDescent="0.25">
      <c r="A47">
        <v>0</v>
      </c>
      <c r="B47">
        <f t="shared" si="0"/>
        <v>0</v>
      </c>
      <c r="D47"/>
      <c r="E47"/>
      <c r="Q47">
        <v>0</v>
      </c>
      <c r="R47" s="2">
        <f t="shared" si="1"/>
        <v>0</v>
      </c>
    </row>
    <row r="48" spans="1:18" x14ac:dyDescent="0.25">
      <c r="A48">
        <v>0</v>
      </c>
      <c r="B48">
        <f t="shared" si="0"/>
        <v>0</v>
      </c>
      <c r="D48"/>
      <c r="E48"/>
      <c r="Q48">
        <v>0</v>
      </c>
      <c r="R48" s="2">
        <f t="shared" si="1"/>
        <v>0</v>
      </c>
    </row>
    <row r="49" spans="1:18" x14ac:dyDescent="0.25">
      <c r="A49">
        <v>0</v>
      </c>
      <c r="B49">
        <f t="shared" si="0"/>
        <v>0</v>
      </c>
      <c r="D49"/>
      <c r="E49"/>
      <c r="Q49">
        <v>0</v>
      </c>
      <c r="R49" s="2">
        <f t="shared" si="1"/>
        <v>0</v>
      </c>
    </row>
    <row r="50" spans="1:18" x14ac:dyDescent="0.25">
      <c r="A50">
        <v>0</v>
      </c>
      <c r="B50">
        <f t="shared" si="0"/>
        <v>0</v>
      </c>
      <c r="D50"/>
      <c r="E50"/>
      <c r="Q50">
        <v>0</v>
      </c>
      <c r="R50" s="2">
        <f t="shared" si="1"/>
        <v>0</v>
      </c>
    </row>
    <row r="51" spans="1:18" x14ac:dyDescent="0.25">
      <c r="A51">
        <v>0</v>
      </c>
      <c r="B51">
        <f t="shared" si="0"/>
        <v>0</v>
      </c>
      <c r="D51"/>
      <c r="E51"/>
      <c r="Q51">
        <v>0</v>
      </c>
      <c r="R51" s="2">
        <f t="shared" si="1"/>
        <v>0</v>
      </c>
    </row>
    <row r="52" spans="1:18" x14ac:dyDescent="0.25">
      <c r="A52">
        <v>0</v>
      </c>
      <c r="B52">
        <f t="shared" si="0"/>
        <v>0</v>
      </c>
      <c r="D52"/>
      <c r="E52"/>
      <c r="Q52">
        <v>0</v>
      </c>
      <c r="R52" s="2">
        <f t="shared" si="1"/>
        <v>0</v>
      </c>
    </row>
    <row r="53" spans="1:18" x14ac:dyDescent="0.25">
      <c r="A53">
        <v>0</v>
      </c>
      <c r="B53">
        <f t="shared" si="0"/>
        <v>0</v>
      </c>
      <c r="D53"/>
      <c r="E53"/>
      <c r="Q53">
        <v>0</v>
      </c>
      <c r="R53" s="2">
        <f t="shared" si="1"/>
        <v>0</v>
      </c>
    </row>
    <row r="54" spans="1:18" x14ac:dyDescent="0.25">
      <c r="A54">
        <v>0</v>
      </c>
      <c r="B54">
        <f t="shared" si="0"/>
        <v>0</v>
      </c>
      <c r="D54"/>
      <c r="E54"/>
      <c r="Q54">
        <v>0</v>
      </c>
      <c r="R54" s="2">
        <f t="shared" si="1"/>
        <v>0</v>
      </c>
    </row>
    <row r="55" spans="1:18" x14ac:dyDescent="0.25">
      <c r="A55">
        <v>0</v>
      </c>
      <c r="B55">
        <f t="shared" si="0"/>
        <v>0</v>
      </c>
      <c r="D55"/>
      <c r="E55"/>
      <c r="Q55">
        <v>0</v>
      </c>
      <c r="R55" s="2">
        <f t="shared" si="1"/>
        <v>0</v>
      </c>
    </row>
    <row r="56" spans="1:18" x14ac:dyDescent="0.25">
      <c r="A56">
        <v>0</v>
      </c>
      <c r="B56">
        <f t="shared" si="0"/>
        <v>0</v>
      </c>
      <c r="D56"/>
      <c r="E56"/>
      <c r="Q56">
        <v>0</v>
      </c>
      <c r="R56" s="2">
        <f t="shared" si="1"/>
        <v>0</v>
      </c>
    </row>
    <row r="57" spans="1:18" x14ac:dyDescent="0.25">
      <c r="A57">
        <v>0</v>
      </c>
      <c r="B57">
        <f t="shared" si="0"/>
        <v>0</v>
      </c>
      <c r="D57"/>
      <c r="E57"/>
      <c r="Q57">
        <v>0</v>
      </c>
      <c r="R57" s="2">
        <f t="shared" si="1"/>
        <v>0</v>
      </c>
    </row>
    <row r="58" spans="1:18" x14ac:dyDescent="0.25">
      <c r="A58">
        <v>0</v>
      </c>
      <c r="B58">
        <f t="shared" si="0"/>
        <v>0</v>
      </c>
      <c r="D58"/>
      <c r="E58"/>
      <c r="Q58">
        <v>0</v>
      </c>
      <c r="R58" s="2">
        <f t="shared" si="1"/>
        <v>0</v>
      </c>
    </row>
    <row r="59" spans="1:18" x14ac:dyDescent="0.25">
      <c r="A59">
        <v>0</v>
      </c>
      <c r="B59">
        <f t="shared" si="0"/>
        <v>0</v>
      </c>
      <c r="D59"/>
      <c r="E59"/>
      <c r="Q59">
        <v>0</v>
      </c>
      <c r="R59" s="2">
        <f t="shared" si="1"/>
        <v>0</v>
      </c>
    </row>
    <row r="60" spans="1:18" x14ac:dyDescent="0.25">
      <c r="A60">
        <v>0</v>
      </c>
      <c r="B60">
        <f t="shared" si="0"/>
        <v>0</v>
      </c>
      <c r="D60"/>
      <c r="E60"/>
      <c r="Q60">
        <v>0</v>
      </c>
      <c r="R60" s="2">
        <f t="shared" si="1"/>
        <v>0</v>
      </c>
    </row>
    <row r="61" spans="1:18" x14ac:dyDescent="0.25">
      <c r="A61">
        <v>0</v>
      </c>
      <c r="B61">
        <f t="shared" si="0"/>
        <v>0</v>
      </c>
      <c r="D61"/>
      <c r="E61"/>
      <c r="Q61">
        <v>0</v>
      </c>
      <c r="R61" s="2">
        <f t="shared" si="1"/>
        <v>0</v>
      </c>
    </row>
    <row r="62" spans="1:18" x14ac:dyDescent="0.25">
      <c r="A62">
        <v>0</v>
      </c>
      <c r="B62">
        <f t="shared" si="0"/>
        <v>0</v>
      </c>
      <c r="D62"/>
      <c r="E62"/>
      <c r="Q62">
        <v>0</v>
      </c>
      <c r="R62" s="2">
        <f t="shared" si="1"/>
        <v>0</v>
      </c>
    </row>
    <row r="63" spans="1:18" x14ac:dyDescent="0.25">
      <c r="A63">
        <v>0</v>
      </c>
      <c r="B63">
        <f t="shared" si="0"/>
        <v>0</v>
      </c>
      <c r="D63"/>
      <c r="E63"/>
      <c r="Q63">
        <v>0</v>
      </c>
      <c r="R63" s="2">
        <f t="shared" si="1"/>
        <v>0</v>
      </c>
    </row>
    <row r="64" spans="1:18" x14ac:dyDescent="0.25">
      <c r="A64">
        <v>0</v>
      </c>
      <c r="B64">
        <f t="shared" si="0"/>
        <v>0</v>
      </c>
      <c r="D64"/>
      <c r="E64"/>
      <c r="Q64">
        <v>0</v>
      </c>
      <c r="R64" s="2">
        <f t="shared" si="1"/>
        <v>0</v>
      </c>
    </row>
    <row r="65" spans="1:18" x14ac:dyDescent="0.25">
      <c r="A65">
        <v>0</v>
      </c>
      <c r="B65">
        <f t="shared" si="0"/>
        <v>0</v>
      </c>
      <c r="D65"/>
      <c r="E65"/>
      <c r="Q65">
        <v>0</v>
      </c>
      <c r="R65" s="2">
        <f t="shared" si="1"/>
        <v>0</v>
      </c>
    </row>
    <row r="66" spans="1:18" x14ac:dyDescent="0.25">
      <c r="A66">
        <v>0</v>
      </c>
      <c r="B66">
        <f t="shared" si="0"/>
        <v>0</v>
      </c>
      <c r="D66"/>
      <c r="E66"/>
      <c r="Q66">
        <v>0</v>
      </c>
      <c r="R66" s="2">
        <f t="shared" si="1"/>
        <v>0</v>
      </c>
    </row>
    <row r="67" spans="1:18" x14ac:dyDescent="0.25">
      <c r="A67">
        <v>0</v>
      </c>
      <c r="B67">
        <f t="shared" ref="B67:B130" si="2">IFERROR(REPLACE(A67,FIND(" ; ",A67),20,""),A67)</f>
        <v>0</v>
      </c>
      <c r="Q67">
        <v>0</v>
      </c>
      <c r="R67" s="2">
        <f t="shared" ref="R67:R130" si="3">IFERROR(REPLACE(Q67,FIND(" ; ",Q67),20,""),Q67)</f>
        <v>0</v>
      </c>
    </row>
    <row r="68" spans="1:18" x14ac:dyDescent="0.25">
      <c r="A68">
        <v>0</v>
      </c>
      <c r="B68">
        <f t="shared" si="2"/>
        <v>0</v>
      </c>
      <c r="Q68">
        <v>0</v>
      </c>
      <c r="R68" s="2">
        <f t="shared" si="3"/>
        <v>0</v>
      </c>
    </row>
    <row r="69" spans="1:18" x14ac:dyDescent="0.25">
      <c r="A69">
        <v>0</v>
      </c>
      <c r="B69">
        <f t="shared" si="2"/>
        <v>0</v>
      </c>
      <c r="Q69">
        <v>0</v>
      </c>
      <c r="R69" s="2">
        <f t="shared" si="3"/>
        <v>0</v>
      </c>
    </row>
    <row r="70" spans="1:18" x14ac:dyDescent="0.25">
      <c r="A70">
        <v>0</v>
      </c>
      <c r="B70">
        <f t="shared" si="2"/>
        <v>0</v>
      </c>
      <c r="Q70">
        <v>0</v>
      </c>
      <c r="R70" s="2">
        <f t="shared" si="3"/>
        <v>0</v>
      </c>
    </row>
    <row r="71" spans="1:18" x14ac:dyDescent="0.25">
      <c r="A71">
        <v>0</v>
      </c>
      <c r="B71">
        <f t="shared" si="2"/>
        <v>0</v>
      </c>
      <c r="Q71">
        <v>0</v>
      </c>
      <c r="R71" s="2">
        <f t="shared" si="3"/>
        <v>0</v>
      </c>
    </row>
    <row r="72" spans="1:18" x14ac:dyDescent="0.25">
      <c r="A72">
        <v>0</v>
      </c>
      <c r="B72">
        <f t="shared" si="2"/>
        <v>0</v>
      </c>
      <c r="Q72">
        <v>0</v>
      </c>
      <c r="R72" s="2">
        <f t="shared" si="3"/>
        <v>0</v>
      </c>
    </row>
    <row r="73" spans="1:18" x14ac:dyDescent="0.25">
      <c r="A73">
        <v>0</v>
      </c>
      <c r="B73">
        <f t="shared" si="2"/>
        <v>0</v>
      </c>
      <c r="Q73">
        <v>0</v>
      </c>
      <c r="R73" s="2">
        <f t="shared" si="3"/>
        <v>0</v>
      </c>
    </row>
    <row r="74" spans="1:18" x14ac:dyDescent="0.25">
      <c r="A74">
        <v>0</v>
      </c>
      <c r="B74">
        <f t="shared" si="2"/>
        <v>0</v>
      </c>
      <c r="Q74">
        <v>0</v>
      </c>
      <c r="R74" s="2">
        <f t="shared" si="3"/>
        <v>0</v>
      </c>
    </row>
    <row r="75" spans="1:18" x14ac:dyDescent="0.25">
      <c r="A75">
        <v>0</v>
      </c>
      <c r="B75">
        <f t="shared" si="2"/>
        <v>0</v>
      </c>
      <c r="Q75">
        <v>0</v>
      </c>
      <c r="R75" s="2">
        <f t="shared" si="3"/>
        <v>0</v>
      </c>
    </row>
    <row r="76" spans="1:18" x14ac:dyDescent="0.25">
      <c r="A76">
        <v>0</v>
      </c>
      <c r="B76">
        <f t="shared" si="2"/>
        <v>0</v>
      </c>
      <c r="Q76">
        <v>0</v>
      </c>
      <c r="R76" s="2">
        <f t="shared" si="3"/>
        <v>0</v>
      </c>
    </row>
    <row r="77" spans="1:18" x14ac:dyDescent="0.25">
      <c r="A77">
        <v>0</v>
      </c>
      <c r="B77">
        <f t="shared" si="2"/>
        <v>0</v>
      </c>
      <c r="Q77">
        <v>0</v>
      </c>
      <c r="R77" s="2">
        <f t="shared" si="3"/>
        <v>0</v>
      </c>
    </row>
    <row r="78" spans="1:18" x14ac:dyDescent="0.25">
      <c r="A78">
        <v>0</v>
      </c>
      <c r="B78">
        <f t="shared" si="2"/>
        <v>0</v>
      </c>
      <c r="Q78">
        <v>0</v>
      </c>
      <c r="R78" s="2">
        <f t="shared" si="3"/>
        <v>0</v>
      </c>
    </row>
    <row r="79" spans="1:18" x14ac:dyDescent="0.25">
      <c r="A79">
        <v>0</v>
      </c>
      <c r="B79">
        <f t="shared" si="2"/>
        <v>0</v>
      </c>
      <c r="Q79">
        <v>0</v>
      </c>
      <c r="R79" s="2">
        <f t="shared" si="3"/>
        <v>0</v>
      </c>
    </row>
    <row r="80" spans="1:18" x14ac:dyDescent="0.25">
      <c r="A80">
        <v>0</v>
      </c>
      <c r="B80">
        <f t="shared" si="2"/>
        <v>0</v>
      </c>
      <c r="Q80">
        <v>0</v>
      </c>
      <c r="R80" s="2">
        <f t="shared" si="3"/>
        <v>0</v>
      </c>
    </row>
    <row r="81" spans="1:18" x14ac:dyDescent="0.25">
      <c r="A81">
        <v>0</v>
      </c>
      <c r="B81">
        <f t="shared" si="2"/>
        <v>0</v>
      </c>
      <c r="Q81">
        <v>0</v>
      </c>
      <c r="R81" s="2">
        <f t="shared" si="3"/>
        <v>0</v>
      </c>
    </row>
    <row r="82" spans="1:18" x14ac:dyDescent="0.25">
      <c r="A82">
        <v>0</v>
      </c>
      <c r="B82">
        <f t="shared" si="2"/>
        <v>0</v>
      </c>
      <c r="Q82">
        <v>0</v>
      </c>
      <c r="R82" s="2">
        <f t="shared" si="3"/>
        <v>0</v>
      </c>
    </row>
    <row r="83" spans="1:18" x14ac:dyDescent="0.25">
      <c r="A83">
        <v>0</v>
      </c>
      <c r="B83">
        <f t="shared" si="2"/>
        <v>0</v>
      </c>
      <c r="Q83">
        <v>0</v>
      </c>
      <c r="R83" s="2">
        <f t="shared" si="3"/>
        <v>0</v>
      </c>
    </row>
    <row r="84" spans="1:18" x14ac:dyDescent="0.25">
      <c r="A84">
        <v>0</v>
      </c>
      <c r="B84">
        <f t="shared" si="2"/>
        <v>0</v>
      </c>
      <c r="Q84">
        <v>0</v>
      </c>
      <c r="R84" s="2">
        <f t="shared" si="3"/>
        <v>0</v>
      </c>
    </row>
    <row r="85" spans="1:18" x14ac:dyDescent="0.25">
      <c r="A85">
        <v>0</v>
      </c>
      <c r="B85">
        <f t="shared" si="2"/>
        <v>0</v>
      </c>
      <c r="Q85">
        <v>0</v>
      </c>
      <c r="R85" s="2">
        <f t="shared" si="3"/>
        <v>0</v>
      </c>
    </row>
    <row r="86" spans="1:18" x14ac:dyDescent="0.25">
      <c r="A86">
        <v>0</v>
      </c>
      <c r="B86">
        <f t="shared" si="2"/>
        <v>0</v>
      </c>
      <c r="Q86">
        <v>0</v>
      </c>
      <c r="R86" s="2">
        <f t="shared" si="3"/>
        <v>0</v>
      </c>
    </row>
    <row r="87" spans="1:18" x14ac:dyDescent="0.25">
      <c r="A87">
        <v>0</v>
      </c>
      <c r="B87">
        <f t="shared" si="2"/>
        <v>0</v>
      </c>
      <c r="Q87">
        <v>0</v>
      </c>
      <c r="R87" s="2">
        <f t="shared" si="3"/>
        <v>0</v>
      </c>
    </row>
    <row r="88" spans="1:18" x14ac:dyDescent="0.25">
      <c r="A88">
        <v>0</v>
      </c>
      <c r="B88">
        <f t="shared" si="2"/>
        <v>0</v>
      </c>
      <c r="Q88">
        <v>0</v>
      </c>
      <c r="R88" s="2">
        <f t="shared" si="3"/>
        <v>0</v>
      </c>
    </row>
    <row r="89" spans="1:18" x14ac:dyDescent="0.25">
      <c r="A89">
        <v>0</v>
      </c>
      <c r="B89">
        <f t="shared" si="2"/>
        <v>0</v>
      </c>
      <c r="Q89">
        <v>0</v>
      </c>
      <c r="R89" s="2">
        <f t="shared" si="3"/>
        <v>0</v>
      </c>
    </row>
    <row r="90" spans="1:18" x14ac:dyDescent="0.25">
      <c r="A90">
        <v>0</v>
      </c>
      <c r="B90">
        <f t="shared" si="2"/>
        <v>0</v>
      </c>
      <c r="Q90">
        <v>0</v>
      </c>
      <c r="R90" s="2">
        <f t="shared" si="3"/>
        <v>0</v>
      </c>
    </row>
    <row r="91" spans="1:18" x14ac:dyDescent="0.25">
      <c r="A91">
        <v>0</v>
      </c>
      <c r="B91">
        <f t="shared" si="2"/>
        <v>0</v>
      </c>
      <c r="Q91">
        <v>0</v>
      </c>
      <c r="R91" s="2">
        <f t="shared" si="3"/>
        <v>0</v>
      </c>
    </row>
    <row r="92" spans="1:18" x14ac:dyDescent="0.25">
      <c r="A92">
        <v>0</v>
      </c>
      <c r="B92">
        <f t="shared" si="2"/>
        <v>0</v>
      </c>
      <c r="Q92">
        <v>0</v>
      </c>
      <c r="R92" s="2">
        <f t="shared" si="3"/>
        <v>0</v>
      </c>
    </row>
    <row r="93" spans="1:18" x14ac:dyDescent="0.25">
      <c r="A93">
        <v>0</v>
      </c>
      <c r="B93">
        <f t="shared" si="2"/>
        <v>0</v>
      </c>
      <c r="Q93">
        <v>0</v>
      </c>
      <c r="R93" s="2">
        <f t="shared" si="3"/>
        <v>0</v>
      </c>
    </row>
    <row r="94" spans="1:18" x14ac:dyDescent="0.25">
      <c r="A94">
        <v>0</v>
      </c>
      <c r="B94">
        <f t="shared" si="2"/>
        <v>0</v>
      </c>
      <c r="Q94">
        <v>0</v>
      </c>
      <c r="R94" s="2">
        <f t="shared" si="3"/>
        <v>0</v>
      </c>
    </row>
    <row r="95" spans="1:18" x14ac:dyDescent="0.25">
      <c r="A95">
        <v>0</v>
      </c>
      <c r="B95">
        <f t="shared" si="2"/>
        <v>0</v>
      </c>
      <c r="Q95">
        <v>0</v>
      </c>
      <c r="R95" s="2">
        <f t="shared" si="3"/>
        <v>0</v>
      </c>
    </row>
    <row r="96" spans="1:18" x14ac:dyDescent="0.25">
      <c r="A96">
        <v>0</v>
      </c>
      <c r="B96">
        <f t="shared" si="2"/>
        <v>0</v>
      </c>
      <c r="Q96">
        <v>0</v>
      </c>
      <c r="R96" s="2">
        <f t="shared" si="3"/>
        <v>0</v>
      </c>
    </row>
    <row r="97" spans="1:18" x14ac:dyDescent="0.25">
      <c r="A97">
        <v>0</v>
      </c>
      <c r="B97">
        <f t="shared" si="2"/>
        <v>0</v>
      </c>
      <c r="Q97">
        <v>0</v>
      </c>
      <c r="R97" s="2">
        <f t="shared" si="3"/>
        <v>0</v>
      </c>
    </row>
    <row r="98" spans="1:18" x14ac:dyDescent="0.25">
      <c r="A98">
        <v>0</v>
      </c>
      <c r="B98">
        <f t="shared" si="2"/>
        <v>0</v>
      </c>
      <c r="Q98">
        <v>0</v>
      </c>
      <c r="R98" s="2">
        <f t="shared" si="3"/>
        <v>0</v>
      </c>
    </row>
    <row r="99" spans="1:18" x14ac:dyDescent="0.25">
      <c r="A99">
        <v>0</v>
      </c>
      <c r="B99">
        <f t="shared" si="2"/>
        <v>0</v>
      </c>
      <c r="Q99">
        <v>0</v>
      </c>
      <c r="R99" s="2">
        <f t="shared" si="3"/>
        <v>0</v>
      </c>
    </row>
    <row r="100" spans="1:18" x14ac:dyDescent="0.25">
      <c r="A100">
        <v>0</v>
      </c>
      <c r="B100">
        <f t="shared" si="2"/>
        <v>0</v>
      </c>
      <c r="Q100">
        <v>0</v>
      </c>
      <c r="R100" s="2">
        <f t="shared" si="3"/>
        <v>0</v>
      </c>
    </row>
    <row r="101" spans="1:18" x14ac:dyDescent="0.25">
      <c r="A101">
        <v>0</v>
      </c>
      <c r="B101">
        <f t="shared" si="2"/>
        <v>0</v>
      </c>
      <c r="Q101">
        <v>0</v>
      </c>
      <c r="R101" s="2">
        <f t="shared" si="3"/>
        <v>0</v>
      </c>
    </row>
    <row r="102" spans="1:18" x14ac:dyDescent="0.25">
      <c r="A102">
        <v>0</v>
      </c>
      <c r="B102">
        <f t="shared" si="2"/>
        <v>0</v>
      </c>
      <c r="Q102">
        <v>0</v>
      </c>
      <c r="R102" s="2">
        <f t="shared" si="3"/>
        <v>0</v>
      </c>
    </row>
    <row r="103" spans="1:18" x14ac:dyDescent="0.25">
      <c r="A103">
        <v>0</v>
      </c>
      <c r="B103">
        <f t="shared" si="2"/>
        <v>0</v>
      </c>
      <c r="Q103">
        <v>0</v>
      </c>
      <c r="R103" s="2">
        <f t="shared" si="3"/>
        <v>0</v>
      </c>
    </row>
    <row r="104" spans="1:18" x14ac:dyDescent="0.25">
      <c r="A104">
        <v>0</v>
      </c>
      <c r="B104">
        <f t="shared" si="2"/>
        <v>0</v>
      </c>
      <c r="Q104">
        <v>0</v>
      </c>
      <c r="R104" s="2">
        <f t="shared" si="3"/>
        <v>0</v>
      </c>
    </row>
    <row r="105" spans="1:18" x14ac:dyDescent="0.25">
      <c r="A105">
        <v>0</v>
      </c>
      <c r="B105">
        <f t="shared" si="2"/>
        <v>0</v>
      </c>
      <c r="Q105">
        <v>0</v>
      </c>
      <c r="R105" s="2">
        <f t="shared" si="3"/>
        <v>0</v>
      </c>
    </row>
    <row r="106" spans="1:18" x14ac:dyDescent="0.25">
      <c r="A106">
        <v>0</v>
      </c>
      <c r="B106">
        <f t="shared" si="2"/>
        <v>0</v>
      </c>
      <c r="Q106">
        <v>0</v>
      </c>
      <c r="R106" s="2">
        <f t="shared" si="3"/>
        <v>0</v>
      </c>
    </row>
    <row r="107" spans="1:18" x14ac:dyDescent="0.25">
      <c r="A107">
        <v>0</v>
      </c>
      <c r="B107">
        <f t="shared" si="2"/>
        <v>0</v>
      </c>
      <c r="Q107">
        <v>0</v>
      </c>
      <c r="R107" s="2">
        <f t="shared" si="3"/>
        <v>0</v>
      </c>
    </row>
    <row r="108" spans="1:18" x14ac:dyDescent="0.25">
      <c r="A108">
        <v>0</v>
      </c>
      <c r="B108">
        <f t="shared" si="2"/>
        <v>0</v>
      </c>
      <c r="Q108">
        <v>0</v>
      </c>
      <c r="R108" s="2">
        <f t="shared" si="3"/>
        <v>0</v>
      </c>
    </row>
    <row r="109" spans="1:18" x14ac:dyDescent="0.25">
      <c r="A109">
        <v>0</v>
      </c>
      <c r="B109">
        <f t="shared" si="2"/>
        <v>0</v>
      </c>
      <c r="Q109">
        <v>0</v>
      </c>
      <c r="R109" s="2">
        <f t="shared" si="3"/>
        <v>0</v>
      </c>
    </row>
    <row r="110" spans="1:18" x14ac:dyDescent="0.25">
      <c r="A110">
        <v>0</v>
      </c>
      <c r="B110">
        <f t="shared" si="2"/>
        <v>0</v>
      </c>
      <c r="Q110">
        <v>0</v>
      </c>
      <c r="R110" s="2">
        <f t="shared" si="3"/>
        <v>0</v>
      </c>
    </row>
    <row r="111" spans="1:18" x14ac:dyDescent="0.25">
      <c r="A111">
        <v>0</v>
      </c>
      <c r="B111">
        <f t="shared" si="2"/>
        <v>0</v>
      </c>
      <c r="Q111">
        <v>0</v>
      </c>
      <c r="R111" s="2">
        <f t="shared" si="3"/>
        <v>0</v>
      </c>
    </row>
    <row r="112" spans="1:18" x14ac:dyDescent="0.25">
      <c r="A112">
        <v>0</v>
      </c>
      <c r="B112">
        <f t="shared" si="2"/>
        <v>0</v>
      </c>
      <c r="Q112">
        <v>0</v>
      </c>
      <c r="R112" s="2">
        <f t="shared" si="3"/>
        <v>0</v>
      </c>
    </row>
    <row r="113" spans="1:18" x14ac:dyDescent="0.25">
      <c r="A113">
        <v>0</v>
      </c>
      <c r="B113">
        <f t="shared" si="2"/>
        <v>0</v>
      </c>
      <c r="Q113">
        <v>0</v>
      </c>
      <c r="R113" s="2">
        <f t="shared" si="3"/>
        <v>0</v>
      </c>
    </row>
    <row r="114" spans="1:18" x14ac:dyDescent="0.25">
      <c r="A114">
        <v>0</v>
      </c>
      <c r="B114">
        <f t="shared" si="2"/>
        <v>0</v>
      </c>
      <c r="Q114">
        <v>0</v>
      </c>
      <c r="R114" s="2">
        <f t="shared" si="3"/>
        <v>0</v>
      </c>
    </row>
    <row r="115" spans="1:18" x14ac:dyDescent="0.25">
      <c r="A115">
        <v>0</v>
      </c>
      <c r="B115">
        <f t="shared" si="2"/>
        <v>0</v>
      </c>
      <c r="Q115">
        <v>0</v>
      </c>
      <c r="R115" s="2">
        <f t="shared" si="3"/>
        <v>0</v>
      </c>
    </row>
    <row r="116" spans="1:18" x14ac:dyDescent="0.25">
      <c r="A116">
        <v>0</v>
      </c>
      <c r="B116">
        <f t="shared" si="2"/>
        <v>0</v>
      </c>
      <c r="Q116">
        <v>0</v>
      </c>
      <c r="R116" s="2">
        <f t="shared" si="3"/>
        <v>0</v>
      </c>
    </row>
    <row r="117" spans="1:18" x14ac:dyDescent="0.25">
      <c r="A117">
        <v>0</v>
      </c>
      <c r="B117">
        <f t="shared" si="2"/>
        <v>0</v>
      </c>
      <c r="Q117">
        <v>0</v>
      </c>
      <c r="R117" s="2">
        <f t="shared" si="3"/>
        <v>0</v>
      </c>
    </row>
    <row r="118" spans="1:18" x14ac:dyDescent="0.25">
      <c r="A118">
        <v>0</v>
      </c>
      <c r="B118">
        <f t="shared" si="2"/>
        <v>0</v>
      </c>
      <c r="Q118">
        <v>0</v>
      </c>
      <c r="R118" s="2">
        <f t="shared" si="3"/>
        <v>0</v>
      </c>
    </row>
    <row r="119" spans="1:18" x14ac:dyDescent="0.25">
      <c r="A119">
        <v>0</v>
      </c>
      <c r="B119">
        <f t="shared" si="2"/>
        <v>0</v>
      </c>
      <c r="Q119">
        <v>0</v>
      </c>
      <c r="R119" s="2">
        <f t="shared" si="3"/>
        <v>0</v>
      </c>
    </row>
    <row r="120" spans="1:18" x14ac:dyDescent="0.25">
      <c r="A120">
        <v>0</v>
      </c>
      <c r="B120">
        <f t="shared" si="2"/>
        <v>0</v>
      </c>
      <c r="Q120">
        <v>0</v>
      </c>
      <c r="R120" s="2">
        <f t="shared" si="3"/>
        <v>0</v>
      </c>
    </row>
    <row r="121" spans="1:18" x14ac:dyDescent="0.25">
      <c r="A121">
        <v>0</v>
      </c>
      <c r="B121">
        <f t="shared" si="2"/>
        <v>0</v>
      </c>
      <c r="Q121">
        <v>0</v>
      </c>
      <c r="R121" s="2">
        <f t="shared" si="3"/>
        <v>0</v>
      </c>
    </row>
    <row r="122" spans="1:18" x14ac:dyDescent="0.25">
      <c r="A122">
        <v>0</v>
      </c>
      <c r="B122">
        <f t="shared" si="2"/>
        <v>0</v>
      </c>
      <c r="Q122">
        <v>0</v>
      </c>
      <c r="R122" s="2">
        <f t="shared" si="3"/>
        <v>0</v>
      </c>
    </row>
    <row r="123" spans="1:18" x14ac:dyDescent="0.25">
      <c r="A123">
        <v>0</v>
      </c>
      <c r="B123">
        <f t="shared" si="2"/>
        <v>0</v>
      </c>
      <c r="Q123">
        <v>0</v>
      </c>
      <c r="R123" s="2">
        <f t="shared" si="3"/>
        <v>0</v>
      </c>
    </row>
    <row r="124" spans="1:18" x14ac:dyDescent="0.25">
      <c r="A124">
        <v>0</v>
      </c>
      <c r="B124">
        <f t="shared" si="2"/>
        <v>0</v>
      </c>
      <c r="Q124">
        <v>0</v>
      </c>
      <c r="R124" s="2">
        <f t="shared" si="3"/>
        <v>0</v>
      </c>
    </row>
    <row r="125" spans="1:18" x14ac:dyDescent="0.25">
      <c r="A125">
        <v>0</v>
      </c>
      <c r="B125">
        <f t="shared" si="2"/>
        <v>0</v>
      </c>
      <c r="Q125">
        <v>0</v>
      </c>
      <c r="R125" s="2">
        <f t="shared" si="3"/>
        <v>0</v>
      </c>
    </row>
    <row r="126" spans="1:18" x14ac:dyDescent="0.25">
      <c r="A126">
        <v>0</v>
      </c>
      <c r="B126">
        <f t="shared" si="2"/>
        <v>0</v>
      </c>
      <c r="Q126">
        <v>0</v>
      </c>
      <c r="R126" s="2">
        <f t="shared" si="3"/>
        <v>0</v>
      </c>
    </row>
    <row r="127" spans="1:18" x14ac:dyDescent="0.25">
      <c r="A127">
        <v>0</v>
      </c>
      <c r="B127">
        <f t="shared" si="2"/>
        <v>0</v>
      </c>
      <c r="Q127">
        <v>0</v>
      </c>
      <c r="R127" s="2">
        <f t="shared" si="3"/>
        <v>0</v>
      </c>
    </row>
    <row r="128" spans="1:18" x14ac:dyDescent="0.25">
      <c r="A128">
        <v>0</v>
      </c>
      <c r="B128">
        <f t="shared" si="2"/>
        <v>0</v>
      </c>
      <c r="Q128">
        <v>0</v>
      </c>
      <c r="R128" s="2">
        <f t="shared" si="3"/>
        <v>0</v>
      </c>
    </row>
    <row r="129" spans="1:18" x14ac:dyDescent="0.25">
      <c r="A129">
        <v>0</v>
      </c>
      <c r="B129">
        <f t="shared" si="2"/>
        <v>0</v>
      </c>
      <c r="Q129">
        <v>0</v>
      </c>
      <c r="R129" s="2">
        <f t="shared" si="3"/>
        <v>0</v>
      </c>
    </row>
    <row r="130" spans="1:18" x14ac:dyDescent="0.25">
      <c r="A130">
        <v>0</v>
      </c>
      <c r="B130">
        <f t="shared" si="2"/>
        <v>0</v>
      </c>
      <c r="Q130">
        <v>0</v>
      </c>
      <c r="R130" s="2">
        <f t="shared" si="3"/>
        <v>0</v>
      </c>
    </row>
    <row r="131" spans="1:18" x14ac:dyDescent="0.25">
      <c r="A131">
        <v>0</v>
      </c>
      <c r="B131">
        <f t="shared" ref="B131:B191" si="4">IFERROR(REPLACE(A131,FIND(" ; ",A131),20,""),A131)</f>
        <v>0</v>
      </c>
      <c r="Q131">
        <v>0</v>
      </c>
      <c r="R131" s="2">
        <f t="shared" ref="R131:R186" si="5">IFERROR(REPLACE(Q131,FIND(" ; ",Q131),20,""),Q131)</f>
        <v>0</v>
      </c>
    </row>
    <row r="132" spans="1:18" x14ac:dyDescent="0.25">
      <c r="A132">
        <v>0</v>
      </c>
      <c r="B132">
        <f t="shared" si="4"/>
        <v>0</v>
      </c>
      <c r="Q132">
        <v>0</v>
      </c>
      <c r="R132" s="2">
        <f t="shared" si="5"/>
        <v>0</v>
      </c>
    </row>
    <row r="133" spans="1:18" x14ac:dyDescent="0.25">
      <c r="A133">
        <v>0</v>
      </c>
      <c r="B133">
        <f t="shared" si="4"/>
        <v>0</v>
      </c>
      <c r="Q133">
        <v>0</v>
      </c>
      <c r="R133" s="2">
        <f t="shared" si="5"/>
        <v>0</v>
      </c>
    </row>
    <row r="134" spans="1:18" x14ac:dyDescent="0.25">
      <c r="A134">
        <v>0</v>
      </c>
      <c r="B134">
        <f t="shared" si="4"/>
        <v>0</v>
      </c>
      <c r="Q134">
        <v>0</v>
      </c>
      <c r="R134" s="2">
        <f t="shared" si="5"/>
        <v>0</v>
      </c>
    </row>
    <row r="135" spans="1:18" x14ac:dyDescent="0.25">
      <c r="A135">
        <v>0</v>
      </c>
      <c r="B135">
        <f t="shared" si="4"/>
        <v>0</v>
      </c>
      <c r="Q135">
        <v>0</v>
      </c>
      <c r="R135" s="2">
        <f t="shared" si="5"/>
        <v>0</v>
      </c>
    </row>
    <row r="136" spans="1:18" x14ac:dyDescent="0.25">
      <c r="A136">
        <v>0</v>
      </c>
      <c r="B136">
        <f t="shared" si="4"/>
        <v>0</v>
      </c>
      <c r="Q136">
        <v>0</v>
      </c>
      <c r="R136" s="2">
        <f t="shared" si="5"/>
        <v>0</v>
      </c>
    </row>
    <row r="137" spans="1:18" x14ac:dyDescent="0.25">
      <c r="A137">
        <v>0</v>
      </c>
      <c r="B137">
        <f t="shared" si="4"/>
        <v>0</v>
      </c>
      <c r="Q137">
        <v>0</v>
      </c>
      <c r="R137" s="2">
        <f t="shared" si="5"/>
        <v>0</v>
      </c>
    </row>
    <row r="138" spans="1:18" x14ac:dyDescent="0.25">
      <c r="A138">
        <v>0</v>
      </c>
      <c r="B138">
        <f t="shared" si="4"/>
        <v>0</v>
      </c>
      <c r="Q138">
        <v>0</v>
      </c>
      <c r="R138" s="2">
        <f t="shared" si="5"/>
        <v>0</v>
      </c>
    </row>
    <row r="139" spans="1:18" x14ac:dyDescent="0.25">
      <c r="A139">
        <v>0</v>
      </c>
      <c r="B139">
        <f t="shared" si="4"/>
        <v>0</v>
      </c>
      <c r="Q139">
        <v>0</v>
      </c>
      <c r="R139" s="2">
        <f t="shared" si="5"/>
        <v>0</v>
      </c>
    </row>
    <row r="140" spans="1:18" x14ac:dyDescent="0.25">
      <c r="A140">
        <v>0</v>
      </c>
      <c r="B140">
        <f t="shared" si="4"/>
        <v>0</v>
      </c>
      <c r="Q140">
        <v>0</v>
      </c>
      <c r="R140" s="2">
        <f t="shared" si="5"/>
        <v>0</v>
      </c>
    </row>
    <row r="141" spans="1:18" x14ac:dyDescent="0.25">
      <c r="A141">
        <v>0</v>
      </c>
      <c r="B141">
        <f t="shared" si="4"/>
        <v>0</v>
      </c>
      <c r="Q141">
        <v>0</v>
      </c>
      <c r="R141" s="2">
        <f t="shared" si="5"/>
        <v>0</v>
      </c>
    </row>
    <row r="142" spans="1:18" x14ac:dyDescent="0.25">
      <c r="A142">
        <v>0</v>
      </c>
      <c r="B142">
        <f t="shared" si="4"/>
        <v>0</v>
      </c>
      <c r="Q142">
        <v>0</v>
      </c>
      <c r="R142" s="2">
        <f t="shared" si="5"/>
        <v>0</v>
      </c>
    </row>
    <row r="143" spans="1:18" x14ac:dyDescent="0.25">
      <c r="A143">
        <v>0</v>
      </c>
      <c r="B143">
        <f t="shared" si="4"/>
        <v>0</v>
      </c>
      <c r="Q143">
        <v>0</v>
      </c>
      <c r="R143" s="2">
        <f t="shared" si="5"/>
        <v>0</v>
      </c>
    </row>
    <row r="144" spans="1:18" x14ac:dyDescent="0.25">
      <c r="A144">
        <v>0</v>
      </c>
      <c r="B144">
        <f t="shared" si="4"/>
        <v>0</v>
      </c>
      <c r="Q144">
        <v>0</v>
      </c>
      <c r="R144" s="2">
        <f t="shared" si="5"/>
        <v>0</v>
      </c>
    </row>
    <row r="145" spans="1:18" x14ac:dyDescent="0.25">
      <c r="A145">
        <v>0</v>
      </c>
      <c r="B145">
        <f t="shared" si="4"/>
        <v>0</v>
      </c>
      <c r="Q145">
        <v>0</v>
      </c>
      <c r="R145" s="2">
        <f t="shared" si="5"/>
        <v>0</v>
      </c>
    </row>
    <row r="146" spans="1:18" x14ac:dyDescent="0.25">
      <c r="A146">
        <v>0</v>
      </c>
      <c r="B146">
        <f t="shared" si="4"/>
        <v>0</v>
      </c>
      <c r="Q146">
        <v>0</v>
      </c>
      <c r="R146" s="2">
        <f t="shared" si="5"/>
        <v>0</v>
      </c>
    </row>
    <row r="147" spans="1:18" x14ac:dyDescent="0.25">
      <c r="A147">
        <v>0</v>
      </c>
      <c r="B147">
        <f t="shared" si="4"/>
        <v>0</v>
      </c>
      <c r="Q147">
        <v>0</v>
      </c>
      <c r="R147" s="2">
        <f t="shared" si="5"/>
        <v>0</v>
      </c>
    </row>
    <row r="148" spans="1:18" x14ac:dyDescent="0.25">
      <c r="A148">
        <v>0</v>
      </c>
      <c r="B148">
        <f t="shared" si="4"/>
        <v>0</v>
      </c>
      <c r="Q148">
        <v>0</v>
      </c>
      <c r="R148" s="2">
        <f t="shared" si="5"/>
        <v>0</v>
      </c>
    </row>
    <row r="149" spans="1:18" x14ac:dyDescent="0.25">
      <c r="A149">
        <v>0</v>
      </c>
      <c r="B149">
        <f t="shared" si="4"/>
        <v>0</v>
      </c>
      <c r="Q149">
        <v>0</v>
      </c>
      <c r="R149" s="2">
        <f t="shared" si="5"/>
        <v>0</v>
      </c>
    </row>
    <row r="150" spans="1:18" x14ac:dyDescent="0.25">
      <c r="A150">
        <v>0</v>
      </c>
      <c r="B150">
        <f t="shared" si="4"/>
        <v>0</v>
      </c>
      <c r="Q150">
        <v>0</v>
      </c>
      <c r="R150" s="2">
        <f t="shared" si="5"/>
        <v>0</v>
      </c>
    </row>
    <row r="151" spans="1:18" x14ac:dyDescent="0.25">
      <c r="A151">
        <v>0</v>
      </c>
      <c r="B151">
        <f t="shared" si="4"/>
        <v>0</v>
      </c>
      <c r="Q151">
        <v>0</v>
      </c>
      <c r="R151" s="2">
        <f t="shared" si="5"/>
        <v>0</v>
      </c>
    </row>
    <row r="152" spans="1:18" x14ac:dyDescent="0.25">
      <c r="A152">
        <v>0</v>
      </c>
      <c r="B152">
        <f t="shared" si="4"/>
        <v>0</v>
      </c>
      <c r="Q152">
        <v>0</v>
      </c>
      <c r="R152" s="2">
        <f t="shared" si="5"/>
        <v>0</v>
      </c>
    </row>
    <row r="153" spans="1:18" x14ac:dyDescent="0.25">
      <c r="A153">
        <v>0</v>
      </c>
      <c r="B153">
        <f t="shared" si="4"/>
        <v>0</v>
      </c>
      <c r="Q153">
        <v>0</v>
      </c>
      <c r="R153" s="2">
        <f t="shared" si="5"/>
        <v>0</v>
      </c>
    </row>
    <row r="154" spans="1:18" x14ac:dyDescent="0.25">
      <c r="A154">
        <v>0</v>
      </c>
      <c r="B154">
        <f t="shared" si="4"/>
        <v>0</v>
      </c>
      <c r="Q154">
        <v>0</v>
      </c>
      <c r="R154" s="2">
        <f t="shared" si="5"/>
        <v>0</v>
      </c>
    </row>
    <row r="155" spans="1:18" x14ac:dyDescent="0.25">
      <c r="A155">
        <v>0</v>
      </c>
      <c r="B155">
        <f t="shared" si="4"/>
        <v>0</v>
      </c>
      <c r="Q155">
        <v>0</v>
      </c>
      <c r="R155" s="2">
        <f t="shared" si="5"/>
        <v>0</v>
      </c>
    </row>
    <row r="156" spans="1:18" x14ac:dyDescent="0.25">
      <c r="A156">
        <v>0</v>
      </c>
      <c r="B156">
        <f t="shared" si="4"/>
        <v>0</v>
      </c>
      <c r="Q156">
        <v>0</v>
      </c>
      <c r="R156" s="2">
        <f t="shared" si="5"/>
        <v>0</v>
      </c>
    </row>
    <row r="157" spans="1:18" x14ac:dyDescent="0.25">
      <c r="A157">
        <v>0</v>
      </c>
      <c r="B157">
        <f t="shared" si="4"/>
        <v>0</v>
      </c>
      <c r="Q157">
        <v>0</v>
      </c>
      <c r="R157" s="2">
        <f t="shared" si="5"/>
        <v>0</v>
      </c>
    </row>
    <row r="158" spans="1:18" x14ac:dyDescent="0.25">
      <c r="A158">
        <v>0</v>
      </c>
      <c r="B158">
        <f t="shared" si="4"/>
        <v>0</v>
      </c>
      <c r="Q158">
        <v>0</v>
      </c>
      <c r="R158" s="2">
        <f t="shared" si="5"/>
        <v>0</v>
      </c>
    </row>
    <row r="159" spans="1:18" x14ac:dyDescent="0.25">
      <c r="A159">
        <v>0</v>
      </c>
      <c r="B159">
        <f t="shared" si="4"/>
        <v>0</v>
      </c>
      <c r="Q159">
        <v>0</v>
      </c>
      <c r="R159" s="2">
        <f t="shared" si="5"/>
        <v>0</v>
      </c>
    </row>
    <row r="160" spans="1:18" x14ac:dyDescent="0.25">
      <c r="A160">
        <v>0</v>
      </c>
      <c r="B160">
        <f t="shared" si="4"/>
        <v>0</v>
      </c>
      <c r="Q160">
        <v>0</v>
      </c>
      <c r="R160" s="2">
        <f t="shared" si="5"/>
        <v>0</v>
      </c>
    </row>
    <row r="161" spans="1:18" x14ac:dyDescent="0.25">
      <c r="A161">
        <v>0</v>
      </c>
      <c r="B161">
        <f t="shared" si="4"/>
        <v>0</v>
      </c>
      <c r="Q161">
        <v>0</v>
      </c>
      <c r="R161" s="2">
        <f t="shared" si="5"/>
        <v>0</v>
      </c>
    </row>
    <row r="162" spans="1:18" x14ac:dyDescent="0.25">
      <c r="A162">
        <v>0</v>
      </c>
      <c r="B162">
        <f t="shared" si="4"/>
        <v>0</v>
      </c>
      <c r="Q162">
        <v>0</v>
      </c>
      <c r="R162" s="2">
        <f t="shared" si="5"/>
        <v>0</v>
      </c>
    </row>
    <row r="163" spans="1:18" x14ac:dyDescent="0.25">
      <c r="A163">
        <v>0</v>
      </c>
      <c r="B163">
        <f t="shared" si="4"/>
        <v>0</v>
      </c>
      <c r="Q163">
        <v>0</v>
      </c>
      <c r="R163" s="2">
        <f t="shared" si="5"/>
        <v>0</v>
      </c>
    </row>
    <row r="164" spans="1:18" x14ac:dyDescent="0.25">
      <c r="A164">
        <v>0</v>
      </c>
      <c r="B164">
        <f t="shared" si="4"/>
        <v>0</v>
      </c>
      <c r="Q164">
        <v>0</v>
      </c>
      <c r="R164" s="2">
        <f t="shared" si="5"/>
        <v>0</v>
      </c>
    </row>
    <row r="165" spans="1:18" x14ac:dyDescent="0.25">
      <c r="A165">
        <v>0</v>
      </c>
      <c r="B165">
        <f t="shared" si="4"/>
        <v>0</v>
      </c>
      <c r="Q165">
        <v>0</v>
      </c>
      <c r="R165" s="2">
        <f t="shared" si="5"/>
        <v>0</v>
      </c>
    </row>
    <row r="166" spans="1:18" x14ac:dyDescent="0.25">
      <c r="A166">
        <v>0</v>
      </c>
      <c r="B166">
        <f t="shared" si="4"/>
        <v>0</v>
      </c>
      <c r="Q166">
        <v>0</v>
      </c>
      <c r="R166" s="2">
        <f t="shared" si="5"/>
        <v>0</v>
      </c>
    </row>
    <row r="167" spans="1:18" x14ac:dyDescent="0.25">
      <c r="A167">
        <v>0</v>
      </c>
      <c r="B167">
        <f t="shared" si="4"/>
        <v>0</v>
      </c>
      <c r="Q167">
        <v>0</v>
      </c>
      <c r="R167" s="2">
        <f t="shared" si="5"/>
        <v>0</v>
      </c>
    </row>
    <row r="168" spans="1:18" x14ac:dyDescent="0.25">
      <c r="A168">
        <v>0</v>
      </c>
      <c r="B168">
        <f t="shared" si="4"/>
        <v>0</v>
      </c>
      <c r="Q168">
        <v>0</v>
      </c>
      <c r="R168" s="2">
        <f t="shared" si="5"/>
        <v>0</v>
      </c>
    </row>
    <row r="169" spans="1:18" x14ac:dyDescent="0.25">
      <c r="A169">
        <v>0</v>
      </c>
      <c r="B169">
        <f t="shared" si="4"/>
        <v>0</v>
      </c>
      <c r="Q169">
        <v>0</v>
      </c>
      <c r="R169" s="2">
        <f t="shared" si="5"/>
        <v>0</v>
      </c>
    </row>
    <row r="170" spans="1:18" x14ac:dyDescent="0.25">
      <c r="A170">
        <v>0</v>
      </c>
      <c r="B170">
        <f t="shared" si="4"/>
        <v>0</v>
      </c>
      <c r="Q170">
        <v>0</v>
      </c>
      <c r="R170" s="2">
        <f t="shared" si="5"/>
        <v>0</v>
      </c>
    </row>
    <row r="171" spans="1:18" x14ac:dyDescent="0.25">
      <c r="A171">
        <v>0</v>
      </c>
      <c r="B171">
        <f t="shared" si="4"/>
        <v>0</v>
      </c>
      <c r="Q171">
        <v>0</v>
      </c>
      <c r="R171" s="2">
        <f t="shared" si="5"/>
        <v>0</v>
      </c>
    </row>
    <row r="172" spans="1:18" x14ac:dyDescent="0.25">
      <c r="A172">
        <v>0</v>
      </c>
      <c r="B172">
        <f t="shared" si="4"/>
        <v>0</v>
      </c>
      <c r="Q172">
        <v>0</v>
      </c>
      <c r="R172" s="2">
        <f t="shared" si="5"/>
        <v>0</v>
      </c>
    </row>
    <row r="173" spans="1:18" x14ac:dyDescent="0.25">
      <c r="A173">
        <v>0</v>
      </c>
      <c r="B173">
        <f t="shared" si="4"/>
        <v>0</v>
      </c>
      <c r="Q173">
        <v>0</v>
      </c>
      <c r="R173" s="2">
        <f t="shared" si="5"/>
        <v>0</v>
      </c>
    </row>
    <row r="174" spans="1:18" x14ac:dyDescent="0.25">
      <c r="A174">
        <v>0</v>
      </c>
      <c r="B174">
        <f t="shared" si="4"/>
        <v>0</v>
      </c>
      <c r="Q174">
        <v>0</v>
      </c>
      <c r="R174" s="2">
        <f t="shared" si="5"/>
        <v>0</v>
      </c>
    </row>
    <row r="175" spans="1:18" x14ac:dyDescent="0.25">
      <c r="A175">
        <v>0</v>
      </c>
      <c r="B175">
        <f t="shared" si="4"/>
        <v>0</v>
      </c>
      <c r="Q175">
        <v>0</v>
      </c>
      <c r="R175" s="2">
        <f t="shared" si="5"/>
        <v>0</v>
      </c>
    </row>
    <row r="176" spans="1:18" x14ac:dyDescent="0.25">
      <c r="A176">
        <v>0</v>
      </c>
      <c r="B176">
        <f t="shared" si="4"/>
        <v>0</v>
      </c>
      <c r="Q176">
        <v>0</v>
      </c>
      <c r="R176" s="2">
        <f t="shared" si="5"/>
        <v>0</v>
      </c>
    </row>
    <row r="177" spans="1:18" x14ac:dyDescent="0.25">
      <c r="A177">
        <v>0</v>
      </c>
      <c r="B177">
        <f t="shared" si="4"/>
        <v>0</v>
      </c>
      <c r="Q177">
        <v>0</v>
      </c>
      <c r="R177" s="2">
        <f t="shared" si="5"/>
        <v>0</v>
      </c>
    </row>
    <row r="178" spans="1:18" x14ac:dyDescent="0.25">
      <c r="A178">
        <v>0</v>
      </c>
      <c r="B178">
        <f t="shared" si="4"/>
        <v>0</v>
      </c>
      <c r="Q178">
        <v>0</v>
      </c>
      <c r="R178" s="2">
        <f t="shared" si="5"/>
        <v>0</v>
      </c>
    </row>
    <row r="179" spans="1:18" x14ac:dyDescent="0.25">
      <c r="A179">
        <v>0</v>
      </c>
      <c r="B179">
        <f t="shared" si="4"/>
        <v>0</v>
      </c>
      <c r="Q179">
        <v>0</v>
      </c>
      <c r="R179" s="2">
        <f t="shared" si="5"/>
        <v>0</v>
      </c>
    </row>
    <row r="180" spans="1:18" x14ac:dyDescent="0.25">
      <c r="A180">
        <v>0</v>
      </c>
      <c r="B180">
        <f t="shared" si="4"/>
        <v>0</v>
      </c>
      <c r="Q180">
        <v>0</v>
      </c>
      <c r="R180" s="2">
        <f t="shared" si="5"/>
        <v>0</v>
      </c>
    </row>
    <row r="181" spans="1:18" x14ac:dyDescent="0.25">
      <c r="A181">
        <v>0</v>
      </c>
      <c r="B181">
        <f t="shared" si="4"/>
        <v>0</v>
      </c>
      <c r="Q181">
        <v>0</v>
      </c>
      <c r="R181" s="2">
        <f t="shared" si="5"/>
        <v>0</v>
      </c>
    </row>
    <row r="182" spans="1:18" x14ac:dyDescent="0.25">
      <c r="A182">
        <v>0</v>
      </c>
      <c r="B182">
        <f t="shared" si="4"/>
        <v>0</v>
      </c>
      <c r="Q182">
        <v>0</v>
      </c>
      <c r="R182" s="2">
        <f t="shared" si="5"/>
        <v>0</v>
      </c>
    </row>
    <row r="183" spans="1:18" x14ac:dyDescent="0.25">
      <c r="A183">
        <v>0</v>
      </c>
      <c r="B183">
        <f t="shared" si="4"/>
        <v>0</v>
      </c>
      <c r="Q183">
        <v>0</v>
      </c>
      <c r="R183" s="2">
        <f t="shared" si="5"/>
        <v>0</v>
      </c>
    </row>
    <row r="184" spans="1:18" x14ac:dyDescent="0.25">
      <c r="A184">
        <v>0</v>
      </c>
      <c r="B184">
        <f t="shared" si="4"/>
        <v>0</v>
      </c>
      <c r="Q184">
        <v>0</v>
      </c>
      <c r="R184" s="2">
        <f t="shared" si="5"/>
        <v>0</v>
      </c>
    </row>
    <row r="185" spans="1:18" x14ac:dyDescent="0.25">
      <c r="A185">
        <v>0</v>
      </c>
      <c r="B185">
        <f t="shared" si="4"/>
        <v>0</v>
      </c>
      <c r="Q185">
        <v>0</v>
      </c>
      <c r="R185" s="2">
        <f t="shared" si="5"/>
        <v>0</v>
      </c>
    </row>
    <row r="186" spans="1:18" x14ac:dyDescent="0.25">
      <c r="A186">
        <v>0</v>
      </c>
      <c r="B186">
        <f t="shared" si="4"/>
        <v>0</v>
      </c>
      <c r="Q186">
        <v>0</v>
      </c>
      <c r="R186" s="2">
        <f t="shared" si="5"/>
        <v>0</v>
      </c>
    </row>
    <row r="187" spans="1:18" x14ac:dyDescent="0.25">
      <c r="A187">
        <v>0</v>
      </c>
      <c r="B187">
        <f t="shared" si="4"/>
        <v>0</v>
      </c>
      <c r="Q187">
        <v>0</v>
      </c>
      <c r="R187" s="2"/>
    </row>
    <row r="188" spans="1:18" x14ac:dyDescent="0.25">
      <c r="A188">
        <v>0</v>
      </c>
      <c r="B188">
        <f t="shared" si="4"/>
        <v>0</v>
      </c>
      <c r="Q188">
        <v>0</v>
      </c>
      <c r="R188" s="2"/>
    </row>
    <row r="189" spans="1:18" x14ac:dyDescent="0.25">
      <c r="A189">
        <v>0</v>
      </c>
      <c r="B189">
        <f t="shared" si="4"/>
        <v>0</v>
      </c>
      <c r="Q189">
        <v>0</v>
      </c>
      <c r="R189" s="2"/>
    </row>
    <row r="190" spans="1:18" x14ac:dyDescent="0.25">
      <c r="A190">
        <v>0</v>
      </c>
      <c r="B190">
        <f t="shared" si="4"/>
        <v>0</v>
      </c>
      <c r="Q190">
        <v>0</v>
      </c>
      <c r="R190" s="2"/>
    </row>
    <row r="191" spans="1:18" x14ac:dyDescent="0.25">
      <c r="A191">
        <v>0</v>
      </c>
      <c r="B191">
        <f t="shared" si="4"/>
        <v>0</v>
      </c>
      <c r="Q191">
        <v>0</v>
      </c>
      <c r="R191" s="2"/>
    </row>
    <row r="192" spans="1:18" x14ac:dyDescent="0.25">
      <c r="A192">
        <v>0</v>
      </c>
      <c r="B192">
        <f t="shared" ref="B192:B194" si="6">IFERROR(REPLACE(A192,FIND(" ; ",A192),20,""),A192)</f>
        <v>0</v>
      </c>
      <c r="Q192">
        <v>0</v>
      </c>
    </row>
    <row r="193" spans="1:17" x14ac:dyDescent="0.25">
      <c r="A193">
        <v>0</v>
      </c>
      <c r="B193">
        <f t="shared" si="6"/>
        <v>0</v>
      </c>
      <c r="Q193">
        <v>0</v>
      </c>
    </row>
    <row r="194" spans="1:17" x14ac:dyDescent="0.25">
      <c r="A194">
        <v>0</v>
      </c>
      <c r="B194">
        <f t="shared" si="6"/>
        <v>0</v>
      </c>
      <c r="Q194">
        <v>0</v>
      </c>
    </row>
    <row r="195" spans="1:17" x14ac:dyDescent="0.25">
      <c r="A195">
        <v>0</v>
      </c>
      <c r="B195">
        <f t="shared" ref="B195:B204" si="7">IFERROR(REPLACE(A195,FIND(" ; ",A195),20,""),A195)</f>
        <v>0</v>
      </c>
      <c r="Q195">
        <v>0</v>
      </c>
    </row>
    <row r="196" spans="1:17" x14ac:dyDescent="0.25">
      <c r="B196">
        <f t="shared" si="7"/>
        <v>0</v>
      </c>
    </row>
    <row r="197" spans="1:17" x14ac:dyDescent="0.25">
      <c r="B197">
        <f t="shared" si="7"/>
        <v>0</v>
      </c>
    </row>
    <row r="198" spans="1:17" x14ac:dyDescent="0.25">
      <c r="B198">
        <f t="shared" si="7"/>
        <v>0</v>
      </c>
    </row>
    <row r="199" spans="1:17" x14ac:dyDescent="0.25">
      <c r="B199">
        <f t="shared" si="7"/>
        <v>0</v>
      </c>
    </row>
    <row r="200" spans="1:17" x14ac:dyDescent="0.25">
      <c r="B200">
        <f t="shared" si="7"/>
        <v>0</v>
      </c>
    </row>
    <row r="201" spans="1:17" x14ac:dyDescent="0.25">
      <c r="B201">
        <f t="shared" si="7"/>
        <v>0</v>
      </c>
    </row>
    <row r="202" spans="1:17" x14ac:dyDescent="0.25">
      <c r="B202">
        <f t="shared" si="7"/>
        <v>0</v>
      </c>
    </row>
    <row r="203" spans="1:17" x14ac:dyDescent="0.25">
      <c r="B203">
        <f t="shared" si="7"/>
        <v>0</v>
      </c>
    </row>
    <row r="204" spans="1:17" x14ac:dyDescent="0.25">
      <c r="B204">
        <f t="shared" si="7"/>
        <v>0</v>
      </c>
    </row>
    <row r="205" spans="1:17" x14ac:dyDescent="0.25">
      <c r="B205"/>
    </row>
  </sheetData>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6385" r:id="rId6" name="Button 1">
              <controlPr defaultSize="0" print="0" autoFill="0" autoPict="0" macro="[0]!Refresh_Series_Data">
                <anchor moveWithCells="1">
                  <from>
                    <xdr:col>6</xdr:col>
                    <xdr:colOff>0</xdr:colOff>
                    <xdr:row>0</xdr:row>
                    <xdr:rowOff>200025</xdr:rowOff>
                  </from>
                  <to>
                    <xdr:col>7</xdr:col>
                    <xdr:colOff>304800</xdr:colOff>
                    <xdr:row>2</xdr:row>
                    <xdr:rowOff>0</xdr:rowOff>
                  </to>
                </anchor>
              </controlPr>
            </control>
          </mc:Choice>
        </mc:AlternateContent>
        <mc:AlternateContent xmlns:mc="http://schemas.openxmlformats.org/markup-compatibility/2006">
          <mc:Choice Requires="x14">
            <control shapeId="16386" r:id="rId7" name="Button 2">
              <controlPr defaultSize="0" print="0" autoFill="0" autoPict="0" macro="[0]!SeriesRE_ChartUp">
                <anchor moveWithCells="1">
                  <from>
                    <xdr:col>5</xdr:col>
                    <xdr:colOff>457200</xdr:colOff>
                    <xdr:row>4</xdr:row>
                    <xdr:rowOff>0</xdr:rowOff>
                  </from>
                  <to>
                    <xdr:col>5</xdr:col>
                    <xdr:colOff>1371600</xdr:colOff>
                    <xdr:row>5</xdr:row>
                    <xdr:rowOff>47625</xdr:rowOff>
                  </to>
                </anchor>
              </controlPr>
            </control>
          </mc:Choice>
        </mc:AlternateContent>
        <mc:AlternateContent xmlns:mc="http://schemas.openxmlformats.org/markup-compatibility/2006">
          <mc:Choice Requires="x14">
            <control shapeId="16387" r:id="rId8" name="Button 3">
              <controlPr defaultSize="0" print="0" autoFill="0" autoPict="0" macro="[0]!SeriesRE_ChartDown">
                <anchor moveWithCells="1">
                  <from>
                    <xdr:col>5</xdr:col>
                    <xdr:colOff>466725</xdr:colOff>
                    <xdr:row>6</xdr:row>
                    <xdr:rowOff>0</xdr:rowOff>
                  </from>
                  <to>
                    <xdr:col>6</xdr:col>
                    <xdr:colOff>0</xdr:colOff>
                    <xdr:row>7</xdr:row>
                    <xdr:rowOff>47625</xdr:rowOff>
                  </to>
                </anchor>
              </controlPr>
            </control>
          </mc:Choice>
        </mc:AlternateContent>
        <mc:AlternateContent xmlns:mc="http://schemas.openxmlformats.org/markup-compatibility/2006">
          <mc:Choice Requires="x14">
            <control shapeId="16388" r:id="rId9" name="Button 4">
              <controlPr defaultSize="0" print="0" autoFill="0" autoPict="0" macro="[0]!SeriesN_ChartUp">
                <anchor moveWithCells="1">
                  <from>
                    <xdr:col>21</xdr:col>
                    <xdr:colOff>466725</xdr:colOff>
                    <xdr:row>4</xdr:row>
                    <xdr:rowOff>0</xdr:rowOff>
                  </from>
                  <to>
                    <xdr:col>22</xdr:col>
                    <xdr:colOff>0</xdr:colOff>
                    <xdr:row>5</xdr:row>
                    <xdr:rowOff>47625</xdr:rowOff>
                  </to>
                </anchor>
              </controlPr>
            </control>
          </mc:Choice>
        </mc:AlternateContent>
        <mc:AlternateContent xmlns:mc="http://schemas.openxmlformats.org/markup-compatibility/2006">
          <mc:Choice Requires="x14">
            <control shapeId="16389" r:id="rId10" name="Button 5">
              <controlPr defaultSize="0" print="0" autoFill="0" autoPict="0" macro="[0]!SeriesN_ChartDown">
                <anchor moveWithCells="1">
                  <from>
                    <xdr:col>21</xdr:col>
                    <xdr:colOff>466725</xdr:colOff>
                    <xdr:row>6</xdr:row>
                    <xdr:rowOff>0</xdr:rowOff>
                  </from>
                  <to>
                    <xdr:col>22</xdr:col>
                    <xdr:colOff>0</xdr:colOff>
                    <xdr:row>7</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A298A-3B5B-47A0-AEC9-E938C3A75779}">
  <sheetPr codeName="Sheet7">
    <tabColor theme="4"/>
  </sheetPr>
  <dimension ref="A1:O77"/>
  <sheetViews>
    <sheetView workbookViewId="0">
      <selection activeCell="O20" sqref="O20"/>
    </sheetView>
  </sheetViews>
  <sheetFormatPr defaultRowHeight="15" x14ac:dyDescent="0.25"/>
  <cols>
    <col min="1" max="1" width="40.7109375" style="2" customWidth="1"/>
    <col min="2" max="2" width="7.140625" style="2" bestFit="1" customWidth="1"/>
    <col min="3" max="3" width="20.7109375" style="2" customWidth="1"/>
    <col min="4" max="12" width="9.140625" style="2"/>
    <col min="13" max="13" width="16.140625" style="2" bestFit="1" customWidth="1"/>
    <col min="14" max="14" width="7.140625" style="2" bestFit="1" customWidth="1"/>
    <col min="15" max="15" width="20.7109375" style="2" customWidth="1"/>
    <col min="16" max="16384" width="9.140625" style="2"/>
  </cols>
  <sheetData>
    <row r="1" spans="1:15" ht="20.100000000000001" customHeight="1" x14ac:dyDescent="0.25">
      <c r="A1" s="164" t="s">
        <v>189</v>
      </c>
      <c r="B1" t="s">
        <v>188</v>
      </c>
      <c r="C1"/>
      <c r="M1" s="164" t="s">
        <v>190</v>
      </c>
      <c r="N1" t="s">
        <v>188</v>
      </c>
      <c r="O1"/>
    </row>
    <row r="2" spans="1:15" x14ac:dyDescent="0.25">
      <c r="A2" s="30" t="s">
        <v>106</v>
      </c>
      <c r="B2">
        <v>1</v>
      </c>
      <c r="C2"/>
      <c r="M2" s="30" t="s">
        <v>45</v>
      </c>
      <c r="N2">
        <v>8</v>
      </c>
      <c r="O2"/>
    </row>
    <row r="3" spans="1:15" x14ac:dyDescent="0.25">
      <c r="A3" s="30" t="s">
        <v>122</v>
      </c>
      <c r="B3">
        <v>1</v>
      </c>
      <c r="C3"/>
      <c r="M3"/>
      <c r="N3"/>
      <c r="O3"/>
    </row>
    <row r="4" spans="1:15" x14ac:dyDescent="0.25">
      <c r="A4" s="30" t="s">
        <v>126</v>
      </c>
      <c r="B4">
        <v>1</v>
      </c>
      <c r="C4"/>
      <c r="M4"/>
      <c r="N4"/>
      <c r="O4"/>
    </row>
    <row r="5" spans="1:15" x14ac:dyDescent="0.25">
      <c r="A5" s="30" t="s">
        <v>58</v>
      </c>
      <c r="B5">
        <v>1</v>
      </c>
      <c r="C5"/>
      <c r="M5"/>
      <c r="N5"/>
      <c r="O5"/>
    </row>
    <row r="6" spans="1:15" x14ac:dyDescent="0.25">
      <c r="A6" s="30" t="s">
        <v>153</v>
      </c>
      <c r="B6">
        <v>1</v>
      </c>
      <c r="C6"/>
      <c r="M6"/>
      <c r="N6"/>
      <c r="O6"/>
    </row>
    <row r="7" spans="1:15" x14ac:dyDescent="0.25">
      <c r="A7" s="30" t="s">
        <v>167</v>
      </c>
      <c r="B7">
        <v>1</v>
      </c>
      <c r="C7"/>
      <c r="M7"/>
      <c r="N7"/>
      <c r="O7"/>
    </row>
    <row r="8" spans="1:15" x14ac:dyDescent="0.25">
      <c r="A8" s="30" t="s">
        <v>120</v>
      </c>
      <c r="B8">
        <v>1</v>
      </c>
      <c r="C8"/>
      <c r="M8"/>
      <c r="N8"/>
      <c r="O8"/>
    </row>
    <row r="9" spans="1:15" x14ac:dyDescent="0.25">
      <c r="A9" s="30" t="s">
        <v>109</v>
      </c>
      <c r="B9">
        <v>1</v>
      </c>
      <c r="C9"/>
      <c r="M9"/>
      <c r="N9"/>
      <c r="O9"/>
    </row>
    <row r="10" spans="1:15" x14ac:dyDescent="0.25">
      <c r="A10" s="30" t="s">
        <v>112</v>
      </c>
      <c r="B10">
        <v>1</v>
      </c>
      <c r="C10"/>
      <c r="M10"/>
      <c r="N10"/>
      <c r="O10"/>
    </row>
    <row r="11" spans="1:15" x14ac:dyDescent="0.25">
      <c r="A11" s="30" t="s">
        <v>123</v>
      </c>
      <c r="B11">
        <v>1</v>
      </c>
      <c r="C11"/>
      <c r="M11"/>
      <c r="N11"/>
      <c r="O11"/>
    </row>
    <row r="12" spans="1:15" x14ac:dyDescent="0.25">
      <c r="A12" s="30" t="s">
        <v>132</v>
      </c>
      <c r="B12">
        <v>1</v>
      </c>
      <c r="C12"/>
      <c r="M12"/>
      <c r="N12"/>
      <c r="O12"/>
    </row>
    <row r="13" spans="1:15" x14ac:dyDescent="0.25">
      <c r="A13" s="30" t="s">
        <v>129</v>
      </c>
      <c r="B13">
        <v>1</v>
      </c>
      <c r="C13"/>
      <c r="M13"/>
      <c r="N13"/>
      <c r="O13"/>
    </row>
    <row r="14" spans="1:15" x14ac:dyDescent="0.25">
      <c r="A14" s="30" t="s">
        <v>154</v>
      </c>
      <c r="B14">
        <v>1</v>
      </c>
      <c r="C14"/>
      <c r="M14"/>
      <c r="N14"/>
      <c r="O14"/>
    </row>
    <row r="15" spans="1:15" x14ac:dyDescent="0.25">
      <c r="A15" s="30" t="s">
        <v>115</v>
      </c>
      <c r="B15">
        <v>1</v>
      </c>
      <c r="C15"/>
      <c r="M15"/>
      <c r="N15"/>
      <c r="O15"/>
    </row>
    <row r="16" spans="1:15" x14ac:dyDescent="0.25">
      <c r="A16" s="30" t="s">
        <v>107</v>
      </c>
      <c r="B16">
        <v>1</v>
      </c>
      <c r="C16"/>
      <c r="M16"/>
      <c r="N16"/>
      <c r="O16"/>
    </row>
    <row r="17" spans="1:15" x14ac:dyDescent="0.25">
      <c r="A17" s="30" t="s">
        <v>1272</v>
      </c>
      <c r="B17">
        <v>1</v>
      </c>
      <c r="C17"/>
      <c r="M17"/>
      <c r="N17"/>
      <c r="O17"/>
    </row>
    <row r="18" spans="1:15" x14ac:dyDescent="0.25">
      <c r="A18" s="30" t="s">
        <v>113</v>
      </c>
      <c r="B18">
        <v>1</v>
      </c>
      <c r="C18"/>
      <c r="M18"/>
      <c r="N18"/>
      <c r="O18"/>
    </row>
    <row r="19" spans="1:15" x14ac:dyDescent="0.25">
      <c r="A19" s="30" t="s">
        <v>1271</v>
      </c>
      <c r="B19">
        <v>1</v>
      </c>
      <c r="M19"/>
      <c r="N19"/>
    </row>
    <row r="20" spans="1:15" x14ac:dyDescent="0.25">
      <c r="A20" s="30" t="s">
        <v>114</v>
      </c>
      <c r="B20">
        <v>1</v>
      </c>
      <c r="M20"/>
      <c r="N20"/>
    </row>
    <row r="21" spans="1:15" x14ac:dyDescent="0.25">
      <c r="A21" s="30" t="s">
        <v>1270</v>
      </c>
      <c r="B21">
        <v>1</v>
      </c>
      <c r="M21"/>
      <c r="N21"/>
    </row>
    <row r="22" spans="1:15" x14ac:dyDescent="0.25">
      <c r="A22" s="30" t="s">
        <v>127</v>
      </c>
      <c r="B22">
        <v>1</v>
      </c>
      <c r="M22"/>
      <c r="N22"/>
    </row>
    <row r="23" spans="1:15" x14ac:dyDescent="0.25">
      <c r="A23" s="30" t="s">
        <v>170</v>
      </c>
      <c r="B23">
        <v>1</v>
      </c>
      <c r="M23"/>
      <c r="N23"/>
    </row>
    <row r="24" spans="1:15" x14ac:dyDescent="0.25">
      <c r="A24" s="30" t="s">
        <v>130</v>
      </c>
      <c r="B24">
        <v>1</v>
      </c>
      <c r="M24"/>
      <c r="N24"/>
    </row>
    <row r="25" spans="1:15" x14ac:dyDescent="0.25">
      <c r="A25" s="30" t="s">
        <v>108</v>
      </c>
      <c r="B25">
        <v>1</v>
      </c>
      <c r="M25"/>
      <c r="N25"/>
    </row>
    <row r="26" spans="1:15" x14ac:dyDescent="0.25">
      <c r="A26" s="30" t="s">
        <v>124</v>
      </c>
      <c r="B26">
        <v>1</v>
      </c>
      <c r="M26"/>
      <c r="N26"/>
    </row>
    <row r="27" spans="1:15" x14ac:dyDescent="0.25">
      <c r="A27" s="30" t="s">
        <v>111</v>
      </c>
      <c r="B27">
        <v>1</v>
      </c>
      <c r="M27"/>
      <c r="N27"/>
    </row>
    <row r="28" spans="1:15" x14ac:dyDescent="0.25">
      <c r="A28" s="30" t="s">
        <v>121</v>
      </c>
      <c r="B28">
        <v>1</v>
      </c>
      <c r="M28"/>
      <c r="N28"/>
    </row>
    <row r="29" spans="1:15" x14ac:dyDescent="0.25">
      <c r="A29" s="30" t="s">
        <v>125</v>
      </c>
      <c r="B29">
        <v>2</v>
      </c>
      <c r="M29"/>
      <c r="N29"/>
    </row>
    <row r="30" spans="1:15" x14ac:dyDescent="0.25">
      <c r="A30" s="30" t="s">
        <v>183</v>
      </c>
      <c r="B30">
        <v>2</v>
      </c>
      <c r="M30"/>
      <c r="N30"/>
    </row>
    <row r="31" spans="1:15" x14ac:dyDescent="0.25">
      <c r="A31" s="30" t="s">
        <v>128</v>
      </c>
      <c r="B31">
        <v>3</v>
      </c>
      <c r="M31"/>
      <c r="N31"/>
    </row>
    <row r="32" spans="1:15" x14ac:dyDescent="0.25">
      <c r="A32" s="30" t="s">
        <v>55</v>
      </c>
      <c r="B32">
        <v>4</v>
      </c>
      <c r="M32"/>
      <c r="N32"/>
    </row>
    <row r="33" spans="1:14" x14ac:dyDescent="0.25">
      <c r="A33" s="30" t="s">
        <v>42</v>
      </c>
      <c r="B33">
        <v>7</v>
      </c>
      <c r="M33"/>
      <c r="N33"/>
    </row>
    <row r="34" spans="1:14" x14ac:dyDescent="0.25">
      <c r="A34" s="30" t="s">
        <v>157</v>
      </c>
      <c r="B34">
        <v>8</v>
      </c>
      <c r="M34"/>
      <c r="N34"/>
    </row>
    <row r="35" spans="1:14" x14ac:dyDescent="0.25">
      <c r="A35" s="30" t="s">
        <v>44</v>
      </c>
      <c r="B35">
        <v>8</v>
      </c>
      <c r="M35"/>
      <c r="N35"/>
    </row>
    <row r="36" spans="1:14" x14ac:dyDescent="0.25">
      <c r="A36" s="30" t="s">
        <v>54</v>
      </c>
      <c r="B36">
        <v>8</v>
      </c>
      <c r="M36"/>
      <c r="N36"/>
    </row>
    <row r="37" spans="1:14" x14ac:dyDescent="0.25">
      <c r="A37" s="30" t="s">
        <v>48</v>
      </c>
      <c r="B37">
        <v>115</v>
      </c>
      <c r="M37"/>
      <c r="N37"/>
    </row>
    <row r="38" spans="1:14" x14ac:dyDescent="0.25">
      <c r="A38"/>
      <c r="B38"/>
      <c r="M38"/>
      <c r="N38"/>
    </row>
    <row r="39" spans="1:14" x14ac:dyDescent="0.25">
      <c r="A39"/>
      <c r="B39"/>
      <c r="M39"/>
      <c r="N39"/>
    </row>
    <row r="40" spans="1:14" x14ac:dyDescent="0.25">
      <c r="A40"/>
      <c r="B40"/>
      <c r="M40"/>
      <c r="N40"/>
    </row>
    <row r="41" spans="1:14" x14ac:dyDescent="0.25">
      <c r="A41"/>
      <c r="B41"/>
      <c r="M41"/>
      <c r="N41"/>
    </row>
    <row r="42" spans="1:14" x14ac:dyDescent="0.25">
      <c r="A42"/>
      <c r="B42"/>
      <c r="M42"/>
      <c r="N42"/>
    </row>
    <row r="43" spans="1:14" x14ac:dyDescent="0.25">
      <c r="A43"/>
      <c r="B43"/>
      <c r="M43"/>
      <c r="N43"/>
    </row>
    <row r="44" spans="1:14" x14ac:dyDescent="0.25">
      <c r="A44"/>
      <c r="B44"/>
      <c r="M44"/>
      <c r="N44"/>
    </row>
    <row r="45" spans="1:14" x14ac:dyDescent="0.25">
      <c r="A45"/>
      <c r="B45"/>
      <c r="M45"/>
      <c r="N45"/>
    </row>
    <row r="46" spans="1:14" x14ac:dyDescent="0.25">
      <c r="A46"/>
      <c r="B46"/>
      <c r="M46"/>
      <c r="N46"/>
    </row>
    <row r="47" spans="1:14" x14ac:dyDescent="0.25">
      <c r="A47"/>
      <c r="B47"/>
      <c r="M47"/>
      <c r="N47"/>
    </row>
    <row r="48" spans="1:14" x14ac:dyDescent="0.25">
      <c r="A48"/>
      <c r="B48"/>
      <c r="M48"/>
      <c r="N48"/>
    </row>
    <row r="49" spans="1:14" x14ac:dyDescent="0.25">
      <c r="A49"/>
      <c r="B49"/>
      <c r="M49"/>
      <c r="N49"/>
    </row>
    <row r="50" spans="1:14" x14ac:dyDescent="0.25">
      <c r="A50"/>
      <c r="B50"/>
      <c r="M50"/>
      <c r="N50"/>
    </row>
    <row r="51" spans="1:14" x14ac:dyDescent="0.25">
      <c r="A51"/>
      <c r="B51"/>
      <c r="M51"/>
      <c r="N51"/>
    </row>
    <row r="52" spans="1:14" x14ac:dyDescent="0.25">
      <c r="A52"/>
      <c r="B52"/>
      <c r="M52"/>
      <c r="N52"/>
    </row>
    <row r="53" spans="1:14" x14ac:dyDescent="0.25">
      <c r="A53"/>
      <c r="B53"/>
      <c r="M53"/>
      <c r="N53"/>
    </row>
    <row r="54" spans="1:14" x14ac:dyDescent="0.25">
      <c r="A54"/>
      <c r="B54"/>
      <c r="M54"/>
      <c r="N54"/>
    </row>
    <row r="55" spans="1:14" x14ac:dyDescent="0.25">
      <c r="A55"/>
      <c r="B55"/>
      <c r="M55"/>
      <c r="N55"/>
    </row>
    <row r="56" spans="1:14" x14ac:dyDescent="0.25">
      <c r="A56"/>
      <c r="B56"/>
      <c r="M56"/>
      <c r="N56"/>
    </row>
    <row r="57" spans="1:14" x14ac:dyDescent="0.25">
      <c r="A57"/>
      <c r="B57"/>
      <c r="M57"/>
      <c r="N57"/>
    </row>
    <row r="58" spans="1:14" x14ac:dyDescent="0.25">
      <c r="A58"/>
      <c r="B58"/>
      <c r="M58"/>
      <c r="N58"/>
    </row>
    <row r="59" spans="1:14" x14ac:dyDescent="0.25">
      <c r="A59"/>
      <c r="B59"/>
      <c r="M59"/>
      <c r="N59"/>
    </row>
    <row r="60" spans="1:14" x14ac:dyDescent="0.25">
      <c r="A60"/>
      <c r="B60"/>
      <c r="M60"/>
      <c r="N60"/>
    </row>
    <row r="61" spans="1:14" x14ac:dyDescent="0.25">
      <c r="A61"/>
      <c r="B61"/>
      <c r="M61"/>
      <c r="N61"/>
    </row>
    <row r="62" spans="1:14" x14ac:dyDescent="0.25">
      <c r="A62"/>
      <c r="B62"/>
      <c r="M62"/>
      <c r="N62"/>
    </row>
    <row r="63" spans="1:14" x14ac:dyDescent="0.25">
      <c r="A63"/>
      <c r="B63"/>
      <c r="M63"/>
      <c r="N63"/>
    </row>
    <row r="64" spans="1:14" x14ac:dyDescent="0.25">
      <c r="A64"/>
      <c r="B64"/>
      <c r="M64"/>
      <c r="N64"/>
    </row>
    <row r="65" spans="1:14" x14ac:dyDescent="0.25">
      <c r="A65"/>
      <c r="B65"/>
      <c r="M65"/>
      <c r="N65"/>
    </row>
    <row r="66" spans="1:14" x14ac:dyDescent="0.25">
      <c r="A66"/>
      <c r="B66"/>
      <c r="M66"/>
      <c r="N66"/>
    </row>
    <row r="67" spans="1:14" x14ac:dyDescent="0.25">
      <c r="A67"/>
      <c r="B67"/>
      <c r="M67"/>
      <c r="N67"/>
    </row>
    <row r="68" spans="1:14" x14ac:dyDescent="0.25">
      <c r="A68"/>
      <c r="B68"/>
      <c r="M68"/>
      <c r="N68"/>
    </row>
    <row r="69" spans="1:14" x14ac:dyDescent="0.25">
      <c r="A69"/>
      <c r="B69"/>
      <c r="M69"/>
      <c r="N69"/>
    </row>
    <row r="70" spans="1:14" x14ac:dyDescent="0.25">
      <c r="A70"/>
      <c r="B70"/>
      <c r="M70"/>
      <c r="N70"/>
    </row>
    <row r="71" spans="1:14" x14ac:dyDescent="0.25">
      <c r="A71"/>
      <c r="B71"/>
      <c r="M71"/>
      <c r="N71"/>
    </row>
    <row r="72" spans="1:14" x14ac:dyDescent="0.25">
      <c r="A72"/>
      <c r="B72"/>
    </row>
    <row r="73" spans="1:14" x14ac:dyDescent="0.25">
      <c r="A73"/>
      <c r="B73"/>
    </row>
    <row r="74" spans="1:14" x14ac:dyDescent="0.25">
      <c r="A74"/>
      <c r="B74"/>
    </row>
    <row r="75" spans="1:14" x14ac:dyDescent="0.25">
      <c r="A75"/>
      <c r="B75"/>
    </row>
    <row r="76" spans="1:14" x14ac:dyDescent="0.25">
      <c r="A76"/>
      <c r="B76"/>
    </row>
    <row r="77" spans="1:14" x14ac:dyDescent="0.25">
      <c r="A77"/>
      <c r="B77"/>
    </row>
  </sheetData>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Refresh_Publisher_Data">
                <anchor moveWithCells="1">
                  <from>
                    <xdr:col>3</xdr:col>
                    <xdr:colOff>9525</xdr:colOff>
                    <xdr:row>0</xdr:row>
                    <xdr:rowOff>200025</xdr:rowOff>
                  </from>
                  <to>
                    <xdr:col>4</xdr:col>
                    <xdr:colOff>314325</xdr:colOff>
                    <xdr:row>2</xdr:row>
                    <xdr:rowOff>0</xdr:rowOff>
                  </to>
                </anchor>
              </controlPr>
            </control>
          </mc:Choice>
        </mc:AlternateContent>
        <mc:AlternateContent xmlns:mc="http://schemas.openxmlformats.org/markup-compatibility/2006">
          <mc:Choice Requires="x14">
            <control shapeId="17410" r:id="rId6" name="Button 2">
              <controlPr defaultSize="0" print="0" autoFill="0" autoPict="0" macro="[0]!PubRE_ChartUp">
                <anchor moveWithCells="1">
                  <from>
                    <xdr:col>2</xdr:col>
                    <xdr:colOff>466725</xdr:colOff>
                    <xdr:row>4</xdr:row>
                    <xdr:rowOff>0</xdr:rowOff>
                  </from>
                  <to>
                    <xdr:col>3</xdr:col>
                    <xdr:colOff>0</xdr:colOff>
                    <xdr:row>5</xdr:row>
                    <xdr:rowOff>47625</xdr:rowOff>
                  </to>
                </anchor>
              </controlPr>
            </control>
          </mc:Choice>
        </mc:AlternateContent>
        <mc:AlternateContent xmlns:mc="http://schemas.openxmlformats.org/markup-compatibility/2006">
          <mc:Choice Requires="x14">
            <control shapeId="17411" r:id="rId7" name="Button 3">
              <controlPr defaultSize="0" print="0" autoFill="0" autoPict="0" macro="[0]!PubRE_ChartDown">
                <anchor moveWithCells="1">
                  <from>
                    <xdr:col>2</xdr:col>
                    <xdr:colOff>466725</xdr:colOff>
                    <xdr:row>6</xdr:row>
                    <xdr:rowOff>0</xdr:rowOff>
                  </from>
                  <to>
                    <xdr:col>3</xdr:col>
                    <xdr:colOff>0</xdr:colOff>
                    <xdr:row>7</xdr:row>
                    <xdr:rowOff>47625</xdr:rowOff>
                  </to>
                </anchor>
              </controlPr>
            </control>
          </mc:Choice>
        </mc:AlternateContent>
        <mc:AlternateContent xmlns:mc="http://schemas.openxmlformats.org/markup-compatibility/2006">
          <mc:Choice Requires="x14">
            <control shapeId="17412" r:id="rId8" name="Button 4">
              <controlPr defaultSize="0" print="0" autoFill="0" autoPict="0" macro="[0]!PubN_ChartUp">
                <anchor moveWithCells="1">
                  <from>
                    <xdr:col>14</xdr:col>
                    <xdr:colOff>466725</xdr:colOff>
                    <xdr:row>4</xdr:row>
                    <xdr:rowOff>0</xdr:rowOff>
                  </from>
                  <to>
                    <xdr:col>15</xdr:col>
                    <xdr:colOff>0</xdr:colOff>
                    <xdr:row>5</xdr:row>
                    <xdr:rowOff>47625</xdr:rowOff>
                  </to>
                </anchor>
              </controlPr>
            </control>
          </mc:Choice>
        </mc:AlternateContent>
        <mc:AlternateContent xmlns:mc="http://schemas.openxmlformats.org/markup-compatibility/2006">
          <mc:Choice Requires="x14">
            <control shapeId="17413" r:id="rId9" name="Button 5">
              <controlPr defaultSize="0" print="0" autoFill="0" autoPict="0" macro="[0]!PubN_ChartDown">
                <anchor moveWithCells="1">
                  <from>
                    <xdr:col>14</xdr:col>
                    <xdr:colOff>466725</xdr:colOff>
                    <xdr:row>6</xdr:row>
                    <xdr:rowOff>0</xdr:rowOff>
                  </from>
                  <to>
                    <xdr:col>15</xdr:col>
                    <xdr:colOff>0</xdr:colOff>
                    <xdr:row>7</xdr:row>
                    <xdr:rowOff>47625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1BD42-2D01-460C-810F-0D8A1739D3C0}">
  <sheetPr codeName="Sheet3">
    <tabColor rgb="FF4472C4"/>
  </sheetPr>
  <dimension ref="A1:AA500"/>
  <sheetViews>
    <sheetView zoomScaleNormal="100" workbookViewId="0">
      <selection activeCell="B14" sqref="B14"/>
      <pivotSelection pane="bottomRight" extendable="1" activeRow="13" activeCol="1" previousRow="13" previousCol="1" click="1" r:id="rId1">
        <pivotArea type="data" fieldPosition="0">
          <references count="1">
            <reference field="27" count="1">
              <x v="15"/>
            </reference>
          </references>
        </pivotArea>
      </pivotSelection>
    </sheetView>
  </sheetViews>
  <sheetFormatPr defaultRowHeight="15" x14ac:dyDescent="0.25"/>
  <cols>
    <col min="1" max="1" width="16.7109375" style="2" customWidth="1"/>
    <col min="2" max="2" width="7.140625" style="2" bestFit="1" customWidth="1"/>
    <col min="3" max="3" width="20.7109375" style="2" customWidth="1"/>
    <col min="4" max="4" width="9.140625" style="2" customWidth="1"/>
    <col min="5" max="12" width="9.140625" style="2"/>
    <col min="13" max="13" width="13.7109375" style="74" hidden="1" customWidth="1"/>
    <col min="14" max="14" width="18" style="168" hidden="1" customWidth="1"/>
    <col min="15" max="15" width="14" style="2" hidden="1" customWidth="1"/>
    <col min="16" max="16" width="9.140625" style="2" customWidth="1"/>
    <col min="17" max="17" width="13.140625" style="162" bestFit="1" customWidth="1"/>
    <col min="18" max="18" width="7.140625" style="2" bestFit="1" customWidth="1"/>
    <col min="19" max="19" width="20.7109375" style="2" customWidth="1"/>
    <col min="20" max="16384" width="9.140625" style="2"/>
  </cols>
  <sheetData>
    <row r="1" spans="1:27" s="62" customFormat="1" ht="20.100000000000001" customHeight="1" x14ac:dyDescent="0.25">
      <c r="A1" s="169" t="s">
        <v>191</v>
      </c>
      <c r="B1" s="30" t="s">
        <v>188</v>
      </c>
      <c r="C1" s="30"/>
      <c r="M1" s="167" t="s">
        <v>192</v>
      </c>
      <c r="N1" s="167" t="s">
        <v>193</v>
      </c>
      <c r="O1" s="167" t="s">
        <v>194</v>
      </c>
      <c r="Q1" s="186" t="s">
        <v>1337</v>
      </c>
      <c r="R1" t="s">
        <v>188</v>
      </c>
      <c r="S1"/>
    </row>
    <row r="2" spans="1:27" ht="15" customHeight="1" x14ac:dyDescent="0.25">
      <c r="A2" s="30">
        <v>2022</v>
      </c>
      <c r="B2">
        <v>1</v>
      </c>
      <c r="C2"/>
      <c r="M2" s="166" cm="1">
        <f t="array" ref="M2:M195">Donation[Pub Date (RE)]</f>
        <v>0</v>
      </c>
      <c r="N2" s="162" t="str">
        <f t="shared" ref="N2:N50" si="0">IF(M2="n/a","0",IF(M2=0,"0",IFERROR(REPLACE(M2,5,5," ")*1,1)))</f>
        <v>0</v>
      </c>
      <c r="O2" s="156" t="s">
        <v>195</v>
      </c>
      <c r="Q2" s="30" t="s">
        <v>199</v>
      </c>
      <c r="R2">
        <v>37</v>
      </c>
      <c r="S2"/>
      <c r="W2" s="157" t="s">
        <v>196</v>
      </c>
      <c r="X2" s="158" t="e">
        <f>O5</f>
        <v>#VALUE!</v>
      </c>
      <c r="Z2" s="157" t="s">
        <v>197</v>
      </c>
      <c r="AA2" s="158" t="e">
        <f>O9</f>
        <v>#VALUE!</v>
      </c>
    </row>
    <row r="3" spans="1:27" ht="15" customHeight="1" x14ac:dyDescent="0.25">
      <c r="A3" s="30">
        <v>2021</v>
      </c>
      <c r="B3">
        <v>1</v>
      </c>
      <c r="C3"/>
      <c r="M3" s="74">
        <v>0</v>
      </c>
      <c r="N3" s="162" t="str">
        <f t="shared" si="0"/>
        <v>0</v>
      </c>
      <c r="O3" s="159">
        <f>MIN(N:N)</f>
        <v>0</v>
      </c>
      <c r="Q3" s="30" t="s">
        <v>200</v>
      </c>
      <c r="R3">
        <v>12</v>
      </c>
      <c r="S3"/>
    </row>
    <row r="4" spans="1:27" ht="15" customHeight="1" x14ac:dyDescent="0.25">
      <c r="A4" s="30" t="s">
        <v>169</v>
      </c>
      <c r="B4">
        <v>1</v>
      </c>
      <c r="C4"/>
      <c r="M4" s="74">
        <v>0</v>
      </c>
      <c r="N4" s="162" t="str">
        <f t="shared" si="0"/>
        <v>0</v>
      </c>
      <c r="O4" s="159" t="str">
        <f>REPLACE(O3,1,3,"")</f>
        <v/>
      </c>
      <c r="Q4"/>
      <c r="R4"/>
      <c r="S4"/>
    </row>
    <row r="5" spans="1:27" ht="15" customHeight="1" x14ac:dyDescent="0.25">
      <c r="A5" s="30">
        <v>2006</v>
      </c>
      <c r="B5">
        <v>1</v>
      </c>
      <c r="C5"/>
      <c r="M5" s="74">
        <v>0</v>
      </c>
      <c r="N5" s="162" t="str">
        <f t="shared" si="0"/>
        <v>0</v>
      </c>
      <c r="O5" s="160" t="e">
        <f>O3-O4</f>
        <v>#VALUE!</v>
      </c>
      <c r="Q5"/>
      <c r="R5"/>
      <c r="S5"/>
    </row>
    <row r="6" spans="1:27" ht="15" customHeight="1" x14ac:dyDescent="0.25">
      <c r="A6" s="30">
        <v>2016</v>
      </c>
      <c r="B6">
        <v>1</v>
      </c>
      <c r="C6"/>
      <c r="M6" s="74">
        <v>0</v>
      </c>
      <c r="N6" s="162" t="str">
        <f t="shared" si="0"/>
        <v>0</v>
      </c>
      <c r="O6" s="161" t="s">
        <v>198</v>
      </c>
      <c r="Q6"/>
      <c r="R6"/>
      <c r="S6"/>
    </row>
    <row r="7" spans="1:27" ht="15" customHeight="1" x14ac:dyDescent="0.25">
      <c r="A7" s="30">
        <v>2009</v>
      </c>
      <c r="B7">
        <v>1</v>
      </c>
      <c r="C7"/>
      <c r="M7" s="74">
        <v>0</v>
      </c>
      <c r="N7" s="162" t="str">
        <f t="shared" si="0"/>
        <v>0</v>
      </c>
      <c r="O7" s="159">
        <f>MAX(N:N)</f>
        <v>0</v>
      </c>
      <c r="Q7"/>
      <c r="R7"/>
      <c r="S7"/>
    </row>
    <row r="8" spans="1:27" ht="15" customHeight="1" x14ac:dyDescent="0.25">
      <c r="A8" s="30">
        <v>2015</v>
      </c>
      <c r="B8">
        <v>1</v>
      </c>
      <c r="C8"/>
      <c r="M8" s="74">
        <v>0</v>
      </c>
      <c r="N8" s="162" t="str">
        <f t="shared" si="0"/>
        <v>0</v>
      </c>
      <c r="O8" s="159" t="e">
        <f>REPLACE(O7,1,3,"")-10</f>
        <v>#VALUE!</v>
      </c>
      <c r="Q8"/>
      <c r="R8"/>
      <c r="S8"/>
    </row>
    <row r="9" spans="1:27" ht="15" customHeight="1" x14ac:dyDescent="0.25">
      <c r="A9" s="30" t="s">
        <v>133</v>
      </c>
      <c r="B9">
        <v>1</v>
      </c>
      <c r="C9"/>
      <c r="M9" s="74">
        <v>0</v>
      </c>
      <c r="N9" s="162" t="str">
        <f t="shared" si="0"/>
        <v>0</v>
      </c>
      <c r="O9" s="160" t="e">
        <f>O7-O8</f>
        <v>#VALUE!</v>
      </c>
      <c r="Q9"/>
      <c r="R9"/>
      <c r="S9"/>
    </row>
    <row r="10" spans="1:27" ht="15" customHeight="1" x14ac:dyDescent="0.25">
      <c r="A10" s="30">
        <v>2017</v>
      </c>
      <c r="B10">
        <v>1</v>
      </c>
      <c r="C10"/>
      <c r="M10" s="74">
        <v>0</v>
      </c>
      <c r="N10" s="162" t="str">
        <f t="shared" si="0"/>
        <v>0</v>
      </c>
      <c r="O10" s="5"/>
      <c r="Q10"/>
      <c r="R10"/>
      <c r="S10"/>
    </row>
    <row r="11" spans="1:27" ht="15" customHeight="1" x14ac:dyDescent="0.25">
      <c r="A11" s="30" t="s">
        <v>117</v>
      </c>
      <c r="B11">
        <v>3</v>
      </c>
      <c r="C11"/>
      <c r="M11" s="74">
        <v>0</v>
      </c>
      <c r="N11" s="162" t="str">
        <f t="shared" si="0"/>
        <v>0</v>
      </c>
      <c r="O11" s="5"/>
      <c r="Q11"/>
      <c r="R11"/>
      <c r="S11"/>
    </row>
    <row r="12" spans="1:27" ht="15" customHeight="1" x14ac:dyDescent="0.25">
      <c r="A12" s="30" t="s">
        <v>131</v>
      </c>
      <c r="B12">
        <v>4</v>
      </c>
      <c r="C12"/>
      <c r="M12" s="74">
        <v>0</v>
      </c>
      <c r="N12" s="162" t="str">
        <f t="shared" si="0"/>
        <v>0</v>
      </c>
      <c r="O12" s="5"/>
      <c r="Q12"/>
      <c r="R12"/>
      <c r="S12"/>
    </row>
    <row r="13" spans="1:27" ht="15" customHeight="1" x14ac:dyDescent="0.25">
      <c r="A13" s="30" t="s">
        <v>171</v>
      </c>
      <c r="B13">
        <v>4</v>
      </c>
      <c r="C13"/>
      <c r="M13" s="74">
        <v>0</v>
      </c>
      <c r="N13" s="162" t="str">
        <f t="shared" si="0"/>
        <v>0</v>
      </c>
      <c r="O13" s="5"/>
      <c r="Q13" s="187"/>
      <c r="R13"/>
      <c r="S13"/>
    </row>
    <row r="14" spans="1:27" ht="15" customHeight="1" x14ac:dyDescent="0.25">
      <c r="A14" s="30" t="s">
        <v>110</v>
      </c>
      <c r="B14">
        <v>7</v>
      </c>
      <c r="C14"/>
      <c r="M14" s="74">
        <v>0</v>
      </c>
      <c r="N14" s="162" t="str">
        <f t="shared" si="0"/>
        <v>0</v>
      </c>
      <c r="O14" s="5"/>
      <c r="Q14" s="187"/>
      <c r="R14"/>
      <c r="S14"/>
    </row>
    <row r="15" spans="1:27" ht="15" customHeight="1" x14ac:dyDescent="0.25">
      <c r="A15" s="30" t="s">
        <v>174</v>
      </c>
      <c r="B15">
        <v>7</v>
      </c>
      <c r="C15"/>
      <c r="M15" s="74">
        <v>0</v>
      </c>
      <c r="N15" s="162" t="str">
        <f t="shared" si="0"/>
        <v>0</v>
      </c>
      <c r="O15" s="5"/>
      <c r="Q15" s="187"/>
      <c r="R15"/>
      <c r="S15"/>
    </row>
    <row r="16" spans="1:27" ht="15" customHeight="1" x14ac:dyDescent="0.25">
      <c r="A16" s="30" t="s">
        <v>57</v>
      </c>
      <c r="B16">
        <v>8</v>
      </c>
      <c r="C16"/>
      <c r="M16" s="74">
        <v>0</v>
      </c>
      <c r="N16" s="162" t="str">
        <f t="shared" si="0"/>
        <v>0</v>
      </c>
      <c r="O16" s="5"/>
      <c r="Q16" s="187"/>
      <c r="R16"/>
      <c r="S16"/>
    </row>
    <row r="17" spans="1:19" ht="15" customHeight="1" x14ac:dyDescent="0.25">
      <c r="A17" s="30" t="s">
        <v>49</v>
      </c>
      <c r="B17">
        <v>13</v>
      </c>
      <c r="C17"/>
      <c r="M17" s="74">
        <v>0</v>
      </c>
      <c r="N17" s="162" t="str">
        <f t="shared" si="0"/>
        <v>0</v>
      </c>
      <c r="O17" s="5"/>
      <c r="Q17" s="187"/>
      <c r="R17"/>
      <c r="S17"/>
    </row>
    <row r="18" spans="1:19" ht="15" customHeight="1" x14ac:dyDescent="0.25">
      <c r="A18" s="30" t="s">
        <v>168</v>
      </c>
      <c r="B18">
        <v>24</v>
      </c>
      <c r="C18"/>
      <c r="M18" s="74">
        <v>0</v>
      </c>
      <c r="N18" s="162" t="str">
        <f t="shared" si="0"/>
        <v>0</v>
      </c>
      <c r="O18" s="5"/>
      <c r="Q18" s="187"/>
      <c r="R18"/>
      <c r="S18"/>
    </row>
    <row r="19" spans="1:19" ht="15" customHeight="1" x14ac:dyDescent="0.25">
      <c r="A19" s="30">
        <v>2020</v>
      </c>
      <c r="B19">
        <v>26</v>
      </c>
      <c r="M19" s="74">
        <v>0</v>
      </c>
      <c r="N19" s="162" t="str">
        <f t="shared" si="0"/>
        <v>0</v>
      </c>
      <c r="O19" s="5"/>
      <c r="Q19" s="187"/>
      <c r="R19"/>
    </row>
    <row r="20" spans="1:19" ht="15" customHeight="1" x14ac:dyDescent="0.25">
      <c r="A20" s="30">
        <v>2018</v>
      </c>
      <c r="B20">
        <v>30</v>
      </c>
      <c r="M20" s="74">
        <v>0</v>
      </c>
      <c r="N20" s="162" t="str">
        <f t="shared" si="0"/>
        <v>0</v>
      </c>
      <c r="O20" s="5"/>
      <c r="Q20" s="187"/>
      <c r="R20"/>
    </row>
    <row r="21" spans="1:19" ht="15" customHeight="1" x14ac:dyDescent="0.25">
      <c r="A21" s="30">
        <v>2019</v>
      </c>
      <c r="B21">
        <v>44</v>
      </c>
      <c r="M21" s="74">
        <v>0</v>
      </c>
      <c r="N21" s="162" t="str">
        <f t="shared" si="0"/>
        <v>0</v>
      </c>
      <c r="O21" s="5"/>
      <c r="Q21" s="187"/>
      <c r="R21"/>
    </row>
    <row r="22" spans="1:19" ht="15" customHeight="1" x14ac:dyDescent="0.25">
      <c r="A22"/>
      <c r="B22"/>
      <c r="M22" s="74">
        <v>0</v>
      </c>
      <c r="N22" s="162" t="str">
        <f t="shared" si="0"/>
        <v>0</v>
      </c>
      <c r="O22" s="5"/>
      <c r="Q22" s="187"/>
      <c r="R22"/>
    </row>
    <row r="23" spans="1:19" ht="15" customHeight="1" x14ac:dyDescent="0.25">
      <c r="A23"/>
      <c r="B23"/>
      <c r="M23" s="74">
        <v>0</v>
      </c>
      <c r="N23" s="162" t="str">
        <f t="shared" si="0"/>
        <v>0</v>
      </c>
      <c r="O23" s="5"/>
      <c r="Q23" s="187"/>
      <c r="R23"/>
    </row>
    <row r="24" spans="1:19" ht="15" customHeight="1" x14ac:dyDescent="0.25">
      <c r="A24"/>
      <c r="B24"/>
      <c r="M24" s="74">
        <v>0</v>
      </c>
      <c r="N24" s="162" t="str">
        <f t="shared" si="0"/>
        <v>0</v>
      </c>
      <c r="O24" s="5"/>
      <c r="Q24" s="187"/>
      <c r="R24"/>
    </row>
    <row r="25" spans="1:19" ht="15" customHeight="1" x14ac:dyDescent="0.25">
      <c r="A25"/>
      <c r="B25"/>
      <c r="M25" s="74">
        <v>0</v>
      </c>
      <c r="N25" s="162" t="str">
        <f t="shared" si="0"/>
        <v>0</v>
      </c>
      <c r="O25" s="5"/>
      <c r="Q25" s="187"/>
      <c r="R25"/>
    </row>
    <row r="26" spans="1:19" ht="15" customHeight="1" x14ac:dyDescent="0.25">
      <c r="A26"/>
      <c r="B26"/>
      <c r="M26" s="74">
        <v>0</v>
      </c>
      <c r="N26" s="162" t="str">
        <f t="shared" si="0"/>
        <v>0</v>
      </c>
      <c r="O26" s="5"/>
      <c r="Q26" s="187"/>
      <c r="R26"/>
    </row>
    <row r="27" spans="1:19" ht="15" customHeight="1" x14ac:dyDescent="0.25">
      <c r="A27"/>
      <c r="B27"/>
      <c r="M27" s="74">
        <v>0</v>
      </c>
      <c r="N27" s="162" t="str">
        <f t="shared" si="0"/>
        <v>0</v>
      </c>
      <c r="O27" s="5"/>
      <c r="Q27" s="187"/>
      <c r="R27"/>
    </row>
    <row r="28" spans="1:19" ht="15" customHeight="1" x14ac:dyDescent="0.25">
      <c r="A28"/>
      <c r="B28"/>
      <c r="M28" s="74">
        <v>0</v>
      </c>
      <c r="N28" s="162" t="str">
        <f t="shared" si="0"/>
        <v>0</v>
      </c>
      <c r="O28" s="5"/>
      <c r="Q28" s="187"/>
      <c r="R28"/>
    </row>
    <row r="29" spans="1:19" ht="15" customHeight="1" x14ac:dyDescent="0.25">
      <c r="A29"/>
      <c r="B29"/>
      <c r="M29" s="74">
        <v>0</v>
      </c>
      <c r="N29" s="162" t="str">
        <f t="shared" si="0"/>
        <v>0</v>
      </c>
      <c r="O29" s="5"/>
      <c r="Q29" s="187"/>
      <c r="R29"/>
    </row>
    <row r="30" spans="1:19" x14ac:dyDescent="0.25">
      <c r="A30"/>
      <c r="B30"/>
      <c r="M30" s="74">
        <v>0</v>
      </c>
      <c r="N30" s="162" t="str">
        <f t="shared" si="0"/>
        <v>0</v>
      </c>
      <c r="O30" s="5"/>
      <c r="Q30" s="187"/>
      <c r="R30"/>
    </row>
    <row r="31" spans="1:19" ht="15" customHeight="1" x14ac:dyDescent="0.25">
      <c r="A31"/>
      <c r="B31"/>
      <c r="M31" s="74">
        <v>0</v>
      </c>
      <c r="N31" s="162" t="str">
        <f t="shared" si="0"/>
        <v>0</v>
      </c>
      <c r="O31" s="5"/>
      <c r="Q31" s="187"/>
      <c r="R31"/>
    </row>
    <row r="32" spans="1:19" x14ac:dyDescent="0.25">
      <c r="A32"/>
      <c r="B32"/>
      <c r="M32" s="74">
        <v>0</v>
      </c>
      <c r="N32" s="162" t="str">
        <f t="shared" si="0"/>
        <v>0</v>
      </c>
      <c r="O32" s="5"/>
      <c r="Q32" s="187"/>
      <c r="R32"/>
    </row>
    <row r="33" spans="1:18" x14ac:dyDescent="0.25">
      <c r="A33"/>
      <c r="B33"/>
      <c r="M33" s="74">
        <v>0</v>
      </c>
      <c r="N33" s="162" t="str">
        <f t="shared" si="0"/>
        <v>0</v>
      </c>
      <c r="O33" s="5"/>
      <c r="Q33" s="187"/>
      <c r="R33"/>
    </row>
    <row r="34" spans="1:18" x14ac:dyDescent="0.25">
      <c r="A34"/>
      <c r="B34"/>
      <c r="M34" s="74">
        <v>0</v>
      </c>
      <c r="N34" s="162" t="str">
        <f t="shared" si="0"/>
        <v>0</v>
      </c>
      <c r="O34" s="5"/>
      <c r="Q34" s="187"/>
      <c r="R34"/>
    </row>
    <row r="35" spans="1:18" x14ac:dyDescent="0.25">
      <c r="A35"/>
      <c r="B35"/>
      <c r="M35" s="74">
        <v>0</v>
      </c>
      <c r="N35" s="162" t="str">
        <f t="shared" si="0"/>
        <v>0</v>
      </c>
      <c r="O35" s="5"/>
      <c r="Q35" s="187"/>
      <c r="R35"/>
    </row>
    <row r="36" spans="1:18" x14ac:dyDescent="0.25">
      <c r="A36"/>
      <c r="B36"/>
      <c r="M36" s="74">
        <v>0</v>
      </c>
      <c r="N36" s="162" t="str">
        <f t="shared" si="0"/>
        <v>0</v>
      </c>
      <c r="O36" s="5"/>
      <c r="Q36" s="187"/>
      <c r="R36"/>
    </row>
    <row r="37" spans="1:18" x14ac:dyDescent="0.25">
      <c r="A37"/>
      <c r="B37"/>
      <c r="M37" s="74">
        <v>0</v>
      </c>
      <c r="N37" s="162" t="str">
        <f t="shared" si="0"/>
        <v>0</v>
      </c>
      <c r="O37" s="5"/>
      <c r="Q37" s="187"/>
      <c r="R37"/>
    </row>
    <row r="38" spans="1:18" x14ac:dyDescent="0.25">
      <c r="A38"/>
      <c r="B38"/>
      <c r="M38" s="74">
        <v>0</v>
      </c>
      <c r="N38" s="162" t="str">
        <f t="shared" si="0"/>
        <v>0</v>
      </c>
      <c r="O38" s="5"/>
      <c r="Q38" s="187"/>
      <c r="R38"/>
    </row>
    <row r="39" spans="1:18" x14ac:dyDescent="0.25">
      <c r="A39"/>
      <c r="B39"/>
      <c r="M39" s="74">
        <v>0</v>
      </c>
      <c r="N39" s="162" t="str">
        <f t="shared" si="0"/>
        <v>0</v>
      </c>
      <c r="O39" s="5"/>
      <c r="Q39" s="187"/>
      <c r="R39"/>
    </row>
    <row r="40" spans="1:18" x14ac:dyDescent="0.25">
      <c r="A40"/>
      <c r="B40"/>
      <c r="M40" s="74">
        <v>0</v>
      </c>
      <c r="N40" s="162" t="str">
        <f t="shared" si="0"/>
        <v>0</v>
      </c>
      <c r="O40" s="5"/>
      <c r="Q40" s="187"/>
      <c r="R40"/>
    </row>
    <row r="41" spans="1:18" x14ac:dyDescent="0.25">
      <c r="A41"/>
      <c r="B41"/>
      <c r="M41" s="74">
        <v>0</v>
      </c>
      <c r="N41" s="162" t="str">
        <f t="shared" si="0"/>
        <v>0</v>
      </c>
      <c r="O41" s="5"/>
      <c r="Q41" s="187"/>
      <c r="R41"/>
    </row>
    <row r="42" spans="1:18" x14ac:dyDescent="0.25">
      <c r="A42"/>
      <c r="B42"/>
      <c r="M42" s="74">
        <v>0</v>
      </c>
      <c r="N42" s="162" t="str">
        <f t="shared" si="0"/>
        <v>0</v>
      </c>
      <c r="O42" s="5"/>
      <c r="Q42" s="187"/>
      <c r="R42"/>
    </row>
    <row r="43" spans="1:18" x14ac:dyDescent="0.25">
      <c r="A43"/>
      <c r="B43"/>
      <c r="M43" s="74">
        <v>0</v>
      </c>
      <c r="N43" s="162" t="str">
        <f t="shared" si="0"/>
        <v>0</v>
      </c>
      <c r="O43" s="5"/>
      <c r="Q43" s="187"/>
      <c r="R43"/>
    </row>
    <row r="44" spans="1:18" x14ac:dyDescent="0.25">
      <c r="A44"/>
      <c r="B44"/>
      <c r="M44" s="74">
        <v>0</v>
      </c>
      <c r="N44" s="162" t="str">
        <f t="shared" si="0"/>
        <v>0</v>
      </c>
      <c r="O44" s="5"/>
      <c r="Q44" s="187"/>
      <c r="R44"/>
    </row>
    <row r="45" spans="1:18" x14ac:dyDescent="0.25">
      <c r="A45"/>
      <c r="B45"/>
      <c r="M45" s="74">
        <v>0</v>
      </c>
      <c r="N45" s="162" t="str">
        <f t="shared" si="0"/>
        <v>0</v>
      </c>
      <c r="O45" s="5"/>
      <c r="Q45" s="187"/>
      <c r="R45"/>
    </row>
    <row r="46" spans="1:18" x14ac:dyDescent="0.25">
      <c r="A46"/>
      <c r="B46"/>
      <c r="M46" s="74">
        <v>0</v>
      </c>
      <c r="N46" s="162" t="str">
        <f t="shared" si="0"/>
        <v>0</v>
      </c>
      <c r="O46" s="5"/>
      <c r="Q46" s="187"/>
      <c r="R46"/>
    </row>
    <row r="47" spans="1:18" x14ac:dyDescent="0.25">
      <c r="A47"/>
      <c r="B47"/>
      <c r="M47" s="74">
        <v>0</v>
      </c>
      <c r="N47" s="162" t="str">
        <f t="shared" si="0"/>
        <v>0</v>
      </c>
      <c r="O47" s="5"/>
      <c r="Q47" s="187"/>
      <c r="R47"/>
    </row>
    <row r="48" spans="1:18" x14ac:dyDescent="0.25">
      <c r="A48"/>
      <c r="B48"/>
      <c r="M48" s="74">
        <v>0</v>
      </c>
      <c r="N48" s="162" t="str">
        <f t="shared" si="0"/>
        <v>0</v>
      </c>
      <c r="O48" s="5"/>
      <c r="Q48" s="187"/>
      <c r="R48"/>
    </row>
    <row r="49" spans="1:18" x14ac:dyDescent="0.25">
      <c r="A49"/>
      <c r="B49"/>
      <c r="M49" s="74">
        <v>0</v>
      </c>
      <c r="N49" s="162" t="str">
        <f t="shared" si="0"/>
        <v>0</v>
      </c>
      <c r="O49" s="5"/>
      <c r="Q49" s="187"/>
      <c r="R49"/>
    </row>
    <row r="50" spans="1:18" x14ac:dyDescent="0.25">
      <c r="A50"/>
      <c r="B50"/>
      <c r="M50" s="74">
        <v>0</v>
      </c>
      <c r="N50" s="162" t="str">
        <f t="shared" si="0"/>
        <v>0</v>
      </c>
      <c r="O50" s="5"/>
      <c r="Q50" s="187"/>
      <c r="R50"/>
    </row>
    <row r="51" spans="1:18" x14ac:dyDescent="0.25">
      <c r="A51"/>
      <c r="B51"/>
      <c r="M51" s="74">
        <v>0</v>
      </c>
      <c r="N51" s="162"/>
      <c r="O51" s="5"/>
      <c r="Q51" s="187"/>
      <c r="R51"/>
    </row>
    <row r="52" spans="1:18" x14ac:dyDescent="0.25">
      <c r="A52"/>
      <c r="B52"/>
      <c r="M52" s="74">
        <v>0</v>
      </c>
      <c r="N52" s="162"/>
      <c r="O52" s="5"/>
      <c r="Q52" s="187"/>
      <c r="R52"/>
    </row>
    <row r="53" spans="1:18" x14ac:dyDescent="0.25">
      <c r="A53"/>
      <c r="B53"/>
      <c r="M53" s="74">
        <v>0</v>
      </c>
      <c r="N53" s="162"/>
      <c r="O53" s="5"/>
      <c r="Q53" s="187"/>
      <c r="R53"/>
    </row>
    <row r="54" spans="1:18" x14ac:dyDescent="0.25">
      <c r="A54"/>
      <c r="B54"/>
      <c r="M54" s="74">
        <v>0</v>
      </c>
      <c r="N54" s="162"/>
      <c r="O54" s="5"/>
      <c r="Q54" s="187"/>
      <c r="R54"/>
    </row>
    <row r="55" spans="1:18" x14ac:dyDescent="0.25">
      <c r="A55"/>
      <c r="B55"/>
      <c r="M55" s="74">
        <v>0</v>
      </c>
      <c r="N55" s="162"/>
      <c r="O55" s="5"/>
      <c r="Q55" s="187"/>
      <c r="R55"/>
    </row>
    <row r="56" spans="1:18" x14ac:dyDescent="0.25">
      <c r="A56"/>
      <c r="B56"/>
      <c r="M56" s="74">
        <v>0</v>
      </c>
      <c r="N56" s="162"/>
      <c r="O56" s="5"/>
    </row>
    <row r="57" spans="1:18" x14ac:dyDescent="0.25">
      <c r="A57"/>
      <c r="B57"/>
      <c r="M57" s="74">
        <v>0</v>
      </c>
      <c r="N57" s="162"/>
      <c r="O57" s="5"/>
    </row>
    <row r="58" spans="1:18" x14ac:dyDescent="0.25">
      <c r="A58"/>
      <c r="B58"/>
      <c r="M58" s="74">
        <v>0</v>
      </c>
      <c r="N58" s="162"/>
      <c r="O58" s="5"/>
    </row>
    <row r="59" spans="1:18" x14ac:dyDescent="0.25">
      <c r="A59"/>
      <c r="B59"/>
      <c r="M59" s="74">
        <v>0</v>
      </c>
      <c r="N59" s="162"/>
      <c r="O59" s="5"/>
    </row>
    <row r="60" spans="1:18" x14ac:dyDescent="0.25">
      <c r="A60"/>
      <c r="B60"/>
      <c r="M60" s="74">
        <v>0</v>
      </c>
      <c r="N60" s="162"/>
      <c r="O60" s="5"/>
    </row>
    <row r="61" spans="1:18" x14ac:dyDescent="0.25">
      <c r="A61"/>
      <c r="B61"/>
      <c r="M61" s="74">
        <v>0</v>
      </c>
      <c r="N61" s="162"/>
      <c r="O61" s="5"/>
    </row>
    <row r="62" spans="1:18" x14ac:dyDescent="0.25">
      <c r="A62"/>
      <c r="B62"/>
      <c r="M62" s="74">
        <v>0</v>
      </c>
      <c r="N62" s="162"/>
      <c r="O62" s="5"/>
    </row>
    <row r="63" spans="1:18" x14ac:dyDescent="0.25">
      <c r="A63"/>
      <c r="B63"/>
      <c r="M63" s="74">
        <v>0</v>
      </c>
      <c r="N63" s="162"/>
      <c r="O63" s="5"/>
    </row>
    <row r="64" spans="1:18" x14ac:dyDescent="0.25">
      <c r="A64"/>
      <c r="B64"/>
      <c r="M64" s="74">
        <v>0</v>
      </c>
      <c r="N64" s="162"/>
      <c r="O64" s="5"/>
    </row>
    <row r="65" spans="1:15" x14ac:dyDescent="0.25">
      <c r="A65"/>
      <c r="B65"/>
      <c r="M65" s="74">
        <v>0</v>
      </c>
      <c r="N65" s="162"/>
      <c r="O65" s="5"/>
    </row>
    <row r="66" spans="1:15" x14ac:dyDescent="0.25">
      <c r="A66"/>
      <c r="B66"/>
      <c r="M66" s="74">
        <v>0</v>
      </c>
      <c r="N66" s="162"/>
      <c r="O66" s="5"/>
    </row>
    <row r="67" spans="1:15" x14ac:dyDescent="0.25">
      <c r="M67" s="74">
        <v>0</v>
      </c>
      <c r="N67" s="162"/>
      <c r="O67" s="5"/>
    </row>
    <row r="68" spans="1:15" x14ac:dyDescent="0.25">
      <c r="M68" s="74">
        <v>0</v>
      </c>
      <c r="N68" s="162"/>
      <c r="O68" s="5"/>
    </row>
    <row r="69" spans="1:15" x14ac:dyDescent="0.25">
      <c r="M69" s="74">
        <v>0</v>
      </c>
      <c r="N69" s="162"/>
      <c r="O69" s="5"/>
    </row>
    <row r="70" spans="1:15" x14ac:dyDescent="0.25">
      <c r="M70" s="74">
        <v>0</v>
      </c>
      <c r="N70" s="162"/>
      <c r="O70" s="5"/>
    </row>
    <row r="71" spans="1:15" x14ac:dyDescent="0.25">
      <c r="M71" s="74">
        <v>0</v>
      </c>
      <c r="N71" s="162"/>
      <c r="O71" s="5"/>
    </row>
    <row r="72" spans="1:15" x14ac:dyDescent="0.25">
      <c r="M72" s="74">
        <v>0</v>
      </c>
      <c r="N72" s="162"/>
      <c r="O72" s="5"/>
    </row>
    <row r="73" spans="1:15" x14ac:dyDescent="0.25">
      <c r="M73" s="74">
        <v>0</v>
      </c>
      <c r="N73" s="162"/>
      <c r="O73" s="5"/>
    </row>
    <row r="74" spans="1:15" x14ac:dyDescent="0.25">
      <c r="M74" s="74">
        <v>0</v>
      </c>
      <c r="N74" s="162"/>
      <c r="O74" s="5"/>
    </row>
    <row r="75" spans="1:15" x14ac:dyDescent="0.25">
      <c r="M75" s="74">
        <v>0</v>
      </c>
      <c r="N75" s="162"/>
      <c r="O75" s="5"/>
    </row>
    <row r="76" spans="1:15" x14ac:dyDescent="0.25">
      <c r="M76" s="74">
        <v>0</v>
      </c>
      <c r="N76" s="162"/>
      <c r="O76" s="5"/>
    </row>
    <row r="77" spans="1:15" x14ac:dyDescent="0.25">
      <c r="M77" s="74">
        <v>0</v>
      </c>
      <c r="N77" s="162"/>
      <c r="O77" s="5"/>
    </row>
    <row r="78" spans="1:15" x14ac:dyDescent="0.25">
      <c r="M78" s="74">
        <v>0</v>
      </c>
      <c r="N78" s="162"/>
      <c r="O78" s="5"/>
    </row>
    <row r="79" spans="1:15" x14ac:dyDescent="0.25">
      <c r="M79" s="74">
        <v>0</v>
      </c>
      <c r="N79" s="162"/>
      <c r="O79" s="5"/>
    </row>
    <row r="80" spans="1:15" x14ac:dyDescent="0.25">
      <c r="M80" s="74">
        <v>0</v>
      </c>
      <c r="N80" s="162"/>
      <c r="O80" s="5"/>
    </row>
    <row r="81" spans="13:15" x14ac:dyDescent="0.25">
      <c r="M81" s="74">
        <v>0</v>
      </c>
      <c r="N81" s="162"/>
      <c r="O81" s="5"/>
    </row>
    <row r="82" spans="13:15" x14ac:dyDescent="0.25">
      <c r="M82" s="74">
        <v>0</v>
      </c>
      <c r="N82" s="162"/>
      <c r="O82" s="5"/>
    </row>
    <row r="83" spans="13:15" x14ac:dyDescent="0.25">
      <c r="M83" s="74">
        <v>0</v>
      </c>
      <c r="N83" s="162"/>
      <c r="O83" s="5"/>
    </row>
    <row r="84" spans="13:15" x14ac:dyDescent="0.25">
      <c r="M84" s="74">
        <v>0</v>
      </c>
      <c r="N84" s="162"/>
      <c r="O84" s="5"/>
    </row>
    <row r="85" spans="13:15" x14ac:dyDescent="0.25">
      <c r="M85" s="74">
        <v>0</v>
      </c>
      <c r="N85" s="162"/>
      <c r="O85" s="5"/>
    </row>
    <row r="86" spans="13:15" x14ac:dyDescent="0.25">
      <c r="M86" s="74">
        <v>0</v>
      </c>
      <c r="N86" s="162"/>
      <c r="O86" s="5"/>
    </row>
    <row r="87" spans="13:15" x14ac:dyDescent="0.25">
      <c r="M87" s="74">
        <v>0</v>
      </c>
      <c r="N87" s="162"/>
      <c r="O87" s="5"/>
    </row>
    <row r="88" spans="13:15" x14ac:dyDescent="0.25">
      <c r="M88" s="74">
        <v>0</v>
      </c>
      <c r="N88" s="162"/>
      <c r="O88" s="5"/>
    </row>
    <row r="89" spans="13:15" x14ac:dyDescent="0.25">
      <c r="M89" s="74">
        <v>0</v>
      </c>
      <c r="N89" s="162"/>
      <c r="O89" s="5"/>
    </row>
    <row r="90" spans="13:15" x14ac:dyDescent="0.25">
      <c r="M90" s="74">
        <v>0</v>
      </c>
      <c r="N90" s="162"/>
      <c r="O90" s="5"/>
    </row>
    <row r="91" spans="13:15" x14ac:dyDescent="0.25">
      <c r="M91" s="74">
        <v>0</v>
      </c>
      <c r="N91" s="162"/>
      <c r="O91" s="5"/>
    </row>
    <row r="92" spans="13:15" x14ac:dyDescent="0.25">
      <c r="M92" s="74">
        <v>0</v>
      </c>
      <c r="N92" s="162"/>
      <c r="O92" s="5"/>
    </row>
    <row r="93" spans="13:15" x14ac:dyDescent="0.25">
      <c r="M93" s="74">
        <v>0</v>
      </c>
      <c r="N93" s="162"/>
      <c r="O93" s="5"/>
    </row>
    <row r="94" spans="13:15" x14ac:dyDescent="0.25">
      <c r="M94" s="74">
        <v>0</v>
      </c>
      <c r="N94" s="162"/>
      <c r="O94" s="5"/>
    </row>
    <row r="95" spans="13:15" x14ac:dyDescent="0.25">
      <c r="M95" s="74">
        <v>0</v>
      </c>
      <c r="N95" s="162"/>
      <c r="O95" s="5"/>
    </row>
    <row r="96" spans="13:15" x14ac:dyDescent="0.25">
      <c r="M96" s="74">
        <v>0</v>
      </c>
      <c r="N96" s="162"/>
      <c r="O96" s="5"/>
    </row>
    <row r="97" spans="13:15" x14ac:dyDescent="0.25">
      <c r="M97" s="74">
        <v>0</v>
      </c>
      <c r="N97" s="162"/>
      <c r="O97" s="5"/>
    </row>
    <row r="98" spans="13:15" x14ac:dyDescent="0.25">
      <c r="M98" s="74">
        <v>0</v>
      </c>
      <c r="N98" s="162"/>
      <c r="O98" s="5"/>
    </row>
    <row r="99" spans="13:15" x14ac:dyDescent="0.25">
      <c r="M99" s="74">
        <v>0</v>
      </c>
      <c r="N99" s="162"/>
      <c r="O99" s="5"/>
    </row>
    <row r="100" spans="13:15" x14ac:dyDescent="0.25">
      <c r="M100" s="74">
        <v>0</v>
      </c>
      <c r="N100" s="162"/>
      <c r="O100" s="5"/>
    </row>
    <row r="101" spans="13:15" x14ac:dyDescent="0.25">
      <c r="M101" s="74">
        <v>0</v>
      </c>
      <c r="N101" s="162"/>
      <c r="O101" s="5"/>
    </row>
    <row r="102" spans="13:15" x14ac:dyDescent="0.25">
      <c r="M102" s="74">
        <v>0</v>
      </c>
      <c r="N102" s="162"/>
      <c r="O102" s="5"/>
    </row>
    <row r="103" spans="13:15" x14ac:dyDescent="0.25">
      <c r="M103" s="74">
        <v>0</v>
      </c>
      <c r="N103" s="162"/>
      <c r="O103" s="5"/>
    </row>
    <row r="104" spans="13:15" x14ac:dyDescent="0.25">
      <c r="M104" s="74">
        <v>0</v>
      </c>
      <c r="N104" s="162"/>
      <c r="O104" s="5"/>
    </row>
    <row r="105" spans="13:15" x14ac:dyDescent="0.25">
      <c r="M105" s="74">
        <v>0</v>
      </c>
      <c r="N105" s="162"/>
      <c r="O105" s="5"/>
    </row>
    <row r="106" spans="13:15" x14ac:dyDescent="0.25">
      <c r="M106" s="74">
        <v>0</v>
      </c>
      <c r="N106" s="162"/>
      <c r="O106" s="5"/>
    </row>
    <row r="107" spans="13:15" x14ac:dyDescent="0.25">
      <c r="M107" s="74">
        <v>0</v>
      </c>
      <c r="N107" s="162"/>
      <c r="O107" s="5"/>
    </row>
    <row r="108" spans="13:15" x14ac:dyDescent="0.25">
      <c r="M108" s="74">
        <v>0</v>
      </c>
      <c r="N108" s="162"/>
      <c r="O108" s="5"/>
    </row>
    <row r="109" spans="13:15" x14ac:dyDescent="0.25">
      <c r="M109" s="74">
        <v>0</v>
      </c>
      <c r="N109" s="162"/>
      <c r="O109" s="5"/>
    </row>
    <row r="110" spans="13:15" x14ac:dyDescent="0.25">
      <c r="M110" s="74">
        <v>0</v>
      </c>
      <c r="N110" s="162"/>
      <c r="O110" s="5"/>
    </row>
    <row r="111" spans="13:15" x14ac:dyDescent="0.25">
      <c r="M111" s="74">
        <v>0</v>
      </c>
      <c r="N111" s="162"/>
      <c r="O111" s="5"/>
    </row>
    <row r="112" spans="13:15" x14ac:dyDescent="0.25">
      <c r="M112" s="74">
        <v>0</v>
      </c>
      <c r="N112" s="162"/>
      <c r="O112" s="5"/>
    </row>
    <row r="113" spans="13:15" x14ac:dyDescent="0.25">
      <c r="M113" s="74">
        <v>0</v>
      </c>
      <c r="N113" s="162"/>
      <c r="O113" s="5"/>
    </row>
    <row r="114" spans="13:15" x14ac:dyDescent="0.25">
      <c r="M114" s="74">
        <v>0</v>
      </c>
      <c r="N114" s="162"/>
      <c r="O114" s="5"/>
    </row>
    <row r="115" spans="13:15" x14ac:dyDescent="0.25">
      <c r="M115" s="74">
        <v>0</v>
      </c>
      <c r="N115" s="162"/>
      <c r="O115" s="5"/>
    </row>
    <row r="116" spans="13:15" x14ac:dyDescent="0.25">
      <c r="M116" s="74">
        <v>0</v>
      </c>
      <c r="N116" s="162"/>
      <c r="O116" s="5"/>
    </row>
    <row r="117" spans="13:15" x14ac:dyDescent="0.25">
      <c r="M117" s="74">
        <v>0</v>
      </c>
      <c r="N117" s="162"/>
      <c r="O117" s="5"/>
    </row>
    <row r="118" spans="13:15" x14ac:dyDescent="0.25">
      <c r="M118" s="74">
        <v>0</v>
      </c>
      <c r="N118" s="162"/>
      <c r="O118" s="5"/>
    </row>
    <row r="119" spans="13:15" x14ac:dyDescent="0.25">
      <c r="M119" s="74">
        <v>0</v>
      </c>
      <c r="N119" s="162"/>
      <c r="O119" s="5"/>
    </row>
    <row r="120" spans="13:15" x14ac:dyDescent="0.25">
      <c r="M120" s="74">
        <v>0</v>
      </c>
      <c r="N120" s="162"/>
      <c r="O120" s="5"/>
    </row>
    <row r="121" spans="13:15" x14ac:dyDescent="0.25">
      <c r="M121" s="74">
        <v>0</v>
      </c>
      <c r="N121" s="162"/>
      <c r="O121" s="5"/>
    </row>
    <row r="122" spans="13:15" x14ac:dyDescent="0.25">
      <c r="M122" s="74">
        <v>0</v>
      </c>
      <c r="N122" s="162"/>
      <c r="O122" s="5"/>
    </row>
    <row r="123" spans="13:15" x14ac:dyDescent="0.25">
      <c r="M123" s="74">
        <v>0</v>
      </c>
      <c r="N123" s="162"/>
      <c r="O123" s="5"/>
    </row>
    <row r="124" spans="13:15" x14ac:dyDescent="0.25">
      <c r="M124" s="74">
        <v>0</v>
      </c>
      <c r="N124" s="162"/>
      <c r="O124" s="5"/>
    </row>
    <row r="125" spans="13:15" x14ac:dyDescent="0.25">
      <c r="M125" s="74">
        <v>0</v>
      </c>
      <c r="N125" s="162"/>
      <c r="O125" s="5"/>
    </row>
    <row r="126" spans="13:15" x14ac:dyDescent="0.25">
      <c r="M126" s="74">
        <v>0</v>
      </c>
      <c r="N126" s="162"/>
      <c r="O126" s="5"/>
    </row>
    <row r="127" spans="13:15" x14ac:dyDescent="0.25">
      <c r="M127" s="74">
        <v>0</v>
      </c>
      <c r="N127" s="162"/>
      <c r="O127" s="5"/>
    </row>
    <row r="128" spans="13:15" x14ac:dyDescent="0.25">
      <c r="M128" s="74">
        <v>0</v>
      </c>
      <c r="N128" s="162"/>
      <c r="O128" s="5"/>
    </row>
    <row r="129" spans="13:15" x14ac:dyDescent="0.25">
      <c r="M129" s="74">
        <v>0</v>
      </c>
      <c r="N129" s="162"/>
      <c r="O129" s="5"/>
    </row>
    <row r="130" spans="13:15" x14ac:dyDescent="0.25">
      <c r="M130" s="74">
        <v>0</v>
      </c>
      <c r="N130" s="162"/>
      <c r="O130" s="5"/>
    </row>
    <row r="131" spans="13:15" x14ac:dyDescent="0.25">
      <c r="M131" s="74">
        <v>0</v>
      </c>
      <c r="N131" s="162"/>
      <c r="O131" s="5"/>
    </row>
    <row r="132" spans="13:15" x14ac:dyDescent="0.25">
      <c r="M132" s="74">
        <v>0</v>
      </c>
      <c r="N132" s="162"/>
      <c r="O132" s="5"/>
    </row>
    <row r="133" spans="13:15" x14ac:dyDescent="0.25">
      <c r="M133" s="74">
        <v>0</v>
      </c>
      <c r="N133" s="162"/>
      <c r="O133" s="5"/>
    </row>
    <row r="134" spans="13:15" x14ac:dyDescent="0.25">
      <c r="M134" s="74">
        <v>0</v>
      </c>
      <c r="N134" s="162"/>
      <c r="O134" s="5"/>
    </row>
    <row r="135" spans="13:15" x14ac:dyDescent="0.25">
      <c r="M135" s="74">
        <v>0</v>
      </c>
      <c r="N135" s="162"/>
      <c r="O135" s="5"/>
    </row>
    <row r="136" spans="13:15" x14ac:dyDescent="0.25">
      <c r="M136" s="74">
        <v>0</v>
      </c>
      <c r="N136" s="162"/>
      <c r="O136" s="5"/>
    </row>
    <row r="137" spans="13:15" x14ac:dyDescent="0.25">
      <c r="M137" s="74">
        <v>0</v>
      </c>
      <c r="N137" s="162"/>
      <c r="O137" s="5"/>
    </row>
    <row r="138" spans="13:15" x14ac:dyDescent="0.25">
      <c r="M138" s="74">
        <v>0</v>
      </c>
      <c r="N138" s="162"/>
      <c r="O138" s="5"/>
    </row>
    <row r="139" spans="13:15" x14ac:dyDescent="0.25">
      <c r="M139" s="74">
        <v>0</v>
      </c>
      <c r="N139" s="162"/>
      <c r="O139" s="5"/>
    </row>
    <row r="140" spans="13:15" x14ac:dyDescent="0.25">
      <c r="M140" s="74">
        <v>0</v>
      </c>
      <c r="N140" s="162"/>
      <c r="O140" s="5"/>
    </row>
    <row r="141" spans="13:15" x14ac:dyDescent="0.25">
      <c r="M141" s="74">
        <v>0</v>
      </c>
      <c r="N141" s="162"/>
      <c r="O141" s="5"/>
    </row>
    <row r="142" spans="13:15" x14ac:dyDescent="0.25">
      <c r="M142" s="74">
        <v>0</v>
      </c>
      <c r="N142" s="162"/>
      <c r="O142" s="5"/>
    </row>
    <row r="143" spans="13:15" x14ac:dyDescent="0.25">
      <c r="M143" s="74">
        <v>0</v>
      </c>
      <c r="N143" s="162"/>
      <c r="O143" s="5"/>
    </row>
    <row r="144" spans="13:15" x14ac:dyDescent="0.25">
      <c r="M144" s="74">
        <v>0</v>
      </c>
      <c r="N144" s="162"/>
      <c r="O144" s="5"/>
    </row>
    <row r="145" spans="13:15" x14ac:dyDescent="0.25">
      <c r="M145" s="74">
        <v>0</v>
      </c>
      <c r="N145" s="162"/>
      <c r="O145" s="5"/>
    </row>
    <row r="146" spans="13:15" x14ac:dyDescent="0.25">
      <c r="M146" s="74">
        <v>0</v>
      </c>
      <c r="N146" s="162"/>
      <c r="O146" s="5"/>
    </row>
    <row r="147" spans="13:15" x14ac:dyDescent="0.25">
      <c r="M147" s="74">
        <v>0</v>
      </c>
      <c r="N147" s="162"/>
      <c r="O147" s="5"/>
    </row>
    <row r="148" spans="13:15" x14ac:dyDescent="0.25">
      <c r="M148" s="74">
        <v>0</v>
      </c>
      <c r="N148" s="162"/>
      <c r="O148" s="5"/>
    </row>
    <row r="149" spans="13:15" x14ac:dyDescent="0.25">
      <c r="M149" s="74">
        <v>0</v>
      </c>
      <c r="N149" s="162"/>
      <c r="O149" s="5"/>
    </row>
    <row r="150" spans="13:15" x14ac:dyDescent="0.25">
      <c r="M150" s="74">
        <v>0</v>
      </c>
      <c r="N150" s="162"/>
      <c r="O150" s="5"/>
    </row>
    <row r="151" spans="13:15" x14ac:dyDescent="0.25">
      <c r="M151" s="74">
        <v>0</v>
      </c>
      <c r="N151" s="162"/>
      <c r="O151" s="5"/>
    </row>
    <row r="152" spans="13:15" x14ac:dyDescent="0.25">
      <c r="M152" s="74">
        <v>0</v>
      </c>
      <c r="N152" s="162"/>
      <c r="O152" s="5"/>
    </row>
    <row r="153" spans="13:15" x14ac:dyDescent="0.25">
      <c r="M153" s="74">
        <v>0</v>
      </c>
      <c r="N153" s="162"/>
      <c r="O153" s="5"/>
    </row>
    <row r="154" spans="13:15" x14ac:dyDescent="0.25">
      <c r="M154" s="74">
        <v>0</v>
      </c>
      <c r="N154" s="162"/>
      <c r="O154" s="5"/>
    </row>
    <row r="155" spans="13:15" x14ac:dyDescent="0.25">
      <c r="M155" s="74">
        <v>0</v>
      </c>
      <c r="N155" s="162"/>
      <c r="O155" s="5"/>
    </row>
    <row r="156" spans="13:15" x14ac:dyDescent="0.25">
      <c r="M156" s="74">
        <v>0</v>
      </c>
      <c r="N156" s="162"/>
      <c r="O156" s="5"/>
    </row>
    <row r="157" spans="13:15" x14ac:dyDescent="0.25">
      <c r="M157" s="74">
        <v>0</v>
      </c>
      <c r="N157" s="162"/>
      <c r="O157" s="5"/>
    </row>
    <row r="158" spans="13:15" x14ac:dyDescent="0.25">
      <c r="M158" s="74">
        <v>0</v>
      </c>
      <c r="N158" s="162"/>
      <c r="O158" s="5"/>
    </row>
    <row r="159" spans="13:15" x14ac:dyDescent="0.25">
      <c r="M159" s="74">
        <v>0</v>
      </c>
      <c r="N159" s="162"/>
      <c r="O159" s="5"/>
    </row>
    <row r="160" spans="13:15" x14ac:dyDescent="0.25">
      <c r="M160" s="74">
        <v>0</v>
      </c>
      <c r="N160" s="162"/>
      <c r="O160" s="5"/>
    </row>
    <row r="161" spans="13:15" x14ac:dyDescent="0.25">
      <c r="M161" s="74">
        <v>0</v>
      </c>
      <c r="N161" s="162"/>
      <c r="O161" s="5"/>
    </row>
    <row r="162" spans="13:15" x14ac:dyDescent="0.25">
      <c r="M162" s="74">
        <v>0</v>
      </c>
      <c r="N162" s="162"/>
      <c r="O162" s="5"/>
    </row>
    <row r="163" spans="13:15" x14ac:dyDescent="0.25">
      <c r="M163" s="74">
        <v>0</v>
      </c>
      <c r="N163" s="162"/>
      <c r="O163" s="5"/>
    </row>
    <row r="164" spans="13:15" x14ac:dyDescent="0.25">
      <c r="M164" s="74">
        <v>0</v>
      </c>
      <c r="N164" s="162"/>
      <c r="O164" s="5"/>
    </row>
    <row r="165" spans="13:15" x14ac:dyDescent="0.25">
      <c r="M165" s="74">
        <v>0</v>
      </c>
      <c r="N165" s="162"/>
      <c r="O165" s="5"/>
    </row>
    <row r="166" spans="13:15" x14ac:dyDescent="0.25">
      <c r="M166" s="74">
        <v>0</v>
      </c>
      <c r="N166" s="162"/>
      <c r="O166" s="5"/>
    </row>
    <row r="167" spans="13:15" x14ac:dyDescent="0.25">
      <c r="M167" s="74">
        <v>0</v>
      </c>
      <c r="N167" s="162"/>
      <c r="O167" s="5"/>
    </row>
    <row r="168" spans="13:15" x14ac:dyDescent="0.25">
      <c r="M168" s="74">
        <v>0</v>
      </c>
      <c r="N168" s="162"/>
      <c r="O168" s="5"/>
    </row>
    <row r="169" spans="13:15" x14ac:dyDescent="0.25">
      <c r="M169" s="74">
        <v>0</v>
      </c>
      <c r="N169" s="162"/>
      <c r="O169" s="5"/>
    </row>
    <row r="170" spans="13:15" x14ac:dyDescent="0.25">
      <c r="M170" s="74">
        <v>0</v>
      </c>
      <c r="N170" s="162"/>
      <c r="O170" s="5"/>
    </row>
    <row r="171" spans="13:15" x14ac:dyDescent="0.25">
      <c r="M171" s="74">
        <v>0</v>
      </c>
      <c r="N171" s="162"/>
      <c r="O171" s="5"/>
    </row>
    <row r="172" spans="13:15" x14ac:dyDescent="0.25">
      <c r="M172" s="74">
        <v>0</v>
      </c>
      <c r="N172" s="162"/>
      <c r="O172" s="5"/>
    </row>
    <row r="173" spans="13:15" x14ac:dyDescent="0.25">
      <c r="M173" s="74">
        <v>0</v>
      </c>
      <c r="N173" s="162"/>
      <c r="O173" s="5"/>
    </row>
    <row r="174" spans="13:15" x14ac:dyDescent="0.25">
      <c r="M174" s="74">
        <v>0</v>
      </c>
      <c r="N174" s="162"/>
      <c r="O174" s="5"/>
    </row>
    <row r="175" spans="13:15" x14ac:dyDescent="0.25">
      <c r="M175" s="74">
        <v>0</v>
      </c>
      <c r="N175" s="162"/>
      <c r="O175" s="5"/>
    </row>
    <row r="176" spans="13:15" x14ac:dyDescent="0.25">
      <c r="M176" s="74">
        <v>0</v>
      </c>
      <c r="N176" s="162"/>
      <c r="O176" s="5"/>
    </row>
    <row r="177" spans="13:15" x14ac:dyDescent="0.25">
      <c r="M177" s="74">
        <v>0</v>
      </c>
      <c r="N177" s="162"/>
      <c r="O177" s="5"/>
    </row>
    <row r="178" spans="13:15" x14ac:dyDescent="0.25">
      <c r="M178" s="74">
        <v>0</v>
      </c>
      <c r="N178" s="162"/>
      <c r="O178" s="5"/>
    </row>
    <row r="179" spans="13:15" x14ac:dyDescent="0.25">
      <c r="M179" s="74">
        <v>0</v>
      </c>
      <c r="N179" s="162"/>
      <c r="O179" s="5"/>
    </row>
    <row r="180" spans="13:15" x14ac:dyDescent="0.25">
      <c r="M180" s="74">
        <v>0</v>
      </c>
      <c r="N180" s="162"/>
      <c r="O180" s="5"/>
    </row>
    <row r="181" spans="13:15" x14ac:dyDescent="0.25">
      <c r="M181" s="74">
        <v>0</v>
      </c>
      <c r="N181" s="162"/>
      <c r="O181" s="5"/>
    </row>
    <row r="182" spans="13:15" x14ac:dyDescent="0.25">
      <c r="M182" s="74">
        <v>0</v>
      </c>
      <c r="N182" s="162"/>
      <c r="O182" s="5"/>
    </row>
    <row r="183" spans="13:15" x14ac:dyDescent="0.25">
      <c r="M183" s="74">
        <v>0</v>
      </c>
      <c r="N183" s="162"/>
      <c r="O183" s="5"/>
    </row>
    <row r="184" spans="13:15" x14ac:dyDescent="0.25">
      <c r="M184" s="74">
        <v>0</v>
      </c>
      <c r="N184" s="162"/>
      <c r="O184" s="5"/>
    </row>
    <row r="185" spans="13:15" x14ac:dyDescent="0.25">
      <c r="M185" s="74">
        <v>0</v>
      </c>
      <c r="N185" s="162"/>
      <c r="O185" s="5"/>
    </row>
    <row r="186" spans="13:15" x14ac:dyDescent="0.25">
      <c r="M186" s="74">
        <v>0</v>
      </c>
      <c r="N186" s="162"/>
      <c r="O186" s="5"/>
    </row>
    <row r="187" spans="13:15" x14ac:dyDescent="0.25">
      <c r="M187" s="74">
        <v>0</v>
      </c>
      <c r="N187" s="162"/>
      <c r="O187" s="5"/>
    </row>
    <row r="188" spans="13:15" x14ac:dyDescent="0.25">
      <c r="M188" s="74">
        <v>0</v>
      </c>
      <c r="N188" s="162"/>
      <c r="O188" s="5"/>
    </row>
    <row r="189" spans="13:15" x14ac:dyDescent="0.25">
      <c r="M189" s="74">
        <v>0</v>
      </c>
      <c r="N189" s="162"/>
      <c r="O189" s="5"/>
    </row>
    <row r="190" spans="13:15" x14ac:dyDescent="0.25">
      <c r="M190" s="74">
        <v>0</v>
      </c>
      <c r="N190" s="162"/>
      <c r="O190" s="5"/>
    </row>
    <row r="191" spans="13:15" x14ac:dyDescent="0.25">
      <c r="M191" s="74">
        <v>0</v>
      </c>
      <c r="N191" s="162"/>
      <c r="O191" s="5"/>
    </row>
    <row r="192" spans="13:15" x14ac:dyDescent="0.25">
      <c r="M192" s="74">
        <v>0</v>
      </c>
      <c r="O192" s="5"/>
    </row>
    <row r="193" spans="13:15" x14ac:dyDescent="0.25">
      <c r="M193" s="74">
        <v>0</v>
      </c>
      <c r="N193" s="162"/>
      <c r="O193" s="5"/>
    </row>
    <row r="194" spans="13:15" x14ac:dyDescent="0.25">
      <c r="M194" s="74">
        <v>0</v>
      </c>
      <c r="N194" s="162"/>
      <c r="O194" s="5"/>
    </row>
    <row r="195" spans="13:15" x14ac:dyDescent="0.25">
      <c r="M195" s="74">
        <v>0</v>
      </c>
      <c r="N195" s="162"/>
      <c r="O195" s="5"/>
    </row>
    <row r="196" spans="13:15" x14ac:dyDescent="0.25">
      <c r="N196" s="162"/>
      <c r="O196" s="5"/>
    </row>
    <row r="197" spans="13:15" x14ac:dyDescent="0.25">
      <c r="N197" s="162"/>
      <c r="O197" s="5"/>
    </row>
    <row r="198" spans="13:15" x14ac:dyDescent="0.25">
      <c r="N198" s="162"/>
      <c r="O198" s="5"/>
    </row>
    <row r="199" spans="13:15" x14ac:dyDescent="0.25">
      <c r="N199" s="162"/>
      <c r="O199" s="5"/>
    </row>
    <row r="200" spans="13:15" x14ac:dyDescent="0.25">
      <c r="N200" s="162"/>
      <c r="O200" s="5"/>
    </row>
    <row r="201" spans="13:15" x14ac:dyDescent="0.25">
      <c r="N201" s="162"/>
      <c r="O201" s="5"/>
    </row>
    <row r="202" spans="13:15" x14ac:dyDescent="0.25">
      <c r="N202" s="162"/>
      <c r="O202" s="5"/>
    </row>
    <row r="203" spans="13:15" x14ac:dyDescent="0.25">
      <c r="N203" s="162"/>
      <c r="O203" s="5"/>
    </row>
    <row r="204" spans="13:15" x14ac:dyDescent="0.25">
      <c r="N204" s="162"/>
      <c r="O204" s="5"/>
    </row>
    <row r="205" spans="13:15" x14ac:dyDescent="0.25">
      <c r="N205" s="162"/>
      <c r="O205" s="5"/>
    </row>
    <row r="206" spans="13:15" x14ac:dyDescent="0.25">
      <c r="N206" s="162"/>
      <c r="O206" s="5"/>
    </row>
    <row r="207" spans="13:15" x14ac:dyDescent="0.25">
      <c r="N207" s="162"/>
      <c r="O207" s="5"/>
    </row>
    <row r="208" spans="13:15" x14ac:dyDescent="0.25">
      <c r="N208" s="162"/>
      <c r="O208" s="5"/>
    </row>
    <row r="209" spans="14:15" x14ac:dyDescent="0.25">
      <c r="N209" s="162"/>
      <c r="O209" s="5"/>
    </row>
    <row r="210" spans="14:15" x14ac:dyDescent="0.25">
      <c r="N210" s="162"/>
      <c r="O210" s="5"/>
    </row>
    <row r="211" spans="14:15" x14ac:dyDescent="0.25">
      <c r="N211" s="162"/>
      <c r="O211" s="5"/>
    </row>
    <row r="212" spans="14:15" x14ac:dyDescent="0.25">
      <c r="N212" s="162"/>
      <c r="O212" s="5"/>
    </row>
    <row r="213" spans="14:15" x14ac:dyDescent="0.25">
      <c r="N213" s="162"/>
      <c r="O213" s="5"/>
    </row>
    <row r="214" spans="14:15" x14ac:dyDescent="0.25">
      <c r="N214" s="162"/>
      <c r="O214" s="5"/>
    </row>
    <row r="215" spans="14:15" x14ac:dyDescent="0.25">
      <c r="N215" s="162"/>
      <c r="O215" s="5"/>
    </row>
    <row r="216" spans="14:15" x14ac:dyDescent="0.25">
      <c r="N216" s="162"/>
      <c r="O216" s="5"/>
    </row>
    <row r="217" spans="14:15" x14ac:dyDescent="0.25">
      <c r="N217" s="162"/>
      <c r="O217" s="5"/>
    </row>
    <row r="218" spans="14:15" x14ac:dyDescent="0.25">
      <c r="N218" s="162"/>
      <c r="O218" s="5"/>
    </row>
    <row r="219" spans="14:15" x14ac:dyDescent="0.25">
      <c r="N219" s="162"/>
      <c r="O219" s="5"/>
    </row>
    <row r="220" spans="14:15" x14ac:dyDescent="0.25">
      <c r="N220" s="162"/>
      <c r="O220" s="5"/>
    </row>
    <row r="221" spans="14:15" x14ac:dyDescent="0.25">
      <c r="N221" s="162"/>
      <c r="O221" s="5"/>
    </row>
    <row r="222" spans="14:15" x14ac:dyDescent="0.25">
      <c r="N222" s="162"/>
      <c r="O222" s="5"/>
    </row>
    <row r="223" spans="14:15" x14ac:dyDescent="0.25">
      <c r="N223" s="162"/>
      <c r="O223" s="5"/>
    </row>
    <row r="224" spans="14:15" x14ac:dyDescent="0.25">
      <c r="N224" s="162"/>
      <c r="O224" s="5"/>
    </row>
    <row r="225" spans="14:15" x14ac:dyDescent="0.25">
      <c r="N225" s="162"/>
      <c r="O225" s="5"/>
    </row>
    <row r="226" spans="14:15" x14ac:dyDescent="0.25">
      <c r="N226" s="162"/>
      <c r="O226" s="5"/>
    </row>
    <row r="227" spans="14:15" x14ac:dyDescent="0.25">
      <c r="N227" s="162"/>
      <c r="O227" s="5"/>
    </row>
    <row r="228" spans="14:15" x14ac:dyDescent="0.25">
      <c r="N228" s="162"/>
      <c r="O228" s="5"/>
    </row>
    <row r="229" spans="14:15" x14ac:dyDescent="0.25">
      <c r="N229" s="162"/>
      <c r="O229" s="5"/>
    </row>
    <row r="230" spans="14:15" x14ac:dyDescent="0.25">
      <c r="N230" s="162"/>
      <c r="O230" s="5"/>
    </row>
    <row r="231" spans="14:15" x14ac:dyDescent="0.25">
      <c r="N231" s="162"/>
      <c r="O231" s="5"/>
    </row>
    <row r="232" spans="14:15" x14ac:dyDescent="0.25">
      <c r="N232" s="162"/>
      <c r="O232" s="5"/>
    </row>
    <row r="233" spans="14:15" x14ac:dyDescent="0.25">
      <c r="N233" s="162"/>
      <c r="O233" s="5"/>
    </row>
    <row r="234" spans="14:15" x14ac:dyDescent="0.25">
      <c r="N234" s="162"/>
      <c r="O234" s="5"/>
    </row>
    <row r="235" spans="14:15" x14ac:dyDescent="0.25">
      <c r="N235" s="162"/>
      <c r="O235" s="5"/>
    </row>
    <row r="236" spans="14:15" x14ac:dyDescent="0.25">
      <c r="N236" s="162"/>
      <c r="O236" s="5"/>
    </row>
    <row r="237" spans="14:15" x14ac:dyDescent="0.25">
      <c r="N237" s="162"/>
      <c r="O237" s="5"/>
    </row>
    <row r="238" spans="14:15" x14ac:dyDescent="0.25">
      <c r="N238" s="162"/>
      <c r="O238" s="5"/>
    </row>
    <row r="239" spans="14:15" x14ac:dyDescent="0.25">
      <c r="N239" s="162"/>
      <c r="O239" s="5"/>
    </row>
    <row r="240" spans="14:15" x14ac:dyDescent="0.25">
      <c r="N240" s="162"/>
      <c r="O240" s="5"/>
    </row>
    <row r="241" spans="14:15" x14ac:dyDescent="0.25">
      <c r="N241" s="162"/>
      <c r="O241" s="5"/>
    </row>
    <row r="242" spans="14:15" x14ac:dyDescent="0.25">
      <c r="N242" s="162"/>
      <c r="O242" s="5"/>
    </row>
    <row r="243" spans="14:15" x14ac:dyDescent="0.25">
      <c r="N243" s="162"/>
      <c r="O243" s="5"/>
    </row>
    <row r="244" spans="14:15" x14ac:dyDescent="0.25">
      <c r="N244" s="162"/>
      <c r="O244" s="5"/>
    </row>
    <row r="245" spans="14:15" x14ac:dyDescent="0.25">
      <c r="N245" s="162"/>
      <c r="O245" s="5"/>
    </row>
    <row r="246" spans="14:15" x14ac:dyDescent="0.25">
      <c r="N246" s="162"/>
      <c r="O246" s="5"/>
    </row>
    <row r="247" spans="14:15" x14ac:dyDescent="0.25">
      <c r="N247" s="162"/>
      <c r="O247" s="5"/>
    </row>
    <row r="248" spans="14:15" x14ac:dyDescent="0.25">
      <c r="N248" s="162"/>
      <c r="O248" s="5"/>
    </row>
    <row r="249" spans="14:15" x14ac:dyDescent="0.25">
      <c r="N249" s="162"/>
      <c r="O249" s="5"/>
    </row>
    <row r="250" spans="14:15" x14ac:dyDescent="0.25">
      <c r="N250" s="162"/>
      <c r="O250" s="5"/>
    </row>
    <row r="251" spans="14:15" x14ac:dyDescent="0.25">
      <c r="N251" s="162"/>
      <c r="O251" s="5"/>
    </row>
    <row r="252" spans="14:15" x14ac:dyDescent="0.25">
      <c r="N252" s="162"/>
      <c r="O252" s="5"/>
    </row>
    <row r="253" spans="14:15" x14ac:dyDescent="0.25">
      <c r="N253" s="162"/>
      <c r="O253" s="5"/>
    </row>
    <row r="254" spans="14:15" x14ac:dyDescent="0.25">
      <c r="N254" s="162"/>
      <c r="O254" s="5"/>
    </row>
    <row r="255" spans="14:15" x14ac:dyDescent="0.25">
      <c r="N255" s="162"/>
      <c r="O255" s="5"/>
    </row>
    <row r="256" spans="14:15" x14ac:dyDescent="0.25">
      <c r="N256" s="162"/>
      <c r="O256" s="5"/>
    </row>
    <row r="257" spans="14:15" x14ac:dyDescent="0.25">
      <c r="N257" s="162"/>
      <c r="O257" s="5"/>
    </row>
    <row r="258" spans="14:15" x14ac:dyDescent="0.25">
      <c r="N258" s="162"/>
      <c r="O258" s="5"/>
    </row>
    <row r="259" spans="14:15" x14ac:dyDescent="0.25">
      <c r="N259" s="162"/>
      <c r="O259" s="5"/>
    </row>
    <row r="260" spans="14:15" x14ac:dyDescent="0.25">
      <c r="N260" s="162"/>
      <c r="O260" s="5"/>
    </row>
    <row r="261" spans="14:15" x14ac:dyDescent="0.25">
      <c r="N261" s="162"/>
      <c r="O261" s="5"/>
    </row>
    <row r="262" spans="14:15" x14ac:dyDescent="0.25">
      <c r="N262" s="162"/>
      <c r="O262" s="5"/>
    </row>
    <row r="263" spans="14:15" x14ac:dyDescent="0.25">
      <c r="N263" s="162"/>
      <c r="O263" s="5"/>
    </row>
    <row r="264" spans="14:15" x14ac:dyDescent="0.25">
      <c r="N264" s="162"/>
      <c r="O264" s="5"/>
    </row>
    <row r="265" spans="14:15" x14ac:dyDescent="0.25">
      <c r="N265" s="162"/>
      <c r="O265" s="5"/>
    </row>
    <row r="266" spans="14:15" x14ac:dyDescent="0.25">
      <c r="N266" s="162"/>
      <c r="O266" s="5"/>
    </row>
    <row r="267" spans="14:15" x14ac:dyDescent="0.25">
      <c r="N267" s="162"/>
      <c r="O267" s="5"/>
    </row>
    <row r="268" spans="14:15" x14ac:dyDescent="0.25">
      <c r="N268" s="162"/>
      <c r="O268" s="5"/>
    </row>
    <row r="269" spans="14:15" x14ac:dyDescent="0.25">
      <c r="N269" s="162"/>
      <c r="O269" s="5"/>
    </row>
    <row r="270" spans="14:15" x14ac:dyDescent="0.25">
      <c r="N270" s="162"/>
      <c r="O270" s="5"/>
    </row>
    <row r="271" spans="14:15" x14ac:dyDescent="0.25">
      <c r="N271" s="162"/>
      <c r="O271" s="5"/>
    </row>
    <row r="272" spans="14:15" x14ac:dyDescent="0.25">
      <c r="N272" s="162"/>
      <c r="O272" s="5"/>
    </row>
    <row r="273" spans="14:15" x14ac:dyDescent="0.25">
      <c r="N273" s="162"/>
      <c r="O273" s="5"/>
    </row>
    <row r="274" spans="14:15" x14ac:dyDescent="0.25">
      <c r="N274" s="162"/>
      <c r="O274" s="5"/>
    </row>
    <row r="275" spans="14:15" x14ac:dyDescent="0.25">
      <c r="N275" s="162"/>
      <c r="O275" s="5"/>
    </row>
    <row r="276" spans="14:15" x14ac:dyDescent="0.25">
      <c r="N276" s="162"/>
      <c r="O276" s="5"/>
    </row>
    <row r="277" spans="14:15" x14ac:dyDescent="0.25">
      <c r="N277" s="162"/>
      <c r="O277" s="5"/>
    </row>
    <row r="278" spans="14:15" x14ac:dyDescent="0.25">
      <c r="N278" s="162"/>
      <c r="O278" s="5"/>
    </row>
    <row r="279" spans="14:15" x14ac:dyDescent="0.25">
      <c r="N279" s="162"/>
      <c r="O279" s="5"/>
    </row>
    <row r="280" spans="14:15" x14ac:dyDescent="0.25">
      <c r="N280" s="162"/>
      <c r="O280" s="5"/>
    </row>
    <row r="281" spans="14:15" x14ac:dyDescent="0.25">
      <c r="N281" s="162"/>
      <c r="O281" s="5"/>
    </row>
    <row r="282" spans="14:15" x14ac:dyDescent="0.25">
      <c r="N282" s="162"/>
      <c r="O282" s="5"/>
    </row>
    <row r="283" spans="14:15" x14ac:dyDescent="0.25">
      <c r="N283" s="162"/>
      <c r="O283" s="5"/>
    </row>
    <row r="284" spans="14:15" x14ac:dyDescent="0.25">
      <c r="N284" s="162"/>
      <c r="O284" s="5"/>
    </row>
    <row r="285" spans="14:15" x14ac:dyDescent="0.25">
      <c r="N285" s="162"/>
      <c r="O285" s="5"/>
    </row>
    <row r="286" spans="14:15" x14ac:dyDescent="0.25">
      <c r="N286" s="162"/>
      <c r="O286" s="5"/>
    </row>
    <row r="287" spans="14:15" x14ac:dyDescent="0.25">
      <c r="N287" s="162"/>
      <c r="O287" s="5"/>
    </row>
    <row r="288" spans="14:15" x14ac:dyDescent="0.25">
      <c r="N288" s="162"/>
      <c r="O288" s="5"/>
    </row>
    <row r="289" spans="14:15" x14ac:dyDescent="0.25">
      <c r="N289" s="162"/>
      <c r="O289" s="5"/>
    </row>
    <row r="290" spans="14:15" x14ac:dyDescent="0.25">
      <c r="N290" s="162"/>
      <c r="O290" s="5"/>
    </row>
    <row r="291" spans="14:15" x14ac:dyDescent="0.25">
      <c r="N291" s="162"/>
      <c r="O291" s="5"/>
    </row>
    <row r="292" spans="14:15" x14ac:dyDescent="0.25">
      <c r="N292" s="162"/>
      <c r="O292" s="5"/>
    </row>
    <row r="293" spans="14:15" x14ac:dyDescent="0.25">
      <c r="N293" s="162"/>
      <c r="O293" s="5"/>
    </row>
    <row r="294" spans="14:15" x14ac:dyDescent="0.25">
      <c r="N294" s="162"/>
      <c r="O294" s="5"/>
    </row>
    <row r="295" spans="14:15" x14ac:dyDescent="0.25">
      <c r="N295" s="162"/>
      <c r="O295" s="5"/>
    </row>
    <row r="296" spans="14:15" x14ac:dyDescent="0.25">
      <c r="N296" s="162"/>
      <c r="O296" s="5"/>
    </row>
    <row r="297" spans="14:15" x14ac:dyDescent="0.25">
      <c r="N297" s="162"/>
      <c r="O297" s="5"/>
    </row>
    <row r="298" spans="14:15" x14ac:dyDescent="0.25">
      <c r="N298" s="162"/>
      <c r="O298" s="5"/>
    </row>
    <row r="299" spans="14:15" x14ac:dyDescent="0.25">
      <c r="N299" s="162"/>
      <c r="O299" s="5"/>
    </row>
    <row r="300" spans="14:15" x14ac:dyDescent="0.25">
      <c r="N300" s="162"/>
      <c r="O300" s="5"/>
    </row>
    <row r="301" spans="14:15" x14ac:dyDescent="0.25">
      <c r="N301" s="162"/>
      <c r="O301" s="5"/>
    </row>
    <row r="302" spans="14:15" x14ac:dyDescent="0.25">
      <c r="N302" s="162"/>
      <c r="O302" s="5"/>
    </row>
    <row r="303" spans="14:15" x14ac:dyDescent="0.25">
      <c r="N303" s="162"/>
      <c r="O303" s="5"/>
    </row>
    <row r="304" spans="14:15" x14ac:dyDescent="0.25">
      <c r="N304" s="162"/>
      <c r="O304" s="5"/>
    </row>
    <row r="305" spans="14:15" x14ac:dyDescent="0.25">
      <c r="N305" s="162"/>
      <c r="O305" s="5"/>
    </row>
    <row r="306" spans="14:15" x14ac:dyDescent="0.25">
      <c r="N306" s="162"/>
      <c r="O306" s="5"/>
    </row>
    <row r="307" spans="14:15" x14ac:dyDescent="0.25">
      <c r="N307" s="162"/>
      <c r="O307" s="5"/>
    </row>
    <row r="308" spans="14:15" x14ac:dyDescent="0.25">
      <c r="N308" s="162"/>
      <c r="O308" s="5"/>
    </row>
    <row r="309" spans="14:15" x14ac:dyDescent="0.25">
      <c r="N309" s="162"/>
      <c r="O309" s="5"/>
    </row>
    <row r="310" spans="14:15" x14ac:dyDescent="0.25">
      <c r="N310" s="162"/>
      <c r="O310" s="5"/>
    </row>
    <row r="311" spans="14:15" x14ac:dyDescent="0.25">
      <c r="N311" s="162"/>
      <c r="O311" s="5"/>
    </row>
    <row r="312" spans="14:15" x14ac:dyDescent="0.25">
      <c r="N312" s="162"/>
      <c r="O312" s="5"/>
    </row>
    <row r="313" spans="14:15" x14ac:dyDescent="0.25">
      <c r="N313" s="162"/>
      <c r="O313" s="5"/>
    </row>
    <row r="314" spans="14:15" x14ac:dyDescent="0.25">
      <c r="N314" s="162"/>
      <c r="O314" s="5"/>
    </row>
    <row r="315" spans="14:15" x14ac:dyDescent="0.25">
      <c r="N315" s="162"/>
      <c r="O315" s="5"/>
    </row>
    <row r="316" spans="14:15" x14ac:dyDescent="0.25">
      <c r="N316" s="162"/>
      <c r="O316" s="5"/>
    </row>
    <row r="317" spans="14:15" x14ac:dyDescent="0.25">
      <c r="N317" s="162"/>
      <c r="O317" s="5"/>
    </row>
    <row r="318" spans="14:15" x14ac:dyDescent="0.25">
      <c r="N318" s="162"/>
      <c r="O318" s="5"/>
    </row>
    <row r="319" spans="14:15" x14ac:dyDescent="0.25">
      <c r="N319" s="162"/>
      <c r="O319" s="5"/>
    </row>
    <row r="320" spans="14:15" x14ac:dyDescent="0.25">
      <c r="N320" s="162"/>
      <c r="O320" s="5"/>
    </row>
    <row r="321" spans="14:15" x14ac:dyDescent="0.25">
      <c r="N321" s="162"/>
      <c r="O321" s="5"/>
    </row>
    <row r="322" spans="14:15" x14ac:dyDescent="0.25">
      <c r="N322" s="162"/>
      <c r="O322" s="5"/>
    </row>
    <row r="323" spans="14:15" x14ac:dyDescent="0.25">
      <c r="N323" s="162"/>
      <c r="O323" s="5"/>
    </row>
    <row r="324" spans="14:15" x14ac:dyDescent="0.25">
      <c r="N324" s="162"/>
      <c r="O324" s="5"/>
    </row>
    <row r="325" spans="14:15" x14ac:dyDescent="0.25">
      <c r="N325" s="162"/>
      <c r="O325" s="5"/>
    </row>
    <row r="326" spans="14:15" x14ac:dyDescent="0.25">
      <c r="N326" s="162"/>
      <c r="O326" s="5"/>
    </row>
    <row r="327" spans="14:15" x14ac:dyDescent="0.25">
      <c r="N327" s="162"/>
      <c r="O327" s="5"/>
    </row>
    <row r="328" spans="14:15" x14ac:dyDescent="0.25">
      <c r="N328" s="162"/>
      <c r="O328" s="5"/>
    </row>
    <row r="329" spans="14:15" x14ac:dyDescent="0.25">
      <c r="N329" s="162"/>
      <c r="O329" s="5"/>
    </row>
    <row r="330" spans="14:15" x14ac:dyDescent="0.25">
      <c r="N330" s="162"/>
      <c r="O330" s="5"/>
    </row>
    <row r="331" spans="14:15" x14ac:dyDescent="0.25">
      <c r="N331" s="162"/>
      <c r="O331" s="5"/>
    </row>
    <row r="332" spans="14:15" x14ac:dyDescent="0.25">
      <c r="N332" s="162"/>
      <c r="O332" s="5"/>
    </row>
    <row r="333" spans="14:15" x14ac:dyDescent="0.25">
      <c r="N333" s="162"/>
      <c r="O333" s="5"/>
    </row>
    <row r="334" spans="14:15" x14ac:dyDescent="0.25">
      <c r="N334" s="162"/>
      <c r="O334" s="5"/>
    </row>
    <row r="335" spans="14:15" x14ac:dyDescent="0.25">
      <c r="N335" s="162"/>
      <c r="O335" s="5"/>
    </row>
    <row r="336" spans="14:15" x14ac:dyDescent="0.25">
      <c r="N336" s="162"/>
      <c r="O336" s="5"/>
    </row>
    <row r="337" spans="14:15" x14ac:dyDescent="0.25">
      <c r="N337" s="162"/>
      <c r="O337" s="5"/>
    </row>
    <row r="338" spans="14:15" x14ac:dyDescent="0.25">
      <c r="N338" s="162"/>
      <c r="O338" s="5"/>
    </row>
    <row r="339" spans="14:15" x14ac:dyDescent="0.25">
      <c r="N339" s="162"/>
      <c r="O339" s="5"/>
    </row>
    <row r="340" spans="14:15" x14ac:dyDescent="0.25">
      <c r="N340" s="162"/>
      <c r="O340" s="5"/>
    </row>
    <row r="341" spans="14:15" x14ac:dyDescent="0.25">
      <c r="N341" s="162"/>
      <c r="O341" s="5"/>
    </row>
    <row r="342" spans="14:15" x14ac:dyDescent="0.25">
      <c r="N342" s="162"/>
      <c r="O342" s="5"/>
    </row>
    <row r="343" spans="14:15" x14ac:dyDescent="0.25">
      <c r="N343" s="162"/>
      <c r="O343" s="5"/>
    </row>
    <row r="344" spans="14:15" x14ac:dyDescent="0.25">
      <c r="N344" s="162"/>
      <c r="O344" s="5"/>
    </row>
    <row r="345" spans="14:15" x14ac:dyDescent="0.25">
      <c r="N345" s="162"/>
      <c r="O345" s="5"/>
    </row>
    <row r="346" spans="14:15" x14ac:dyDescent="0.25">
      <c r="N346" s="162"/>
      <c r="O346" s="5"/>
    </row>
    <row r="347" spans="14:15" x14ac:dyDescent="0.25">
      <c r="N347" s="162"/>
      <c r="O347" s="5"/>
    </row>
    <row r="348" spans="14:15" x14ac:dyDescent="0.25">
      <c r="N348" s="162"/>
      <c r="O348" s="5"/>
    </row>
    <row r="349" spans="14:15" x14ac:dyDescent="0.25">
      <c r="N349" s="162"/>
      <c r="O349" s="5"/>
    </row>
    <row r="350" spans="14:15" x14ac:dyDescent="0.25">
      <c r="N350" s="162"/>
      <c r="O350" s="5"/>
    </row>
    <row r="351" spans="14:15" x14ac:dyDescent="0.25">
      <c r="N351" s="162"/>
      <c r="O351" s="5"/>
    </row>
    <row r="352" spans="14:15" x14ac:dyDescent="0.25">
      <c r="N352" s="162"/>
      <c r="O352" s="5"/>
    </row>
    <row r="353" spans="14:15" x14ac:dyDescent="0.25">
      <c r="N353" s="162"/>
      <c r="O353" s="5"/>
    </row>
    <row r="354" spans="14:15" x14ac:dyDescent="0.25">
      <c r="N354" s="162"/>
      <c r="O354" s="5"/>
    </row>
    <row r="355" spans="14:15" x14ac:dyDescent="0.25">
      <c r="N355" s="162"/>
      <c r="O355" s="5"/>
    </row>
    <row r="356" spans="14:15" x14ac:dyDescent="0.25">
      <c r="N356" s="162"/>
      <c r="O356" s="5"/>
    </row>
    <row r="357" spans="14:15" x14ac:dyDescent="0.25">
      <c r="N357" s="162"/>
      <c r="O357" s="5"/>
    </row>
    <row r="358" spans="14:15" x14ac:dyDescent="0.25">
      <c r="N358" s="162"/>
      <c r="O358" s="5"/>
    </row>
    <row r="359" spans="14:15" x14ac:dyDescent="0.25">
      <c r="N359" s="162"/>
      <c r="O359" s="5"/>
    </row>
    <row r="360" spans="14:15" x14ac:dyDescent="0.25">
      <c r="N360" s="162"/>
      <c r="O360" s="5"/>
    </row>
    <row r="361" spans="14:15" x14ac:dyDescent="0.25">
      <c r="N361" s="162"/>
      <c r="O361" s="5"/>
    </row>
    <row r="362" spans="14:15" x14ac:dyDescent="0.25">
      <c r="N362" s="162"/>
      <c r="O362" s="5"/>
    </row>
    <row r="363" spans="14:15" x14ac:dyDescent="0.25">
      <c r="N363" s="162"/>
      <c r="O363" s="5"/>
    </row>
    <row r="364" spans="14:15" x14ac:dyDescent="0.25">
      <c r="N364" s="162"/>
      <c r="O364" s="5"/>
    </row>
    <row r="365" spans="14:15" x14ac:dyDescent="0.25">
      <c r="N365" s="162"/>
      <c r="O365" s="5"/>
    </row>
    <row r="366" spans="14:15" x14ac:dyDescent="0.25">
      <c r="N366" s="162"/>
      <c r="O366" s="5"/>
    </row>
    <row r="367" spans="14:15" x14ac:dyDescent="0.25">
      <c r="N367" s="162"/>
      <c r="O367" s="5"/>
    </row>
    <row r="368" spans="14:15" x14ac:dyDescent="0.25">
      <c r="N368" s="162"/>
      <c r="O368" s="5"/>
    </row>
    <row r="369" spans="14:15" x14ac:dyDescent="0.25">
      <c r="N369" s="162"/>
      <c r="O369" s="5"/>
    </row>
    <row r="370" spans="14:15" x14ac:dyDescent="0.25">
      <c r="N370" s="162"/>
      <c r="O370" s="5"/>
    </row>
    <row r="371" spans="14:15" x14ac:dyDescent="0.25">
      <c r="N371" s="162"/>
      <c r="O371" s="5"/>
    </row>
    <row r="372" spans="14:15" x14ac:dyDescent="0.25">
      <c r="N372" s="162"/>
      <c r="O372" s="5"/>
    </row>
    <row r="373" spans="14:15" x14ac:dyDescent="0.25">
      <c r="N373" s="162"/>
      <c r="O373" s="5"/>
    </row>
    <row r="374" spans="14:15" x14ac:dyDescent="0.25">
      <c r="N374" s="162"/>
      <c r="O374" s="5"/>
    </row>
    <row r="375" spans="14:15" x14ac:dyDescent="0.25">
      <c r="N375" s="162"/>
      <c r="O375" s="5"/>
    </row>
    <row r="376" spans="14:15" x14ac:dyDescent="0.25">
      <c r="N376" s="162"/>
      <c r="O376" s="5"/>
    </row>
    <row r="377" spans="14:15" x14ac:dyDescent="0.25">
      <c r="N377" s="162"/>
      <c r="O377" s="5"/>
    </row>
    <row r="378" spans="14:15" x14ac:dyDescent="0.25">
      <c r="N378" s="162"/>
      <c r="O378" s="5"/>
    </row>
    <row r="379" spans="14:15" x14ac:dyDescent="0.25">
      <c r="N379" s="162"/>
      <c r="O379" s="5"/>
    </row>
    <row r="380" spans="14:15" x14ac:dyDescent="0.25">
      <c r="N380" s="162"/>
      <c r="O380" s="5"/>
    </row>
    <row r="381" spans="14:15" x14ac:dyDescent="0.25">
      <c r="N381" s="162"/>
      <c r="O381" s="5"/>
    </row>
    <row r="382" spans="14:15" x14ac:dyDescent="0.25">
      <c r="N382" s="162"/>
      <c r="O382" s="5"/>
    </row>
    <row r="383" spans="14:15" x14ac:dyDescent="0.25">
      <c r="N383" s="162"/>
      <c r="O383" s="5"/>
    </row>
    <row r="384" spans="14:15" x14ac:dyDescent="0.25">
      <c r="N384" s="162"/>
      <c r="O384" s="5"/>
    </row>
    <row r="385" spans="14:15" x14ac:dyDescent="0.25">
      <c r="N385" s="162"/>
      <c r="O385" s="5"/>
    </row>
    <row r="386" spans="14:15" x14ac:dyDescent="0.25">
      <c r="N386" s="162"/>
      <c r="O386" s="5"/>
    </row>
    <row r="387" spans="14:15" x14ac:dyDescent="0.25">
      <c r="N387" s="162"/>
      <c r="O387" s="5"/>
    </row>
    <row r="388" spans="14:15" x14ac:dyDescent="0.25">
      <c r="N388" s="162"/>
      <c r="O388" s="5"/>
    </row>
    <row r="389" spans="14:15" x14ac:dyDescent="0.25">
      <c r="N389" s="162"/>
      <c r="O389" s="5"/>
    </row>
    <row r="390" spans="14:15" x14ac:dyDescent="0.25">
      <c r="N390" s="162"/>
      <c r="O390" s="5"/>
    </row>
    <row r="391" spans="14:15" x14ac:dyDescent="0.25">
      <c r="N391" s="162"/>
      <c r="O391" s="5"/>
    </row>
    <row r="392" spans="14:15" x14ac:dyDescent="0.25">
      <c r="N392" s="162"/>
      <c r="O392" s="5"/>
    </row>
    <row r="393" spans="14:15" x14ac:dyDescent="0.25">
      <c r="N393" s="162"/>
      <c r="O393" s="5"/>
    </row>
    <row r="394" spans="14:15" x14ac:dyDescent="0.25">
      <c r="N394" s="162"/>
      <c r="O394" s="5"/>
    </row>
    <row r="395" spans="14:15" x14ac:dyDescent="0.25">
      <c r="N395" s="162"/>
      <c r="O395" s="5"/>
    </row>
    <row r="396" spans="14:15" x14ac:dyDescent="0.25">
      <c r="N396" s="162"/>
      <c r="O396" s="5"/>
    </row>
    <row r="397" spans="14:15" x14ac:dyDescent="0.25">
      <c r="N397" s="162"/>
      <c r="O397" s="5"/>
    </row>
    <row r="398" spans="14:15" x14ac:dyDescent="0.25">
      <c r="N398" s="162"/>
      <c r="O398" s="5"/>
    </row>
    <row r="399" spans="14:15" x14ac:dyDescent="0.25">
      <c r="N399" s="162"/>
      <c r="O399" s="5"/>
    </row>
    <row r="400" spans="14:15" x14ac:dyDescent="0.25">
      <c r="N400" s="162"/>
      <c r="O400" s="5"/>
    </row>
    <row r="401" spans="14:15" x14ac:dyDescent="0.25">
      <c r="N401" s="162"/>
      <c r="O401" s="5"/>
    </row>
    <row r="402" spans="14:15" x14ac:dyDescent="0.25">
      <c r="N402" s="162"/>
      <c r="O402" s="5"/>
    </row>
    <row r="403" spans="14:15" x14ac:dyDescent="0.25">
      <c r="N403" s="162"/>
      <c r="O403" s="5"/>
    </row>
    <row r="404" spans="14:15" x14ac:dyDescent="0.25">
      <c r="N404" s="162"/>
      <c r="O404" s="5"/>
    </row>
    <row r="405" spans="14:15" x14ac:dyDescent="0.25">
      <c r="N405" s="162"/>
      <c r="O405" s="5"/>
    </row>
    <row r="406" spans="14:15" x14ac:dyDescent="0.25">
      <c r="N406" s="162"/>
      <c r="O406" s="5"/>
    </row>
    <row r="407" spans="14:15" x14ac:dyDescent="0.25">
      <c r="N407" s="162"/>
      <c r="O407" s="5"/>
    </row>
    <row r="408" spans="14:15" x14ac:dyDescent="0.25">
      <c r="N408" s="162"/>
      <c r="O408" s="5"/>
    </row>
    <row r="409" spans="14:15" x14ac:dyDescent="0.25">
      <c r="N409" s="162"/>
      <c r="O409" s="5"/>
    </row>
    <row r="410" spans="14:15" x14ac:dyDescent="0.25">
      <c r="N410" s="162"/>
      <c r="O410" s="5"/>
    </row>
    <row r="411" spans="14:15" x14ac:dyDescent="0.25">
      <c r="N411" s="162"/>
      <c r="O411" s="5"/>
    </row>
    <row r="412" spans="14:15" x14ac:dyDescent="0.25">
      <c r="N412" s="162"/>
      <c r="O412" s="5"/>
    </row>
    <row r="413" spans="14:15" x14ac:dyDescent="0.25">
      <c r="N413" s="162"/>
      <c r="O413" s="5"/>
    </row>
    <row r="414" spans="14:15" x14ac:dyDescent="0.25">
      <c r="N414" s="162"/>
      <c r="O414" s="5"/>
    </row>
    <row r="415" spans="14:15" x14ac:dyDescent="0.25">
      <c r="N415" s="162"/>
      <c r="O415" s="5"/>
    </row>
    <row r="416" spans="14:15" x14ac:dyDescent="0.25">
      <c r="N416" s="162"/>
      <c r="O416" s="5"/>
    </row>
    <row r="417" spans="14:15" x14ac:dyDescent="0.25">
      <c r="N417" s="162"/>
      <c r="O417" s="5"/>
    </row>
    <row r="418" spans="14:15" x14ac:dyDescent="0.25">
      <c r="N418" s="162"/>
      <c r="O418" s="5"/>
    </row>
    <row r="419" spans="14:15" x14ac:dyDescent="0.25">
      <c r="N419" s="162"/>
      <c r="O419" s="5"/>
    </row>
    <row r="420" spans="14:15" x14ac:dyDescent="0.25">
      <c r="N420" s="162"/>
      <c r="O420" s="5"/>
    </row>
    <row r="421" spans="14:15" x14ac:dyDescent="0.25">
      <c r="N421" s="162"/>
      <c r="O421" s="5"/>
    </row>
    <row r="422" spans="14:15" x14ac:dyDescent="0.25">
      <c r="N422" s="162"/>
      <c r="O422" s="5"/>
    </row>
    <row r="423" spans="14:15" x14ac:dyDescent="0.25">
      <c r="N423" s="162"/>
      <c r="O423" s="5"/>
    </row>
    <row r="424" spans="14:15" x14ac:dyDescent="0.25">
      <c r="N424" s="162"/>
      <c r="O424" s="5"/>
    </row>
    <row r="425" spans="14:15" x14ac:dyDescent="0.25">
      <c r="N425" s="162"/>
      <c r="O425" s="5"/>
    </row>
    <row r="426" spans="14:15" x14ac:dyDescent="0.25">
      <c r="N426" s="162"/>
      <c r="O426" s="5"/>
    </row>
    <row r="427" spans="14:15" x14ac:dyDescent="0.25">
      <c r="N427" s="162"/>
      <c r="O427" s="5"/>
    </row>
    <row r="428" spans="14:15" x14ac:dyDescent="0.25">
      <c r="N428" s="162"/>
      <c r="O428" s="5"/>
    </row>
    <row r="429" spans="14:15" x14ac:dyDescent="0.25">
      <c r="N429" s="162"/>
      <c r="O429" s="5"/>
    </row>
    <row r="430" spans="14:15" x14ac:dyDescent="0.25">
      <c r="N430" s="162"/>
      <c r="O430" s="5"/>
    </row>
    <row r="431" spans="14:15" x14ac:dyDescent="0.25">
      <c r="N431" s="162"/>
      <c r="O431" s="5"/>
    </row>
    <row r="432" spans="14:15" x14ac:dyDescent="0.25">
      <c r="N432" s="162"/>
      <c r="O432" s="5"/>
    </row>
    <row r="433" spans="14:15" x14ac:dyDescent="0.25">
      <c r="N433" s="162"/>
      <c r="O433" s="5"/>
    </row>
    <row r="434" spans="14:15" x14ac:dyDescent="0.25">
      <c r="N434" s="162"/>
      <c r="O434" s="5"/>
    </row>
    <row r="435" spans="14:15" x14ac:dyDescent="0.25">
      <c r="N435" s="162"/>
      <c r="O435" s="5"/>
    </row>
    <row r="436" spans="14:15" x14ac:dyDescent="0.25">
      <c r="N436" s="162"/>
      <c r="O436" s="5"/>
    </row>
    <row r="437" spans="14:15" x14ac:dyDescent="0.25">
      <c r="N437" s="162"/>
      <c r="O437" s="5"/>
    </row>
    <row r="438" spans="14:15" x14ac:dyDescent="0.25">
      <c r="N438" s="162"/>
      <c r="O438" s="5"/>
    </row>
    <row r="439" spans="14:15" x14ac:dyDescent="0.25">
      <c r="N439" s="162"/>
      <c r="O439" s="5"/>
    </row>
    <row r="440" spans="14:15" x14ac:dyDescent="0.25">
      <c r="N440" s="162"/>
      <c r="O440" s="5"/>
    </row>
    <row r="441" spans="14:15" x14ac:dyDescent="0.25">
      <c r="N441" s="162"/>
      <c r="O441" s="5"/>
    </row>
    <row r="442" spans="14:15" x14ac:dyDescent="0.25">
      <c r="N442" s="162"/>
      <c r="O442" s="5"/>
    </row>
    <row r="443" spans="14:15" x14ac:dyDescent="0.25">
      <c r="N443" s="162"/>
      <c r="O443" s="5"/>
    </row>
    <row r="444" spans="14:15" x14ac:dyDescent="0.25">
      <c r="N444" s="162"/>
      <c r="O444" s="5"/>
    </row>
    <row r="445" spans="14:15" x14ac:dyDescent="0.25">
      <c r="N445" s="162"/>
      <c r="O445" s="5"/>
    </row>
    <row r="446" spans="14:15" x14ac:dyDescent="0.25">
      <c r="N446" s="162"/>
      <c r="O446" s="5"/>
    </row>
    <row r="447" spans="14:15" x14ac:dyDescent="0.25">
      <c r="N447" s="162"/>
      <c r="O447" s="5"/>
    </row>
    <row r="448" spans="14:15" x14ac:dyDescent="0.25">
      <c r="N448" s="162"/>
      <c r="O448" s="5"/>
    </row>
    <row r="449" spans="14:15" x14ac:dyDescent="0.25">
      <c r="N449" s="162"/>
      <c r="O449" s="5"/>
    </row>
    <row r="450" spans="14:15" x14ac:dyDescent="0.25">
      <c r="N450" s="162"/>
      <c r="O450" s="5"/>
    </row>
    <row r="451" spans="14:15" x14ac:dyDescent="0.25">
      <c r="N451" s="162"/>
      <c r="O451" s="5"/>
    </row>
    <row r="452" spans="14:15" x14ac:dyDescent="0.25">
      <c r="N452" s="162"/>
      <c r="O452" s="5"/>
    </row>
    <row r="453" spans="14:15" x14ac:dyDescent="0.25">
      <c r="N453" s="162"/>
      <c r="O453" s="5"/>
    </row>
    <row r="454" spans="14:15" x14ac:dyDescent="0.25">
      <c r="N454" s="162"/>
      <c r="O454" s="5"/>
    </row>
    <row r="455" spans="14:15" x14ac:dyDescent="0.25">
      <c r="N455" s="162"/>
      <c r="O455" s="5"/>
    </row>
    <row r="456" spans="14:15" x14ac:dyDescent="0.25">
      <c r="N456" s="162"/>
      <c r="O456" s="5"/>
    </row>
    <row r="457" spans="14:15" x14ac:dyDescent="0.25">
      <c r="N457" s="162"/>
      <c r="O457" s="5"/>
    </row>
    <row r="458" spans="14:15" x14ac:dyDescent="0.25">
      <c r="N458" s="162"/>
      <c r="O458" s="5"/>
    </row>
    <row r="459" spans="14:15" x14ac:dyDescent="0.25">
      <c r="N459" s="162"/>
      <c r="O459" s="5"/>
    </row>
    <row r="460" spans="14:15" x14ac:dyDescent="0.25">
      <c r="N460" s="162"/>
      <c r="O460" s="5"/>
    </row>
    <row r="461" spans="14:15" x14ac:dyDescent="0.25">
      <c r="N461" s="162"/>
      <c r="O461" s="5"/>
    </row>
    <row r="462" spans="14:15" x14ac:dyDescent="0.25">
      <c r="N462" s="162"/>
      <c r="O462" s="5"/>
    </row>
    <row r="463" spans="14:15" x14ac:dyDescent="0.25">
      <c r="N463" s="162"/>
      <c r="O463" s="5"/>
    </row>
    <row r="464" spans="14:15" x14ac:dyDescent="0.25">
      <c r="N464" s="162"/>
      <c r="O464" s="5"/>
    </row>
    <row r="465" spans="14:15" x14ac:dyDescent="0.25">
      <c r="N465" s="162"/>
      <c r="O465" s="5"/>
    </row>
    <row r="466" spans="14:15" x14ac:dyDescent="0.25">
      <c r="N466" s="162"/>
      <c r="O466" s="5"/>
    </row>
    <row r="467" spans="14:15" x14ac:dyDescent="0.25">
      <c r="N467" s="162"/>
      <c r="O467" s="5"/>
    </row>
    <row r="468" spans="14:15" x14ac:dyDescent="0.25">
      <c r="N468" s="162"/>
      <c r="O468" s="5"/>
    </row>
    <row r="469" spans="14:15" x14ac:dyDescent="0.25">
      <c r="N469" s="162"/>
      <c r="O469" s="5"/>
    </row>
    <row r="470" spans="14:15" x14ac:dyDescent="0.25">
      <c r="N470" s="162"/>
      <c r="O470" s="5"/>
    </row>
    <row r="471" spans="14:15" x14ac:dyDescent="0.25">
      <c r="N471" s="162"/>
      <c r="O471" s="5"/>
    </row>
    <row r="472" spans="14:15" x14ac:dyDescent="0.25">
      <c r="N472" s="162"/>
      <c r="O472" s="5"/>
    </row>
    <row r="473" spans="14:15" x14ac:dyDescent="0.25">
      <c r="N473" s="162"/>
      <c r="O473" s="5"/>
    </row>
    <row r="474" spans="14:15" x14ac:dyDescent="0.25">
      <c r="N474" s="162"/>
      <c r="O474" s="5"/>
    </row>
    <row r="475" spans="14:15" x14ac:dyDescent="0.25">
      <c r="N475" s="162"/>
      <c r="O475" s="5"/>
    </row>
    <row r="476" spans="14:15" x14ac:dyDescent="0.25">
      <c r="N476" s="162"/>
      <c r="O476" s="5"/>
    </row>
    <row r="477" spans="14:15" x14ac:dyDescent="0.25">
      <c r="N477" s="162"/>
      <c r="O477" s="5"/>
    </row>
    <row r="478" spans="14:15" x14ac:dyDescent="0.25">
      <c r="N478" s="162"/>
      <c r="O478" s="5"/>
    </row>
    <row r="479" spans="14:15" x14ac:dyDescent="0.25">
      <c r="N479" s="162"/>
      <c r="O479" s="5"/>
    </row>
    <row r="480" spans="14:15" x14ac:dyDescent="0.25">
      <c r="N480" s="162"/>
      <c r="O480" s="5"/>
    </row>
    <row r="481" spans="14:15" x14ac:dyDescent="0.25">
      <c r="N481" s="162"/>
      <c r="O481" s="5"/>
    </row>
    <row r="482" spans="14:15" x14ac:dyDescent="0.25">
      <c r="N482" s="162"/>
      <c r="O482" s="5"/>
    </row>
    <row r="483" spans="14:15" x14ac:dyDescent="0.25">
      <c r="N483" s="162"/>
      <c r="O483" s="5"/>
    </row>
    <row r="484" spans="14:15" x14ac:dyDescent="0.25">
      <c r="N484" s="162"/>
      <c r="O484" s="5"/>
    </row>
    <row r="485" spans="14:15" x14ac:dyDescent="0.25">
      <c r="N485" s="162"/>
      <c r="O485" s="5"/>
    </row>
    <row r="486" spans="14:15" x14ac:dyDescent="0.25">
      <c r="N486" s="162"/>
      <c r="O486" s="5"/>
    </row>
    <row r="487" spans="14:15" x14ac:dyDescent="0.25">
      <c r="N487" s="162"/>
      <c r="O487" s="5"/>
    </row>
    <row r="488" spans="14:15" x14ac:dyDescent="0.25">
      <c r="N488" s="162"/>
      <c r="O488" s="5"/>
    </row>
    <row r="489" spans="14:15" x14ac:dyDescent="0.25">
      <c r="N489" s="162"/>
      <c r="O489" s="5"/>
    </row>
    <row r="490" spans="14:15" x14ac:dyDescent="0.25">
      <c r="N490" s="162"/>
      <c r="O490" s="5"/>
    </row>
    <row r="491" spans="14:15" x14ac:dyDescent="0.25">
      <c r="N491" s="162"/>
      <c r="O491" s="5"/>
    </row>
    <row r="492" spans="14:15" x14ac:dyDescent="0.25">
      <c r="N492" s="162"/>
      <c r="O492" s="5"/>
    </row>
    <row r="493" spans="14:15" x14ac:dyDescent="0.25">
      <c r="N493" s="162"/>
      <c r="O493" s="5"/>
    </row>
    <row r="494" spans="14:15" x14ac:dyDescent="0.25">
      <c r="N494" s="162"/>
      <c r="O494" s="5"/>
    </row>
    <row r="495" spans="14:15" x14ac:dyDescent="0.25">
      <c r="N495" s="162"/>
      <c r="O495" s="5"/>
    </row>
    <row r="496" spans="14:15" x14ac:dyDescent="0.25">
      <c r="N496" s="162"/>
      <c r="O496" s="5"/>
    </row>
    <row r="497" spans="14:15" x14ac:dyDescent="0.25">
      <c r="N497" s="162"/>
      <c r="O497" s="5"/>
    </row>
    <row r="498" spans="14:15" x14ac:dyDescent="0.25">
      <c r="N498" s="162"/>
      <c r="O498" s="5"/>
    </row>
    <row r="499" spans="14:15" x14ac:dyDescent="0.25">
      <c r="N499" s="162"/>
      <c r="O499" s="5"/>
    </row>
    <row r="500" spans="14:15" x14ac:dyDescent="0.25">
      <c r="N500" s="162"/>
      <c r="O500" s="5"/>
    </row>
  </sheetData>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8433" r:id="rId6" name="Button 1">
              <controlPr defaultSize="0" print="0" autoFill="0" autoPict="0" macro="[0]!Refresh_PubDate_Data">
                <anchor moveWithCells="1">
                  <from>
                    <xdr:col>3</xdr:col>
                    <xdr:colOff>0</xdr:colOff>
                    <xdr:row>0</xdr:row>
                    <xdr:rowOff>200025</xdr:rowOff>
                  </from>
                  <to>
                    <xdr:col>4</xdr:col>
                    <xdr:colOff>304800</xdr:colOff>
                    <xdr:row>2</xdr:row>
                    <xdr:rowOff>0</xdr:rowOff>
                  </to>
                </anchor>
              </controlPr>
            </control>
          </mc:Choice>
        </mc:AlternateContent>
        <mc:AlternateContent xmlns:mc="http://schemas.openxmlformats.org/markup-compatibility/2006">
          <mc:Choice Requires="x14">
            <control shapeId="18434" r:id="rId7" name="Button 2">
              <controlPr defaultSize="0" print="0" autoFill="0" autoPict="0" macro="[0]!Year_ChartUp">
                <anchor moveWithCells="1">
                  <from>
                    <xdr:col>2</xdr:col>
                    <xdr:colOff>466725</xdr:colOff>
                    <xdr:row>4</xdr:row>
                    <xdr:rowOff>0</xdr:rowOff>
                  </from>
                  <to>
                    <xdr:col>3</xdr:col>
                    <xdr:colOff>0</xdr:colOff>
                    <xdr:row>5</xdr:row>
                    <xdr:rowOff>47625</xdr:rowOff>
                  </to>
                </anchor>
              </controlPr>
            </control>
          </mc:Choice>
        </mc:AlternateContent>
        <mc:AlternateContent xmlns:mc="http://schemas.openxmlformats.org/markup-compatibility/2006">
          <mc:Choice Requires="x14">
            <control shapeId="18435" r:id="rId8" name="Button 3">
              <controlPr defaultSize="0" print="0" autoFill="0" autoPict="0" macro="[0]!Year_ChartDown">
                <anchor moveWithCells="1">
                  <from>
                    <xdr:col>2</xdr:col>
                    <xdr:colOff>466725</xdr:colOff>
                    <xdr:row>6</xdr:row>
                    <xdr:rowOff>0</xdr:rowOff>
                  </from>
                  <to>
                    <xdr:col>3</xdr:col>
                    <xdr:colOff>0</xdr:colOff>
                    <xdr:row>7</xdr:row>
                    <xdr:rowOff>47625</xdr:rowOff>
                  </to>
                </anchor>
              </controlPr>
            </control>
          </mc:Choice>
        </mc:AlternateContent>
        <mc:AlternateContent xmlns:mc="http://schemas.openxmlformats.org/markup-compatibility/2006">
          <mc:Choice Requires="x14">
            <control shapeId="18436" r:id="rId9" name="Button 4">
              <controlPr defaultSize="0" print="0" autoFill="0" autoPict="0" macro="[0]!Decade_ChartUp">
                <anchor moveWithCells="1">
                  <from>
                    <xdr:col>18</xdr:col>
                    <xdr:colOff>466725</xdr:colOff>
                    <xdr:row>4</xdr:row>
                    <xdr:rowOff>0</xdr:rowOff>
                  </from>
                  <to>
                    <xdr:col>19</xdr:col>
                    <xdr:colOff>0</xdr:colOff>
                    <xdr:row>5</xdr:row>
                    <xdr:rowOff>47625</xdr:rowOff>
                  </to>
                </anchor>
              </controlPr>
            </control>
          </mc:Choice>
        </mc:AlternateContent>
        <mc:AlternateContent xmlns:mc="http://schemas.openxmlformats.org/markup-compatibility/2006">
          <mc:Choice Requires="x14">
            <control shapeId="18437" r:id="rId10" name="Button 5">
              <controlPr defaultSize="0" print="0" autoFill="0" autoPict="0" macro="[0]!Decade_ChartDown">
                <anchor moveWithCells="1">
                  <from>
                    <xdr:col>18</xdr:col>
                    <xdr:colOff>466725</xdr:colOff>
                    <xdr:row>6</xdr:row>
                    <xdr:rowOff>0</xdr:rowOff>
                  </from>
                  <to>
                    <xdr:col>19</xdr:col>
                    <xdr:colOff>0</xdr:colOff>
                    <xdr:row>7</xdr:row>
                    <xdr:rowOff>47625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F964-1237-4C55-83B6-66B90F98D60C}">
  <sheetPr codeName="Sheet8">
    <tabColor theme="4"/>
  </sheetPr>
  <dimension ref="A1:P12091"/>
  <sheetViews>
    <sheetView topLeftCell="B1" zoomScaleNormal="100" workbookViewId="0">
      <selection activeCell="B1" sqref="B1"/>
    </sheetView>
  </sheetViews>
  <sheetFormatPr defaultRowHeight="15" customHeight="1" x14ac:dyDescent="0.25"/>
  <cols>
    <col min="1" max="1" width="9.140625" hidden="1" customWidth="1"/>
    <col min="2" max="2" width="40.7109375" customWidth="1"/>
    <col min="3" max="3" width="7.140625" bestFit="1" customWidth="1"/>
    <col min="4" max="4" width="20.7109375" customWidth="1"/>
    <col min="14" max="14" width="12.42578125" hidden="1" customWidth="1"/>
    <col min="15" max="15" width="40.7109375" customWidth="1"/>
    <col min="16" max="16" width="7.140625" bestFit="1" customWidth="1"/>
    <col min="17" max="17" width="20.7109375" customWidth="1"/>
  </cols>
  <sheetData>
    <row r="1" spans="1:16" ht="20.100000000000001" customHeight="1" x14ac:dyDescent="0.25">
      <c r="A1" s="154" t="s">
        <v>201</v>
      </c>
      <c r="N1" s="163" t="s">
        <v>202</v>
      </c>
    </row>
    <row r="2" spans="1:16" ht="15" customHeight="1" x14ac:dyDescent="0.25">
      <c r="A2" t="s" cm="1">
        <v>316</v>
      </c>
      <c r="N2" t="s" cm="1">
        <v>316</v>
      </c>
    </row>
    <row r="3" spans="1:16" ht="15" customHeight="1" x14ac:dyDescent="0.25">
      <c r="A3" t="s" cm="1">
        <v>316</v>
      </c>
      <c r="N3" t="s" cm="1">
        <v>316</v>
      </c>
    </row>
    <row r="4" spans="1:16" ht="15" customHeight="1" x14ac:dyDescent="0.25">
      <c r="A4" t="s" cm="1">
        <v>316</v>
      </c>
      <c r="B4" s="164" t="s">
        <v>201</v>
      </c>
      <c r="C4" t="s">
        <v>188</v>
      </c>
      <c r="N4" t="s" cm="1">
        <v>316</v>
      </c>
      <c r="O4" s="164" t="s">
        <v>204</v>
      </c>
      <c r="P4" t="s">
        <v>188</v>
      </c>
    </row>
    <row r="5" spans="1:16" ht="15" customHeight="1" x14ac:dyDescent="0.25">
      <c r="A5" t="s" cm="1">
        <v>316</v>
      </c>
      <c r="B5" s="30" t="s">
        <v>853</v>
      </c>
      <c r="C5">
        <v>1</v>
      </c>
      <c r="N5" t="s" cm="1">
        <v>316</v>
      </c>
      <c r="O5" s="30" t="s">
        <v>1149</v>
      </c>
      <c r="P5">
        <v>1</v>
      </c>
    </row>
    <row r="6" spans="1:16" ht="15" customHeight="1" x14ac:dyDescent="0.25">
      <c r="A6" t="s" cm="1">
        <v>316</v>
      </c>
      <c r="B6" s="30" t="s">
        <v>858</v>
      </c>
      <c r="C6">
        <v>1</v>
      </c>
      <c r="N6" t="s" cm="1">
        <v>316</v>
      </c>
      <c r="O6" s="30" t="s">
        <v>1332</v>
      </c>
      <c r="P6">
        <v>1</v>
      </c>
    </row>
    <row r="7" spans="1:16" ht="15" customHeight="1" x14ac:dyDescent="0.25">
      <c r="A7" t="s" cm="1">
        <v>316</v>
      </c>
      <c r="B7" s="30" t="s">
        <v>882</v>
      </c>
      <c r="C7">
        <v>1</v>
      </c>
      <c r="N7" t="s" cm="1">
        <v>316</v>
      </c>
      <c r="O7" s="30" t="s">
        <v>679</v>
      </c>
      <c r="P7">
        <v>1</v>
      </c>
    </row>
    <row r="8" spans="1:16" ht="15" customHeight="1" x14ac:dyDescent="0.25">
      <c r="A8" t="s" cm="1">
        <v>316</v>
      </c>
      <c r="B8" s="30" t="s">
        <v>887</v>
      </c>
      <c r="C8">
        <v>1</v>
      </c>
      <c r="N8" t="s" cm="1">
        <v>316</v>
      </c>
      <c r="O8" s="30" t="s">
        <v>1077</v>
      </c>
      <c r="P8">
        <v>1</v>
      </c>
    </row>
    <row r="9" spans="1:16" ht="15" customHeight="1" x14ac:dyDescent="0.25">
      <c r="A9" t="s" cm="1">
        <v>316</v>
      </c>
      <c r="B9" s="30" t="s">
        <v>212</v>
      </c>
      <c r="C9">
        <v>1</v>
      </c>
      <c r="N9" t="s" cm="1">
        <v>316</v>
      </c>
      <c r="O9" s="30" t="s">
        <v>370</v>
      </c>
      <c r="P9">
        <v>1</v>
      </c>
    </row>
    <row r="10" spans="1:16" ht="15" customHeight="1" x14ac:dyDescent="0.25">
      <c r="A10" t="s" cm="1">
        <v>316</v>
      </c>
      <c r="B10" s="30" t="s">
        <v>323</v>
      </c>
      <c r="C10">
        <v>1</v>
      </c>
      <c r="N10" t="s" cm="1">
        <v>316</v>
      </c>
      <c r="O10" s="30" t="s">
        <v>552</v>
      </c>
      <c r="P10">
        <v>1</v>
      </c>
    </row>
    <row r="11" spans="1:16" ht="15" customHeight="1" x14ac:dyDescent="0.25">
      <c r="A11" t="s" cm="1">
        <v>316</v>
      </c>
      <c r="B11" s="30" t="s">
        <v>401</v>
      </c>
      <c r="C11">
        <v>1</v>
      </c>
      <c r="N11" t="s" cm="1">
        <v>316</v>
      </c>
      <c r="O11" s="30" t="s">
        <v>609</v>
      </c>
      <c r="P11">
        <v>1</v>
      </c>
    </row>
    <row r="12" spans="1:16" ht="15" customHeight="1" x14ac:dyDescent="0.25">
      <c r="A12" t="s" cm="1">
        <v>316</v>
      </c>
      <c r="B12" s="30" t="s">
        <v>1325</v>
      </c>
      <c r="C12">
        <v>1</v>
      </c>
      <c r="N12" t="s" cm="1">
        <v>316</v>
      </c>
      <c r="O12" s="30" t="s">
        <v>637</v>
      </c>
      <c r="P12">
        <v>1</v>
      </c>
    </row>
    <row r="13" spans="1:16" ht="15" customHeight="1" x14ac:dyDescent="0.25">
      <c r="A13" t="s" cm="1">
        <v>316</v>
      </c>
      <c r="B13" s="30" t="s">
        <v>417</v>
      </c>
      <c r="C13">
        <v>1</v>
      </c>
      <c r="N13" t="s" cm="1">
        <v>316</v>
      </c>
      <c r="O13" s="30" t="s">
        <v>613</v>
      </c>
      <c r="P13">
        <v>1</v>
      </c>
    </row>
    <row r="14" spans="1:16" ht="15" customHeight="1" x14ac:dyDescent="0.25">
      <c r="A14" t="s" cm="1">
        <v>316</v>
      </c>
      <c r="B14" s="30" t="s">
        <v>354</v>
      </c>
      <c r="C14">
        <v>1</v>
      </c>
      <c r="N14" t="s" cm="1">
        <v>316</v>
      </c>
      <c r="O14" s="30" t="s">
        <v>764</v>
      </c>
      <c r="P14">
        <v>1</v>
      </c>
    </row>
    <row r="15" spans="1:16" ht="15" customHeight="1" x14ac:dyDescent="0.25">
      <c r="A15" t="s" cm="1">
        <v>322</v>
      </c>
      <c r="B15" s="30" t="s">
        <v>420</v>
      </c>
      <c r="C15">
        <v>1</v>
      </c>
      <c r="N15" t="s" cm="1">
        <v>893</v>
      </c>
      <c r="O15" s="30" t="s">
        <v>1235</v>
      </c>
      <c r="P15">
        <v>1</v>
      </c>
    </row>
    <row r="16" spans="1:16" ht="15" customHeight="1" x14ac:dyDescent="0.25">
      <c r="A16" t="s" cm="1">
        <v>328</v>
      </c>
      <c r="B16" s="30" t="s">
        <v>370</v>
      </c>
      <c r="C16">
        <v>1</v>
      </c>
      <c r="N16" t="s" cm="1">
        <v>328</v>
      </c>
      <c r="O16" s="30" t="s">
        <v>1284</v>
      </c>
      <c r="P16">
        <v>1</v>
      </c>
    </row>
    <row r="17" spans="1:16" ht="15" customHeight="1" x14ac:dyDescent="0.25">
      <c r="A17" t="s" cm="1">
        <v>328</v>
      </c>
      <c r="B17" s="30" t="s">
        <v>438</v>
      </c>
      <c r="C17">
        <v>1</v>
      </c>
      <c r="N17" t="s" cm="1">
        <v>328</v>
      </c>
      <c r="O17" s="30" t="s">
        <v>1001</v>
      </c>
      <c r="P17">
        <v>1</v>
      </c>
    </row>
    <row r="18" spans="1:16" ht="15" customHeight="1" x14ac:dyDescent="0.25">
      <c r="A18" t="s" cm="1">
        <v>316</v>
      </c>
      <c r="B18" s="30" t="s">
        <v>400</v>
      </c>
      <c r="C18">
        <v>1</v>
      </c>
      <c r="N18" t="s" cm="1">
        <v>316</v>
      </c>
      <c r="O18" s="30" t="s">
        <v>760</v>
      </c>
      <c r="P18">
        <v>1</v>
      </c>
    </row>
    <row r="19" spans="1:16" ht="15" customHeight="1" x14ac:dyDescent="0.25">
      <c r="A19" t="s" cm="1">
        <v>344</v>
      </c>
      <c r="B19" s="30" t="s">
        <v>461</v>
      </c>
      <c r="C19">
        <v>1</v>
      </c>
      <c r="N19" t="s" cm="1">
        <v>896</v>
      </c>
      <c r="O19" s="30" t="s">
        <v>1073</v>
      </c>
      <c r="P19">
        <v>1</v>
      </c>
    </row>
    <row r="20" spans="1:16" ht="15" customHeight="1" x14ac:dyDescent="0.25">
      <c r="A20" t="s" cm="1">
        <v>344</v>
      </c>
      <c r="B20" s="30" t="s">
        <v>419</v>
      </c>
      <c r="C20">
        <v>1</v>
      </c>
      <c r="N20" t="s" cm="1">
        <v>896</v>
      </c>
      <c r="O20" s="30" t="s">
        <v>208</v>
      </c>
      <c r="P20">
        <v>1</v>
      </c>
    </row>
    <row r="21" spans="1:16" ht="15" customHeight="1" x14ac:dyDescent="0.25">
      <c r="A21" t="s" cm="1">
        <v>354</v>
      </c>
      <c r="B21" s="30" t="s">
        <v>469</v>
      </c>
      <c r="C21">
        <v>1</v>
      </c>
      <c r="N21" t="s" cm="1">
        <v>354</v>
      </c>
      <c r="O21" s="30" t="s">
        <v>1292</v>
      </c>
      <c r="P21">
        <v>1</v>
      </c>
    </row>
    <row r="22" spans="1:16" ht="15" customHeight="1" x14ac:dyDescent="0.25">
      <c r="A22" t="s" cm="1">
        <v>360</v>
      </c>
      <c r="B22" s="30" t="s">
        <v>452</v>
      </c>
      <c r="C22">
        <v>1</v>
      </c>
      <c r="N22" t="s" cm="1">
        <v>899</v>
      </c>
      <c r="O22" s="30" t="s">
        <v>916</v>
      </c>
      <c r="P22">
        <v>1</v>
      </c>
    </row>
    <row r="23" spans="1:16" ht="15" customHeight="1" x14ac:dyDescent="0.25">
      <c r="A23" t="s" cm="1">
        <v>360</v>
      </c>
      <c r="B23" s="30" t="s">
        <v>474</v>
      </c>
      <c r="C23">
        <v>1</v>
      </c>
      <c r="N23" t="s" cm="1">
        <v>899</v>
      </c>
      <c r="O23" s="30" t="s">
        <v>357</v>
      </c>
      <c r="P23">
        <v>1</v>
      </c>
    </row>
    <row r="24" spans="1:16" ht="15" customHeight="1" x14ac:dyDescent="0.25">
      <c r="A24" t="s" cm="1">
        <v>360</v>
      </c>
      <c r="B24" s="30" t="s">
        <v>468</v>
      </c>
      <c r="C24">
        <v>1</v>
      </c>
      <c r="N24" t="s" cm="1">
        <v>899</v>
      </c>
      <c r="O24" s="30" t="s">
        <v>652</v>
      </c>
      <c r="P24">
        <v>1</v>
      </c>
    </row>
    <row r="25" spans="1:16" ht="15" customHeight="1" x14ac:dyDescent="0.25">
      <c r="A25" t="s" cm="1">
        <v>368</v>
      </c>
      <c r="B25" s="30" t="s">
        <v>485</v>
      </c>
      <c r="C25">
        <v>1</v>
      </c>
      <c r="N25" t="s" cm="1">
        <v>902</v>
      </c>
      <c r="O25" s="30" t="s">
        <v>1157</v>
      </c>
      <c r="P25">
        <v>1</v>
      </c>
    </row>
    <row r="26" spans="1:16" ht="15" customHeight="1" x14ac:dyDescent="0.25">
      <c r="A26" t="s" cm="1">
        <v>360</v>
      </c>
      <c r="B26" s="30" t="s">
        <v>484</v>
      </c>
      <c r="C26">
        <v>1</v>
      </c>
      <c r="N26" t="s" cm="1">
        <v>899</v>
      </c>
      <c r="O26" s="30" t="s">
        <v>677</v>
      </c>
      <c r="P26">
        <v>1</v>
      </c>
    </row>
    <row r="27" spans="1:16" ht="15" customHeight="1" x14ac:dyDescent="0.25">
      <c r="A27" t="s" cm="1">
        <v>360</v>
      </c>
      <c r="B27" s="30" t="s">
        <v>491</v>
      </c>
      <c r="C27">
        <v>1</v>
      </c>
      <c r="N27" t="s" cm="1">
        <v>899</v>
      </c>
      <c r="O27" s="30" t="s">
        <v>358</v>
      </c>
      <c r="P27">
        <v>1</v>
      </c>
    </row>
    <row r="28" spans="1:16" ht="15" customHeight="1" x14ac:dyDescent="0.25">
      <c r="A28" t="s" cm="1">
        <v>370</v>
      </c>
      <c r="B28" s="30" t="s">
        <v>499</v>
      </c>
      <c r="C28">
        <v>1</v>
      </c>
      <c r="N28" t="s" cm="1">
        <v>370</v>
      </c>
      <c r="O28" s="30" t="s">
        <v>1108</v>
      </c>
      <c r="P28">
        <v>1</v>
      </c>
    </row>
    <row r="29" spans="1:16" ht="15" customHeight="1" x14ac:dyDescent="0.25">
      <c r="A29" t="s" cm="1">
        <v>273</v>
      </c>
      <c r="B29" s="30" t="s">
        <v>500</v>
      </c>
      <c r="C29">
        <v>1</v>
      </c>
      <c r="N29" t="s" cm="1">
        <v>273</v>
      </c>
      <c r="O29" s="30" t="s">
        <v>435</v>
      </c>
      <c r="P29">
        <v>1</v>
      </c>
    </row>
    <row r="30" spans="1:16" ht="15" customHeight="1" x14ac:dyDescent="0.25">
      <c r="A30" t="s" cm="1">
        <v>372</v>
      </c>
      <c r="B30" s="30" t="s">
        <v>514</v>
      </c>
      <c r="C30">
        <v>1</v>
      </c>
      <c r="N30" t="s" cm="1">
        <v>372</v>
      </c>
      <c r="O30" s="30" t="s">
        <v>1006</v>
      </c>
      <c r="P30">
        <v>1</v>
      </c>
    </row>
    <row r="31" spans="1:16" ht="15" customHeight="1" x14ac:dyDescent="0.25">
      <c r="A31" t="s" cm="1">
        <v>372</v>
      </c>
      <c r="B31" s="30" t="s">
        <v>506</v>
      </c>
      <c r="C31">
        <v>1</v>
      </c>
      <c r="N31" t="s" cm="1">
        <v>372</v>
      </c>
      <c r="O31" s="30" t="s">
        <v>953</v>
      </c>
      <c r="P31">
        <v>1</v>
      </c>
    </row>
    <row r="32" spans="1:16" ht="15" customHeight="1" x14ac:dyDescent="0.25">
      <c r="A32" t="s" cm="1">
        <v>379</v>
      </c>
      <c r="B32" s="30" t="s">
        <v>535</v>
      </c>
      <c r="C32">
        <v>1</v>
      </c>
      <c r="N32" t="s" cm="1">
        <v>379</v>
      </c>
      <c r="O32" s="30" t="s">
        <v>422</v>
      </c>
      <c r="P32">
        <v>1</v>
      </c>
    </row>
    <row r="33" spans="1:16" ht="15" customHeight="1" x14ac:dyDescent="0.25">
      <c r="A33" t="s" cm="1">
        <v>379</v>
      </c>
      <c r="B33" s="30" t="s">
        <v>515</v>
      </c>
      <c r="C33">
        <v>1</v>
      </c>
      <c r="N33" t="s" cm="1">
        <v>379</v>
      </c>
      <c r="O33" s="30" t="s">
        <v>1110</v>
      </c>
      <c r="P33">
        <v>1</v>
      </c>
    </row>
    <row r="34" spans="1:16" ht="15" customHeight="1" x14ac:dyDescent="0.25">
      <c r="A34" t="s" cm="1">
        <v>383</v>
      </c>
      <c r="B34" s="30" t="s">
        <v>116</v>
      </c>
      <c r="C34">
        <v>1</v>
      </c>
      <c r="N34" t="s" cm="1">
        <v>903</v>
      </c>
      <c r="O34" s="30" t="s">
        <v>1333</v>
      </c>
      <c r="P34">
        <v>1</v>
      </c>
    </row>
    <row r="35" spans="1:16" ht="15" customHeight="1" x14ac:dyDescent="0.25">
      <c r="A35" t="s" cm="1">
        <v>383</v>
      </c>
      <c r="B35" s="30" t="s">
        <v>522</v>
      </c>
      <c r="C35">
        <v>1</v>
      </c>
      <c r="N35" t="s" cm="1">
        <v>903</v>
      </c>
      <c r="O35" s="30" t="s">
        <v>1020</v>
      </c>
      <c r="P35">
        <v>1</v>
      </c>
    </row>
    <row r="36" spans="1:16" ht="15" customHeight="1" x14ac:dyDescent="0.25">
      <c r="A36" t="s" cm="1">
        <v>383</v>
      </c>
      <c r="B36" s="30" t="s">
        <v>584</v>
      </c>
      <c r="C36">
        <v>1</v>
      </c>
      <c r="N36" t="s" cm="1">
        <v>903</v>
      </c>
      <c r="O36" s="30" t="s">
        <v>996</v>
      </c>
      <c r="P36">
        <v>1</v>
      </c>
    </row>
    <row r="37" spans="1:16" ht="15" customHeight="1" x14ac:dyDescent="0.25">
      <c r="A37" t="s" cm="1">
        <v>383</v>
      </c>
      <c r="B37" s="30" t="s">
        <v>530</v>
      </c>
      <c r="C37">
        <v>1</v>
      </c>
      <c r="N37" t="s" cm="1">
        <v>903</v>
      </c>
      <c r="O37" s="30" t="s">
        <v>523</v>
      </c>
      <c r="P37">
        <v>1</v>
      </c>
    </row>
    <row r="38" spans="1:16" ht="15" customHeight="1" x14ac:dyDescent="0.25">
      <c r="A38" t="s" cm="1">
        <v>383</v>
      </c>
      <c r="B38" s="30" t="s">
        <v>591</v>
      </c>
      <c r="C38">
        <v>1</v>
      </c>
      <c r="N38" t="s" cm="1">
        <v>903</v>
      </c>
      <c r="O38" s="30" t="s">
        <v>1161</v>
      </c>
      <c r="P38">
        <v>1</v>
      </c>
    </row>
    <row r="39" spans="1:16" ht="15" customHeight="1" x14ac:dyDescent="0.25">
      <c r="A39" t="s" cm="1">
        <v>383</v>
      </c>
      <c r="B39" s="30" t="s">
        <v>536</v>
      </c>
      <c r="C39">
        <v>1</v>
      </c>
      <c r="N39" t="s" cm="1">
        <v>903</v>
      </c>
      <c r="O39" s="30" t="s">
        <v>793</v>
      </c>
      <c r="P39">
        <v>1</v>
      </c>
    </row>
    <row r="40" spans="1:16" ht="15" customHeight="1" x14ac:dyDescent="0.25">
      <c r="A40" t="s" cm="1">
        <v>383</v>
      </c>
      <c r="B40" s="30" t="s">
        <v>604</v>
      </c>
      <c r="C40">
        <v>1</v>
      </c>
      <c r="N40" t="s" cm="1">
        <v>903</v>
      </c>
      <c r="O40" s="30" t="s">
        <v>1008</v>
      </c>
      <c r="P40">
        <v>1</v>
      </c>
    </row>
    <row r="41" spans="1:16" ht="15" customHeight="1" x14ac:dyDescent="0.25">
      <c r="A41" t="s" cm="1">
        <v>383</v>
      </c>
      <c r="B41" s="30" t="s">
        <v>540</v>
      </c>
      <c r="C41">
        <v>1</v>
      </c>
      <c r="N41" t="s" cm="1">
        <v>903</v>
      </c>
      <c r="O41" s="30" t="s">
        <v>983</v>
      </c>
      <c r="P41">
        <v>1</v>
      </c>
    </row>
    <row r="42" spans="1:16" ht="15" customHeight="1" x14ac:dyDescent="0.25">
      <c r="A42" t="s" cm="1">
        <v>387</v>
      </c>
      <c r="B42" s="30" t="s">
        <v>618</v>
      </c>
      <c r="C42">
        <v>1</v>
      </c>
      <c r="N42" t="s" cm="1">
        <v>905</v>
      </c>
      <c r="O42" s="30" t="s">
        <v>699</v>
      </c>
      <c r="P42">
        <v>1</v>
      </c>
    </row>
    <row r="43" spans="1:16" ht="15" customHeight="1" x14ac:dyDescent="0.25">
      <c r="A43" t="s" cm="1">
        <v>400</v>
      </c>
      <c r="B43" s="30" t="s">
        <v>562</v>
      </c>
      <c r="C43">
        <v>1</v>
      </c>
      <c r="N43" t="s" cm="1">
        <v>908</v>
      </c>
      <c r="O43" s="30" t="s">
        <v>227</v>
      </c>
      <c r="P43">
        <v>1</v>
      </c>
    </row>
    <row r="44" spans="1:16" ht="15" customHeight="1" x14ac:dyDescent="0.25">
      <c r="A44" t="s" cm="1">
        <v>416</v>
      </c>
      <c r="B44" s="30" t="s">
        <v>631</v>
      </c>
      <c r="C44">
        <v>1</v>
      </c>
      <c r="N44" t="s" cm="1">
        <v>911</v>
      </c>
      <c r="O44" s="30" t="s">
        <v>813</v>
      </c>
      <c r="P44">
        <v>1</v>
      </c>
    </row>
    <row r="45" spans="1:16" ht="15" customHeight="1" x14ac:dyDescent="0.25">
      <c r="A45" t="s" cm="1">
        <v>419</v>
      </c>
      <c r="B45" s="30" t="s">
        <v>336</v>
      </c>
      <c r="C45">
        <v>1</v>
      </c>
      <c r="N45" t="s" cm="1">
        <v>913</v>
      </c>
      <c r="O45" s="30" t="s">
        <v>1043</v>
      </c>
      <c r="P45">
        <v>1</v>
      </c>
    </row>
    <row r="46" spans="1:16" ht="15" customHeight="1" x14ac:dyDescent="0.25">
      <c r="A46" t="s" cm="1">
        <v>437</v>
      </c>
      <c r="B46" s="30" t="s">
        <v>646</v>
      </c>
      <c r="C46">
        <v>1</v>
      </c>
      <c r="N46" t="s" cm="1">
        <v>916</v>
      </c>
      <c r="O46" s="30" t="s">
        <v>405</v>
      </c>
      <c r="P46">
        <v>1</v>
      </c>
    </row>
    <row r="47" spans="1:16" ht="15" customHeight="1" x14ac:dyDescent="0.25">
      <c r="A47" t="s" cm="1">
        <v>402</v>
      </c>
      <c r="B47" s="30" t="s">
        <v>571</v>
      </c>
      <c r="C47">
        <v>1</v>
      </c>
      <c r="N47" t="s" cm="1">
        <v>402</v>
      </c>
      <c r="O47" s="30" t="s">
        <v>1080</v>
      </c>
      <c r="P47">
        <v>1</v>
      </c>
    </row>
    <row r="48" spans="1:16" ht="15" customHeight="1" x14ac:dyDescent="0.25">
      <c r="A48" t="s" cm="1">
        <v>402</v>
      </c>
      <c r="B48" s="30" t="s">
        <v>665</v>
      </c>
      <c r="C48">
        <v>1</v>
      </c>
      <c r="N48" t="s" cm="1">
        <v>402</v>
      </c>
      <c r="O48" s="30" t="s">
        <v>1036</v>
      </c>
      <c r="P48">
        <v>1</v>
      </c>
    </row>
    <row r="49" spans="1:16" ht="15" customHeight="1" x14ac:dyDescent="0.25">
      <c r="A49" t="s" cm="1">
        <v>402</v>
      </c>
      <c r="B49" s="30" t="s">
        <v>592</v>
      </c>
      <c r="C49">
        <v>1</v>
      </c>
      <c r="N49" t="s" cm="1">
        <v>402</v>
      </c>
      <c r="O49" s="30" t="s">
        <v>1221</v>
      </c>
      <c r="P49">
        <v>1</v>
      </c>
    </row>
    <row r="50" spans="1:16" ht="15" customHeight="1" x14ac:dyDescent="0.25">
      <c r="A50" t="s" cm="1">
        <v>443</v>
      </c>
      <c r="B50" s="30" t="s">
        <v>670</v>
      </c>
      <c r="C50">
        <v>1</v>
      </c>
      <c r="N50" t="s" cm="1">
        <v>918</v>
      </c>
      <c r="O50" s="30" t="s">
        <v>1171</v>
      </c>
      <c r="P50">
        <v>1</v>
      </c>
    </row>
    <row r="51" spans="1:16" ht="15" customHeight="1" x14ac:dyDescent="0.25">
      <c r="A51" t="s" cm="1">
        <v>443</v>
      </c>
      <c r="B51" s="30" t="s">
        <v>600</v>
      </c>
      <c r="C51">
        <v>1</v>
      </c>
      <c r="N51" t="s" cm="1">
        <v>918</v>
      </c>
      <c r="O51" s="30" t="s">
        <v>1293</v>
      </c>
      <c r="P51">
        <v>1</v>
      </c>
    </row>
    <row r="52" spans="1:16" ht="15" customHeight="1" x14ac:dyDescent="0.25">
      <c r="A52" t="s" cm="1">
        <v>452</v>
      </c>
      <c r="B52" s="30" t="s">
        <v>727</v>
      </c>
      <c r="C52">
        <v>1</v>
      </c>
      <c r="N52" t="s" cm="1">
        <v>452</v>
      </c>
      <c r="O52" s="30" t="s">
        <v>1046</v>
      </c>
      <c r="P52">
        <v>1</v>
      </c>
    </row>
    <row r="53" spans="1:16" ht="15" customHeight="1" x14ac:dyDescent="0.25">
      <c r="A53" t="s" cm="1">
        <v>458</v>
      </c>
      <c r="B53" s="30" t="s">
        <v>605</v>
      </c>
      <c r="C53">
        <v>1</v>
      </c>
      <c r="N53" t="s" cm="1">
        <v>919</v>
      </c>
      <c r="O53" s="30" t="s">
        <v>1041</v>
      </c>
      <c r="P53">
        <v>1</v>
      </c>
    </row>
    <row r="54" spans="1:16" ht="15" customHeight="1" x14ac:dyDescent="0.25">
      <c r="A54" t="s" cm="1">
        <v>458</v>
      </c>
      <c r="B54" s="30" t="s">
        <v>787</v>
      </c>
      <c r="C54">
        <v>1</v>
      </c>
      <c r="N54" t="s" cm="1">
        <v>919</v>
      </c>
      <c r="O54" s="30" t="s">
        <v>396</v>
      </c>
      <c r="P54">
        <v>1</v>
      </c>
    </row>
    <row r="55" spans="1:16" ht="15" customHeight="1" x14ac:dyDescent="0.25">
      <c r="A55" t="s" cm="1">
        <v>460</v>
      </c>
      <c r="B55" s="30" t="s">
        <v>615</v>
      </c>
      <c r="C55">
        <v>1</v>
      </c>
      <c r="N55" t="s" cm="1">
        <v>460</v>
      </c>
      <c r="O55" s="30" t="s">
        <v>891</v>
      </c>
      <c r="P55">
        <v>1</v>
      </c>
    </row>
    <row r="56" spans="1:16" ht="15" customHeight="1" x14ac:dyDescent="0.25">
      <c r="A56" t="s" cm="1">
        <v>468</v>
      </c>
      <c r="B56" s="30" t="s">
        <v>809</v>
      </c>
      <c r="C56">
        <v>1</v>
      </c>
      <c r="N56" t="s" cm="1">
        <v>920</v>
      </c>
      <c r="O56" s="30" t="s">
        <v>474</v>
      </c>
      <c r="P56">
        <v>1</v>
      </c>
    </row>
    <row r="57" spans="1:16" ht="15" customHeight="1" x14ac:dyDescent="0.25">
      <c r="A57" t="s" cm="1">
        <v>473</v>
      </c>
      <c r="B57" s="30" t="s">
        <v>619</v>
      </c>
      <c r="C57">
        <v>1</v>
      </c>
      <c r="N57" t="s" cm="1">
        <v>896</v>
      </c>
      <c r="O57" s="30" t="s">
        <v>460</v>
      </c>
      <c r="P57">
        <v>1</v>
      </c>
    </row>
    <row r="58" spans="1:16" ht="15" customHeight="1" x14ac:dyDescent="0.25">
      <c r="A58" t="s" cm="1">
        <v>316</v>
      </c>
      <c r="B58" s="30" t="s">
        <v>839</v>
      </c>
      <c r="C58">
        <v>1</v>
      </c>
      <c r="N58" t="s" cm="1">
        <v>316</v>
      </c>
      <c r="O58" s="30" t="s">
        <v>1311</v>
      </c>
      <c r="P58">
        <v>1</v>
      </c>
    </row>
    <row r="59" spans="1:16" ht="15" customHeight="1" x14ac:dyDescent="0.25">
      <c r="A59" t="s" cm="1">
        <v>484</v>
      </c>
      <c r="B59" s="30" t="s">
        <v>627</v>
      </c>
      <c r="C59">
        <v>1</v>
      </c>
      <c r="N59" t="s" cm="1">
        <v>924</v>
      </c>
      <c r="O59" s="30" t="s">
        <v>838</v>
      </c>
      <c r="P59">
        <v>1</v>
      </c>
    </row>
    <row r="60" spans="1:16" ht="15" customHeight="1" x14ac:dyDescent="0.25">
      <c r="A60" t="s" cm="1">
        <v>490</v>
      </c>
      <c r="B60" s="30" t="s">
        <v>227</v>
      </c>
      <c r="C60">
        <v>1</v>
      </c>
      <c r="N60" t="s" cm="1">
        <v>495</v>
      </c>
      <c r="O60" s="30" t="s">
        <v>518</v>
      </c>
      <c r="P60">
        <v>1</v>
      </c>
    </row>
    <row r="61" spans="1:16" ht="15" customHeight="1" x14ac:dyDescent="0.25">
      <c r="A61" t="s" cm="1">
        <v>499</v>
      </c>
      <c r="B61" s="30" t="s">
        <v>632</v>
      </c>
      <c r="C61">
        <v>1</v>
      </c>
      <c r="N61" t="s" cm="1">
        <v>926</v>
      </c>
      <c r="O61" s="30" t="s">
        <v>794</v>
      </c>
      <c r="P61">
        <v>1</v>
      </c>
    </row>
    <row r="62" spans="1:16" ht="15" customHeight="1" x14ac:dyDescent="0.25">
      <c r="A62" t="s" cm="1">
        <v>505</v>
      </c>
      <c r="B62" s="30" t="s">
        <v>876</v>
      </c>
      <c r="C62">
        <v>1</v>
      </c>
      <c r="N62" t="s" cm="1">
        <v>928</v>
      </c>
      <c r="O62" s="30" t="s">
        <v>678</v>
      </c>
      <c r="P62">
        <v>1</v>
      </c>
    </row>
    <row r="63" spans="1:16" ht="15" customHeight="1" x14ac:dyDescent="0.25">
      <c r="A63" t="s" cm="1">
        <v>514</v>
      </c>
      <c r="B63" s="30" t="s">
        <v>642</v>
      </c>
      <c r="C63">
        <v>1</v>
      </c>
      <c r="N63" t="s" cm="1">
        <v>932</v>
      </c>
      <c r="O63" s="30" t="s">
        <v>803</v>
      </c>
      <c r="P63">
        <v>1</v>
      </c>
    </row>
    <row r="64" spans="1:16" ht="15" customHeight="1" x14ac:dyDescent="0.25">
      <c r="A64" t="s" cm="1">
        <v>521</v>
      </c>
      <c r="B64" s="30" t="s">
        <v>334</v>
      </c>
      <c r="C64">
        <v>1</v>
      </c>
      <c r="N64" t="s" cm="1">
        <v>918</v>
      </c>
      <c r="O64" s="30" t="s">
        <v>1017</v>
      </c>
      <c r="P64">
        <v>1</v>
      </c>
    </row>
    <row r="65" spans="1:16" ht="15" customHeight="1" x14ac:dyDescent="0.25">
      <c r="A65" t="s" cm="1">
        <v>529</v>
      </c>
      <c r="B65" s="30" t="s">
        <v>647</v>
      </c>
      <c r="C65">
        <v>1</v>
      </c>
      <c r="N65" t="s" cm="1">
        <v>529</v>
      </c>
      <c r="O65" s="30" t="s">
        <v>471</v>
      </c>
      <c r="P65">
        <v>1</v>
      </c>
    </row>
    <row r="66" spans="1:16" ht="15" customHeight="1" x14ac:dyDescent="0.25">
      <c r="A66" t="s" cm="1">
        <v>535</v>
      </c>
      <c r="B66" s="30" t="s">
        <v>369</v>
      </c>
      <c r="C66">
        <v>1</v>
      </c>
      <c r="N66" t="s" cm="1">
        <v>935</v>
      </c>
      <c r="O66" s="30" t="s">
        <v>1336</v>
      </c>
      <c r="P66">
        <v>1</v>
      </c>
    </row>
    <row r="67" spans="1:16" ht="15" customHeight="1" x14ac:dyDescent="0.25">
      <c r="A67" t="s" cm="1">
        <v>539</v>
      </c>
      <c r="B67" s="30" t="s">
        <v>663</v>
      </c>
      <c r="C67">
        <v>1</v>
      </c>
      <c r="N67" t="s" cm="1">
        <v>937</v>
      </c>
      <c r="O67" s="30" t="s">
        <v>569</v>
      </c>
      <c r="P67">
        <v>1</v>
      </c>
    </row>
    <row r="68" spans="1:16" ht="15" customHeight="1" x14ac:dyDescent="0.25">
      <c r="A68" t="s" cm="1">
        <v>402</v>
      </c>
      <c r="B68" s="30" t="s">
        <v>388</v>
      </c>
      <c r="C68">
        <v>1</v>
      </c>
      <c r="N68" t="s" cm="1">
        <v>402</v>
      </c>
      <c r="O68" s="30" t="s">
        <v>426</v>
      </c>
      <c r="P68">
        <v>1</v>
      </c>
    </row>
    <row r="69" spans="1:16" ht="15" customHeight="1" x14ac:dyDescent="0.25">
      <c r="A69" t="s" cm="1">
        <v>402</v>
      </c>
      <c r="B69" s="30" t="s">
        <v>671</v>
      </c>
      <c r="C69">
        <v>1</v>
      </c>
      <c r="N69" t="s" cm="1">
        <v>402</v>
      </c>
      <c r="O69" s="30" t="s">
        <v>1013</v>
      </c>
      <c r="P69">
        <v>1</v>
      </c>
    </row>
    <row r="70" spans="1:16" ht="15" customHeight="1" x14ac:dyDescent="0.25">
      <c r="A70" t="s" cm="1">
        <v>219</v>
      </c>
      <c r="B70" s="30" t="s">
        <v>368</v>
      </c>
      <c r="C70">
        <v>1</v>
      </c>
      <c r="N70" t="s" cm="1">
        <v>219</v>
      </c>
      <c r="O70" s="30" t="s">
        <v>1174</v>
      </c>
      <c r="P70">
        <v>1</v>
      </c>
    </row>
    <row r="71" spans="1:16" ht="15" customHeight="1" x14ac:dyDescent="0.25">
      <c r="A71" t="s" cm="1">
        <v>116</v>
      </c>
      <c r="B71" s="30" t="s">
        <v>721</v>
      </c>
      <c r="C71">
        <v>1</v>
      </c>
      <c r="N71" t="s" cm="1">
        <v>939</v>
      </c>
      <c r="O71" s="30" t="s">
        <v>1246</v>
      </c>
      <c r="P71">
        <v>1</v>
      </c>
    </row>
    <row r="72" spans="1:16" ht="15" customHeight="1" x14ac:dyDescent="0.25">
      <c r="A72" t="s" cm="1">
        <v>316</v>
      </c>
      <c r="B72" s="30" t="s">
        <v>416</v>
      </c>
      <c r="C72">
        <v>1</v>
      </c>
      <c r="N72" t="s" cm="1">
        <v>316</v>
      </c>
      <c r="O72" s="30" t="s">
        <v>663</v>
      </c>
      <c r="P72">
        <v>1</v>
      </c>
    </row>
    <row r="73" spans="1:16" ht="15" customHeight="1" x14ac:dyDescent="0.25">
      <c r="A73" t="s" cm="1">
        <v>561</v>
      </c>
      <c r="B73" s="30" t="s">
        <v>728</v>
      </c>
      <c r="C73">
        <v>1</v>
      </c>
      <c r="N73" t="s" cm="1">
        <v>941</v>
      </c>
      <c r="O73" s="30" t="s">
        <v>941</v>
      </c>
      <c r="P73">
        <v>1</v>
      </c>
    </row>
    <row r="74" spans="1:16" ht="15" customHeight="1" x14ac:dyDescent="0.25">
      <c r="A74" t="s" cm="1">
        <v>316</v>
      </c>
      <c r="B74" s="30" t="s">
        <v>460</v>
      </c>
      <c r="C74">
        <v>1</v>
      </c>
      <c r="N74" t="s" cm="1">
        <v>316</v>
      </c>
      <c r="O74" s="30" t="s">
        <v>949</v>
      </c>
      <c r="P74">
        <v>1</v>
      </c>
    </row>
    <row r="75" spans="1:16" ht="15" customHeight="1" x14ac:dyDescent="0.25">
      <c r="A75" t="s" cm="1">
        <v>316</v>
      </c>
      <c r="B75" s="30" t="s">
        <v>752</v>
      </c>
      <c r="C75">
        <v>1</v>
      </c>
      <c r="N75" t="s" cm="1">
        <v>316</v>
      </c>
      <c r="O75" s="30" t="s">
        <v>1328</v>
      </c>
      <c r="P75">
        <v>1</v>
      </c>
    </row>
    <row r="76" spans="1:16" ht="15" customHeight="1" x14ac:dyDescent="0.25">
      <c r="A76" t="s" cm="1">
        <v>573</v>
      </c>
      <c r="B76" s="30" t="s">
        <v>490</v>
      </c>
      <c r="C76">
        <v>1</v>
      </c>
      <c r="N76" t="s" cm="1">
        <v>903</v>
      </c>
      <c r="O76" s="30" t="s">
        <v>600</v>
      </c>
      <c r="P76">
        <v>1</v>
      </c>
    </row>
    <row r="77" spans="1:16" ht="15" customHeight="1" x14ac:dyDescent="0.25">
      <c r="A77" t="s" cm="1">
        <v>573</v>
      </c>
      <c r="B77" s="30" t="s">
        <v>762</v>
      </c>
      <c r="C77">
        <v>1</v>
      </c>
      <c r="N77" t="s" cm="1">
        <v>903</v>
      </c>
      <c r="O77" s="30" t="s">
        <v>510</v>
      </c>
      <c r="P77">
        <v>1</v>
      </c>
    </row>
    <row r="78" spans="1:16" ht="15" customHeight="1" x14ac:dyDescent="0.25">
      <c r="A78" t="s" cm="1">
        <v>573</v>
      </c>
      <c r="B78" s="30" t="s">
        <v>529</v>
      </c>
      <c r="C78">
        <v>1</v>
      </c>
      <c r="N78" t="s" cm="1">
        <v>903</v>
      </c>
      <c r="O78" s="30" t="s">
        <v>502</v>
      </c>
      <c r="P78">
        <v>1</v>
      </c>
    </row>
    <row r="79" spans="1:16" ht="15" customHeight="1" x14ac:dyDescent="0.25">
      <c r="A79" t="s" cm="1">
        <v>573</v>
      </c>
      <c r="B79" s="30" t="s">
        <v>769</v>
      </c>
      <c r="C79">
        <v>1</v>
      </c>
      <c r="N79" t="s" cm="1">
        <v>903</v>
      </c>
      <c r="O79" s="30" t="s">
        <v>681</v>
      </c>
      <c r="P79">
        <v>1</v>
      </c>
    </row>
    <row r="80" spans="1:16" ht="15" customHeight="1" x14ac:dyDescent="0.25">
      <c r="A80" t="s" cm="1">
        <v>573</v>
      </c>
      <c r="B80" s="30" t="s">
        <v>561</v>
      </c>
      <c r="C80">
        <v>1</v>
      </c>
      <c r="N80" t="s" cm="1">
        <v>903</v>
      </c>
      <c r="O80" s="30" t="s">
        <v>355</v>
      </c>
      <c r="P80">
        <v>1</v>
      </c>
    </row>
    <row r="81" spans="1:16" ht="15" customHeight="1" x14ac:dyDescent="0.25">
      <c r="A81" t="s" cm="1">
        <v>573</v>
      </c>
      <c r="B81" s="30" t="s">
        <v>799</v>
      </c>
      <c r="C81">
        <v>1</v>
      </c>
      <c r="N81" t="s" cm="1">
        <v>903</v>
      </c>
      <c r="O81" s="30" t="s">
        <v>682</v>
      </c>
      <c r="P81">
        <v>1</v>
      </c>
    </row>
    <row r="82" spans="1:16" ht="15" customHeight="1" x14ac:dyDescent="0.25">
      <c r="A82" t="s" cm="1">
        <v>584</v>
      </c>
      <c r="B82" s="30" t="s">
        <v>599</v>
      </c>
      <c r="C82">
        <v>1</v>
      </c>
      <c r="N82" t="s" cm="1">
        <v>918</v>
      </c>
      <c r="O82" s="30" t="s">
        <v>1126</v>
      </c>
      <c r="P82">
        <v>1</v>
      </c>
    </row>
    <row r="83" spans="1:16" ht="15" customHeight="1" x14ac:dyDescent="0.25">
      <c r="A83" t="s" cm="1">
        <v>585</v>
      </c>
      <c r="B83" s="30" t="s">
        <v>810</v>
      </c>
      <c r="C83">
        <v>1</v>
      </c>
      <c r="N83" t="s" cm="1">
        <v>453</v>
      </c>
      <c r="O83" s="30" t="s">
        <v>1143</v>
      </c>
      <c r="P83">
        <v>1</v>
      </c>
    </row>
    <row r="84" spans="1:16" ht="15" customHeight="1" x14ac:dyDescent="0.25">
      <c r="A84" t="s" cm="1">
        <v>591</v>
      </c>
      <c r="B84" s="30" t="s">
        <v>622</v>
      </c>
      <c r="C84">
        <v>1</v>
      </c>
      <c r="N84" t="s" cm="1">
        <v>947</v>
      </c>
      <c r="O84" s="30" t="s">
        <v>727</v>
      </c>
      <c r="P84">
        <v>1</v>
      </c>
    </row>
    <row r="85" spans="1:16" ht="15" customHeight="1" x14ac:dyDescent="0.25">
      <c r="A85" t="s" cm="1">
        <v>599</v>
      </c>
      <c r="B85" s="30" t="s">
        <v>823</v>
      </c>
      <c r="C85">
        <v>1</v>
      </c>
      <c r="N85" t="s" cm="1">
        <v>949</v>
      </c>
      <c r="O85" s="30" t="s">
        <v>461</v>
      </c>
      <c r="P85">
        <v>1</v>
      </c>
    </row>
    <row r="86" spans="1:16" ht="15" customHeight="1" x14ac:dyDescent="0.25">
      <c r="A86" t="s" cm="1">
        <v>604</v>
      </c>
      <c r="B86" s="30" t="s">
        <v>662</v>
      </c>
      <c r="C86">
        <v>1</v>
      </c>
      <c r="N86" t="s" cm="1">
        <v>950</v>
      </c>
      <c r="O86" s="30" t="s">
        <v>972</v>
      </c>
      <c r="P86">
        <v>1</v>
      </c>
    </row>
    <row r="87" spans="1:16" ht="15" customHeight="1" x14ac:dyDescent="0.25">
      <c r="A87" t="s" cm="1">
        <v>614</v>
      </c>
      <c r="B87" s="30" t="s">
        <v>832</v>
      </c>
      <c r="C87">
        <v>1</v>
      </c>
      <c r="N87" t="s" cm="1">
        <v>952</v>
      </c>
      <c r="O87" s="30" t="s">
        <v>905</v>
      </c>
      <c r="P87">
        <v>1</v>
      </c>
    </row>
    <row r="88" spans="1:16" ht="15" customHeight="1" x14ac:dyDescent="0.25">
      <c r="A88" t="s" cm="1">
        <v>618</v>
      </c>
      <c r="B88" s="30" t="s">
        <v>720</v>
      </c>
      <c r="C88">
        <v>1</v>
      </c>
      <c r="N88" t="s" cm="1">
        <v>618</v>
      </c>
      <c r="O88" s="30" t="s">
        <v>513</v>
      </c>
      <c r="P88">
        <v>1</v>
      </c>
    </row>
    <row r="89" spans="1:16" ht="15" customHeight="1" x14ac:dyDescent="0.25">
      <c r="A89" t="s" cm="1">
        <v>622</v>
      </c>
      <c r="B89" s="30" t="s">
        <v>840</v>
      </c>
      <c r="C89">
        <v>1</v>
      </c>
      <c r="N89" t="s" cm="1">
        <v>953</v>
      </c>
      <c r="O89" s="30" t="s">
        <v>1032</v>
      </c>
      <c r="P89">
        <v>1</v>
      </c>
    </row>
    <row r="90" spans="1:16" ht="15" customHeight="1" x14ac:dyDescent="0.25">
      <c r="A90" t="s" cm="1">
        <v>623</v>
      </c>
      <c r="B90" s="30" t="s">
        <v>798</v>
      </c>
      <c r="C90">
        <v>1</v>
      </c>
      <c r="N90" t="s" cm="1">
        <v>954</v>
      </c>
      <c r="O90" s="30" t="s">
        <v>1016</v>
      </c>
      <c r="P90">
        <v>1</v>
      </c>
    </row>
    <row r="91" spans="1:16" ht="15" customHeight="1" x14ac:dyDescent="0.25">
      <c r="A91" t="s" cm="1">
        <v>631</v>
      </c>
      <c r="B91" s="30" t="s">
        <v>845</v>
      </c>
      <c r="C91">
        <v>1</v>
      </c>
      <c r="N91" t="s" cm="1">
        <v>955</v>
      </c>
      <c r="O91" s="30" t="s">
        <v>935</v>
      </c>
      <c r="P91">
        <v>1</v>
      </c>
    </row>
    <row r="92" spans="1:16" ht="15" customHeight="1" x14ac:dyDescent="0.25">
      <c r="A92" t="s" cm="1">
        <v>316</v>
      </c>
      <c r="B92" s="30" t="s">
        <v>844</v>
      </c>
      <c r="C92">
        <v>1</v>
      </c>
      <c r="N92" t="s" cm="1">
        <v>316</v>
      </c>
      <c r="O92" s="30" t="s">
        <v>878</v>
      </c>
      <c r="P92">
        <v>1</v>
      </c>
    </row>
    <row r="93" spans="1:16" ht="15" customHeight="1" x14ac:dyDescent="0.25">
      <c r="A93" t="s" cm="1">
        <v>486</v>
      </c>
      <c r="B93" s="30" t="s">
        <v>854</v>
      </c>
      <c r="C93">
        <v>1</v>
      </c>
      <c r="N93" t="s" cm="1">
        <v>957</v>
      </c>
      <c r="O93" s="30" t="s">
        <v>403</v>
      </c>
      <c r="P93">
        <v>1</v>
      </c>
    </row>
    <row r="94" spans="1:16" ht="15" customHeight="1" x14ac:dyDescent="0.25">
      <c r="A94" t="s" cm="1">
        <v>646</v>
      </c>
      <c r="B94" s="30" t="s">
        <v>219</v>
      </c>
      <c r="C94">
        <v>1</v>
      </c>
      <c r="N94" t="s" cm="1">
        <v>959</v>
      </c>
      <c r="O94" s="30" t="s">
        <v>512</v>
      </c>
      <c r="P94">
        <v>1</v>
      </c>
    </row>
    <row r="95" spans="1:16" ht="15" customHeight="1" x14ac:dyDescent="0.25">
      <c r="A95" t="s" cm="1">
        <v>653</v>
      </c>
      <c r="B95" s="30" t="s">
        <v>859</v>
      </c>
      <c r="C95">
        <v>1</v>
      </c>
      <c r="N95" t="s" cm="1">
        <v>960</v>
      </c>
      <c r="O95" s="30" t="s">
        <v>404</v>
      </c>
      <c r="P95">
        <v>1</v>
      </c>
    </row>
    <row r="96" spans="1:16" ht="15" customHeight="1" x14ac:dyDescent="0.25">
      <c r="A96" t="s" cm="1">
        <v>653</v>
      </c>
      <c r="B96" s="30" t="s">
        <v>371</v>
      </c>
      <c r="C96">
        <v>1</v>
      </c>
      <c r="N96" t="s" cm="1">
        <v>960</v>
      </c>
      <c r="O96" s="30" t="s">
        <v>1248</v>
      </c>
      <c r="P96">
        <v>1</v>
      </c>
    </row>
    <row r="97" spans="1:16" ht="15" customHeight="1" x14ac:dyDescent="0.25">
      <c r="A97" t="s" cm="1">
        <v>653</v>
      </c>
      <c r="B97" s="30" t="s">
        <v>877</v>
      </c>
      <c r="C97">
        <v>1</v>
      </c>
      <c r="N97" t="s" cm="1">
        <v>960</v>
      </c>
      <c r="O97" s="30" t="s">
        <v>1104</v>
      </c>
      <c r="P97">
        <v>1</v>
      </c>
    </row>
    <row r="98" spans="1:16" ht="15" customHeight="1" x14ac:dyDescent="0.25">
      <c r="A98" t="s" cm="1">
        <v>662</v>
      </c>
      <c r="B98" s="30" t="s">
        <v>387</v>
      </c>
      <c r="C98">
        <v>1</v>
      </c>
      <c r="N98" t="s" cm="1">
        <v>962</v>
      </c>
      <c r="O98" s="30" t="s">
        <v>324</v>
      </c>
      <c r="P98">
        <v>1</v>
      </c>
    </row>
    <row r="99" spans="1:16" ht="15" customHeight="1" x14ac:dyDescent="0.25">
      <c r="A99" t="s" cm="1">
        <v>665</v>
      </c>
      <c r="B99" s="30" t="s">
        <v>883</v>
      </c>
      <c r="C99">
        <v>1</v>
      </c>
      <c r="N99" t="s" cm="1">
        <v>903</v>
      </c>
      <c r="O99" s="30" t="s">
        <v>728</v>
      </c>
      <c r="P99">
        <v>1</v>
      </c>
    </row>
    <row r="100" spans="1:16" ht="15" customHeight="1" x14ac:dyDescent="0.25">
      <c r="A100" t="s" cm="1">
        <v>667</v>
      </c>
      <c r="B100" s="30" t="s">
        <v>473</v>
      </c>
      <c r="C100">
        <v>1</v>
      </c>
      <c r="N100" t="s" cm="1">
        <v>965</v>
      </c>
      <c r="O100" s="30" t="s">
        <v>999</v>
      </c>
      <c r="P100">
        <v>1</v>
      </c>
    </row>
    <row r="101" spans="1:16" ht="15" customHeight="1" x14ac:dyDescent="0.25">
      <c r="A101" t="s" cm="1">
        <v>670</v>
      </c>
      <c r="B101" s="30" t="s">
        <v>888</v>
      </c>
      <c r="C101">
        <v>1</v>
      </c>
      <c r="N101" t="s" cm="1">
        <v>968</v>
      </c>
      <c r="O101" s="30" t="s">
        <v>762</v>
      </c>
      <c r="P101">
        <v>1</v>
      </c>
    </row>
    <row r="102" spans="1:16" ht="15" customHeight="1" x14ac:dyDescent="0.25">
      <c r="A102" t="s" cm="1">
        <v>444</v>
      </c>
      <c r="B102" s="30" t="s">
        <v>539</v>
      </c>
      <c r="C102">
        <v>1</v>
      </c>
      <c r="N102" t="s" cm="1">
        <v>918</v>
      </c>
      <c r="O102" s="30" t="s">
        <v>950</v>
      </c>
      <c r="P102">
        <v>1</v>
      </c>
    </row>
    <row r="103" spans="1:16" ht="15" customHeight="1" x14ac:dyDescent="0.25">
      <c r="A103" t="s" cm="1">
        <v>316</v>
      </c>
      <c r="B103" s="30" t="s">
        <v>1273</v>
      </c>
      <c r="C103">
        <v>1</v>
      </c>
      <c r="N103" t="s" cm="1">
        <v>316</v>
      </c>
      <c r="O103" s="30" t="s">
        <v>477</v>
      </c>
      <c r="P103">
        <v>1</v>
      </c>
    </row>
    <row r="104" spans="1:16" ht="15" customHeight="1" x14ac:dyDescent="0.25">
      <c r="A104" t="s" cm="1">
        <v>316</v>
      </c>
      <c r="B104" s="30" t="s">
        <v>614</v>
      </c>
      <c r="C104">
        <v>1</v>
      </c>
      <c r="N104" t="s" cm="1">
        <v>316</v>
      </c>
      <c r="O104" s="30" t="s">
        <v>1334</v>
      </c>
      <c r="P104">
        <v>1</v>
      </c>
    </row>
    <row r="105" spans="1:16" ht="15" customHeight="1" x14ac:dyDescent="0.25">
      <c r="A105" t="s" cm="1">
        <v>316</v>
      </c>
      <c r="B105" s="30" t="s">
        <v>1275</v>
      </c>
      <c r="C105">
        <v>1</v>
      </c>
      <c r="N105" t="s" cm="1">
        <v>316</v>
      </c>
      <c r="O105" s="30" t="s">
        <v>1199</v>
      </c>
      <c r="P105">
        <v>1</v>
      </c>
    </row>
    <row r="106" spans="1:16" ht="15" customHeight="1" x14ac:dyDescent="0.25">
      <c r="A106" t="s" cm="1">
        <v>316</v>
      </c>
      <c r="B106" s="30" t="s">
        <v>667</v>
      </c>
      <c r="C106">
        <v>1</v>
      </c>
      <c r="N106" t="s" cm="1">
        <v>316</v>
      </c>
      <c r="O106" s="30" t="s">
        <v>1162</v>
      </c>
      <c r="P106">
        <v>1</v>
      </c>
    </row>
    <row r="107" spans="1:16" ht="15" customHeight="1" x14ac:dyDescent="0.25">
      <c r="A107" t="s" cm="1">
        <v>707</v>
      </c>
      <c r="B107" s="30" t="s">
        <v>1299</v>
      </c>
      <c r="C107">
        <v>1</v>
      </c>
      <c r="N107" t="s" cm="1">
        <v>970</v>
      </c>
      <c r="O107" s="30" t="s">
        <v>990</v>
      </c>
      <c r="P107">
        <v>1</v>
      </c>
    </row>
    <row r="108" spans="1:16" ht="15" customHeight="1" x14ac:dyDescent="0.25">
      <c r="A108" t="s" cm="1">
        <v>707</v>
      </c>
      <c r="B108" s="30" t="s">
        <v>831</v>
      </c>
      <c r="C108">
        <v>1</v>
      </c>
      <c r="N108" t="s" cm="1">
        <v>970</v>
      </c>
      <c r="O108" s="30" t="s">
        <v>1210</v>
      </c>
      <c r="P108">
        <v>1</v>
      </c>
    </row>
    <row r="109" spans="1:16" ht="15" customHeight="1" x14ac:dyDescent="0.25">
      <c r="A109" t="s" cm="1">
        <v>713</v>
      </c>
      <c r="B109" s="30" t="s">
        <v>1305</v>
      </c>
      <c r="C109">
        <v>1</v>
      </c>
      <c r="N109" t="s" cm="1">
        <v>718</v>
      </c>
      <c r="O109" s="30" t="s">
        <v>434</v>
      </c>
      <c r="P109">
        <v>1</v>
      </c>
    </row>
    <row r="110" spans="1:16" ht="15" customHeight="1" x14ac:dyDescent="0.25">
      <c r="A110" t="s" cm="1">
        <v>713</v>
      </c>
      <c r="B110" s="30" t="s">
        <v>355</v>
      </c>
      <c r="C110">
        <v>1</v>
      </c>
      <c r="N110" t="s" cm="1">
        <v>718</v>
      </c>
      <c r="O110" s="30" t="s">
        <v>529</v>
      </c>
      <c r="P110">
        <v>1</v>
      </c>
    </row>
    <row r="111" spans="1:16" ht="15" customHeight="1" x14ac:dyDescent="0.25">
      <c r="A111" t="s" cm="1">
        <v>713</v>
      </c>
      <c r="B111" s="30" t="s">
        <v>1321</v>
      </c>
      <c r="C111">
        <v>1</v>
      </c>
      <c r="N111" t="s" cm="1">
        <v>718</v>
      </c>
      <c r="O111" s="30" t="s">
        <v>1180</v>
      </c>
      <c r="P111">
        <v>1</v>
      </c>
    </row>
    <row r="112" spans="1:16" ht="15" customHeight="1" x14ac:dyDescent="0.25">
      <c r="A112" t="s" cm="1">
        <v>720</v>
      </c>
      <c r="B112" s="30" t="s">
        <v>437</v>
      </c>
      <c r="C112">
        <v>1</v>
      </c>
      <c r="N112" t="s" cm="1">
        <v>972</v>
      </c>
      <c r="O112" s="30" t="s">
        <v>863</v>
      </c>
      <c r="P112">
        <v>1</v>
      </c>
    </row>
    <row r="113" spans="1:16" ht="15" customHeight="1" x14ac:dyDescent="0.25">
      <c r="A113" t="s" cm="1">
        <v>727</v>
      </c>
      <c r="B113" s="30" t="s">
        <v>1324</v>
      </c>
      <c r="C113">
        <v>1</v>
      </c>
      <c r="N113" t="s" cm="1">
        <v>727</v>
      </c>
      <c r="O113" s="30" t="s">
        <v>758</v>
      </c>
      <c r="P113">
        <v>1</v>
      </c>
    </row>
    <row r="114" spans="1:16" ht="15" customHeight="1" x14ac:dyDescent="0.25">
      <c r="A114" t="s" cm="1">
        <v>733</v>
      </c>
      <c r="B114" s="30" t="s">
        <v>585</v>
      </c>
      <c r="C114">
        <v>1</v>
      </c>
      <c r="N114" t="s" cm="1">
        <v>733</v>
      </c>
      <c r="O114" s="30" t="s">
        <v>1009</v>
      </c>
      <c r="P114">
        <v>1</v>
      </c>
    </row>
    <row r="115" spans="1:16" ht="15" customHeight="1" x14ac:dyDescent="0.25">
      <c r="A115" t="s" cm="1">
        <v>733</v>
      </c>
      <c r="B115" s="30" t="s">
        <v>1276</v>
      </c>
      <c r="C115">
        <v>1</v>
      </c>
      <c r="N115" t="s" cm="1">
        <v>733</v>
      </c>
      <c r="O115" s="30" t="s">
        <v>926</v>
      </c>
      <c r="P115">
        <v>1</v>
      </c>
    </row>
    <row r="116" spans="1:16" ht="15" customHeight="1" x14ac:dyDescent="0.25">
      <c r="A116" t="s" cm="1">
        <v>733</v>
      </c>
      <c r="B116" s="30" t="s">
        <v>780</v>
      </c>
      <c r="C116">
        <v>1</v>
      </c>
      <c r="N116" t="s" cm="1">
        <v>733</v>
      </c>
      <c r="O116" s="30" t="s">
        <v>783</v>
      </c>
      <c r="P116">
        <v>1</v>
      </c>
    </row>
    <row r="117" spans="1:16" ht="15" customHeight="1" x14ac:dyDescent="0.25">
      <c r="A117" t="s" cm="1">
        <v>739</v>
      </c>
      <c r="B117" s="30" t="s">
        <v>1287</v>
      </c>
      <c r="C117">
        <v>1</v>
      </c>
      <c r="N117" t="s" cm="1">
        <v>453</v>
      </c>
      <c r="O117" s="30" t="s">
        <v>1038</v>
      </c>
      <c r="P117">
        <v>1</v>
      </c>
    </row>
    <row r="118" spans="1:16" ht="15" customHeight="1" x14ac:dyDescent="0.25">
      <c r="A118" t="s" cm="1">
        <v>739</v>
      </c>
      <c r="B118" s="30" t="s">
        <v>322</v>
      </c>
      <c r="C118">
        <v>1</v>
      </c>
      <c r="N118" t="s" cm="1">
        <v>453</v>
      </c>
      <c r="O118" s="30" t="s">
        <v>606</v>
      </c>
      <c r="P118">
        <v>1</v>
      </c>
    </row>
    <row r="119" spans="1:16" ht="15" customHeight="1" x14ac:dyDescent="0.25">
      <c r="A119" t="s" cm="1">
        <v>739</v>
      </c>
      <c r="B119" s="30" t="s">
        <v>1300</v>
      </c>
      <c r="C119">
        <v>1</v>
      </c>
      <c r="N119" t="s" cm="1">
        <v>453</v>
      </c>
      <c r="O119" s="30" t="s">
        <v>1052</v>
      </c>
      <c r="P119">
        <v>1</v>
      </c>
    </row>
    <row r="120" spans="1:16" ht="15" customHeight="1" x14ac:dyDescent="0.25">
      <c r="A120" t="s" cm="1">
        <v>345</v>
      </c>
      <c r="B120" s="30" t="s">
        <v>486</v>
      </c>
      <c r="C120">
        <v>1</v>
      </c>
      <c r="N120" t="s" cm="1">
        <v>345</v>
      </c>
      <c r="O120" s="30" t="s">
        <v>1134</v>
      </c>
      <c r="P120">
        <v>1</v>
      </c>
    </row>
    <row r="121" spans="1:16" ht="15" customHeight="1" x14ac:dyDescent="0.25">
      <c r="A121" t="s" cm="1">
        <v>372</v>
      </c>
      <c r="B121" s="30" t="s">
        <v>1306</v>
      </c>
      <c r="C121">
        <v>1</v>
      </c>
      <c r="N121" t="s" cm="1">
        <v>372</v>
      </c>
      <c r="O121" s="30" t="s">
        <v>1330</v>
      </c>
      <c r="P121">
        <v>1</v>
      </c>
    </row>
    <row r="122" spans="1:16" ht="15" customHeight="1" x14ac:dyDescent="0.25">
      <c r="A122" t="s" cm="1">
        <v>372</v>
      </c>
      <c r="B122" s="30" t="s">
        <v>505</v>
      </c>
      <c r="C122">
        <v>1</v>
      </c>
      <c r="N122" t="s" cm="1">
        <v>372</v>
      </c>
      <c r="O122" s="30" t="s">
        <v>430</v>
      </c>
      <c r="P122">
        <v>1</v>
      </c>
    </row>
    <row r="123" spans="1:16" ht="15" customHeight="1" x14ac:dyDescent="0.25">
      <c r="A123" t="s" cm="1">
        <v>227</v>
      </c>
      <c r="B123" s="30" t="s">
        <v>1316</v>
      </c>
      <c r="C123">
        <v>1</v>
      </c>
      <c r="N123" t="s" cm="1">
        <v>227</v>
      </c>
      <c r="O123" s="30" t="s">
        <v>932</v>
      </c>
      <c r="P123">
        <v>1</v>
      </c>
    </row>
    <row r="124" spans="1:16" ht="15" customHeight="1" x14ac:dyDescent="0.25">
      <c r="A124" t="s" cm="1">
        <v>751</v>
      </c>
      <c r="B124" s="30" t="s">
        <v>871</v>
      </c>
      <c r="C124">
        <v>1</v>
      </c>
      <c r="N124" t="s" cm="1">
        <v>718</v>
      </c>
      <c r="O124" s="30" t="s">
        <v>1233</v>
      </c>
      <c r="P124">
        <v>1</v>
      </c>
    </row>
    <row r="125" spans="1:16" ht="15" customHeight="1" x14ac:dyDescent="0.25">
      <c r="A125" t="s" cm="1">
        <v>744</v>
      </c>
      <c r="B125" s="30" t="s">
        <v>1322</v>
      </c>
      <c r="C125">
        <v>1</v>
      </c>
      <c r="N125" t="s" cm="1">
        <v>973</v>
      </c>
      <c r="O125" s="30" t="s">
        <v>1123</v>
      </c>
      <c r="P125">
        <v>1</v>
      </c>
    </row>
    <row r="126" spans="1:16" ht="15" customHeight="1" x14ac:dyDescent="0.25">
      <c r="A126" t="s" cm="1">
        <v>402</v>
      </c>
      <c r="B126" s="30" t="s">
        <v>247</v>
      </c>
      <c r="C126">
        <v>2</v>
      </c>
      <c r="N126" t="s" cm="1">
        <v>402</v>
      </c>
      <c r="O126" s="30" t="s">
        <v>845</v>
      </c>
      <c r="P126">
        <v>1</v>
      </c>
    </row>
    <row r="127" spans="1:16" ht="15" customHeight="1" x14ac:dyDescent="0.25">
      <c r="A127" t="s" cm="1">
        <v>372</v>
      </c>
      <c r="B127" s="30" t="s">
        <v>459</v>
      </c>
      <c r="C127">
        <v>2</v>
      </c>
      <c r="N127" t="s" cm="1">
        <v>372</v>
      </c>
      <c r="O127" s="30" t="s">
        <v>1255</v>
      </c>
      <c r="P127">
        <v>1</v>
      </c>
    </row>
    <row r="128" spans="1:16" ht="15" customHeight="1" x14ac:dyDescent="0.25">
      <c r="A128" t="s" cm="1">
        <v>470</v>
      </c>
      <c r="B128" s="30" t="s">
        <v>458</v>
      </c>
      <c r="C128">
        <v>2</v>
      </c>
      <c r="N128" t="s" cm="1">
        <v>470</v>
      </c>
      <c r="O128" s="30" t="s">
        <v>920</v>
      </c>
      <c r="P128">
        <v>1</v>
      </c>
    </row>
    <row r="129" spans="1:16" ht="15" customHeight="1" x14ac:dyDescent="0.25">
      <c r="A129" t="s" cm="1">
        <v>268</v>
      </c>
      <c r="B129" s="30" t="s">
        <v>744</v>
      </c>
      <c r="C129">
        <v>2</v>
      </c>
      <c r="N129" t="s" cm="1">
        <v>268</v>
      </c>
      <c r="O129" s="30" t="s">
        <v>1093</v>
      </c>
      <c r="P129">
        <v>1</v>
      </c>
    </row>
    <row r="130" spans="1:16" ht="15" customHeight="1" x14ac:dyDescent="0.25">
      <c r="A130" t="s" cm="1">
        <v>268</v>
      </c>
      <c r="B130" s="30" t="s">
        <v>470</v>
      </c>
      <c r="C130">
        <v>2</v>
      </c>
      <c r="N130" t="s" cm="1">
        <v>268</v>
      </c>
      <c r="O130" s="30" t="s">
        <v>343</v>
      </c>
      <c r="P130">
        <v>1</v>
      </c>
    </row>
    <row r="131" spans="1:16" ht="15" customHeight="1" x14ac:dyDescent="0.25">
      <c r="A131" t="s" cm="1">
        <v>268</v>
      </c>
      <c r="B131" s="30" t="s">
        <v>841</v>
      </c>
      <c r="C131">
        <v>2</v>
      </c>
      <c r="N131" t="s" cm="1">
        <v>268</v>
      </c>
      <c r="O131" s="30" t="s">
        <v>1202</v>
      </c>
      <c r="P131">
        <v>1</v>
      </c>
    </row>
    <row r="132" spans="1:16" ht="15" customHeight="1" x14ac:dyDescent="0.25">
      <c r="A132" t="s" cm="1">
        <v>780</v>
      </c>
      <c r="B132" s="30" t="s">
        <v>443</v>
      </c>
      <c r="C132">
        <v>2</v>
      </c>
      <c r="N132" t="s" cm="1">
        <v>781</v>
      </c>
      <c r="O132" s="30" t="s">
        <v>621</v>
      </c>
      <c r="P132">
        <v>1</v>
      </c>
    </row>
    <row r="133" spans="1:16" ht="15" customHeight="1" x14ac:dyDescent="0.25">
      <c r="A133" t="s" cm="1">
        <v>268</v>
      </c>
      <c r="B133" s="30" t="s">
        <v>707</v>
      </c>
      <c r="C133">
        <v>2</v>
      </c>
      <c r="N133" t="s" cm="1">
        <v>268</v>
      </c>
      <c r="O133" s="30" t="s">
        <v>928</v>
      </c>
      <c r="P133">
        <v>1</v>
      </c>
    </row>
    <row r="134" spans="1:16" ht="15" customHeight="1" x14ac:dyDescent="0.25">
      <c r="A134" t="s" cm="1">
        <v>268</v>
      </c>
      <c r="B134" s="30" t="s">
        <v>623</v>
      </c>
      <c r="C134">
        <v>2</v>
      </c>
      <c r="N134" t="s" cm="1">
        <v>268</v>
      </c>
      <c r="O134" s="30" t="s">
        <v>431</v>
      </c>
      <c r="P134">
        <v>1</v>
      </c>
    </row>
    <row r="135" spans="1:16" ht="15" customHeight="1" x14ac:dyDescent="0.25">
      <c r="A135" t="s" cm="1">
        <v>268</v>
      </c>
      <c r="B135" s="30" t="s">
        <v>290</v>
      </c>
      <c r="C135">
        <v>2</v>
      </c>
      <c r="N135" t="s" cm="1">
        <v>268</v>
      </c>
      <c r="O135" s="30" t="s">
        <v>995</v>
      </c>
      <c r="P135">
        <v>1</v>
      </c>
    </row>
    <row r="136" spans="1:16" ht="15" customHeight="1" x14ac:dyDescent="0.25">
      <c r="A136" t="s" cm="1">
        <v>787</v>
      </c>
      <c r="B136" s="30" t="s">
        <v>825</v>
      </c>
      <c r="C136">
        <v>2</v>
      </c>
      <c r="N136" t="s" cm="1">
        <v>788</v>
      </c>
      <c r="O136" s="30" t="s">
        <v>1212</v>
      </c>
      <c r="P136">
        <v>1</v>
      </c>
    </row>
    <row r="137" spans="1:16" ht="15" customHeight="1" x14ac:dyDescent="0.25">
      <c r="A137" t="s" cm="1">
        <v>798</v>
      </c>
      <c r="B137" s="30" t="s">
        <v>708</v>
      </c>
      <c r="C137">
        <v>2</v>
      </c>
      <c r="N137" t="s" cm="1">
        <v>974</v>
      </c>
      <c r="O137" s="30" t="s">
        <v>924</v>
      </c>
      <c r="P137">
        <v>1</v>
      </c>
    </row>
    <row r="138" spans="1:16" ht="15" customHeight="1" x14ac:dyDescent="0.25">
      <c r="A138" t="s" cm="1">
        <v>809</v>
      </c>
      <c r="B138" s="30" t="s">
        <v>1338</v>
      </c>
      <c r="C138">
        <v>2</v>
      </c>
      <c r="N138" t="s" cm="1">
        <v>811</v>
      </c>
      <c r="O138" s="30" t="s">
        <v>1058</v>
      </c>
      <c r="P138">
        <v>1</v>
      </c>
    </row>
    <row r="139" spans="1:16" ht="15" customHeight="1" x14ac:dyDescent="0.25">
      <c r="A139" t="s" cm="1">
        <v>819</v>
      </c>
      <c r="B139" s="30" t="s">
        <v>521</v>
      </c>
      <c r="C139">
        <v>2</v>
      </c>
      <c r="N139" t="s" cm="1">
        <v>718</v>
      </c>
      <c r="O139" s="30" t="s">
        <v>620</v>
      </c>
      <c r="P139">
        <v>1</v>
      </c>
    </row>
    <row r="140" spans="1:16" ht="15" customHeight="1" x14ac:dyDescent="0.25">
      <c r="A140" t="s" cm="1">
        <v>819</v>
      </c>
      <c r="B140" s="30" t="s">
        <v>328</v>
      </c>
      <c r="C140">
        <v>2</v>
      </c>
      <c r="N140" t="s" cm="1">
        <v>718</v>
      </c>
      <c r="O140" s="30" t="s">
        <v>354</v>
      </c>
      <c r="P140">
        <v>1</v>
      </c>
    </row>
    <row r="141" spans="1:16" ht="15" customHeight="1" x14ac:dyDescent="0.25">
      <c r="A141" t="s" cm="1">
        <v>819</v>
      </c>
      <c r="B141" s="30" t="s">
        <v>344</v>
      </c>
      <c r="C141">
        <v>2</v>
      </c>
      <c r="N141" t="s" cm="1">
        <v>718</v>
      </c>
      <c r="O141" s="30" t="s">
        <v>1045</v>
      </c>
      <c r="P141">
        <v>1</v>
      </c>
    </row>
    <row r="142" spans="1:16" ht="15" customHeight="1" x14ac:dyDescent="0.25">
      <c r="A142" t="s" cm="1">
        <v>316</v>
      </c>
      <c r="B142" s="30" t="s">
        <v>444</v>
      </c>
      <c r="C142">
        <v>3</v>
      </c>
      <c r="N142" t="s" cm="1">
        <v>316</v>
      </c>
      <c r="O142" s="30" t="s">
        <v>532</v>
      </c>
      <c r="P142">
        <v>1</v>
      </c>
    </row>
    <row r="143" spans="1:16" ht="15" customHeight="1" x14ac:dyDescent="0.25">
      <c r="A143" t="s" cm="1">
        <v>751</v>
      </c>
      <c r="B143" s="30" t="s">
        <v>714</v>
      </c>
      <c r="C143">
        <v>3</v>
      </c>
      <c r="N143" t="s" cm="1">
        <v>718</v>
      </c>
      <c r="O143" s="30" t="s">
        <v>1136</v>
      </c>
      <c r="P143">
        <v>1</v>
      </c>
    </row>
    <row r="144" spans="1:16" ht="15" customHeight="1" x14ac:dyDescent="0.25">
      <c r="A144" t="s" cm="1">
        <v>751</v>
      </c>
      <c r="B144" s="30" t="s">
        <v>820</v>
      </c>
      <c r="C144">
        <v>3</v>
      </c>
      <c r="N144" t="s" cm="1">
        <v>718</v>
      </c>
      <c r="O144" s="30" t="s">
        <v>602</v>
      </c>
      <c r="P144">
        <v>1</v>
      </c>
    </row>
    <row r="145" spans="1:16" ht="15" customHeight="1" x14ac:dyDescent="0.25">
      <c r="A145" t="s" cm="1">
        <v>831</v>
      </c>
      <c r="B145" s="30" t="s">
        <v>447</v>
      </c>
      <c r="C145">
        <v>3</v>
      </c>
      <c r="N145" t="s" cm="1">
        <v>833</v>
      </c>
      <c r="O145" s="30" t="s">
        <v>1056</v>
      </c>
      <c r="P145">
        <v>1</v>
      </c>
    </row>
    <row r="146" spans="1:16" ht="15" customHeight="1" x14ac:dyDescent="0.25">
      <c r="A146" t="s" cm="1">
        <v>839</v>
      </c>
      <c r="B146" s="30" t="s">
        <v>819</v>
      </c>
      <c r="C146">
        <v>3</v>
      </c>
      <c r="N146" t="s" cm="1">
        <v>977</v>
      </c>
      <c r="O146" s="30" t="s">
        <v>1329</v>
      </c>
      <c r="P146">
        <v>1</v>
      </c>
    </row>
    <row r="147" spans="1:16" ht="15" customHeight="1" x14ac:dyDescent="0.25">
      <c r="A147" t="s" cm="1">
        <v>841</v>
      </c>
      <c r="B147" s="30" t="s">
        <v>751</v>
      </c>
      <c r="C147">
        <v>3</v>
      </c>
      <c r="N147" t="s" cm="1">
        <v>842</v>
      </c>
      <c r="O147" s="30" t="s">
        <v>1061</v>
      </c>
      <c r="P147">
        <v>1</v>
      </c>
    </row>
    <row r="148" spans="1:16" ht="15" customHeight="1" x14ac:dyDescent="0.25">
      <c r="A148" t="s" cm="1">
        <v>841</v>
      </c>
      <c r="B148" s="30" t="s">
        <v>653</v>
      </c>
      <c r="C148">
        <v>3</v>
      </c>
      <c r="N148" t="s" cm="1">
        <v>842</v>
      </c>
      <c r="O148" s="30" t="s">
        <v>1137</v>
      </c>
      <c r="P148">
        <v>1</v>
      </c>
    </row>
    <row r="149" spans="1:16" ht="15" customHeight="1" x14ac:dyDescent="0.25">
      <c r="A149" t="s" cm="1">
        <v>844</v>
      </c>
      <c r="B149" s="30" t="s">
        <v>713</v>
      </c>
      <c r="C149">
        <v>3</v>
      </c>
      <c r="N149" t="s" cm="1">
        <v>846</v>
      </c>
      <c r="O149" s="30" t="s">
        <v>939</v>
      </c>
      <c r="P149">
        <v>1</v>
      </c>
    </row>
    <row r="150" spans="1:16" ht="15" customHeight="1" x14ac:dyDescent="0.25">
      <c r="A150" t="s" cm="1">
        <v>316</v>
      </c>
      <c r="B150" s="30" t="s">
        <v>231</v>
      </c>
      <c r="C150">
        <v>3</v>
      </c>
      <c r="N150" t="s" cm="1">
        <v>316</v>
      </c>
      <c r="O150" s="30" t="s">
        <v>551</v>
      </c>
      <c r="P150">
        <v>1</v>
      </c>
    </row>
    <row r="151" spans="1:16" ht="15" customHeight="1" x14ac:dyDescent="0.25">
      <c r="A151" t="s" cm="1">
        <v>853</v>
      </c>
      <c r="B151" s="30" t="s">
        <v>654</v>
      </c>
      <c r="C151">
        <v>3</v>
      </c>
      <c r="N151" t="s" cm="1">
        <v>853</v>
      </c>
      <c r="O151" s="30" t="s">
        <v>763</v>
      </c>
      <c r="P151">
        <v>1</v>
      </c>
    </row>
    <row r="152" spans="1:16" ht="15" customHeight="1" x14ac:dyDescent="0.25">
      <c r="A152" t="s" cm="1">
        <v>858</v>
      </c>
      <c r="B152" s="30" t="s">
        <v>733</v>
      </c>
      <c r="C152">
        <v>3</v>
      </c>
      <c r="N152" t="s" cm="1">
        <v>979</v>
      </c>
      <c r="O152" s="30" t="s">
        <v>1280</v>
      </c>
      <c r="P152">
        <v>1</v>
      </c>
    </row>
    <row r="153" spans="1:16" ht="15" customHeight="1" x14ac:dyDescent="0.25">
      <c r="A153" t="s" cm="1">
        <v>871</v>
      </c>
      <c r="B153" s="30" t="s">
        <v>203</v>
      </c>
      <c r="C153">
        <v>4</v>
      </c>
      <c r="N153" t="s" cm="1">
        <v>453</v>
      </c>
      <c r="O153" s="30" t="s">
        <v>467</v>
      </c>
      <c r="P153">
        <v>1</v>
      </c>
    </row>
    <row r="154" spans="1:16" ht="15" customHeight="1" x14ac:dyDescent="0.25">
      <c r="A154" t="s" cm="1">
        <v>876</v>
      </c>
      <c r="B154" s="30" t="s">
        <v>740</v>
      </c>
      <c r="C154">
        <v>4</v>
      </c>
      <c r="N154" t="s" cm="1">
        <v>453</v>
      </c>
      <c r="O154" s="30" t="s">
        <v>1222</v>
      </c>
      <c r="P154">
        <v>1</v>
      </c>
    </row>
    <row r="155" spans="1:16" ht="15" customHeight="1" x14ac:dyDescent="0.25">
      <c r="A155" t="s" cm="1">
        <v>882</v>
      </c>
      <c r="B155" s="30" t="s">
        <v>345</v>
      </c>
      <c r="C155">
        <v>5</v>
      </c>
      <c r="N155" t="s" cm="1">
        <v>884</v>
      </c>
      <c r="O155" s="30" t="s">
        <v>219</v>
      </c>
      <c r="P155">
        <v>1</v>
      </c>
    </row>
    <row r="156" spans="1:16" ht="15" customHeight="1" x14ac:dyDescent="0.25">
      <c r="A156" t="s" cm="1">
        <v>887</v>
      </c>
      <c r="B156" s="30" t="s">
        <v>361</v>
      </c>
      <c r="C156">
        <v>5</v>
      </c>
      <c r="N156" t="s" cm="1">
        <v>888</v>
      </c>
      <c r="O156" s="30" t="s">
        <v>618</v>
      </c>
      <c r="P156">
        <v>1</v>
      </c>
    </row>
    <row r="157" spans="1:16" ht="15" customHeight="1" x14ac:dyDescent="0.25">
      <c r="A157" t="s" cm="1">
        <v>739</v>
      </c>
      <c r="B157" s="30" t="s">
        <v>773</v>
      </c>
      <c r="C157">
        <v>5</v>
      </c>
      <c r="N157" t="s" cm="1">
        <v>453</v>
      </c>
      <c r="O157" s="30" t="s">
        <v>1316</v>
      </c>
      <c r="P157">
        <v>1</v>
      </c>
    </row>
    <row r="158" spans="1:16" ht="15" customHeight="1" x14ac:dyDescent="0.25">
      <c r="A158" t="s" cm="1">
        <v>739</v>
      </c>
      <c r="B158" s="30" t="s">
        <v>360</v>
      </c>
      <c r="C158">
        <v>5</v>
      </c>
      <c r="N158" t="s" cm="1">
        <v>453</v>
      </c>
      <c r="O158" s="30" t="s">
        <v>475</v>
      </c>
      <c r="P158">
        <v>1</v>
      </c>
    </row>
    <row r="159" spans="1:16" ht="15" customHeight="1" x14ac:dyDescent="0.25">
      <c r="A159" t="s" cm="1">
        <v>1273</v>
      </c>
      <c r="B159" s="30" t="s">
        <v>739</v>
      </c>
      <c r="C159">
        <v>5</v>
      </c>
      <c r="N159" t="s" cm="1">
        <v>855</v>
      </c>
      <c r="O159" s="30" t="s">
        <v>544</v>
      </c>
      <c r="P159">
        <v>1</v>
      </c>
    </row>
    <row r="160" spans="1:16" ht="15" customHeight="1" x14ac:dyDescent="0.25">
      <c r="A160" t="s" cm="1">
        <v>1275</v>
      </c>
      <c r="B160" s="30" t="s">
        <v>574</v>
      </c>
      <c r="C160">
        <v>6</v>
      </c>
      <c r="N160" t="s" cm="1">
        <v>1282</v>
      </c>
      <c r="O160" s="30" t="s">
        <v>465</v>
      </c>
      <c r="P160">
        <v>1</v>
      </c>
    </row>
    <row r="161" spans="1:16" ht="15" customHeight="1" x14ac:dyDescent="0.25">
      <c r="A161" t="s" cm="1">
        <v>345</v>
      </c>
      <c r="B161" s="30" t="s">
        <v>573</v>
      </c>
      <c r="C161">
        <v>6</v>
      </c>
      <c r="N161" t="s" cm="1">
        <v>345</v>
      </c>
      <c r="O161" s="30" t="s">
        <v>965</v>
      </c>
      <c r="P161">
        <v>1</v>
      </c>
    </row>
    <row r="162" spans="1:16" ht="15" customHeight="1" x14ac:dyDescent="0.25">
      <c r="A162" t="s" cm="1">
        <v>1299</v>
      </c>
      <c r="B162" s="30" t="s">
        <v>372</v>
      </c>
      <c r="C162">
        <v>6</v>
      </c>
      <c r="N162" t="s" cm="1">
        <v>1303</v>
      </c>
      <c r="O162" s="30" t="s">
        <v>1101</v>
      </c>
      <c r="P162">
        <v>1</v>
      </c>
    </row>
    <row r="163" spans="1:16" ht="15" customHeight="1" x14ac:dyDescent="0.25">
      <c r="A163" t="s" cm="1">
        <v>1305</v>
      </c>
      <c r="B163" s="30" t="s">
        <v>268</v>
      </c>
      <c r="C163">
        <v>7</v>
      </c>
      <c r="N163" t="s" cm="1">
        <v>811</v>
      </c>
      <c r="O163" s="30" t="s">
        <v>991</v>
      </c>
      <c r="P163">
        <v>1</v>
      </c>
    </row>
    <row r="164" spans="1:16" ht="15" customHeight="1" x14ac:dyDescent="0.25">
      <c r="A164" t="s" cm="1">
        <v>273</v>
      </c>
      <c r="B164" s="30" t="s">
        <v>402</v>
      </c>
      <c r="C164">
        <v>7</v>
      </c>
      <c r="N164" t="s" cm="1">
        <v>273</v>
      </c>
      <c r="O164" s="30" t="s">
        <v>902</v>
      </c>
      <c r="P164">
        <v>1</v>
      </c>
    </row>
    <row r="165" spans="1:16" ht="15" customHeight="1" x14ac:dyDescent="0.25">
      <c r="A165" t="s" cm="1">
        <v>1321</v>
      </c>
      <c r="B165" s="30" t="s">
        <v>383</v>
      </c>
      <c r="C165">
        <v>8</v>
      </c>
      <c r="N165" t="s" cm="1">
        <v>973</v>
      </c>
      <c r="O165" s="30" t="s">
        <v>1189</v>
      </c>
      <c r="P165">
        <v>1</v>
      </c>
    </row>
    <row r="166" spans="1:16" ht="15" customHeight="1" x14ac:dyDescent="0.25">
      <c r="A166" t="s" cm="1">
        <v>1324</v>
      </c>
      <c r="B166" s="30" t="s">
        <v>379</v>
      </c>
      <c r="C166">
        <v>11</v>
      </c>
      <c r="N166" t="s" cm="1">
        <v>1325</v>
      </c>
      <c r="O166" s="30" t="s">
        <v>680</v>
      </c>
      <c r="P166">
        <v>1</v>
      </c>
    </row>
    <row r="167" spans="1:16" ht="15" customHeight="1" x14ac:dyDescent="0.25">
      <c r="A167" t="s" cm="1">
        <v>1338</v>
      </c>
      <c r="B167" s="30" t="s">
        <v>273</v>
      </c>
      <c r="C167">
        <v>30</v>
      </c>
      <c r="N167" t="s" cm="1">
        <v>1338</v>
      </c>
      <c r="O167" s="30" t="s">
        <v>1139</v>
      </c>
      <c r="P167">
        <v>1</v>
      </c>
    </row>
    <row r="168" spans="1:16" ht="15" customHeight="1" x14ac:dyDescent="0.25">
      <c r="A168" t="s" cm="1">
        <v>1338</v>
      </c>
      <c r="B168" s="30" t="s">
        <v>316</v>
      </c>
      <c r="C168">
        <v>33</v>
      </c>
      <c r="N168" t="s" cm="1">
        <v>1338</v>
      </c>
      <c r="O168" s="30" t="s">
        <v>994</v>
      </c>
      <c r="P168">
        <v>1</v>
      </c>
    </row>
    <row r="169" spans="1:16" ht="15" customHeight="1" x14ac:dyDescent="0.25">
      <c r="A169" t="s">
        <v>273</v>
      </c>
      <c r="B169" s="30" t="s">
        <v>71</v>
      </c>
      <c r="C169">
        <v>333</v>
      </c>
      <c r="N169" t="s" cm="1">
        <v>273</v>
      </c>
      <c r="O169" s="30" t="s">
        <v>1196</v>
      </c>
      <c r="P169">
        <v>1</v>
      </c>
    </row>
    <row r="170" spans="1:16" ht="15" customHeight="1" x14ac:dyDescent="0.25">
      <c r="A170" t="s">
        <v>273</v>
      </c>
      <c r="N170" t="s" cm="1">
        <v>273</v>
      </c>
      <c r="O170" s="30" t="s">
        <v>1167</v>
      </c>
      <c r="P170">
        <v>1</v>
      </c>
    </row>
    <row r="171" spans="1:16" ht="15" customHeight="1" x14ac:dyDescent="0.25">
      <c r="A171" t="s">
        <v>273</v>
      </c>
      <c r="N171" t="s" cm="1">
        <v>273</v>
      </c>
      <c r="O171" s="30" t="s">
        <v>979</v>
      </c>
      <c r="P171">
        <v>1</v>
      </c>
    </row>
    <row r="172" spans="1:16" ht="15" customHeight="1" x14ac:dyDescent="0.25">
      <c r="A172" t="s">
        <v>273</v>
      </c>
      <c r="N172" t="s" cm="1">
        <v>273</v>
      </c>
      <c r="O172" s="30" t="s">
        <v>1206</v>
      </c>
      <c r="P172">
        <v>1</v>
      </c>
    </row>
    <row r="173" spans="1:16" ht="15" customHeight="1" x14ac:dyDescent="0.25">
      <c r="A173" t="s">
        <v>273</v>
      </c>
      <c r="N173" t="s" cm="1">
        <v>273</v>
      </c>
      <c r="O173" s="30" t="s">
        <v>1173</v>
      </c>
      <c r="P173">
        <v>1</v>
      </c>
    </row>
    <row r="174" spans="1:16" ht="15" customHeight="1" x14ac:dyDescent="0.25">
      <c r="A174" t="s">
        <v>273</v>
      </c>
      <c r="N174" t="s" cm="1">
        <v>273</v>
      </c>
      <c r="O174" s="30" t="s">
        <v>1184</v>
      </c>
      <c r="P174">
        <v>1</v>
      </c>
    </row>
    <row r="175" spans="1:16" ht="15" customHeight="1" x14ac:dyDescent="0.25">
      <c r="A175" t="s">
        <v>273</v>
      </c>
      <c r="N175" t="s" cm="1">
        <v>273</v>
      </c>
      <c r="O175" s="30" t="s">
        <v>1231</v>
      </c>
      <c r="P175">
        <v>1</v>
      </c>
    </row>
    <row r="176" spans="1:16" ht="15" customHeight="1" x14ac:dyDescent="0.25">
      <c r="A176" t="s">
        <v>273</v>
      </c>
      <c r="N176" t="s" cm="1">
        <v>273</v>
      </c>
      <c r="O176" s="30" t="s">
        <v>1169</v>
      </c>
      <c r="P176">
        <v>1</v>
      </c>
    </row>
    <row r="177" spans="1:16" ht="15" customHeight="1" x14ac:dyDescent="0.25">
      <c r="A177" t="s">
        <v>273</v>
      </c>
      <c r="N177" t="s" cm="1">
        <v>273</v>
      </c>
      <c r="O177" s="30" t="s">
        <v>812</v>
      </c>
      <c r="P177">
        <v>1</v>
      </c>
    </row>
    <row r="178" spans="1:16" ht="15" customHeight="1" x14ac:dyDescent="0.25">
      <c r="A178" t="s">
        <v>273</v>
      </c>
      <c r="N178" t="s" cm="1">
        <v>273</v>
      </c>
      <c r="O178" s="30" t="s">
        <v>1026</v>
      </c>
      <c r="P178">
        <v>1</v>
      </c>
    </row>
    <row r="179" spans="1:16" ht="15" customHeight="1" x14ac:dyDescent="0.25">
      <c r="A179" t="s">
        <v>273</v>
      </c>
      <c r="N179" t="s" cm="1">
        <v>273</v>
      </c>
      <c r="O179" s="30" t="s">
        <v>1050</v>
      </c>
      <c r="P179">
        <v>1</v>
      </c>
    </row>
    <row r="180" spans="1:16" ht="15" customHeight="1" x14ac:dyDescent="0.25">
      <c r="A180" t="s">
        <v>273</v>
      </c>
      <c r="N180" t="s" cm="1">
        <v>273</v>
      </c>
      <c r="O180" s="30" t="s">
        <v>755</v>
      </c>
      <c r="P180">
        <v>1</v>
      </c>
    </row>
    <row r="181" spans="1:16" ht="15" customHeight="1" x14ac:dyDescent="0.25">
      <c r="A181" t="s">
        <v>273</v>
      </c>
      <c r="N181" t="s" cm="1">
        <v>273</v>
      </c>
      <c r="O181" s="30" t="s">
        <v>805</v>
      </c>
      <c r="P181">
        <v>1</v>
      </c>
    </row>
    <row r="182" spans="1:16" ht="15" customHeight="1" x14ac:dyDescent="0.25">
      <c r="A182" t="s">
        <v>323</v>
      </c>
      <c r="N182" t="s" cm="1">
        <v>893</v>
      </c>
      <c r="O182" s="30" t="s">
        <v>1219</v>
      </c>
      <c r="P182">
        <v>1</v>
      </c>
    </row>
    <row r="183" spans="1:16" ht="15" customHeight="1" x14ac:dyDescent="0.25">
      <c r="A183" t="s">
        <v>290</v>
      </c>
      <c r="N183" t="s" cm="1">
        <v>290</v>
      </c>
      <c r="O183" s="30" t="s">
        <v>570</v>
      </c>
      <c r="P183">
        <v>1</v>
      </c>
    </row>
    <row r="184" spans="1:16" ht="15" customHeight="1" x14ac:dyDescent="0.25">
      <c r="A184" t="s">
        <v>290</v>
      </c>
      <c r="N184" t="s" cm="1">
        <v>290</v>
      </c>
      <c r="O184" s="30" t="s">
        <v>1309</v>
      </c>
      <c r="P184">
        <v>1</v>
      </c>
    </row>
    <row r="185" spans="1:16" ht="15" customHeight="1" x14ac:dyDescent="0.25">
      <c r="A185" t="s">
        <v>334</v>
      </c>
      <c r="N185" t="s" cm="1">
        <v>334</v>
      </c>
      <c r="O185" s="30" t="s">
        <v>500</v>
      </c>
      <c r="P185">
        <v>1</v>
      </c>
    </row>
    <row r="186" spans="1:16" ht="15" customHeight="1" x14ac:dyDescent="0.25">
      <c r="A186" t="s">
        <v>345</v>
      </c>
      <c r="N186" t="s" cm="1">
        <v>345</v>
      </c>
      <c r="O186" s="30" t="s">
        <v>440</v>
      </c>
      <c r="P186">
        <v>1</v>
      </c>
    </row>
    <row r="187" spans="1:16" ht="15" customHeight="1" x14ac:dyDescent="0.25">
      <c r="A187" t="s">
        <v>345</v>
      </c>
      <c r="N187" t="s" cm="1">
        <v>345</v>
      </c>
      <c r="O187" s="30" t="s">
        <v>478</v>
      </c>
      <c r="P187">
        <v>1</v>
      </c>
    </row>
    <row r="188" spans="1:16" ht="15" customHeight="1" x14ac:dyDescent="0.25">
      <c r="A188" t="s">
        <v>355</v>
      </c>
      <c r="N188" t="s" cm="1">
        <v>355</v>
      </c>
      <c r="O188" s="30" t="s">
        <v>1229</v>
      </c>
      <c r="P188">
        <v>1</v>
      </c>
    </row>
    <row r="189" spans="1:16" ht="15" customHeight="1" x14ac:dyDescent="0.25">
      <c r="A189" t="s">
        <v>361</v>
      </c>
      <c r="N189" t="s" cm="1">
        <v>982</v>
      </c>
      <c r="O189" s="30" t="s">
        <v>479</v>
      </c>
      <c r="P189">
        <v>1</v>
      </c>
    </row>
    <row r="190" spans="1:16" ht="15" customHeight="1" x14ac:dyDescent="0.25">
      <c r="A190" t="s">
        <v>361</v>
      </c>
      <c r="N190" t="s" cm="1">
        <v>982</v>
      </c>
      <c r="O190" s="30" t="s">
        <v>1127</v>
      </c>
      <c r="P190">
        <v>1</v>
      </c>
    </row>
    <row r="191" spans="1:16" ht="15" customHeight="1" x14ac:dyDescent="0.25">
      <c r="A191" t="s">
        <v>361</v>
      </c>
      <c r="N191" t="s" cm="1">
        <v>982</v>
      </c>
      <c r="O191" s="30" t="s">
        <v>835</v>
      </c>
      <c r="P191">
        <v>1</v>
      </c>
    </row>
    <row r="192" spans="1:16" ht="15" customHeight="1" x14ac:dyDescent="0.25">
      <c r="A192" t="s">
        <v>369</v>
      </c>
      <c r="N192" t="s" cm="1">
        <v>983</v>
      </c>
      <c r="O192" s="30" t="s">
        <v>1120</v>
      </c>
      <c r="P192">
        <v>1</v>
      </c>
    </row>
    <row r="193" spans="1:16" ht="15" customHeight="1" x14ac:dyDescent="0.25">
      <c r="A193" t="s">
        <v>361</v>
      </c>
      <c r="N193" t="s" cm="1">
        <v>982</v>
      </c>
      <c r="O193" s="30" t="s">
        <v>1095</v>
      </c>
      <c r="P193">
        <v>1</v>
      </c>
    </row>
    <row r="194" spans="1:16" ht="15" customHeight="1" x14ac:dyDescent="0.25">
      <c r="A194" t="s">
        <v>361</v>
      </c>
      <c r="N194" t="s" cm="1">
        <v>982</v>
      </c>
      <c r="O194" s="30" t="s">
        <v>683</v>
      </c>
      <c r="P194">
        <v>1</v>
      </c>
    </row>
    <row r="195" spans="1:16" ht="15" customHeight="1" x14ac:dyDescent="0.25">
      <c r="A195" t="s">
        <v>273</v>
      </c>
      <c r="N195" t="s" cm="1">
        <v>273</v>
      </c>
      <c r="O195" s="30" t="s">
        <v>603</v>
      </c>
      <c r="P195">
        <v>1</v>
      </c>
    </row>
    <row r="196" spans="1:16" ht="15" customHeight="1" x14ac:dyDescent="0.25">
      <c r="A196" t="s">
        <v>371</v>
      </c>
      <c r="N196" t="s" cm="1">
        <v>371</v>
      </c>
      <c r="O196" s="30" t="s">
        <v>511</v>
      </c>
      <c r="P196">
        <v>1</v>
      </c>
    </row>
    <row r="197" spans="1:16" ht="15" customHeight="1" x14ac:dyDescent="0.25">
      <c r="A197" t="s">
        <v>247</v>
      </c>
      <c r="N197" t="s" cm="1">
        <v>247</v>
      </c>
      <c r="O197" s="30" t="s">
        <v>1140</v>
      </c>
      <c r="P197">
        <v>1</v>
      </c>
    </row>
    <row r="198" spans="1:16" ht="15" customHeight="1" x14ac:dyDescent="0.25">
      <c r="A198" t="s">
        <v>247</v>
      </c>
      <c r="N198" t="s" cm="1">
        <v>247</v>
      </c>
      <c r="O198" s="30" t="s">
        <v>497</v>
      </c>
      <c r="P198">
        <v>1</v>
      </c>
    </row>
    <row r="199" spans="1:16" ht="15" customHeight="1" x14ac:dyDescent="0.25">
      <c r="A199" t="s">
        <v>203</v>
      </c>
      <c r="N199" t="s" cm="1">
        <v>203</v>
      </c>
      <c r="O199" s="30" t="s">
        <v>784</v>
      </c>
      <c r="P199">
        <v>1</v>
      </c>
    </row>
    <row r="200" spans="1:16" ht="15" customHeight="1" x14ac:dyDescent="0.25">
      <c r="A200" t="s">
        <v>203</v>
      </c>
      <c r="N200" t="s" cm="1">
        <v>203</v>
      </c>
      <c r="O200" s="30" t="s">
        <v>1054</v>
      </c>
      <c r="P200">
        <v>1</v>
      </c>
    </row>
    <row r="201" spans="1:16" ht="15" customHeight="1" x14ac:dyDescent="0.25">
      <c r="A201" t="s">
        <v>379</v>
      </c>
      <c r="N201" t="s" cm="1">
        <v>379</v>
      </c>
      <c r="O201" s="30" t="s">
        <v>866</v>
      </c>
      <c r="P201">
        <v>1</v>
      </c>
    </row>
    <row r="202" spans="1:16" ht="15" customHeight="1" x14ac:dyDescent="0.25">
      <c r="A202" t="s">
        <v>379</v>
      </c>
      <c r="N202" t="s" cm="1">
        <v>379</v>
      </c>
      <c r="O202" s="30" t="s">
        <v>832</v>
      </c>
      <c r="P202">
        <v>1</v>
      </c>
    </row>
    <row r="203" spans="1:16" ht="15" customHeight="1" x14ac:dyDescent="0.25">
      <c r="A203" t="s">
        <v>379</v>
      </c>
      <c r="N203" t="s" cm="1">
        <v>379</v>
      </c>
      <c r="O203" s="30" t="s">
        <v>836</v>
      </c>
      <c r="P203">
        <v>1</v>
      </c>
    </row>
    <row r="204" spans="1:16" ht="15" customHeight="1" x14ac:dyDescent="0.25">
      <c r="A204" t="s">
        <v>379</v>
      </c>
      <c r="N204" t="s" cm="1">
        <v>379</v>
      </c>
      <c r="O204" s="30" t="s">
        <v>962</v>
      </c>
      <c r="P204">
        <v>1</v>
      </c>
    </row>
    <row r="205" spans="1:16" ht="15" customHeight="1" x14ac:dyDescent="0.25">
      <c r="A205" t="s">
        <v>379</v>
      </c>
      <c r="N205" t="s" cm="1">
        <v>379</v>
      </c>
      <c r="O205" s="30" t="s">
        <v>850</v>
      </c>
      <c r="P205">
        <v>1</v>
      </c>
    </row>
    <row r="206" spans="1:16" ht="15" customHeight="1" x14ac:dyDescent="0.25">
      <c r="A206" t="s">
        <v>379</v>
      </c>
      <c r="N206" t="s" cm="1">
        <v>379</v>
      </c>
      <c r="O206" s="30" t="s">
        <v>1047</v>
      </c>
      <c r="P206">
        <v>1</v>
      </c>
    </row>
    <row r="207" spans="1:16" ht="15" customHeight="1" x14ac:dyDescent="0.25">
      <c r="A207" t="s">
        <v>379</v>
      </c>
      <c r="N207" t="s" cm="1">
        <v>379</v>
      </c>
      <c r="O207" s="30" t="s">
        <v>872</v>
      </c>
      <c r="P207">
        <v>1</v>
      </c>
    </row>
    <row r="208" spans="1:16" ht="15" customHeight="1" x14ac:dyDescent="0.25">
      <c r="A208" t="s">
        <v>379</v>
      </c>
      <c r="N208" t="s" cm="1">
        <v>379</v>
      </c>
      <c r="O208" s="30" t="s">
        <v>1040</v>
      </c>
      <c r="P208">
        <v>1</v>
      </c>
    </row>
    <row r="209" spans="1:16" ht="15" customHeight="1" x14ac:dyDescent="0.25">
      <c r="A209" t="s">
        <v>388</v>
      </c>
      <c r="N209" t="s" cm="1">
        <v>986</v>
      </c>
      <c r="O209" s="30" t="s">
        <v>765</v>
      </c>
      <c r="P209">
        <v>1</v>
      </c>
    </row>
    <row r="210" spans="1:16" ht="15" customHeight="1" x14ac:dyDescent="0.25">
      <c r="A210" t="s">
        <v>401</v>
      </c>
      <c r="N210" t="s" cm="1">
        <v>987</v>
      </c>
      <c r="O210" s="30" t="s">
        <v>1286</v>
      </c>
      <c r="P210">
        <v>1</v>
      </c>
    </row>
    <row r="211" spans="1:16" ht="15" customHeight="1" x14ac:dyDescent="0.25">
      <c r="A211" t="s">
        <v>417</v>
      </c>
      <c r="N211" t="s" cm="1">
        <v>417</v>
      </c>
      <c r="O211" s="30" t="s">
        <v>769</v>
      </c>
      <c r="P211">
        <v>1</v>
      </c>
    </row>
    <row r="212" spans="1:16" ht="15" customHeight="1" x14ac:dyDescent="0.25">
      <c r="A212" t="s">
        <v>420</v>
      </c>
      <c r="N212" t="s" cm="1">
        <v>990</v>
      </c>
      <c r="O212" s="30" t="s">
        <v>947</v>
      </c>
      <c r="P212">
        <v>1</v>
      </c>
    </row>
    <row r="213" spans="1:16" ht="15" customHeight="1" x14ac:dyDescent="0.25">
      <c r="A213" t="s">
        <v>438</v>
      </c>
      <c r="N213" t="s" cm="1">
        <v>991</v>
      </c>
      <c r="O213" s="30" t="s">
        <v>834</v>
      </c>
      <c r="P213">
        <v>1</v>
      </c>
    </row>
    <row r="214" spans="1:16" ht="15" customHeight="1" x14ac:dyDescent="0.25">
      <c r="A214" t="s">
        <v>273</v>
      </c>
      <c r="N214" t="s" cm="1">
        <v>273</v>
      </c>
      <c r="O214" s="30" t="s">
        <v>429</v>
      </c>
      <c r="P214">
        <v>1</v>
      </c>
    </row>
    <row r="215" spans="1:16" ht="15" customHeight="1" x14ac:dyDescent="0.25">
      <c r="A215" t="s">
        <v>273</v>
      </c>
      <c r="N215" t="s" cm="1">
        <v>273</v>
      </c>
      <c r="O215" s="30" t="s">
        <v>1317</v>
      </c>
      <c r="P215">
        <v>1</v>
      </c>
    </row>
    <row r="216" spans="1:16" ht="15" customHeight="1" x14ac:dyDescent="0.25">
      <c r="A216" t="s">
        <v>273</v>
      </c>
      <c r="N216" t="s" cm="1">
        <v>273</v>
      </c>
      <c r="O216" s="30" t="s">
        <v>1244</v>
      </c>
      <c r="P216">
        <v>2</v>
      </c>
    </row>
    <row r="217" spans="1:16" ht="15" customHeight="1" x14ac:dyDescent="0.25">
      <c r="A217" t="s">
        <v>444</v>
      </c>
      <c r="N217" t="s" cm="1">
        <v>918</v>
      </c>
      <c r="O217" s="30" t="s">
        <v>1308</v>
      </c>
      <c r="P217">
        <v>2</v>
      </c>
    </row>
    <row r="218" spans="1:16" ht="15" customHeight="1" x14ac:dyDescent="0.25">
      <c r="A218" t="s">
        <v>444</v>
      </c>
      <c r="N218" t="s" cm="1">
        <v>918</v>
      </c>
      <c r="O218" s="30" t="s">
        <v>1318</v>
      </c>
      <c r="P218">
        <v>2</v>
      </c>
    </row>
    <row r="219" spans="1:16" ht="15" customHeight="1" x14ac:dyDescent="0.25">
      <c r="A219" t="s">
        <v>447</v>
      </c>
      <c r="N219" t="s" cm="1">
        <v>447</v>
      </c>
      <c r="O219" s="30" t="s">
        <v>919</v>
      </c>
      <c r="P219">
        <v>2</v>
      </c>
    </row>
    <row r="220" spans="1:16" ht="15" customHeight="1" x14ac:dyDescent="0.25">
      <c r="A220" t="s">
        <v>459</v>
      </c>
      <c r="N220" t="s" cm="1">
        <v>992</v>
      </c>
      <c r="O220" s="30" t="s">
        <v>1035</v>
      </c>
      <c r="P220">
        <v>2</v>
      </c>
    </row>
    <row r="221" spans="1:16" ht="15" customHeight="1" x14ac:dyDescent="0.25">
      <c r="A221" t="s">
        <v>459</v>
      </c>
      <c r="N221" t="s" cm="1">
        <v>992</v>
      </c>
      <c r="O221" s="30" t="s">
        <v>1022</v>
      </c>
      <c r="P221">
        <v>2</v>
      </c>
    </row>
    <row r="222" spans="1:16" ht="15" customHeight="1" x14ac:dyDescent="0.25">
      <c r="A222" t="s">
        <v>461</v>
      </c>
      <c r="N222" t="s" cm="1">
        <v>461</v>
      </c>
      <c r="O222" s="30" t="s">
        <v>1092</v>
      </c>
      <c r="P222">
        <v>2</v>
      </c>
    </row>
    <row r="223" spans="1:16" ht="15" customHeight="1" x14ac:dyDescent="0.25">
      <c r="A223" t="s">
        <v>469</v>
      </c>
      <c r="N223" t="s" cm="1">
        <v>994</v>
      </c>
      <c r="O223" s="30" t="s">
        <v>1182</v>
      </c>
      <c r="P223">
        <v>2</v>
      </c>
    </row>
    <row r="224" spans="1:16" ht="15" customHeight="1" x14ac:dyDescent="0.25">
      <c r="A224" t="s">
        <v>474</v>
      </c>
      <c r="N224" t="s" cm="1">
        <v>474</v>
      </c>
      <c r="O224" s="30" t="s">
        <v>964</v>
      </c>
      <c r="P224">
        <v>2</v>
      </c>
    </row>
    <row r="225" spans="1:16" ht="15" customHeight="1" x14ac:dyDescent="0.25">
      <c r="A225" t="s">
        <v>231</v>
      </c>
      <c r="N225" t="s" cm="1">
        <v>231</v>
      </c>
      <c r="O225" s="30" t="s">
        <v>1098</v>
      </c>
      <c r="P225">
        <v>2</v>
      </c>
    </row>
    <row r="226" spans="1:16" ht="15" customHeight="1" x14ac:dyDescent="0.25">
      <c r="A226" t="s">
        <v>485</v>
      </c>
      <c r="N226" t="s" cm="1">
        <v>995</v>
      </c>
      <c r="O226" s="30" t="s">
        <v>1331</v>
      </c>
      <c r="P226">
        <v>2</v>
      </c>
    </row>
    <row r="227" spans="1:16" ht="15" customHeight="1" x14ac:dyDescent="0.25">
      <c r="A227" t="s">
        <v>491</v>
      </c>
      <c r="N227" t="s" cm="1">
        <v>494</v>
      </c>
      <c r="O227" s="30" t="s">
        <v>954</v>
      </c>
      <c r="P227">
        <v>2</v>
      </c>
    </row>
    <row r="228" spans="1:16" ht="15" customHeight="1" x14ac:dyDescent="0.25">
      <c r="A228" t="s">
        <v>500</v>
      </c>
      <c r="N228" t="s" cm="1">
        <v>500</v>
      </c>
      <c r="O228" s="30" t="s">
        <v>1260</v>
      </c>
      <c r="P228">
        <v>2</v>
      </c>
    </row>
    <row r="229" spans="1:16" ht="15" customHeight="1" x14ac:dyDescent="0.25">
      <c r="A229" t="s">
        <v>506</v>
      </c>
      <c r="N229" t="s" cm="1">
        <v>996</v>
      </c>
      <c r="O229" s="30" t="s">
        <v>776</v>
      </c>
      <c r="P229">
        <v>2</v>
      </c>
    </row>
    <row r="230" spans="1:16" ht="15" customHeight="1" x14ac:dyDescent="0.25">
      <c r="A230" t="s">
        <v>515</v>
      </c>
      <c r="N230" t="s" cm="1">
        <v>908</v>
      </c>
      <c r="O230" s="30" t="s">
        <v>888</v>
      </c>
      <c r="P230">
        <v>2</v>
      </c>
    </row>
    <row r="231" spans="1:16" ht="15" customHeight="1" x14ac:dyDescent="0.25">
      <c r="A231" t="s">
        <v>522</v>
      </c>
      <c r="N231" t="s" cm="1">
        <v>997</v>
      </c>
      <c r="O231" s="30" t="s">
        <v>328</v>
      </c>
      <c r="P231">
        <v>2</v>
      </c>
    </row>
    <row r="232" spans="1:16" ht="15" customHeight="1" x14ac:dyDescent="0.25">
      <c r="A232" t="s">
        <v>530</v>
      </c>
      <c r="N232" t="s" cm="1">
        <v>999</v>
      </c>
      <c r="O232" s="30" t="s">
        <v>925</v>
      </c>
      <c r="P232">
        <v>2</v>
      </c>
    </row>
    <row r="233" spans="1:16" ht="15" customHeight="1" x14ac:dyDescent="0.25">
      <c r="A233" t="s">
        <v>536</v>
      </c>
      <c r="N233" t="s" cm="1">
        <v>1001</v>
      </c>
      <c r="O233" s="30" t="s">
        <v>1082</v>
      </c>
      <c r="P233">
        <v>2</v>
      </c>
    </row>
    <row r="234" spans="1:16" ht="15" customHeight="1" x14ac:dyDescent="0.25">
      <c r="A234" t="s">
        <v>540</v>
      </c>
      <c r="N234" t="s" cm="1">
        <v>937</v>
      </c>
      <c r="O234" s="30" t="s">
        <v>1236</v>
      </c>
      <c r="P234">
        <v>2</v>
      </c>
    </row>
    <row r="235" spans="1:16" ht="15" customHeight="1" x14ac:dyDescent="0.25">
      <c r="A235" t="s">
        <v>273</v>
      </c>
      <c r="N235" t="s" cm="1">
        <v>273</v>
      </c>
      <c r="O235" s="30" t="s">
        <v>1228</v>
      </c>
      <c r="P235">
        <v>2</v>
      </c>
    </row>
    <row r="236" spans="1:16" ht="15" customHeight="1" x14ac:dyDescent="0.25">
      <c r="A236" t="s">
        <v>273</v>
      </c>
      <c r="N236" t="s" cm="1">
        <v>273</v>
      </c>
      <c r="O236" s="30" t="s">
        <v>1037</v>
      </c>
      <c r="P236">
        <v>2</v>
      </c>
    </row>
    <row r="237" spans="1:16" ht="15" customHeight="1" x14ac:dyDescent="0.25">
      <c r="A237" t="s">
        <v>273</v>
      </c>
      <c r="N237" t="s" cm="1">
        <v>273</v>
      </c>
      <c r="O237" s="30" t="s">
        <v>963</v>
      </c>
      <c r="P237">
        <v>2</v>
      </c>
    </row>
    <row r="238" spans="1:16" ht="15" customHeight="1" x14ac:dyDescent="0.25">
      <c r="A238" t="s">
        <v>273</v>
      </c>
      <c r="N238" t="s" cm="1">
        <v>273</v>
      </c>
      <c r="O238" s="30" t="s">
        <v>1039</v>
      </c>
      <c r="P238">
        <v>2</v>
      </c>
    </row>
    <row r="239" spans="1:16" ht="15" customHeight="1" x14ac:dyDescent="0.25">
      <c r="A239" t="s">
        <v>562</v>
      </c>
      <c r="N239" t="s" cm="1">
        <v>896</v>
      </c>
      <c r="O239" s="30" t="s">
        <v>873</v>
      </c>
      <c r="P239">
        <v>2</v>
      </c>
    </row>
    <row r="240" spans="1:16" ht="15" customHeight="1" x14ac:dyDescent="0.25">
      <c r="A240" t="s">
        <v>336</v>
      </c>
      <c r="N240" t="s" cm="1">
        <v>1003</v>
      </c>
      <c r="O240" s="30" t="s">
        <v>1203</v>
      </c>
      <c r="P240">
        <v>2</v>
      </c>
    </row>
    <row r="241" spans="1:16" ht="15" customHeight="1" x14ac:dyDescent="0.25">
      <c r="A241" t="s">
        <v>571</v>
      </c>
      <c r="N241" t="s" cm="1">
        <v>319</v>
      </c>
      <c r="O241" s="30" t="s">
        <v>977</v>
      </c>
      <c r="P241">
        <v>2</v>
      </c>
    </row>
    <row r="242" spans="1:16" ht="15" customHeight="1" x14ac:dyDescent="0.25">
      <c r="A242" t="s">
        <v>574</v>
      </c>
      <c r="N242" t="s" cm="1">
        <v>955</v>
      </c>
      <c r="O242" s="30" t="s">
        <v>1175</v>
      </c>
      <c r="P242">
        <v>2</v>
      </c>
    </row>
    <row r="243" spans="1:16" ht="15" customHeight="1" x14ac:dyDescent="0.25">
      <c r="A243" t="s">
        <v>574</v>
      </c>
      <c r="N243" t="s" cm="1">
        <v>955</v>
      </c>
      <c r="O243" s="30" t="s">
        <v>1257</v>
      </c>
      <c r="P243">
        <v>2</v>
      </c>
    </row>
    <row r="244" spans="1:16" ht="15" customHeight="1" x14ac:dyDescent="0.25">
      <c r="A244" t="s">
        <v>574</v>
      </c>
      <c r="N244" t="s" cm="1">
        <v>955</v>
      </c>
      <c r="O244" s="30" t="s">
        <v>1254</v>
      </c>
      <c r="P244">
        <v>2</v>
      </c>
    </row>
    <row r="245" spans="1:16" ht="15" customHeight="1" x14ac:dyDescent="0.25">
      <c r="A245" t="s">
        <v>574</v>
      </c>
      <c r="N245" t="s" cm="1">
        <v>955</v>
      </c>
      <c r="O245" s="30" t="s">
        <v>220</v>
      </c>
      <c r="P245">
        <v>2</v>
      </c>
    </row>
    <row r="246" spans="1:16" ht="15" customHeight="1" x14ac:dyDescent="0.25">
      <c r="A246" t="s">
        <v>574</v>
      </c>
      <c r="N246" t="s" cm="1">
        <v>955</v>
      </c>
      <c r="O246" s="30" t="s">
        <v>1258</v>
      </c>
      <c r="P246">
        <v>2</v>
      </c>
    </row>
    <row r="247" spans="1:16" ht="15" customHeight="1" x14ac:dyDescent="0.25">
      <c r="A247" t="s">
        <v>574</v>
      </c>
      <c r="N247" t="s" cm="1">
        <v>955</v>
      </c>
      <c r="O247" s="30" t="s">
        <v>1113</v>
      </c>
      <c r="P247">
        <v>2</v>
      </c>
    </row>
    <row r="248" spans="1:16" ht="15" customHeight="1" x14ac:dyDescent="0.25">
      <c r="A248" t="s">
        <v>316</v>
      </c>
      <c r="N248" t="s" cm="1">
        <v>316</v>
      </c>
      <c r="O248" s="30" t="s">
        <v>1303</v>
      </c>
      <c r="P248">
        <v>2</v>
      </c>
    </row>
    <row r="249" spans="1:16" ht="15" customHeight="1" x14ac:dyDescent="0.25">
      <c r="A249" t="s">
        <v>316</v>
      </c>
      <c r="N249" t="s" cm="1">
        <v>316</v>
      </c>
      <c r="O249" s="30" t="s">
        <v>945</v>
      </c>
      <c r="P249">
        <v>2</v>
      </c>
    </row>
    <row r="250" spans="1:16" ht="15" customHeight="1" x14ac:dyDescent="0.25">
      <c r="A250" t="s">
        <v>592</v>
      </c>
      <c r="N250" t="s" cm="1">
        <v>1006</v>
      </c>
      <c r="O250" s="30" t="s">
        <v>966</v>
      </c>
      <c r="P250">
        <v>2</v>
      </c>
    </row>
    <row r="251" spans="1:16" ht="15" customHeight="1" x14ac:dyDescent="0.25">
      <c r="A251" t="s">
        <v>600</v>
      </c>
      <c r="N251" t="s" cm="1">
        <v>600</v>
      </c>
      <c r="O251" s="30" t="s">
        <v>1074</v>
      </c>
      <c r="P251">
        <v>2</v>
      </c>
    </row>
    <row r="252" spans="1:16" ht="15" customHeight="1" x14ac:dyDescent="0.25">
      <c r="A252" t="s">
        <v>605</v>
      </c>
      <c r="N252" t="s" cm="1">
        <v>1008</v>
      </c>
      <c r="O252" s="30" t="s">
        <v>1263</v>
      </c>
      <c r="P252">
        <v>2</v>
      </c>
    </row>
    <row r="253" spans="1:16" ht="15" customHeight="1" x14ac:dyDescent="0.25">
      <c r="A253" t="s">
        <v>615</v>
      </c>
      <c r="N253" t="s" cm="1">
        <v>968</v>
      </c>
      <c r="O253" s="30" t="s">
        <v>1216</v>
      </c>
      <c r="P253">
        <v>2</v>
      </c>
    </row>
    <row r="254" spans="1:16" ht="15" customHeight="1" x14ac:dyDescent="0.25">
      <c r="A254" t="s">
        <v>619</v>
      </c>
      <c r="N254" t="s" cm="1">
        <v>1009</v>
      </c>
      <c r="O254" s="30" t="s">
        <v>1114</v>
      </c>
      <c r="P254">
        <v>2</v>
      </c>
    </row>
    <row r="255" spans="1:16" ht="15" customHeight="1" x14ac:dyDescent="0.25">
      <c r="A255" t="s">
        <v>623</v>
      </c>
      <c r="N255" t="s" cm="1">
        <v>954</v>
      </c>
      <c r="O255" s="30" t="s">
        <v>630</v>
      </c>
      <c r="P255">
        <v>2</v>
      </c>
    </row>
    <row r="256" spans="1:16" ht="15" customHeight="1" x14ac:dyDescent="0.25">
      <c r="A256" t="s">
        <v>627</v>
      </c>
      <c r="N256" t="s" cm="1">
        <v>1010</v>
      </c>
      <c r="O256" s="30" t="s">
        <v>1118</v>
      </c>
      <c r="P256">
        <v>2</v>
      </c>
    </row>
    <row r="257" spans="1:16" ht="15" customHeight="1" x14ac:dyDescent="0.25">
      <c r="A257" t="s">
        <v>632</v>
      </c>
      <c r="N257" t="s" cm="1">
        <v>955</v>
      </c>
      <c r="O257" s="30" t="s">
        <v>1148</v>
      </c>
      <c r="P257">
        <v>2</v>
      </c>
    </row>
    <row r="258" spans="1:16" ht="15" customHeight="1" x14ac:dyDescent="0.25">
      <c r="A258" t="s">
        <v>273</v>
      </c>
      <c r="N258" t="s" cm="1">
        <v>273</v>
      </c>
      <c r="O258" s="30" t="s">
        <v>1220</v>
      </c>
      <c r="P258">
        <v>2</v>
      </c>
    </row>
    <row r="259" spans="1:16" ht="15" customHeight="1" x14ac:dyDescent="0.25">
      <c r="A259" t="s">
        <v>642</v>
      </c>
      <c r="N259" t="s" cm="1">
        <v>1013</v>
      </c>
      <c r="O259" s="30" t="s">
        <v>808</v>
      </c>
      <c r="P259">
        <v>2</v>
      </c>
    </row>
    <row r="260" spans="1:16" ht="15" customHeight="1" x14ac:dyDescent="0.25">
      <c r="A260" t="s">
        <v>647</v>
      </c>
      <c r="N260" t="s" cm="1">
        <v>959</v>
      </c>
      <c r="O260" s="30" t="s">
        <v>1168</v>
      </c>
      <c r="P260">
        <v>2</v>
      </c>
    </row>
    <row r="261" spans="1:16" ht="15" customHeight="1" x14ac:dyDescent="0.25">
      <c r="A261" t="s">
        <v>654</v>
      </c>
      <c r="N261" t="s" cm="1">
        <v>960</v>
      </c>
      <c r="O261" s="30" t="s">
        <v>1218</v>
      </c>
      <c r="P261">
        <v>2</v>
      </c>
    </row>
    <row r="262" spans="1:16" ht="15" customHeight="1" x14ac:dyDescent="0.25">
      <c r="A262" t="s">
        <v>654</v>
      </c>
      <c r="N262" t="s" cm="1">
        <v>960</v>
      </c>
      <c r="O262" s="30" t="s">
        <v>1055</v>
      </c>
      <c r="P262">
        <v>2</v>
      </c>
    </row>
    <row r="263" spans="1:16" ht="15" customHeight="1" x14ac:dyDescent="0.25">
      <c r="A263" t="s">
        <v>654</v>
      </c>
      <c r="N263" t="s" cm="1">
        <v>960</v>
      </c>
      <c r="O263" s="30" t="s">
        <v>1158</v>
      </c>
      <c r="P263">
        <v>2</v>
      </c>
    </row>
    <row r="264" spans="1:16" ht="15" customHeight="1" x14ac:dyDescent="0.25">
      <c r="A264" t="s">
        <v>663</v>
      </c>
      <c r="N264" t="s" cm="1">
        <v>663</v>
      </c>
      <c r="O264" s="30" t="s">
        <v>1251</v>
      </c>
      <c r="P264">
        <v>2</v>
      </c>
    </row>
    <row r="265" spans="1:16" ht="15" customHeight="1" x14ac:dyDescent="0.25">
      <c r="A265" t="s">
        <v>203</v>
      </c>
      <c r="N265" t="s" cm="1">
        <v>203</v>
      </c>
      <c r="O265" s="30" t="s">
        <v>1027</v>
      </c>
      <c r="P265">
        <v>2</v>
      </c>
    </row>
    <row r="266" spans="1:16" ht="15" customHeight="1" x14ac:dyDescent="0.25">
      <c r="A266" t="s">
        <v>379</v>
      </c>
      <c r="N266" t="s" cm="1">
        <v>379</v>
      </c>
      <c r="O266" s="30" t="s">
        <v>938</v>
      </c>
      <c r="P266">
        <v>2</v>
      </c>
    </row>
    <row r="267" spans="1:16" ht="15" customHeight="1" x14ac:dyDescent="0.25">
      <c r="A267" t="s">
        <v>671</v>
      </c>
      <c r="N267" t="s" cm="1">
        <v>1016</v>
      </c>
      <c r="O267" s="30" t="s">
        <v>1242</v>
      </c>
      <c r="P267">
        <v>2</v>
      </c>
    </row>
    <row r="268" spans="1:16" ht="15" customHeight="1" x14ac:dyDescent="0.25">
      <c r="A268" t="s">
        <v>521</v>
      </c>
      <c r="N268" t="s" cm="1">
        <v>918</v>
      </c>
      <c r="O268" s="30" t="s">
        <v>1252</v>
      </c>
      <c r="P268">
        <v>2</v>
      </c>
    </row>
    <row r="269" spans="1:16" ht="15" customHeight="1" x14ac:dyDescent="0.25">
      <c r="A269" t="s">
        <v>273</v>
      </c>
      <c r="N269" t="s" cm="1">
        <v>273</v>
      </c>
      <c r="O269" s="30" t="s">
        <v>1261</v>
      </c>
      <c r="P269">
        <v>2</v>
      </c>
    </row>
    <row r="270" spans="1:16" ht="15" customHeight="1" x14ac:dyDescent="0.25">
      <c r="A270" t="s">
        <v>273</v>
      </c>
      <c r="N270" t="s" cm="1">
        <v>273</v>
      </c>
      <c r="O270" s="30" t="s">
        <v>1249</v>
      </c>
      <c r="P270">
        <v>2</v>
      </c>
    </row>
    <row r="271" spans="1:16" ht="15" customHeight="1" x14ac:dyDescent="0.25">
      <c r="A271" t="s">
        <v>273</v>
      </c>
      <c r="N271" t="s" cm="1">
        <v>273</v>
      </c>
      <c r="O271" s="30" t="s">
        <v>1335</v>
      </c>
      <c r="P271">
        <v>2</v>
      </c>
    </row>
    <row r="272" spans="1:16" ht="15" customHeight="1" x14ac:dyDescent="0.25">
      <c r="A272" t="s">
        <v>372</v>
      </c>
      <c r="N272" t="s" cm="1">
        <v>372</v>
      </c>
      <c r="O272" s="30" t="s">
        <v>1325</v>
      </c>
      <c r="P272">
        <v>2</v>
      </c>
    </row>
    <row r="273" spans="1:16" ht="15" customHeight="1" x14ac:dyDescent="0.25">
      <c r="A273" t="s">
        <v>708</v>
      </c>
      <c r="N273" t="s" cm="1">
        <v>970</v>
      </c>
      <c r="O273" s="30" t="s">
        <v>1200</v>
      </c>
      <c r="P273">
        <v>2</v>
      </c>
    </row>
    <row r="274" spans="1:16" ht="15" customHeight="1" x14ac:dyDescent="0.25">
      <c r="A274" t="s">
        <v>708</v>
      </c>
      <c r="N274" t="s" cm="1">
        <v>970</v>
      </c>
      <c r="O274" s="30" t="s">
        <v>1002</v>
      </c>
      <c r="P274">
        <v>2</v>
      </c>
    </row>
    <row r="275" spans="1:16" ht="15" customHeight="1" x14ac:dyDescent="0.25">
      <c r="A275" t="s">
        <v>714</v>
      </c>
      <c r="N275" t="s" cm="1">
        <v>718</v>
      </c>
      <c r="O275" s="30" t="s">
        <v>951</v>
      </c>
      <c r="P275">
        <v>2</v>
      </c>
    </row>
    <row r="276" spans="1:16" ht="15" customHeight="1" x14ac:dyDescent="0.25">
      <c r="A276" t="s">
        <v>714</v>
      </c>
      <c r="N276" t="s" cm="1">
        <v>718</v>
      </c>
      <c r="O276" s="30" t="s">
        <v>1152</v>
      </c>
      <c r="P276">
        <v>2</v>
      </c>
    </row>
    <row r="277" spans="1:16" ht="15" customHeight="1" x14ac:dyDescent="0.25">
      <c r="A277" t="s">
        <v>714</v>
      </c>
      <c r="N277" t="s" cm="1">
        <v>718</v>
      </c>
      <c r="O277" s="30" t="s">
        <v>927</v>
      </c>
      <c r="P277">
        <v>2</v>
      </c>
    </row>
    <row r="278" spans="1:16" ht="15" customHeight="1" x14ac:dyDescent="0.25">
      <c r="A278" t="s">
        <v>721</v>
      </c>
      <c r="N278" t="s" cm="1">
        <v>1017</v>
      </c>
      <c r="O278" s="30" t="s">
        <v>968</v>
      </c>
      <c r="P278">
        <v>2</v>
      </c>
    </row>
    <row r="279" spans="1:16" ht="15" customHeight="1" x14ac:dyDescent="0.25">
      <c r="A279" t="s">
        <v>728</v>
      </c>
      <c r="N279" t="s" cm="1">
        <v>728</v>
      </c>
      <c r="O279" s="30" t="s">
        <v>1338</v>
      </c>
      <c r="P279">
        <v>2</v>
      </c>
    </row>
    <row r="280" spans="1:16" ht="15" customHeight="1" x14ac:dyDescent="0.25">
      <c r="A280" t="s">
        <v>316</v>
      </c>
      <c r="N280" t="s" cm="1">
        <v>316</v>
      </c>
      <c r="O280" s="30" t="s">
        <v>846</v>
      </c>
      <c r="P280">
        <v>2</v>
      </c>
    </row>
    <row r="281" spans="1:16" ht="15" customHeight="1" x14ac:dyDescent="0.25">
      <c r="A281" t="s">
        <v>316</v>
      </c>
      <c r="N281" t="s" cm="1">
        <v>316</v>
      </c>
      <c r="O281" s="30" t="s">
        <v>790</v>
      </c>
      <c r="P281">
        <v>2</v>
      </c>
    </row>
    <row r="282" spans="1:16" ht="15" customHeight="1" x14ac:dyDescent="0.25">
      <c r="A282" t="s">
        <v>316</v>
      </c>
      <c r="N282" t="s" cm="1">
        <v>316</v>
      </c>
      <c r="O282" s="30" t="s">
        <v>1010</v>
      </c>
      <c r="P282">
        <v>2</v>
      </c>
    </row>
    <row r="283" spans="1:16" ht="15" customHeight="1" x14ac:dyDescent="0.25">
      <c r="A283" t="s">
        <v>740</v>
      </c>
      <c r="N283" t="s" cm="1">
        <v>453</v>
      </c>
      <c r="O283" s="30" t="s">
        <v>1059</v>
      </c>
      <c r="P283">
        <v>2</v>
      </c>
    </row>
    <row r="284" spans="1:16" ht="15" customHeight="1" x14ac:dyDescent="0.25">
      <c r="A284" t="s">
        <v>740</v>
      </c>
      <c r="N284" t="s" cm="1">
        <v>453</v>
      </c>
      <c r="O284" s="30" t="s">
        <v>987</v>
      </c>
      <c r="P284">
        <v>2</v>
      </c>
    </row>
    <row r="285" spans="1:16" ht="15" customHeight="1" x14ac:dyDescent="0.25">
      <c r="A285" t="s">
        <v>740</v>
      </c>
      <c r="N285" t="s" cm="1">
        <v>453</v>
      </c>
      <c r="O285" s="30" t="s">
        <v>1033</v>
      </c>
      <c r="P285">
        <v>2</v>
      </c>
    </row>
    <row r="286" spans="1:16" ht="15" customHeight="1" x14ac:dyDescent="0.25">
      <c r="A286" t="s">
        <v>744</v>
      </c>
      <c r="N286" t="s" cm="1">
        <v>973</v>
      </c>
      <c r="O286" s="30" t="s">
        <v>791</v>
      </c>
      <c r="P286">
        <v>2</v>
      </c>
    </row>
    <row r="287" spans="1:16" ht="15" customHeight="1" x14ac:dyDescent="0.25">
      <c r="A287" t="s">
        <v>273</v>
      </c>
      <c r="N287" t="s" cm="1">
        <v>273</v>
      </c>
      <c r="O287" s="30" t="s">
        <v>853</v>
      </c>
      <c r="P287">
        <v>2</v>
      </c>
    </row>
    <row r="288" spans="1:16" ht="15" customHeight="1" x14ac:dyDescent="0.25">
      <c r="A288" t="s">
        <v>273</v>
      </c>
      <c r="N288" t="s" cm="1">
        <v>273</v>
      </c>
      <c r="O288" s="30" t="s">
        <v>347</v>
      </c>
      <c r="P288">
        <v>2</v>
      </c>
    </row>
    <row r="289" spans="1:16" ht="15" customHeight="1" x14ac:dyDescent="0.25">
      <c r="A289" t="s">
        <v>402</v>
      </c>
      <c r="N289" t="s" cm="1">
        <v>402</v>
      </c>
      <c r="O289" s="30" t="s">
        <v>908</v>
      </c>
      <c r="P289">
        <v>2</v>
      </c>
    </row>
    <row r="290" spans="1:16" ht="15" customHeight="1" x14ac:dyDescent="0.25">
      <c r="A290" t="s">
        <v>752</v>
      </c>
      <c r="N290" t="s" cm="1">
        <v>225</v>
      </c>
      <c r="O290" s="30" t="s">
        <v>952</v>
      </c>
      <c r="P290">
        <v>2</v>
      </c>
    </row>
    <row r="291" spans="1:16" ht="15" customHeight="1" x14ac:dyDescent="0.25">
      <c r="A291" t="s">
        <v>345</v>
      </c>
      <c r="N291" t="s" cm="1">
        <v>345</v>
      </c>
      <c r="O291" s="30" t="s">
        <v>1155</v>
      </c>
      <c r="P291">
        <v>2</v>
      </c>
    </row>
    <row r="292" spans="1:16" ht="15" customHeight="1" x14ac:dyDescent="0.25">
      <c r="A292" t="s">
        <v>273</v>
      </c>
      <c r="N292" t="s" cm="1">
        <v>273</v>
      </c>
      <c r="O292" s="30" t="s">
        <v>1170</v>
      </c>
      <c r="P292">
        <v>2</v>
      </c>
    </row>
    <row r="293" spans="1:16" ht="15" customHeight="1" x14ac:dyDescent="0.25">
      <c r="A293" t="s">
        <v>762</v>
      </c>
      <c r="N293" t="s" cm="1">
        <v>762</v>
      </c>
      <c r="O293" s="30" t="s">
        <v>1213</v>
      </c>
      <c r="P293">
        <v>2</v>
      </c>
    </row>
    <row r="294" spans="1:16" ht="15" customHeight="1" x14ac:dyDescent="0.25">
      <c r="A294" t="s">
        <v>769</v>
      </c>
      <c r="N294" t="s" cm="1">
        <v>769</v>
      </c>
      <c r="O294" s="30" t="s">
        <v>1094</v>
      </c>
      <c r="P294">
        <v>2</v>
      </c>
    </row>
    <row r="295" spans="1:16" ht="15" customHeight="1" x14ac:dyDescent="0.25">
      <c r="A295" t="s">
        <v>773</v>
      </c>
      <c r="N295" t="s" cm="1">
        <v>773</v>
      </c>
      <c r="O295" s="30" t="s">
        <v>1226</v>
      </c>
      <c r="P295">
        <v>2</v>
      </c>
    </row>
    <row r="296" spans="1:16" ht="15" customHeight="1" x14ac:dyDescent="0.25">
      <c r="A296" t="s">
        <v>470</v>
      </c>
      <c r="N296" t="s" cm="1">
        <v>470</v>
      </c>
      <c r="O296" s="30" t="s">
        <v>1018</v>
      </c>
      <c r="P296">
        <v>2</v>
      </c>
    </row>
    <row r="297" spans="1:16" ht="15" customHeight="1" x14ac:dyDescent="0.25">
      <c r="A297" t="s">
        <v>773</v>
      </c>
      <c r="N297" t="s" cm="1">
        <v>773</v>
      </c>
      <c r="O297" s="30" t="s">
        <v>992</v>
      </c>
      <c r="P297">
        <v>2</v>
      </c>
    </row>
    <row r="298" spans="1:16" ht="15" customHeight="1" x14ac:dyDescent="0.25">
      <c r="A298" t="s">
        <v>268</v>
      </c>
      <c r="N298" t="s" cm="1">
        <v>268</v>
      </c>
      <c r="O298" s="30" t="s">
        <v>911</v>
      </c>
      <c r="P298">
        <v>2</v>
      </c>
    </row>
    <row r="299" spans="1:16" ht="15" customHeight="1" x14ac:dyDescent="0.25">
      <c r="A299" t="s">
        <v>773</v>
      </c>
      <c r="N299" t="s" cm="1">
        <v>773</v>
      </c>
      <c r="O299" s="30" t="s">
        <v>494</v>
      </c>
      <c r="P299">
        <v>2</v>
      </c>
    </row>
    <row r="300" spans="1:16" ht="15" customHeight="1" x14ac:dyDescent="0.25">
      <c r="A300" t="s">
        <v>773</v>
      </c>
      <c r="N300" t="s" cm="1">
        <v>773</v>
      </c>
      <c r="O300" s="30" t="s">
        <v>893</v>
      </c>
      <c r="P300">
        <v>2</v>
      </c>
    </row>
    <row r="301" spans="1:16" ht="15" customHeight="1" x14ac:dyDescent="0.25">
      <c r="A301" t="s">
        <v>773</v>
      </c>
      <c r="N301" t="s" cm="1">
        <v>773</v>
      </c>
      <c r="O301" s="30" t="s">
        <v>428</v>
      </c>
      <c r="P301">
        <v>2</v>
      </c>
    </row>
    <row r="302" spans="1:16" ht="15" customHeight="1" x14ac:dyDescent="0.25">
      <c r="A302" t="s">
        <v>212</v>
      </c>
      <c r="N302" t="s" cm="1">
        <v>212</v>
      </c>
      <c r="O302" s="30" t="s">
        <v>1225</v>
      </c>
      <c r="P302">
        <v>2</v>
      </c>
    </row>
    <row r="303" spans="1:16" ht="15" customHeight="1" x14ac:dyDescent="0.25">
      <c r="A303" t="s">
        <v>799</v>
      </c>
      <c r="N303" t="s" cm="1">
        <v>974</v>
      </c>
      <c r="O303" s="30" t="s">
        <v>495</v>
      </c>
      <c r="P303">
        <v>2</v>
      </c>
    </row>
    <row r="304" spans="1:16" ht="15" customHeight="1" x14ac:dyDescent="0.25">
      <c r="A304" t="s">
        <v>810</v>
      </c>
      <c r="N304" t="s" cm="1">
        <v>1020</v>
      </c>
      <c r="O304" s="30" t="s">
        <v>974</v>
      </c>
      <c r="P304">
        <v>2</v>
      </c>
    </row>
    <row r="305" spans="1:16" ht="15" customHeight="1" x14ac:dyDescent="0.25">
      <c r="A305" t="s">
        <v>820</v>
      </c>
      <c r="N305" t="s" cm="1">
        <v>346</v>
      </c>
      <c r="O305" s="30" t="s">
        <v>946</v>
      </c>
      <c r="P305">
        <v>2</v>
      </c>
    </row>
    <row r="306" spans="1:16" ht="15" customHeight="1" x14ac:dyDescent="0.25">
      <c r="A306" t="s">
        <v>820</v>
      </c>
      <c r="N306" t="s" cm="1">
        <v>346</v>
      </c>
      <c r="O306" s="30" t="s">
        <v>1279</v>
      </c>
      <c r="P306">
        <v>2</v>
      </c>
    </row>
    <row r="307" spans="1:16" ht="15" customHeight="1" x14ac:dyDescent="0.25">
      <c r="A307" t="s">
        <v>820</v>
      </c>
      <c r="N307" t="s" cm="1">
        <v>346</v>
      </c>
      <c r="O307" s="30" t="s">
        <v>1193</v>
      </c>
      <c r="P307">
        <v>2</v>
      </c>
    </row>
    <row r="308" spans="1:16" ht="15" customHeight="1" x14ac:dyDescent="0.25">
      <c r="A308" t="s">
        <v>823</v>
      </c>
      <c r="N308" t="s" cm="1">
        <v>823</v>
      </c>
      <c r="O308" s="30" t="s">
        <v>1253</v>
      </c>
      <c r="P308">
        <v>2</v>
      </c>
    </row>
    <row r="309" spans="1:16" ht="15" customHeight="1" x14ac:dyDescent="0.25">
      <c r="A309" t="s">
        <v>825</v>
      </c>
      <c r="N309" t="s" cm="1">
        <v>225</v>
      </c>
      <c r="O309" s="30" t="s">
        <v>1076</v>
      </c>
      <c r="P309">
        <v>2</v>
      </c>
    </row>
    <row r="310" spans="1:16" ht="15" customHeight="1" x14ac:dyDescent="0.25">
      <c r="A310" t="s">
        <v>825</v>
      </c>
      <c r="N310" t="s" cm="1">
        <v>225</v>
      </c>
      <c r="O310" s="30" t="s">
        <v>879</v>
      </c>
      <c r="P310">
        <v>2</v>
      </c>
    </row>
    <row r="311" spans="1:16" ht="15" customHeight="1" x14ac:dyDescent="0.25">
      <c r="A311" t="s">
        <v>832</v>
      </c>
      <c r="N311" t="s" cm="1">
        <v>832</v>
      </c>
      <c r="O311" s="30" t="s">
        <v>1296</v>
      </c>
      <c r="P311">
        <v>2</v>
      </c>
    </row>
    <row r="312" spans="1:16" ht="15" customHeight="1" x14ac:dyDescent="0.25">
      <c r="A312" t="s">
        <v>840</v>
      </c>
      <c r="N312" t="s" cm="1">
        <v>977</v>
      </c>
      <c r="O312" s="30" t="s">
        <v>781</v>
      </c>
      <c r="P312">
        <v>2</v>
      </c>
    </row>
    <row r="313" spans="1:16" ht="15" customHeight="1" x14ac:dyDescent="0.25">
      <c r="A313" t="s">
        <v>316</v>
      </c>
      <c r="N313" t="s" cm="1">
        <v>316</v>
      </c>
      <c r="O313" s="30" t="s">
        <v>1290</v>
      </c>
      <c r="P313">
        <v>2</v>
      </c>
    </row>
    <row r="314" spans="1:16" ht="15" customHeight="1" x14ac:dyDescent="0.25">
      <c r="A314" t="s">
        <v>316</v>
      </c>
      <c r="N314" t="s" cm="1">
        <v>316</v>
      </c>
      <c r="O314" s="30" t="s">
        <v>959</v>
      </c>
      <c r="P314">
        <v>2</v>
      </c>
    </row>
    <row r="315" spans="1:16" ht="15" customHeight="1" x14ac:dyDescent="0.25">
      <c r="A315" t="s">
        <v>845</v>
      </c>
      <c r="N315" t="s" cm="1">
        <v>845</v>
      </c>
      <c r="O315" s="30" t="s">
        <v>889</v>
      </c>
      <c r="P315">
        <v>2</v>
      </c>
    </row>
    <row r="316" spans="1:16" ht="15" customHeight="1" x14ac:dyDescent="0.25">
      <c r="A316" t="s">
        <v>203</v>
      </c>
      <c r="N316" t="s" cm="1">
        <v>203</v>
      </c>
      <c r="O316" s="30" t="s">
        <v>757</v>
      </c>
      <c r="P316">
        <v>2</v>
      </c>
    </row>
    <row r="317" spans="1:16" ht="15" customHeight="1" x14ac:dyDescent="0.25">
      <c r="A317" t="s">
        <v>854</v>
      </c>
      <c r="N317" t="s" cm="1">
        <v>855</v>
      </c>
      <c r="O317" s="30" t="s">
        <v>1237</v>
      </c>
      <c r="P317">
        <v>2</v>
      </c>
    </row>
    <row r="318" spans="1:16" ht="15" customHeight="1" x14ac:dyDescent="0.25">
      <c r="A318" t="s">
        <v>859</v>
      </c>
      <c r="N318" t="s" cm="1">
        <v>859</v>
      </c>
      <c r="O318" s="30" t="s">
        <v>417</v>
      </c>
      <c r="P318">
        <v>2</v>
      </c>
    </row>
    <row r="319" spans="1:16" ht="15" customHeight="1" x14ac:dyDescent="0.25">
      <c r="A319" t="s">
        <v>740</v>
      </c>
      <c r="N319" t="s" cm="1">
        <v>453</v>
      </c>
      <c r="O319" s="30" t="s">
        <v>215</v>
      </c>
      <c r="P319">
        <v>2</v>
      </c>
    </row>
    <row r="320" spans="1:16" ht="15" customHeight="1" x14ac:dyDescent="0.25">
      <c r="A320" t="s">
        <v>877</v>
      </c>
      <c r="N320" t="s" cm="1">
        <v>453</v>
      </c>
      <c r="O320" s="30" t="s">
        <v>1208</v>
      </c>
      <c r="P320">
        <v>2</v>
      </c>
    </row>
    <row r="321" spans="1:16" ht="15" customHeight="1" x14ac:dyDescent="0.25">
      <c r="A321" t="s">
        <v>883</v>
      </c>
      <c r="N321" t="s" cm="1">
        <v>884</v>
      </c>
      <c r="O321" s="30" t="s">
        <v>1310</v>
      </c>
      <c r="P321">
        <v>2</v>
      </c>
    </row>
    <row r="322" spans="1:16" ht="15" customHeight="1" x14ac:dyDescent="0.25">
      <c r="A322" t="s">
        <v>888</v>
      </c>
      <c r="N322" t="s" cm="1">
        <v>888</v>
      </c>
      <c r="O322" s="30" t="s">
        <v>1239</v>
      </c>
      <c r="P322">
        <v>2</v>
      </c>
    </row>
    <row r="323" spans="1:16" ht="15" customHeight="1" x14ac:dyDescent="0.25">
      <c r="A323" t="s">
        <v>447</v>
      </c>
      <c r="N323" t="s" cm="1">
        <v>447</v>
      </c>
      <c r="O323" s="30" t="s">
        <v>859</v>
      </c>
      <c r="P323">
        <v>2</v>
      </c>
    </row>
    <row r="324" spans="1:16" ht="15" customHeight="1" x14ac:dyDescent="0.25">
      <c r="A324" t="s">
        <v>447</v>
      </c>
      <c r="N324" t="s" cm="1">
        <v>447</v>
      </c>
      <c r="O324" s="30" t="s">
        <v>1294</v>
      </c>
      <c r="P324">
        <v>2</v>
      </c>
    </row>
    <row r="325" spans="1:16" ht="15" customHeight="1" x14ac:dyDescent="0.25">
      <c r="A325" t="s">
        <v>316</v>
      </c>
      <c r="N325" t="s" cm="1">
        <v>316</v>
      </c>
      <c r="O325" s="30" t="s">
        <v>1256</v>
      </c>
      <c r="P325">
        <v>2</v>
      </c>
    </row>
    <row r="326" spans="1:16" ht="15" customHeight="1" x14ac:dyDescent="0.25">
      <c r="A326" t="s">
        <v>1276</v>
      </c>
      <c r="N326" t="s" cm="1">
        <v>1282</v>
      </c>
      <c r="O326" s="30" t="s">
        <v>1048</v>
      </c>
      <c r="P326">
        <v>2</v>
      </c>
    </row>
    <row r="327" spans="1:16" ht="15" customHeight="1" x14ac:dyDescent="0.25">
      <c r="A327" t="s">
        <v>1287</v>
      </c>
      <c r="N327" t="s" cm="1">
        <v>1294</v>
      </c>
      <c r="O327" s="30" t="s">
        <v>684</v>
      </c>
      <c r="P327">
        <v>2</v>
      </c>
    </row>
    <row r="328" spans="1:16" ht="15" customHeight="1" x14ac:dyDescent="0.25">
      <c r="A328" t="s">
        <v>1300</v>
      </c>
      <c r="N328" t="s" cm="1">
        <v>1328</v>
      </c>
      <c r="O328" s="30" t="s">
        <v>1194</v>
      </c>
      <c r="P328">
        <v>2</v>
      </c>
    </row>
    <row r="329" spans="1:16" ht="15" customHeight="1" x14ac:dyDescent="0.25">
      <c r="A329" t="s">
        <v>1306</v>
      </c>
      <c r="N329" t="s" cm="1">
        <v>1310</v>
      </c>
      <c r="O329" s="30" t="s">
        <v>1165</v>
      </c>
      <c r="P329">
        <v>2</v>
      </c>
    </row>
    <row r="330" spans="1:16" ht="15" customHeight="1" x14ac:dyDescent="0.25">
      <c r="A330" t="s">
        <v>1316</v>
      </c>
      <c r="N330" t="s" cm="1">
        <v>1316</v>
      </c>
      <c r="O330" s="30" t="s">
        <v>1295</v>
      </c>
      <c r="P330">
        <v>2</v>
      </c>
    </row>
    <row r="331" spans="1:16" ht="15" customHeight="1" x14ac:dyDescent="0.25">
      <c r="A331" t="s">
        <v>1322</v>
      </c>
      <c r="N331" t="s" cm="1">
        <v>973</v>
      </c>
      <c r="O331" s="30" t="s">
        <v>986</v>
      </c>
      <c r="P331">
        <v>2</v>
      </c>
    </row>
    <row r="332" spans="1:16" ht="15" customHeight="1" x14ac:dyDescent="0.25">
      <c r="A332" t="s">
        <v>1325</v>
      </c>
      <c r="N332" t="s" cm="1">
        <v>1325</v>
      </c>
      <c r="O332" s="30" t="s">
        <v>432</v>
      </c>
      <c r="P332">
        <v>2</v>
      </c>
    </row>
    <row r="333" spans="1:16" ht="15" customHeight="1" x14ac:dyDescent="0.25">
      <c r="A333" t="s">
        <v>231</v>
      </c>
      <c r="N333" t="s" cm="1">
        <v>231</v>
      </c>
      <c r="O333" s="30" t="s">
        <v>1075</v>
      </c>
      <c r="P333">
        <v>2</v>
      </c>
    </row>
    <row r="334" spans="1:16" ht="15" customHeight="1" x14ac:dyDescent="0.25">
      <c r="A334" t="s">
        <v>231</v>
      </c>
      <c r="N334" t="s" cm="1">
        <v>231</v>
      </c>
      <c r="O334" s="30" t="s">
        <v>1190</v>
      </c>
      <c r="P334">
        <v>2</v>
      </c>
    </row>
    <row r="335" spans="1:16" ht="15" customHeight="1" x14ac:dyDescent="0.25">
      <c r="A335" t="s">
        <v>317</v>
      </c>
      <c r="N335" t="s" cm="1">
        <v>319</v>
      </c>
      <c r="O335" s="30" t="s">
        <v>1281</v>
      </c>
      <c r="P335">
        <v>2</v>
      </c>
    </row>
    <row r="336" spans="1:16" ht="15" customHeight="1" x14ac:dyDescent="0.25">
      <c r="A336" t="s">
        <v>317</v>
      </c>
      <c r="N336" t="s" cm="1">
        <v>319</v>
      </c>
      <c r="O336" s="30" t="s">
        <v>1211</v>
      </c>
      <c r="P336">
        <v>2</v>
      </c>
    </row>
    <row r="337" spans="1:16" ht="15" customHeight="1" x14ac:dyDescent="0.25">
      <c r="A337" t="s">
        <v>317</v>
      </c>
      <c r="N337" t="s" cm="1">
        <v>319</v>
      </c>
      <c r="O337" s="30" t="s">
        <v>1019</v>
      </c>
      <c r="P337">
        <v>2</v>
      </c>
    </row>
    <row r="338" spans="1:16" ht="15" customHeight="1" x14ac:dyDescent="0.25">
      <c r="A338" t="s">
        <v>320</v>
      </c>
      <c r="N338" t="s" cm="1">
        <v>1003</v>
      </c>
      <c r="O338" s="30" t="s">
        <v>524</v>
      </c>
      <c r="P338">
        <v>3</v>
      </c>
    </row>
    <row r="339" spans="1:16" ht="15" customHeight="1" x14ac:dyDescent="0.25">
      <c r="A339" t="s">
        <v>320</v>
      </c>
      <c r="N339" t="s" cm="1">
        <v>1003</v>
      </c>
      <c r="O339" s="30" t="s">
        <v>1091</v>
      </c>
      <c r="P339">
        <v>3</v>
      </c>
    </row>
    <row r="340" spans="1:16" ht="15" customHeight="1" x14ac:dyDescent="0.25">
      <c r="A340" t="s">
        <v>320</v>
      </c>
      <c r="N340" t="s" cm="1">
        <v>1003</v>
      </c>
      <c r="O340" s="30" t="s">
        <v>1176</v>
      </c>
      <c r="P340">
        <v>3</v>
      </c>
    </row>
    <row r="341" spans="1:16" ht="15" customHeight="1" x14ac:dyDescent="0.25">
      <c r="A341" t="s">
        <v>320</v>
      </c>
      <c r="N341" t="s" cm="1">
        <v>1003</v>
      </c>
      <c r="O341" s="30" t="s">
        <v>885</v>
      </c>
      <c r="P341">
        <v>3</v>
      </c>
    </row>
    <row r="342" spans="1:16" ht="15" customHeight="1" x14ac:dyDescent="0.25">
      <c r="A342" t="s">
        <v>320</v>
      </c>
      <c r="N342" t="s" cm="1">
        <v>1003</v>
      </c>
      <c r="O342" s="30" t="s">
        <v>452</v>
      </c>
      <c r="P342">
        <v>3</v>
      </c>
    </row>
    <row r="343" spans="1:16" ht="15" customHeight="1" x14ac:dyDescent="0.25">
      <c r="A343" t="s">
        <v>320</v>
      </c>
      <c r="N343" t="s" cm="1">
        <v>1003</v>
      </c>
      <c r="O343" s="30" t="s">
        <v>1128</v>
      </c>
      <c r="P343">
        <v>3</v>
      </c>
    </row>
    <row r="344" spans="1:16" ht="15" customHeight="1" x14ac:dyDescent="0.25">
      <c r="A344" t="s">
        <v>320</v>
      </c>
      <c r="N344" t="s" cm="1">
        <v>1003</v>
      </c>
      <c r="O344" s="30" t="s">
        <v>1117</v>
      </c>
      <c r="P344">
        <v>3</v>
      </c>
    </row>
    <row r="345" spans="1:16" ht="15" customHeight="1" x14ac:dyDescent="0.25">
      <c r="A345" t="s">
        <v>320</v>
      </c>
      <c r="N345" t="s" cm="1">
        <v>1003</v>
      </c>
      <c r="O345" s="30" t="s">
        <v>821</v>
      </c>
      <c r="P345">
        <v>3</v>
      </c>
    </row>
    <row r="346" spans="1:16" ht="15" customHeight="1" x14ac:dyDescent="0.25">
      <c r="A346" t="s">
        <v>320</v>
      </c>
      <c r="N346" t="s" cm="1">
        <v>1003</v>
      </c>
      <c r="O346" s="30" t="s">
        <v>224</v>
      </c>
      <c r="P346">
        <v>3</v>
      </c>
    </row>
    <row r="347" spans="1:16" ht="15" customHeight="1" x14ac:dyDescent="0.25">
      <c r="A347" t="s">
        <v>320</v>
      </c>
      <c r="N347" t="s" cm="1">
        <v>1003</v>
      </c>
      <c r="O347" s="30" t="s">
        <v>1021</v>
      </c>
      <c r="P347">
        <v>3</v>
      </c>
    </row>
    <row r="348" spans="1:16" ht="15" customHeight="1" x14ac:dyDescent="0.25">
      <c r="A348" t="s">
        <v>324</v>
      </c>
      <c r="N348" t="s" cm="1">
        <v>324</v>
      </c>
      <c r="O348" s="30" t="s">
        <v>823</v>
      </c>
      <c r="P348">
        <v>3</v>
      </c>
    </row>
    <row r="349" spans="1:16" ht="15" customHeight="1" x14ac:dyDescent="0.25">
      <c r="A349" t="s">
        <v>329</v>
      </c>
      <c r="N349" t="s" cm="1">
        <v>1003</v>
      </c>
      <c r="O349" s="30" t="s">
        <v>734</v>
      </c>
      <c r="P349">
        <v>3</v>
      </c>
    </row>
    <row r="350" spans="1:16" ht="15" customHeight="1" x14ac:dyDescent="0.25">
      <c r="A350" t="s">
        <v>329</v>
      </c>
      <c r="N350" t="s" cm="1">
        <v>1003</v>
      </c>
      <c r="O350" s="30" t="s">
        <v>1227</v>
      </c>
      <c r="P350">
        <v>3</v>
      </c>
    </row>
    <row r="351" spans="1:16" ht="15" customHeight="1" x14ac:dyDescent="0.25">
      <c r="A351" t="s">
        <v>335</v>
      </c>
      <c r="N351" t="s" cm="1">
        <v>1025</v>
      </c>
      <c r="O351" s="30" t="s">
        <v>733</v>
      </c>
      <c r="P351">
        <v>3</v>
      </c>
    </row>
    <row r="352" spans="1:16" ht="15" customHeight="1" x14ac:dyDescent="0.25">
      <c r="A352" t="s">
        <v>346</v>
      </c>
      <c r="N352" t="s" cm="1">
        <v>346</v>
      </c>
      <c r="O352" s="30" t="s">
        <v>1283</v>
      </c>
      <c r="P352">
        <v>3</v>
      </c>
    </row>
    <row r="353" spans="1:16" ht="15" customHeight="1" x14ac:dyDescent="0.25">
      <c r="A353" t="s">
        <v>346</v>
      </c>
      <c r="N353" t="s" cm="1">
        <v>346</v>
      </c>
      <c r="O353" s="30" t="s">
        <v>1060</v>
      </c>
      <c r="P353">
        <v>3</v>
      </c>
    </row>
    <row r="354" spans="1:16" ht="15" customHeight="1" x14ac:dyDescent="0.25">
      <c r="A354" t="s">
        <v>356</v>
      </c>
      <c r="N354" t="s" cm="1">
        <v>1026</v>
      </c>
      <c r="O354" s="30" t="s">
        <v>1053</v>
      </c>
      <c r="P354">
        <v>3</v>
      </c>
    </row>
    <row r="355" spans="1:16" ht="15" customHeight="1" x14ac:dyDescent="0.25">
      <c r="A355" t="s">
        <v>362</v>
      </c>
      <c r="N355" t="s" cm="1">
        <v>1028</v>
      </c>
      <c r="O355" s="30" t="s">
        <v>1223</v>
      </c>
      <c r="P355">
        <v>3</v>
      </c>
    </row>
    <row r="356" spans="1:16" ht="15" customHeight="1" x14ac:dyDescent="0.25">
      <c r="A356" t="s">
        <v>362</v>
      </c>
      <c r="N356" t="s" cm="1">
        <v>1028</v>
      </c>
      <c r="O356" s="30" t="s">
        <v>1282</v>
      </c>
      <c r="P356">
        <v>3</v>
      </c>
    </row>
    <row r="357" spans="1:16" ht="15" customHeight="1" x14ac:dyDescent="0.25">
      <c r="A357" t="s">
        <v>362</v>
      </c>
      <c r="N357" t="s" cm="1">
        <v>1028</v>
      </c>
      <c r="O357" s="30" t="s">
        <v>212</v>
      </c>
      <c r="P357">
        <v>3</v>
      </c>
    </row>
    <row r="358" spans="1:16" ht="15" customHeight="1" x14ac:dyDescent="0.25">
      <c r="A358" t="s">
        <v>362</v>
      </c>
      <c r="N358" t="s" cm="1">
        <v>1028</v>
      </c>
      <c r="O358" s="30" t="s">
        <v>1051</v>
      </c>
      <c r="P358">
        <v>3</v>
      </c>
    </row>
    <row r="359" spans="1:16" ht="15" customHeight="1" x14ac:dyDescent="0.25">
      <c r="A359" t="s">
        <v>362</v>
      </c>
      <c r="N359" t="s" cm="1">
        <v>1028</v>
      </c>
      <c r="O359" s="30" t="s">
        <v>1262</v>
      </c>
      <c r="P359">
        <v>3</v>
      </c>
    </row>
    <row r="360" spans="1:16" ht="15" customHeight="1" x14ac:dyDescent="0.25">
      <c r="A360" t="s">
        <v>247</v>
      </c>
      <c r="N360" t="s" cm="1">
        <v>247</v>
      </c>
      <c r="O360" s="30" t="s">
        <v>884</v>
      </c>
      <c r="P360">
        <v>3</v>
      </c>
    </row>
    <row r="361" spans="1:16" ht="15" customHeight="1" x14ac:dyDescent="0.25">
      <c r="A361" t="s">
        <v>330</v>
      </c>
      <c r="N361" t="s" cm="1">
        <v>1003</v>
      </c>
      <c r="O361" s="30" t="s">
        <v>687</v>
      </c>
      <c r="P361">
        <v>3</v>
      </c>
    </row>
    <row r="362" spans="1:16" ht="15" customHeight="1" x14ac:dyDescent="0.25">
      <c r="A362" t="s">
        <v>373</v>
      </c>
      <c r="N362" t="s" cm="1">
        <v>1031</v>
      </c>
      <c r="O362" s="30" t="s">
        <v>489</v>
      </c>
      <c r="P362">
        <v>3</v>
      </c>
    </row>
    <row r="363" spans="1:16" ht="15" customHeight="1" x14ac:dyDescent="0.25">
      <c r="A363" t="s">
        <v>373</v>
      </c>
      <c r="N363" t="s" cm="1">
        <v>1031</v>
      </c>
      <c r="O363" s="30" t="s">
        <v>661</v>
      </c>
      <c r="P363">
        <v>3</v>
      </c>
    </row>
    <row r="364" spans="1:16" ht="15" customHeight="1" x14ac:dyDescent="0.25">
      <c r="A364" t="s">
        <v>273</v>
      </c>
      <c r="N364" t="s" cm="1">
        <v>273</v>
      </c>
      <c r="O364" s="30" t="s">
        <v>865</v>
      </c>
      <c r="P364">
        <v>3</v>
      </c>
    </row>
    <row r="365" spans="1:16" ht="15" customHeight="1" x14ac:dyDescent="0.25">
      <c r="A365" t="s">
        <v>273</v>
      </c>
      <c r="N365" t="s" cm="1">
        <v>273</v>
      </c>
      <c r="O365" s="30" t="s">
        <v>913</v>
      </c>
      <c r="P365">
        <v>3</v>
      </c>
    </row>
    <row r="366" spans="1:16" ht="15" customHeight="1" x14ac:dyDescent="0.25">
      <c r="A366" t="s">
        <v>203</v>
      </c>
      <c r="N366" t="s" cm="1">
        <v>203</v>
      </c>
      <c r="O366" s="30" t="s">
        <v>1081</v>
      </c>
      <c r="P366">
        <v>3</v>
      </c>
    </row>
    <row r="367" spans="1:16" ht="15" customHeight="1" x14ac:dyDescent="0.25">
      <c r="A367" t="s">
        <v>203</v>
      </c>
      <c r="N367" t="s" cm="1">
        <v>203</v>
      </c>
      <c r="O367" s="30" t="s">
        <v>1079</v>
      </c>
      <c r="P367">
        <v>4</v>
      </c>
    </row>
    <row r="368" spans="1:16" ht="15" customHeight="1" x14ac:dyDescent="0.25">
      <c r="A368" t="s">
        <v>203</v>
      </c>
      <c r="N368" t="s" cm="1">
        <v>203</v>
      </c>
      <c r="O368" s="30" t="s">
        <v>1243</v>
      </c>
      <c r="P368">
        <v>4</v>
      </c>
    </row>
    <row r="369" spans="1:16" ht="15" customHeight="1" x14ac:dyDescent="0.25">
      <c r="A369" t="s">
        <v>203</v>
      </c>
      <c r="N369" t="s" cm="1">
        <v>203</v>
      </c>
      <c r="O369" s="30" t="s">
        <v>1097</v>
      </c>
      <c r="P369">
        <v>4</v>
      </c>
    </row>
    <row r="370" spans="1:16" ht="15" customHeight="1" x14ac:dyDescent="0.25">
      <c r="A370" t="s">
        <v>203</v>
      </c>
      <c r="N370" t="s" cm="1">
        <v>203</v>
      </c>
      <c r="O370" s="30" t="s">
        <v>970</v>
      </c>
      <c r="P370">
        <v>4</v>
      </c>
    </row>
    <row r="371" spans="1:16" ht="15" customHeight="1" x14ac:dyDescent="0.25">
      <c r="A371" t="s">
        <v>203</v>
      </c>
      <c r="N371" t="s" cm="1">
        <v>203</v>
      </c>
      <c r="O371" s="30" t="s">
        <v>1172</v>
      </c>
      <c r="P371">
        <v>4</v>
      </c>
    </row>
    <row r="372" spans="1:16" ht="15" customHeight="1" x14ac:dyDescent="0.25">
      <c r="A372" t="s">
        <v>203</v>
      </c>
      <c r="N372" t="s" cm="1">
        <v>203</v>
      </c>
      <c r="O372" s="30" t="s">
        <v>1146</v>
      </c>
      <c r="P372">
        <v>4</v>
      </c>
    </row>
    <row r="373" spans="1:16" ht="15" customHeight="1" x14ac:dyDescent="0.25">
      <c r="A373" t="s">
        <v>203</v>
      </c>
      <c r="N373" t="s" cm="1">
        <v>203</v>
      </c>
      <c r="O373" s="30" t="s">
        <v>281</v>
      </c>
      <c r="P373">
        <v>4</v>
      </c>
    </row>
    <row r="374" spans="1:16" ht="15" customHeight="1" x14ac:dyDescent="0.25">
      <c r="A374" t="s">
        <v>389</v>
      </c>
      <c r="N374" t="s" cm="1">
        <v>1032</v>
      </c>
      <c r="O374" s="30" t="s">
        <v>1057</v>
      </c>
      <c r="P374">
        <v>4</v>
      </c>
    </row>
    <row r="375" spans="1:16" ht="15" customHeight="1" x14ac:dyDescent="0.25">
      <c r="A375" t="s">
        <v>402</v>
      </c>
      <c r="N375" t="s" cm="1">
        <v>402</v>
      </c>
      <c r="O375" s="30" t="s">
        <v>1007</v>
      </c>
      <c r="P375">
        <v>4</v>
      </c>
    </row>
    <row r="376" spans="1:16" ht="15" customHeight="1" x14ac:dyDescent="0.25">
      <c r="A376" t="s">
        <v>418</v>
      </c>
      <c r="N376" t="s" cm="1">
        <v>1033</v>
      </c>
      <c r="O376" s="30" t="s">
        <v>1156</v>
      </c>
      <c r="P376">
        <v>4</v>
      </c>
    </row>
    <row r="377" spans="1:16" ht="15" customHeight="1" x14ac:dyDescent="0.25">
      <c r="A377" t="s">
        <v>421</v>
      </c>
      <c r="N377" t="s" cm="1">
        <v>1035</v>
      </c>
      <c r="O377" s="30" t="s">
        <v>206</v>
      </c>
      <c r="P377">
        <v>4</v>
      </c>
    </row>
    <row r="378" spans="1:16" ht="15" customHeight="1" x14ac:dyDescent="0.25">
      <c r="A378" t="s">
        <v>439</v>
      </c>
      <c r="N378" t="s" cm="1">
        <v>1036</v>
      </c>
      <c r="O378" s="30" t="s">
        <v>1201</v>
      </c>
      <c r="P378">
        <v>4</v>
      </c>
    </row>
    <row r="379" spans="1:16" ht="15" customHeight="1" x14ac:dyDescent="0.25">
      <c r="A379" t="s">
        <v>247</v>
      </c>
      <c r="N379" t="s" cm="1">
        <v>247</v>
      </c>
      <c r="O379" s="30" t="s">
        <v>266</v>
      </c>
      <c r="P379">
        <v>4</v>
      </c>
    </row>
    <row r="380" spans="1:16" ht="15" customHeight="1" x14ac:dyDescent="0.25">
      <c r="A380" t="s">
        <v>247</v>
      </c>
      <c r="N380" t="s" cm="1">
        <v>247</v>
      </c>
      <c r="O380" s="30" t="s">
        <v>906</v>
      </c>
      <c r="P380">
        <v>4</v>
      </c>
    </row>
    <row r="381" spans="1:16" ht="15" customHeight="1" x14ac:dyDescent="0.25">
      <c r="A381" t="s">
        <v>247</v>
      </c>
      <c r="N381" t="s" cm="1">
        <v>247</v>
      </c>
      <c r="O381" s="30" t="s">
        <v>1044</v>
      </c>
      <c r="P381">
        <v>4</v>
      </c>
    </row>
    <row r="382" spans="1:16" ht="15" customHeight="1" x14ac:dyDescent="0.25">
      <c r="A382" t="s">
        <v>445</v>
      </c>
      <c r="N382" t="s" cm="1">
        <v>997</v>
      </c>
      <c r="O382" s="30" t="s">
        <v>1049</v>
      </c>
      <c r="P382">
        <v>4</v>
      </c>
    </row>
    <row r="383" spans="1:16" ht="15" customHeight="1" x14ac:dyDescent="0.25">
      <c r="A383" t="s">
        <v>445</v>
      </c>
      <c r="N383" t="s" cm="1">
        <v>997</v>
      </c>
      <c r="O383" s="30" t="s">
        <v>1232</v>
      </c>
      <c r="P383">
        <v>4</v>
      </c>
    </row>
    <row r="384" spans="1:16" ht="15" customHeight="1" x14ac:dyDescent="0.25">
      <c r="A384" t="s">
        <v>453</v>
      </c>
      <c r="N384" t="s" cm="1">
        <v>453</v>
      </c>
      <c r="O384" s="30" t="s">
        <v>1111</v>
      </c>
      <c r="P384">
        <v>4</v>
      </c>
    </row>
    <row r="385" spans="1:16" ht="15" customHeight="1" x14ac:dyDescent="0.25">
      <c r="A385" t="s">
        <v>316</v>
      </c>
      <c r="N385" t="s" cm="1">
        <v>316</v>
      </c>
      <c r="O385" s="30" t="s">
        <v>1230</v>
      </c>
      <c r="P385">
        <v>4</v>
      </c>
    </row>
    <row r="386" spans="1:16" ht="15" customHeight="1" x14ac:dyDescent="0.25">
      <c r="A386" t="s">
        <v>316</v>
      </c>
      <c r="N386" t="s" cm="1">
        <v>316</v>
      </c>
      <c r="O386" s="30" t="s">
        <v>811</v>
      </c>
      <c r="P386">
        <v>4</v>
      </c>
    </row>
    <row r="387" spans="1:16" ht="15" customHeight="1" x14ac:dyDescent="0.25">
      <c r="A387" t="s">
        <v>462</v>
      </c>
      <c r="N387" t="s" cm="1">
        <v>913</v>
      </c>
      <c r="O387" s="30" t="s">
        <v>1240</v>
      </c>
      <c r="P387">
        <v>4</v>
      </c>
    </row>
    <row r="388" spans="1:16" ht="15" customHeight="1" x14ac:dyDescent="0.25">
      <c r="A388" t="s">
        <v>470</v>
      </c>
      <c r="N388" t="s" cm="1">
        <v>470</v>
      </c>
      <c r="O388" s="30" t="s">
        <v>1245</v>
      </c>
      <c r="P388">
        <v>4</v>
      </c>
    </row>
    <row r="389" spans="1:16" ht="15" customHeight="1" x14ac:dyDescent="0.25">
      <c r="A389" t="s">
        <v>475</v>
      </c>
      <c r="N389" t="s" cm="1">
        <v>475</v>
      </c>
      <c r="O389" s="30" t="s">
        <v>1250</v>
      </c>
      <c r="P389">
        <v>4</v>
      </c>
    </row>
    <row r="390" spans="1:16" ht="15" customHeight="1" x14ac:dyDescent="0.25">
      <c r="A390" t="s">
        <v>273</v>
      </c>
      <c r="N390" t="s" cm="1">
        <v>273</v>
      </c>
      <c r="O390" s="30" t="s">
        <v>1181</v>
      </c>
      <c r="P390">
        <v>4</v>
      </c>
    </row>
    <row r="391" spans="1:16" ht="15" customHeight="1" x14ac:dyDescent="0.25">
      <c r="A391" t="s">
        <v>486</v>
      </c>
      <c r="N391" t="s" cm="1">
        <v>957</v>
      </c>
      <c r="O391" s="30" t="s">
        <v>981</v>
      </c>
      <c r="P391">
        <v>4</v>
      </c>
    </row>
    <row r="392" spans="1:16" ht="15" customHeight="1" x14ac:dyDescent="0.25">
      <c r="A392" t="s">
        <v>492</v>
      </c>
      <c r="N392" t="s" cm="1">
        <v>225</v>
      </c>
      <c r="O392" s="30" t="s">
        <v>788</v>
      </c>
      <c r="P392">
        <v>4</v>
      </c>
    </row>
    <row r="393" spans="1:16" ht="15" customHeight="1" x14ac:dyDescent="0.25">
      <c r="A393" t="s">
        <v>501</v>
      </c>
      <c r="N393" t="s" cm="1">
        <v>1038</v>
      </c>
      <c r="O393" s="30" t="s">
        <v>923</v>
      </c>
      <c r="P393">
        <v>4</v>
      </c>
    </row>
    <row r="394" spans="1:16" ht="15" customHeight="1" x14ac:dyDescent="0.25">
      <c r="A394" t="s">
        <v>507</v>
      </c>
      <c r="N394" t="s" cm="1">
        <v>1040</v>
      </c>
      <c r="O394" s="30" t="s">
        <v>1115</v>
      </c>
      <c r="P394">
        <v>4</v>
      </c>
    </row>
    <row r="395" spans="1:16" ht="15" customHeight="1" x14ac:dyDescent="0.25">
      <c r="A395" t="s">
        <v>516</v>
      </c>
      <c r="N395" t="s" cm="1">
        <v>1041</v>
      </c>
      <c r="O395" s="30" t="s">
        <v>792</v>
      </c>
      <c r="P395">
        <v>4</v>
      </c>
    </row>
    <row r="396" spans="1:16" ht="15" customHeight="1" x14ac:dyDescent="0.25">
      <c r="A396" t="s">
        <v>523</v>
      </c>
      <c r="N396" t="s" cm="1">
        <v>523</v>
      </c>
      <c r="O396" s="30" t="s">
        <v>936</v>
      </c>
      <c r="P396">
        <v>4</v>
      </c>
    </row>
    <row r="397" spans="1:16" ht="15" customHeight="1" x14ac:dyDescent="0.25">
      <c r="A397" t="s">
        <v>531</v>
      </c>
      <c r="N397" t="s" cm="1">
        <v>937</v>
      </c>
      <c r="O397" s="30" t="s">
        <v>1023</v>
      </c>
      <c r="P397">
        <v>4</v>
      </c>
    </row>
    <row r="398" spans="1:16" ht="15" customHeight="1" x14ac:dyDescent="0.25">
      <c r="A398" t="s">
        <v>537</v>
      </c>
      <c r="N398" t="s" cm="1">
        <v>1043</v>
      </c>
      <c r="O398" s="30" t="s">
        <v>1205</v>
      </c>
      <c r="P398">
        <v>4</v>
      </c>
    </row>
    <row r="399" spans="1:16" ht="15" customHeight="1" x14ac:dyDescent="0.25">
      <c r="A399" t="s">
        <v>541</v>
      </c>
      <c r="N399" t="s" cm="1">
        <v>937</v>
      </c>
      <c r="O399" s="30" t="s">
        <v>1154</v>
      </c>
      <c r="P399">
        <v>4</v>
      </c>
    </row>
    <row r="400" spans="1:16" ht="15" customHeight="1" x14ac:dyDescent="0.25">
      <c r="A400" t="s">
        <v>247</v>
      </c>
      <c r="N400" t="s" cm="1">
        <v>247</v>
      </c>
      <c r="O400" s="30" t="s">
        <v>1209</v>
      </c>
      <c r="P400">
        <v>4</v>
      </c>
    </row>
    <row r="401" spans="1:16" ht="15" customHeight="1" x14ac:dyDescent="0.25">
      <c r="A401" t="s">
        <v>247</v>
      </c>
      <c r="N401" t="s" cm="1">
        <v>247</v>
      </c>
      <c r="O401" s="30" t="s">
        <v>1150</v>
      </c>
      <c r="P401">
        <v>4</v>
      </c>
    </row>
    <row r="402" spans="1:16" ht="15" customHeight="1" x14ac:dyDescent="0.25">
      <c r="A402" t="s">
        <v>208</v>
      </c>
      <c r="N402" t="s" cm="1">
        <v>208</v>
      </c>
      <c r="O402" s="30" t="s">
        <v>1086</v>
      </c>
      <c r="P402">
        <v>4</v>
      </c>
    </row>
    <row r="403" spans="1:16" ht="15" customHeight="1" x14ac:dyDescent="0.25">
      <c r="A403" t="s">
        <v>247</v>
      </c>
      <c r="N403" t="s" cm="1">
        <v>247</v>
      </c>
      <c r="O403" s="30" t="s">
        <v>1247</v>
      </c>
      <c r="P403">
        <v>4</v>
      </c>
    </row>
    <row r="404" spans="1:16" ht="15" customHeight="1" x14ac:dyDescent="0.25">
      <c r="A404" t="s">
        <v>563</v>
      </c>
      <c r="N404" t="s" cm="1">
        <v>1045</v>
      </c>
      <c r="O404" s="30" t="s">
        <v>1144</v>
      </c>
      <c r="P404">
        <v>4</v>
      </c>
    </row>
    <row r="405" spans="1:16" ht="15" customHeight="1" x14ac:dyDescent="0.25">
      <c r="A405" t="s">
        <v>335</v>
      </c>
      <c r="N405" t="s" cm="1">
        <v>1025</v>
      </c>
      <c r="O405" s="30" t="s">
        <v>1191</v>
      </c>
      <c r="P405">
        <v>4</v>
      </c>
    </row>
    <row r="406" spans="1:16" ht="15" customHeight="1" x14ac:dyDescent="0.25">
      <c r="A406" t="s">
        <v>572</v>
      </c>
      <c r="N406" t="s" cm="1">
        <v>254</v>
      </c>
      <c r="O406" s="30" t="s">
        <v>922</v>
      </c>
      <c r="P406">
        <v>4</v>
      </c>
    </row>
    <row r="407" spans="1:16" ht="15" customHeight="1" x14ac:dyDescent="0.25">
      <c r="A407" t="s">
        <v>575</v>
      </c>
      <c r="N407" t="s" cm="1">
        <v>955</v>
      </c>
      <c r="O407" s="30" t="s">
        <v>1215</v>
      </c>
      <c r="P407">
        <v>4</v>
      </c>
    </row>
    <row r="408" spans="1:16" ht="15" customHeight="1" x14ac:dyDescent="0.25">
      <c r="A408" t="s">
        <v>575</v>
      </c>
      <c r="N408" t="s" cm="1">
        <v>955</v>
      </c>
      <c r="O408" s="30" t="s">
        <v>1195</v>
      </c>
      <c r="P408">
        <v>4</v>
      </c>
    </row>
    <row r="409" spans="1:16" ht="15" customHeight="1" x14ac:dyDescent="0.25">
      <c r="A409" t="s">
        <v>575</v>
      </c>
      <c r="N409" t="s" cm="1">
        <v>955</v>
      </c>
      <c r="O409" s="30" t="s">
        <v>1153</v>
      </c>
      <c r="P409">
        <v>4</v>
      </c>
    </row>
    <row r="410" spans="1:16" ht="15" customHeight="1" x14ac:dyDescent="0.25">
      <c r="A410" t="s">
        <v>575</v>
      </c>
      <c r="N410" t="s" cm="1">
        <v>955</v>
      </c>
      <c r="O410" s="30" t="s">
        <v>1138</v>
      </c>
      <c r="P410">
        <v>4</v>
      </c>
    </row>
    <row r="411" spans="1:16" ht="15" customHeight="1" x14ac:dyDescent="0.25">
      <c r="A411" t="s">
        <v>575</v>
      </c>
      <c r="N411" t="s" cm="1">
        <v>955</v>
      </c>
      <c r="O411" s="30" t="s">
        <v>1014</v>
      </c>
      <c r="P411">
        <v>4</v>
      </c>
    </row>
    <row r="412" spans="1:16" ht="15" customHeight="1" x14ac:dyDescent="0.25">
      <c r="A412" t="s">
        <v>575</v>
      </c>
      <c r="N412" t="s" cm="1">
        <v>955</v>
      </c>
      <c r="O412" s="30" t="s">
        <v>1234</v>
      </c>
      <c r="P412">
        <v>4</v>
      </c>
    </row>
    <row r="413" spans="1:16" ht="15" customHeight="1" x14ac:dyDescent="0.25">
      <c r="A413" t="s">
        <v>447</v>
      </c>
      <c r="N413" t="s" cm="1">
        <v>447</v>
      </c>
      <c r="O413" s="30" t="s">
        <v>1159</v>
      </c>
      <c r="P413">
        <v>4</v>
      </c>
    </row>
    <row r="414" spans="1:16" ht="15" customHeight="1" x14ac:dyDescent="0.25">
      <c r="A414" t="s">
        <v>447</v>
      </c>
      <c r="N414" t="s" cm="1">
        <v>447</v>
      </c>
      <c r="O414" s="30" t="s">
        <v>842</v>
      </c>
      <c r="P414">
        <v>4</v>
      </c>
    </row>
    <row r="415" spans="1:16" ht="15" customHeight="1" x14ac:dyDescent="0.25">
      <c r="A415" t="s">
        <v>593</v>
      </c>
      <c r="N415" t="s" cm="1">
        <v>1046</v>
      </c>
      <c r="O415" s="30" t="s">
        <v>1147</v>
      </c>
      <c r="P415">
        <v>4</v>
      </c>
    </row>
    <row r="416" spans="1:16" ht="15" customHeight="1" x14ac:dyDescent="0.25">
      <c r="A416" t="s">
        <v>601</v>
      </c>
      <c r="N416" t="s" cm="1">
        <v>1047</v>
      </c>
      <c r="O416" s="30" t="s">
        <v>829</v>
      </c>
      <c r="P416">
        <v>4</v>
      </c>
    </row>
    <row r="417" spans="1:16" ht="15" customHeight="1" x14ac:dyDescent="0.25">
      <c r="A417" t="s">
        <v>606</v>
      </c>
      <c r="N417" t="s" cm="1">
        <v>606</v>
      </c>
      <c r="O417" s="30" t="s">
        <v>349</v>
      </c>
      <c r="P417">
        <v>4</v>
      </c>
    </row>
    <row r="418" spans="1:16" ht="15" customHeight="1" x14ac:dyDescent="0.25">
      <c r="A418" t="s">
        <v>616</v>
      </c>
      <c r="N418" t="s" cm="1">
        <v>1048</v>
      </c>
      <c r="O418" s="30" t="s">
        <v>148</v>
      </c>
      <c r="P418">
        <v>4</v>
      </c>
    </row>
    <row r="419" spans="1:16" ht="15" customHeight="1" x14ac:dyDescent="0.25">
      <c r="A419" t="s">
        <v>620</v>
      </c>
      <c r="N419" t="s" cm="1">
        <v>620</v>
      </c>
      <c r="O419" s="30" t="s">
        <v>806</v>
      </c>
      <c r="P419">
        <v>4</v>
      </c>
    </row>
    <row r="420" spans="1:16" ht="15" customHeight="1" x14ac:dyDescent="0.25">
      <c r="A420" t="s">
        <v>624</v>
      </c>
      <c r="N420" t="s" cm="1">
        <v>911</v>
      </c>
      <c r="O420" s="30" t="s">
        <v>214</v>
      </c>
      <c r="P420">
        <v>4</v>
      </c>
    </row>
    <row r="421" spans="1:16" ht="15" customHeight="1" x14ac:dyDescent="0.25">
      <c r="A421" t="s">
        <v>417</v>
      </c>
      <c r="N421" t="s" cm="1">
        <v>417</v>
      </c>
      <c r="O421" s="30" t="s">
        <v>1112</v>
      </c>
      <c r="P421">
        <v>4</v>
      </c>
    </row>
    <row r="422" spans="1:16" ht="15" customHeight="1" x14ac:dyDescent="0.25">
      <c r="A422" t="s">
        <v>633</v>
      </c>
      <c r="N422" t="s" cm="1">
        <v>1050</v>
      </c>
      <c r="O422" s="30" t="s">
        <v>1063</v>
      </c>
      <c r="P422">
        <v>4</v>
      </c>
    </row>
    <row r="423" spans="1:16" ht="15" customHeight="1" x14ac:dyDescent="0.25">
      <c r="A423" t="s">
        <v>637</v>
      </c>
      <c r="N423" t="s" cm="1">
        <v>637</v>
      </c>
      <c r="O423" s="30" t="s">
        <v>830</v>
      </c>
      <c r="P423">
        <v>4</v>
      </c>
    </row>
    <row r="424" spans="1:16" ht="15" customHeight="1" x14ac:dyDescent="0.25">
      <c r="A424" t="s">
        <v>643</v>
      </c>
      <c r="N424" t="s" cm="1">
        <v>1051</v>
      </c>
      <c r="O424" s="30" t="s">
        <v>978</v>
      </c>
      <c r="P424">
        <v>4</v>
      </c>
    </row>
    <row r="425" spans="1:16" ht="15" customHeight="1" x14ac:dyDescent="0.25">
      <c r="A425" t="s">
        <v>648</v>
      </c>
      <c r="N425" t="s" cm="1">
        <v>1052</v>
      </c>
      <c r="O425" s="30" t="s">
        <v>1186</v>
      </c>
      <c r="P425">
        <v>4</v>
      </c>
    </row>
    <row r="426" spans="1:16" ht="15" customHeight="1" x14ac:dyDescent="0.25">
      <c r="A426" t="s">
        <v>655</v>
      </c>
      <c r="N426" t="s" cm="1">
        <v>1053</v>
      </c>
      <c r="O426" s="30" t="s">
        <v>833</v>
      </c>
      <c r="P426">
        <v>4</v>
      </c>
    </row>
    <row r="427" spans="1:16" ht="15" customHeight="1" x14ac:dyDescent="0.25">
      <c r="A427" t="s">
        <v>655</v>
      </c>
      <c r="N427" t="s" cm="1">
        <v>1053</v>
      </c>
      <c r="O427" s="30" t="s">
        <v>1064</v>
      </c>
      <c r="P427">
        <v>4</v>
      </c>
    </row>
    <row r="428" spans="1:16" ht="15" customHeight="1" x14ac:dyDescent="0.25">
      <c r="A428" t="s">
        <v>655</v>
      </c>
      <c r="N428" t="s" cm="1">
        <v>1053</v>
      </c>
      <c r="O428" s="30" t="s">
        <v>937</v>
      </c>
      <c r="P428">
        <v>4</v>
      </c>
    </row>
    <row r="429" spans="1:16" ht="15" customHeight="1" x14ac:dyDescent="0.25">
      <c r="A429" t="s">
        <v>664</v>
      </c>
      <c r="N429" t="s" cm="1">
        <v>1054</v>
      </c>
      <c r="O429" s="30" t="s">
        <v>1028</v>
      </c>
      <c r="P429">
        <v>5</v>
      </c>
    </row>
    <row r="430" spans="1:16" ht="15" customHeight="1" x14ac:dyDescent="0.25">
      <c r="A430" t="s">
        <v>379</v>
      </c>
      <c r="N430" t="s" cm="1">
        <v>379</v>
      </c>
      <c r="O430" s="30" t="s">
        <v>890</v>
      </c>
      <c r="P430">
        <v>5</v>
      </c>
    </row>
    <row r="431" spans="1:16" ht="15" customHeight="1" x14ac:dyDescent="0.25">
      <c r="A431" t="s">
        <v>203</v>
      </c>
      <c r="N431" t="s" cm="1">
        <v>203</v>
      </c>
      <c r="O431" s="30" t="s">
        <v>899</v>
      </c>
      <c r="P431">
        <v>5</v>
      </c>
    </row>
    <row r="432" spans="1:16" ht="15" customHeight="1" x14ac:dyDescent="0.25">
      <c r="A432" t="s">
        <v>672</v>
      </c>
      <c r="N432" t="s" cm="1">
        <v>1056</v>
      </c>
      <c r="O432" s="30" t="s">
        <v>982</v>
      </c>
      <c r="P432">
        <v>5</v>
      </c>
    </row>
    <row r="433" spans="1:16" ht="15" customHeight="1" x14ac:dyDescent="0.25">
      <c r="A433" t="s">
        <v>446</v>
      </c>
      <c r="N433" t="s" cm="1">
        <v>997</v>
      </c>
      <c r="O433" s="30" t="s">
        <v>346</v>
      </c>
      <c r="P433">
        <v>5</v>
      </c>
    </row>
    <row r="434" spans="1:16" ht="15" customHeight="1" x14ac:dyDescent="0.25">
      <c r="A434" t="s">
        <v>687</v>
      </c>
      <c r="N434" t="s" cm="1">
        <v>687</v>
      </c>
      <c r="O434" s="30" t="s">
        <v>345</v>
      </c>
      <c r="P434">
        <v>5</v>
      </c>
    </row>
    <row r="435" spans="1:16" ht="15" customHeight="1" x14ac:dyDescent="0.25">
      <c r="A435" t="s">
        <v>687</v>
      </c>
      <c r="N435" t="s" cm="1">
        <v>687</v>
      </c>
      <c r="O435" s="30" t="s">
        <v>367</v>
      </c>
      <c r="P435">
        <v>5</v>
      </c>
    </row>
    <row r="436" spans="1:16" ht="15" customHeight="1" x14ac:dyDescent="0.25">
      <c r="A436" t="s">
        <v>687</v>
      </c>
      <c r="N436" t="s" cm="1">
        <v>687</v>
      </c>
      <c r="O436" s="30" t="s">
        <v>1067</v>
      </c>
      <c r="P436">
        <v>5</v>
      </c>
    </row>
    <row r="437" spans="1:16" ht="15" customHeight="1" x14ac:dyDescent="0.25">
      <c r="A437" t="s">
        <v>699</v>
      </c>
      <c r="N437" t="s" cm="1">
        <v>699</v>
      </c>
      <c r="O437" s="30" t="s">
        <v>1204</v>
      </c>
      <c r="P437">
        <v>6</v>
      </c>
    </row>
    <row r="438" spans="1:16" ht="15" customHeight="1" x14ac:dyDescent="0.25">
      <c r="A438" t="s">
        <v>709</v>
      </c>
      <c r="N438" t="s" cm="1">
        <v>957</v>
      </c>
      <c r="O438" s="30" t="s">
        <v>961</v>
      </c>
      <c r="P438">
        <v>6</v>
      </c>
    </row>
    <row r="439" spans="1:16" ht="15" customHeight="1" x14ac:dyDescent="0.25">
      <c r="A439" t="s">
        <v>709</v>
      </c>
      <c r="N439" t="s" cm="1">
        <v>957</v>
      </c>
      <c r="O439" s="30" t="s">
        <v>1088</v>
      </c>
      <c r="P439">
        <v>6</v>
      </c>
    </row>
    <row r="440" spans="1:16" ht="15" customHeight="1" x14ac:dyDescent="0.25">
      <c r="A440" t="s">
        <v>715</v>
      </c>
      <c r="N440" t="s" cm="1">
        <v>225</v>
      </c>
      <c r="O440" s="30" t="s">
        <v>1034</v>
      </c>
      <c r="P440">
        <v>6</v>
      </c>
    </row>
    <row r="441" spans="1:16" ht="15" customHeight="1" x14ac:dyDescent="0.25">
      <c r="A441" t="s">
        <v>715</v>
      </c>
      <c r="N441" t="s" cm="1">
        <v>225</v>
      </c>
      <c r="O441" s="30" t="s">
        <v>931</v>
      </c>
      <c r="P441">
        <v>6</v>
      </c>
    </row>
    <row r="442" spans="1:16" ht="15" customHeight="1" x14ac:dyDescent="0.25">
      <c r="A442" t="s">
        <v>715</v>
      </c>
      <c r="N442" t="s" cm="1">
        <v>225</v>
      </c>
      <c r="O442" s="30" t="s">
        <v>1183</v>
      </c>
      <c r="P442">
        <v>6</v>
      </c>
    </row>
    <row r="443" spans="1:16" ht="15" customHeight="1" x14ac:dyDescent="0.25">
      <c r="A443" t="s">
        <v>722</v>
      </c>
      <c r="N443" t="s" cm="1">
        <v>1058</v>
      </c>
      <c r="O443" s="30" t="s">
        <v>1103</v>
      </c>
      <c r="P443">
        <v>6</v>
      </c>
    </row>
    <row r="444" spans="1:16" ht="15" customHeight="1" x14ac:dyDescent="0.25">
      <c r="A444" t="s">
        <v>273</v>
      </c>
      <c r="N444" t="s" cm="1">
        <v>273</v>
      </c>
      <c r="O444" s="30" t="s">
        <v>1107</v>
      </c>
      <c r="P444">
        <v>6</v>
      </c>
    </row>
    <row r="445" spans="1:16" ht="15" customHeight="1" x14ac:dyDescent="0.25">
      <c r="A445" t="s">
        <v>247</v>
      </c>
      <c r="N445" t="s" cm="1">
        <v>247</v>
      </c>
      <c r="O445" s="30" t="s">
        <v>1164</v>
      </c>
      <c r="P445">
        <v>6</v>
      </c>
    </row>
    <row r="446" spans="1:16" ht="15" customHeight="1" x14ac:dyDescent="0.25">
      <c r="A446" t="s">
        <v>247</v>
      </c>
      <c r="N446" t="s" cm="1">
        <v>247</v>
      </c>
      <c r="O446" s="30" t="s">
        <v>1124</v>
      </c>
      <c r="P446">
        <v>6</v>
      </c>
    </row>
    <row r="447" spans="1:16" ht="15" customHeight="1" x14ac:dyDescent="0.25">
      <c r="A447" t="s">
        <v>247</v>
      </c>
      <c r="N447" t="s" cm="1">
        <v>247</v>
      </c>
      <c r="O447" s="30" t="s">
        <v>1224</v>
      </c>
      <c r="P447">
        <v>6</v>
      </c>
    </row>
    <row r="448" spans="1:16" ht="15" customHeight="1" x14ac:dyDescent="0.25">
      <c r="A448" t="s">
        <v>447</v>
      </c>
      <c r="N448" t="s" cm="1">
        <v>447</v>
      </c>
      <c r="O448" s="30" t="s">
        <v>948</v>
      </c>
      <c r="P448">
        <v>6</v>
      </c>
    </row>
    <row r="449" spans="1:16" ht="15" customHeight="1" x14ac:dyDescent="0.25">
      <c r="A449" t="s">
        <v>447</v>
      </c>
      <c r="N449" t="s" cm="1">
        <v>447</v>
      </c>
      <c r="O449" s="30" t="s">
        <v>1102</v>
      </c>
      <c r="P449">
        <v>6</v>
      </c>
    </row>
    <row r="450" spans="1:16" ht="15" customHeight="1" x14ac:dyDescent="0.25">
      <c r="A450" t="s">
        <v>447</v>
      </c>
      <c r="N450" t="s" cm="1">
        <v>447</v>
      </c>
      <c r="O450" s="30" t="s">
        <v>1125</v>
      </c>
      <c r="P450">
        <v>6</v>
      </c>
    </row>
    <row r="451" spans="1:16" ht="15" customHeight="1" x14ac:dyDescent="0.25">
      <c r="A451" t="s">
        <v>745</v>
      </c>
      <c r="N451" t="s" cm="1">
        <v>319</v>
      </c>
      <c r="O451" s="30" t="s">
        <v>1217</v>
      </c>
      <c r="P451">
        <v>6</v>
      </c>
    </row>
    <row r="452" spans="1:16" ht="15" customHeight="1" x14ac:dyDescent="0.25">
      <c r="A452" t="s">
        <v>371</v>
      </c>
      <c r="N452" t="s" cm="1">
        <v>371</v>
      </c>
      <c r="O452" s="30" t="s">
        <v>1130</v>
      </c>
      <c r="P452">
        <v>6</v>
      </c>
    </row>
    <row r="453" spans="1:16" ht="15" customHeight="1" x14ac:dyDescent="0.25">
      <c r="A453" t="s">
        <v>371</v>
      </c>
      <c r="N453" t="s" cm="1">
        <v>371</v>
      </c>
      <c r="O453" s="30" t="s">
        <v>1119</v>
      </c>
      <c r="P453">
        <v>6</v>
      </c>
    </row>
    <row r="454" spans="1:16" ht="15" customHeight="1" x14ac:dyDescent="0.25">
      <c r="A454" t="s">
        <v>749</v>
      </c>
      <c r="N454" t="s" cm="1">
        <v>1060</v>
      </c>
      <c r="O454" s="30" t="s">
        <v>1141</v>
      </c>
      <c r="P454">
        <v>6</v>
      </c>
    </row>
    <row r="455" spans="1:16" ht="15" customHeight="1" x14ac:dyDescent="0.25">
      <c r="A455" t="s">
        <v>753</v>
      </c>
      <c r="N455" t="s" cm="1">
        <v>225</v>
      </c>
      <c r="O455" s="30" t="s">
        <v>1121</v>
      </c>
      <c r="P455">
        <v>6</v>
      </c>
    </row>
    <row r="456" spans="1:16" ht="15" customHeight="1" x14ac:dyDescent="0.25">
      <c r="A456" t="s">
        <v>759</v>
      </c>
      <c r="N456" t="s" cm="1">
        <v>973</v>
      </c>
      <c r="O456" s="30" t="s">
        <v>1015</v>
      </c>
      <c r="P456">
        <v>6</v>
      </c>
    </row>
    <row r="457" spans="1:16" ht="15" customHeight="1" x14ac:dyDescent="0.25">
      <c r="A457" t="s">
        <v>247</v>
      </c>
      <c r="N457" t="s" cm="1">
        <v>247</v>
      </c>
      <c r="O457" s="30" t="s">
        <v>1012</v>
      </c>
      <c r="P457">
        <v>6</v>
      </c>
    </row>
    <row r="458" spans="1:16" ht="15" customHeight="1" x14ac:dyDescent="0.25">
      <c r="A458" t="s">
        <v>763</v>
      </c>
      <c r="N458" t="s" cm="1">
        <v>763</v>
      </c>
      <c r="O458" s="30" t="s">
        <v>929</v>
      </c>
      <c r="P458">
        <v>6</v>
      </c>
    </row>
    <row r="459" spans="1:16" ht="15" customHeight="1" x14ac:dyDescent="0.25">
      <c r="A459" t="s">
        <v>770</v>
      </c>
      <c r="N459" t="s" cm="1">
        <v>1061</v>
      </c>
      <c r="O459" s="30" t="s">
        <v>855</v>
      </c>
      <c r="P459">
        <v>6</v>
      </c>
    </row>
    <row r="460" spans="1:16" ht="15" customHeight="1" x14ac:dyDescent="0.25">
      <c r="A460" t="s">
        <v>273</v>
      </c>
      <c r="N460" t="s" cm="1">
        <v>273</v>
      </c>
      <c r="O460" s="30" t="s">
        <v>1259</v>
      </c>
      <c r="P460">
        <v>6</v>
      </c>
    </row>
    <row r="461" spans="1:16" ht="15" customHeight="1" x14ac:dyDescent="0.25">
      <c r="A461" t="s">
        <v>773</v>
      </c>
      <c r="N461" t="s" cm="1">
        <v>773</v>
      </c>
      <c r="O461" s="30" t="s">
        <v>470</v>
      </c>
      <c r="P461">
        <v>6</v>
      </c>
    </row>
    <row r="462" spans="1:16" ht="15" customHeight="1" x14ac:dyDescent="0.25">
      <c r="A462" t="s">
        <v>774</v>
      </c>
      <c r="N462" t="s" cm="1">
        <v>319</v>
      </c>
      <c r="O462" s="30" t="s">
        <v>896</v>
      </c>
      <c r="P462">
        <v>6</v>
      </c>
    </row>
    <row r="463" spans="1:16" ht="15" customHeight="1" x14ac:dyDescent="0.25">
      <c r="A463" t="s">
        <v>781</v>
      </c>
      <c r="N463" t="s" cm="1">
        <v>781</v>
      </c>
      <c r="O463" s="30" t="s">
        <v>1099</v>
      </c>
      <c r="P463">
        <v>6</v>
      </c>
    </row>
    <row r="464" spans="1:16" ht="15" customHeight="1" x14ac:dyDescent="0.25">
      <c r="A464" t="s">
        <v>273</v>
      </c>
      <c r="N464" t="s" cm="1">
        <v>273</v>
      </c>
      <c r="O464" s="30" t="s">
        <v>777</v>
      </c>
      <c r="P464">
        <v>7</v>
      </c>
    </row>
    <row r="465" spans="1:16" ht="15" customHeight="1" x14ac:dyDescent="0.25">
      <c r="A465" t="s">
        <v>273</v>
      </c>
      <c r="N465" t="s" cm="1">
        <v>273</v>
      </c>
      <c r="O465" s="30" t="s">
        <v>975</v>
      </c>
      <c r="P465">
        <v>7</v>
      </c>
    </row>
    <row r="466" spans="1:16" ht="15" customHeight="1" x14ac:dyDescent="0.25">
      <c r="A466" t="s">
        <v>776</v>
      </c>
      <c r="N466" t="s" cm="1">
        <v>776</v>
      </c>
      <c r="O466" s="30" t="s">
        <v>818</v>
      </c>
      <c r="P466">
        <v>7</v>
      </c>
    </row>
    <row r="467" spans="1:16" ht="15" customHeight="1" x14ac:dyDescent="0.25">
      <c r="A467" t="s">
        <v>788</v>
      </c>
      <c r="N467" t="s" cm="1">
        <v>788</v>
      </c>
      <c r="O467" s="30" t="s">
        <v>997</v>
      </c>
      <c r="P467">
        <v>7</v>
      </c>
    </row>
    <row r="468" spans="1:16" ht="15" customHeight="1" x14ac:dyDescent="0.25">
      <c r="A468" t="s">
        <v>800</v>
      </c>
      <c r="N468" t="s" cm="1">
        <v>214</v>
      </c>
      <c r="O468" s="30" t="s">
        <v>973</v>
      </c>
      <c r="P468">
        <v>7</v>
      </c>
    </row>
    <row r="469" spans="1:16" ht="15" customHeight="1" x14ac:dyDescent="0.25">
      <c r="A469" t="s">
        <v>316</v>
      </c>
      <c r="N469" t="s" cm="1">
        <v>316</v>
      </c>
      <c r="O469" s="30" t="s">
        <v>1089</v>
      </c>
      <c r="P469">
        <v>8</v>
      </c>
    </row>
    <row r="470" spans="1:16" ht="15" customHeight="1" x14ac:dyDescent="0.25">
      <c r="A470" t="s">
        <v>223</v>
      </c>
      <c r="N470" t="s" cm="1">
        <v>223</v>
      </c>
      <c r="O470" s="30" t="s">
        <v>921</v>
      </c>
      <c r="P470">
        <v>8</v>
      </c>
    </row>
    <row r="471" spans="1:16" ht="15" customHeight="1" x14ac:dyDescent="0.25">
      <c r="A471" t="s">
        <v>223</v>
      </c>
      <c r="N471" t="s" cm="1">
        <v>223</v>
      </c>
      <c r="O471" s="30" t="s">
        <v>238</v>
      </c>
      <c r="P471">
        <v>8</v>
      </c>
    </row>
    <row r="472" spans="1:16" ht="15" customHeight="1" x14ac:dyDescent="0.25">
      <c r="A472" t="s">
        <v>223</v>
      </c>
      <c r="N472" t="s" cm="1">
        <v>223</v>
      </c>
      <c r="O472" s="30" t="s">
        <v>222</v>
      </c>
      <c r="P472">
        <v>8</v>
      </c>
    </row>
    <row r="473" spans="1:16" ht="15" customHeight="1" x14ac:dyDescent="0.25">
      <c r="A473" t="s">
        <v>587</v>
      </c>
      <c r="N473" t="s" cm="1">
        <v>286</v>
      </c>
      <c r="O473" s="30" t="s">
        <v>956</v>
      </c>
      <c r="P473">
        <v>8</v>
      </c>
    </row>
    <row r="474" spans="1:16" ht="15" customHeight="1" x14ac:dyDescent="0.25">
      <c r="A474" t="s">
        <v>826</v>
      </c>
      <c r="N474" t="s" cm="1">
        <v>829</v>
      </c>
      <c r="O474" s="30" t="s">
        <v>895</v>
      </c>
      <c r="P474">
        <v>8</v>
      </c>
    </row>
    <row r="475" spans="1:16" ht="15" customHeight="1" x14ac:dyDescent="0.25">
      <c r="A475" t="s">
        <v>826</v>
      </c>
      <c r="N475" t="s" cm="1">
        <v>829</v>
      </c>
      <c r="O475" s="30" t="s">
        <v>898</v>
      </c>
      <c r="P475">
        <v>8</v>
      </c>
    </row>
    <row r="476" spans="1:16" ht="15" customHeight="1" x14ac:dyDescent="0.25">
      <c r="A476" t="s">
        <v>833</v>
      </c>
      <c r="N476" t="s" cm="1">
        <v>833</v>
      </c>
      <c r="O476" s="30" t="s">
        <v>1135</v>
      </c>
      <c r="P476">
        <v>8</v>
      </c>
    </row>
    <row r="477" spans="1:16" ht="15" customHeight="1" x14ac:dyDescent="0.25">
      <c r="A477" t="s">
        <v>249</v>
      </c>
      <c r="N477" t="s" cm="1">
        <v>249</v>
      </c>
      <c r="O477" s="30" t="s">
        <v>210</v>
      </c>
      <c r="P477">
        <v>8</v>
      </c>
    </row>
    <row r="478" spans="1:16" ht="15" customHeight="1" x14ac:dyDescent="0.25">
      <c r="A478" t="s">
        <v>842</v>
      </c>
      <c r="N478" t="s" cm="1">
        <v>842</v>
      </c>
      <c r="O478" s="30" t="s">
        <v>235</v>
      </c>
      <c r="P478">
        <v>8</v>
      </c>
    </row>
    <row r="479" spans="1:16" ht="15" customHeight="1" x14ac:dyDescent="0.25">
      <c r="A479" t="s">
        <v>842</v>
      </c>
      <c r="N479" t="s" cm="1">
        <v>842</v>
      </c>
      <c r="O479" s="30" t="s">
        <v>993</v>
      </c>
      <c r="P479">
        <v>8</v>
      </c>
    </row>
    <row r="480" spans="1:16" ht="15" customHeight="1" x14ac:dyDescent="0.25">
      <c r="A480" t="s">
        <v>846</v>
      </c>
      <c r="N480" t="s" cm="1">
        <v>846</v>
      </c>
      <c r="O480" s="30" t="s">
        <v>1024</v>
      </c>
      <c r="P480">
        <v>8</v>
      </c>
    </row>
    <row r="481" spans="1:16" ht="15" customHeight="1" x14ac:dyDescent="0.25">
      <c r="A481" t="s">
        <v>231</v>
      </c>
      <c r="N481" t="s" cm="1">
        <v>231</v>
      </c>
      <c r="O481" s="30" t="s">
        <v>1100</v>
      </c>
      <c r="P481">
        <v>8</v>
      </c>
    </row>
    <row r="482" spans="1:16" ht="15" customHeight="1" x14ac:dyDescent="0.25">
      <c r="A482" t="s">
        <v>316</v>
      </c>
      <c r="N482" t="s" cm="1">
        <v>316</v>
      </c>
      <c r="O482" s="30" t="s">
        <v>942</v>
      </c>
      <c r="P482">
        <v>8</v>
      </c>
    </row>
    <row r="483" spans="1:16" ht="15" customHeight="1" x14ac:dyDescent="0.25">
      <c r="A483" t="s">
        <v>860</v>
      </c>
      <c r="N483" t="s" cm="1">
        <v>833</v>
      </c>
      <c r="O483" s="30" t="s">
        <v>1197</v>
      </c>
      <c r="P483">
        <v>8</v>
      </c>
    </row>
    <row r="484" spans="1:16" ht="15" customHeight="1" x14ac:dyDescent="0.25">
      <c r="A484" t="s">
        <v>453</v>
      </c>
      <c r="N484" t="s" cm="1">
        <v>453</v>
      </c>
      <c r="O484" s="30" t="s">
        <v>242</v>
      </c>
      <c r="P484">
        <v>8</v>
      </c>
    </row>
    <row r="485" spans="1:16" ht="15" customHeight="1" x14ac:dyDescent="0.25">
      <c r="A485" t="s">
        <v>447</v>
      </c>
      <c r="N485" t="s" cm="1">
        <v>447</v>
      </c>
      <c r="O485" s="30" t="s">
        <v>218</v>
      </c>
      <c r="P485">
        <v>8</v>
      </c>
    </row>
    <row r="486" spans="1:16" ht="15" customHeight="1" x14ac:dyDescent="0.25">
      <c r="A486" t="s">
        <v>884</v>
      </c>
      <c r="N486" t="s" cm="1">
        <v>884</v>
      </c>
      <c r="O486" s="30" t="s">
        <v>243</v>
      </c>
      <c r="P486">
        <v>8</v>
      </c>
    </row>
    <row r="487" spans="1:16" ht="15" customHeight="1" x14ac:dyDescent="0.25">
      <c r="A487" t="s">
        <v>889</v>
      </c>
      <c r="N487" t="s" cm="1">
        <v>889</v>
      </c>
      <c r="O487" s="30" t="s">
        <v>253</v>
      </c>
      <c r="P487">
        <v>8</v>
      </c>
    </row>
    <row r="488" spans="1:16" ht="15" customHeight="1" x14ac:dyDescent="0.25">
      <c r="A488" t="s">
        <v>453</v>
      </c>
      <c r="N488" t="s" cm="1">
        <v>453</v>
      </c>
      <c r="O488" s="30" t="s">
        <v>226</v>
      </c>
      <c r="P488">
        <v>8</v>
      </c>
    </row>
    <row r="489" spans="1:16" ht="15" customHeight="1" x14ac:dyDescent="0.25">
      <c r="A489" t="s">
        <v>453</v>
      </c>
      <c r="N489" t="s" cm="1">
        <v>453</v>
      </c>
      <c r="O489" s="30" t="s">
        <v>261</v>
      </c>
      <c r="P489">
        <v>8</v>
      </c>
    </row>
    <row r="490" spans="1:16" ht="15" customHeight="1" x14ac:dyDescent="0.25">
      <c r="A490" t="s">
        <v>855</v>
      </c>
      <c r="N490" t="s" cm="1">
        <v>855</v>
      </c>
      <c r="O490" s="30" t="s">
        <v>246</v>
      </c>
      <c r="P490">
        <v>8</v>
      </c>
    </row>
    <row r="491" spans="1:16" ht="15" customHeight="1" x14ac:dyDescent="0.25">
      <c r="A491" t="s">
        <v>1277</v>
      </c>
      <c r="N491" t="s" cm="1">
        <v>1283</v>
      </c>
      <c r="O491" s="30" t="s">
        <v>244</v>
      </c>
      <c r="P491">
        <v>8</v>
      </c>
    </row>
    <row r="492" spans="1:16" ht="15" customHeight="1" x14ac:dyDescent="0.25">
      <c r="A492" t="s">
        <v>1288</v>
      </c>
      <c r="N492" t="s" cm="1">
        <v>855</v>
      </c>
      <c r="O492" s="30" t="s">
        <v>1000</v>
      </c>
      <c r="P492">
        <v>8</v>
      </c>
    </row>
    <row r="493" spans="1:16" ht="15" customHeight="1" x14ac:dyDescent="0.25">
      <c r="A493" t="s">
        <v>1301</v>
      </c>
      <c r="N493" t="s" cm="1">
        <v>1330</v>
      </c>
      <c r="O493" s="30" t="s">
        <v>239</v>
      </c>
      <c r="P493">
        <v>8</v>
      </c>
    </row>
    <row r="494" spans="1:16" ht="15" customHeight="1" x14ac:dyDescent="0.25">
      <c r="A494" t="s">
        <v>1307</v>
      </c>
      <c r="N494" t="s" cm="1">
        <v>1308</v>
      </c>
      <c r="O494" s="30" t="s">
        <v>958</v>
      </c>
      <c r="P494">
        <v>8</v>
      </c>
    </row>
    <row r="495" spans="1:16" ht="15" customHeight="1" x14ac:dyDescent="0.25">
      <c r="A495" t="s">
        <v>1317</v>
      </c>
      <c r="N495" t="s" cm="1">
        <v>1317</v>
      </c>
      <c r="O495" s="30" t="s">
        <v>216</v>
      </c>
      <c r="P495">
        <v>8</v>
      </c>
    </row>
    <row r="496" spans="1:16" ht="15" customHeight="1" x14ac:dyDescent="0.25">
      <c r="A496" t="s">
        <v>973</v>
      </c>
      <c r="N496" t="s" cm="1">
        <v>973</v>
      </c>
      <c r="O496" s="30" t="s">
        <v>248</v>
      </c>
      <c r="P496">
        <v>8</v>
      </c>
    </row>
    <row r="497" spans="1:16" ht="15" customHeight="1" x14ac:dyDescent="0.25">
      <c r="A497" t="s">
        <v>212</v>
      </c>
      <c r="N497" t="s" cm="1">
        <v>212</v>
      </c>
      <c r="O497" s="30" t="s">
        <v>255</v>
      </c>
      <c r="P497">
        <v>8</v>
      </c>
    </row>
    <row r="498" spans="1:16" ht="15" customHeight="1" x14ac:dyDescent="0.25">
      <c r="A498" t="s">
        <v>316</v>
      </c>
      <c r="N498" t="s" cm="1">
        <v>316</v>
      </c>
      <c r="O498" s="30" t="s">
        <v>250</v>
      </c>
      <c r="P498">
        <v>8</v>
      </c>
    </row>
    <row r="499" spans="1:16" ht="15" customHeight="1" x14ac:dyDescent="0.25">
      <c r="A499" t="s">
        <v>316</v>
      </c>
      <c r="N499" t="s" cm="1">
        <v>316</v>
      </c>
      <c r="O499" s="30" t="s">
        <v>237</v>
      </c>
      <c r="P499">
        <v>8</v>
      </c>
    </row>
    <row r="500" spans="1:16" ht="15" customHeight="1" x14ac:dyDescent="0.25">
      <c r="A500" t="s">
        <v>318</v>
      </c>
      <c r="N500" t="s" cm="1">
        <v>319</v>
      </c>
      <c r="O500" s="30" t="s">
        <v>234</v>
      </c>
      <c r="P500">
        <v>8</v>
      </c>
    </row>
    <row r="501" spans="1:16" ht="15" customHeight="1" x14ac:dyDescent="0.25">
      <c r="A501" t="s">
        <v>318</v>
      </c>
      <c r="N501" t="s" cm="1">
        <v>319</v>
      </c>
      <c r="O501" s="30" t="s">
        <v>232</v>
      </c>
      <c r="P501">
        <v>8</v>
      </c>
    </row>
    <row r="502" spans="1:16" ht="15" customHeight="1" x14ac:dyDescent="0.25">
      <c r="A502" t="s">
        <v>318</v>
      </c>
      <c r="N502" t="s" cm="1">
        <v>319</v>
      </c>
      <c r="O502" s="30" t="s">
        <v>384</v>
      </c>
      <c r="P502">
        <v>8</v>
      </c>
    </row>
    <row r="503" spans="1:16" ht="15" customHeight="1" x14ac:dyDescent="0.25">
      <c r="A503" t="s">
        <v>321</v>
      </c>
      <c r="N503" t="s" cm="1">
        <v>1065</v>
      </c>
      <c r="O503" s="30" t="s">
        <v>240</v>
      </c>
      <c r="P503">
        <v>8</v>
      </c>
    </row>
    <row r="504" spans="1:16" ht="15" customHeight="1" x14ac:dyDescent="0.25">
      <c r="A504" t="s">
        <v>321</v>
      </c>
      <c r="N504" t="s" cm="1">
        <v>1065</v>
      </c>
      <c r="O504" s="30" t="s">
        <v>221</v>
      </c>
      <c r="P504">
        <v>8</v>
      </c>
    </row>
    <row r="505" spans="1:16" ht="15" customHeight="1" x14ac:dyDescent="0.25">
      <c r="A505" t="s">
        <v>321</v>
      </c>
      <c r="N505" t="s" cm="1">
        <v>1065</v>
      </c>
      <c r="O505" s="30" t="s">
        <v>260</v>
      </c>
      <c r="P505">
        <v>8</v>
      </c>
    </row>
    <row r="506" spans="1:16" ht="15" customHeight="1" x14ac:dyDescent="0.25">
      <c r="A506" t="s">
        <v>321</v>
      </c>
      <c r="N506" t="s" cm="1">
        <v>1065</v>
      </c>
      <c r="O506" s="30" t="s">
        <v>1207</v>
      </c>
      <c r="P506">
        <v>8</v>
      </c>
    </row>
    <row r="507" spans="1:16" ht="15" customHeight="1" x14ac:dyDescent="0.25">
      <c r="A507" t="s">
        <v>321</v>
      </c>
      <c r="N507" t="s" cm="1">
        <v>1065</v>
      </c>
      <c r="O507" s="30" t="s">
        <v>233</v>
      </c>
      <c r="P507">
        <v>8</v>
      </c>
    </row>
    <row r="508" spans="1:16" ht="15" customHeight="1" x14ac:dyDescent="0.25">
      <c r="A508" t="s">
        <v>321</v>
      </c>
      <c r="N508" t="s" cm="1">
        <v>1065</v>
      </c>
      <c r="O508" s="30" t="s">
        <v>252</v>
      </c>
      <c r="P508">
        <v>8</v>
      </c>
    </row>
    <row r="509" spans="1:16" ht="15" customHeight="1" x14ac:dyDescent="0.25">
      <c r="A509" t="s">
        <v>321</v>
      </c>
      <c r="N509" t="s" cm="1">
        <v>1065</v>
      </c>
      <c r="O509" s="30" t="s">
        <v>236</v>
      </c>
      <c r="P509">
        <v>8</v>
      </c>
    </row>
    <row r="510" spans="1:16" ht="15" customHeight="1" x14ac:dyDescent="0.25">
      <c r="A510" t="s">
        <v>321</v>
      </c>
      <c r="N510" t="s" cm="1">
        <v>1065</v>
      </c>
      <c r="O510" s="30" t="s">
        <v>230</v>
      </c>
      <c r="P510">
        <v>8</v>
      </c>
    </row>
    <row r="511" spans="1:16" ht="15" customHeight="1" x14ac:dyDescent="0.25">
      <c r="A511" t="s">
        <v>321</v>
      </c>
      <c r="N511" t="s" cm="1">
        <v>1065</v>
      </c>
      <c r="O511" s="30" t="s">
        <v>1185</v>
      </c>
      <c r="P511">
        <v>8</v>
      </c>
    </row>
    <row r="512" spans="1:16" ht="15" customHeight="1" x14ac:dyDescent="0.25">
      <c r="A512" t="s">
        <v>321</v>
      </c>
      <c r="N512" t="s" cm="1">
        <v>1065</v>
      </c>
      <c r="O512" s="30" t="s">
        <v>918</v>
      </c>
      <c r="P512">
        <v>8</v>
      </c>
    </row>
    <row r="513" spans="1:16" ht="15" customHeight="1" x14ac:dyDescent="0.25">
      <c r="A513" t="s">
        <v>273</v>
      </c>
      <c r="N513" t="s" cm="1">
        <v>273</v>
      </c>
      <c r="O513" s="30" t="s">
        <v>957</v>
      </c>
      <c r="P513">
        <v>8</v>
      </c>
    </row>
    <row r="514" spans="1:16" ht="15" customHeight="1" x14ac:dyDescent="0.25">
      <c r="A514" t="s">
        <v>330</v>
      </c>
      <c r="N514" t="s" cm="1">
        <v>1003</v>
      </c>
      <c r="O514" s="30" t="s">
        <v>1238</v>
      </c>
      <c r="P514">
        <v>8</v>
      </c>
    </row>
    <row r="515" spans="1:16" ht="15" customHeight="1" x14ac:dyDescent="0.25">
      <c r="A515" t="s">
        <v>330</v>
      </c>
      <c r="N515" t="s" cm="1">
        <v>1003</v>
      </c>
      <c r="O515" s="30" t="s">
        <v>241</v>
      </c>
      <c r="P515">
        <v>8</v>
      </c>
    </row>
    <row r="516" spans="1:16" ht="15" customHeight="1" x14ac:dyDescent="0.25">
      <c r="A516" t="s">
        <v>336</v>
      </c>
      <c r="N516" t="s" cm="1">
        <v>1003</v>
      </c>
      <c r="O516" s="30" t="s">
        <v>1198</v>
      </c>
      <c r="P516">
        <v>8</v>
      </c>
    </row>
    <row r="517" spans="1:16" ht="15" customHeight="1" x14ac:dyDescent="0.25">
      <c r="A517" t="s">
        <v>347</v>
      </c>
      <c r="N517" t="s" cm="1">
        <v>347</v>
      </c>
      <c r="O517" s="30" t="s">
        <v>259</v>
      </c>
      <c r="P517">
        <v>8</v>
      </c>
    </row>
    <row r="518" spans="1:16" ht="15" customHeight="1" x14ac:dyDescent="0.25">
      <c r="A518" t="s">
        <v>347</v>
      </c>
      <c r="N518" t="s" cm="1">
        <v>347</v>
      </c>
      <c r="O518" s="30" t="s">
        <v>960</v>
      </c>
      <c r="P518">
        <v>9</v>
      </c>
    </row>
    <row r="519" spans="1:16" ht="15" customHeight="1" x14ac:dyDescent="0.25">
      <c r="A519" t="s">
        <v>357</v>
      </c>
      <c r="N519" t="s" cm="1">
        <v>357</v>
      </c>
      <c r="O519" s="30" t="s">
        <v>480</v>
      </c>
      <c r="P519">
        <v>10</v>
      </c>
    </row>
    <row r="520" spans="1:16" ht="15" customHeight="1" x14ac:dyDescent="0.25">
      <c r="A520" t="s">
        <v>363</v>
      </c>
      <c r="N520" t="s" cm="1">
        <v>1067</v>
      </c>
      <c r="O520" s="30" t="s">
        <v>1011</v>
      </c>
      <c r="P520">
        <v>10</v>
      </c>
    </row>
    <row r="521" spans="1:16" ht="15" customHeight="1" x14ac:dyDescent="0.25">
      <c r="A521" t="s">
        <v>363</v>
      </c>
      <c r="N521" t="s" cm="1">
        <v>1067</v>
      </c>
      <c r="O521" s="30" t="s">
        <v>1029</v>
      </c>
      <c r="P521">
        <v>10</v>
      </c>
    </row>
    <row r="522" spans="1:16" ht="15" customHeight="1" x14ac:dyDescent="0.25">
      <c r="A522" t="s">
        <v>363</v>
      </c>
      <c r="N522" t="s" cm="1">
        <v>1067</v>
      </c>
      <c r="O522" s="30" t="s">
        <v>940</v>
      </c>
      <c r="P522">
        <v>10</v>
      </c>
    </row>
    <row r="523" spans="1:16" ht="15" customHeight="1" x14ac:dyDescent="0.25">
      <c r="A523" t="s">
        <v>363</v>
      </c>
      <c r="N523" t="s" cm="1">
        <v>1067</v>
      </c>
      <c r="O523" s="30" t="s">
        <v>967</v>
      </c>
      <c r="P523">
        <v>10</v>
      </c>
    </row>
    <row r="524" spans="1:16" ht="15" customHeight="1" x14ac:dyDescent="0.25">
      <c r="A524" t="s">
        <v>363</v>
      </c>
      <c r="N524" t="s" cm="1">
        <v>1067</v>
      </c>
      <c r="O524" s="30" t="s">
        <v>686</v>
      </c>
      <c r="P524">
        <v>10</v>
      </c>
    </row>
    <row r="525" spans="1:16" ht="15" customHeight="1" x14ac:dyDescent="0.25">
      <c r="A525" t="s">
        <v>371</v>
      </c>
      <c r="N525" t="s" cm="1">
        <v>371</v>
      </c>
      <c r="O525" s="30" t="s">
        <v>789</v>
      </c>
      <c r="P525">
        <v>10</v>
      </c>
    </row>
    <row r="526" spans="1:16" ht="15" customHeight="1" x14ac:dyDescent="0.25">
      <c r="A526" t="s">
        <v>333</v>
      </c>
      <c r="N526" t="s" cm="1">
        <v>1065</v>
      </c>
      <c r="O526" s="30" t="s">
        <v>372</v>
      </c>
      <c r="P526">
        <v>10</v>
      </c>
    </row>
    <row r="527" spans="1:16" ht="15" customHeight="1" x14ac:dyDescent="0.25">
      <c r="A527" t="s">
        <v>374</v>
      </c>
      <c r="N527" t="s" cm="1">
        <v>1003</v>
      </c>
      <c r="O527" s="30" t="s">
        <v>1031</v>
      </c>
      <c r="P527">
        <v>10</v>
      </c>
    </row>
    <row r="528" spans="1:16" ht="15" customHeight="1" x14ac:dyDescent="0.25">
      <c r="A528" t="s">
        <v>374</v>
      </c>
      <c r="N528" t="s" cm="1">
        <v>1003</v>
      </c>
      <c r="O528" s="30" t="s">
        <v>1160</v>
      </c>
      <c r="P528">
        <v>10</v>
      </c>
    </row>
    <row r="529" spans="1:16" ht="15" customHeight="1" x14ac:dyDescent="0.25">
      <c r="A529" t="s">
        <v>380</v>
      </c>
      <c r="N529" t="s" cm="1">
        <v>1071</v>
      </c>
      <c r="O529" s="30" t="s">
        <v>371</v>
      </c>
      <c r="P529">
        <v>11</v>
      </c>
    </row>
    <row r="530" spans="1:16" ht="15" customHeight="1" x14ac:dyDescent="0.25">
      <c r="A530" t="s">
        <v>380</v>
      </c>
      <c r="N530" t="s" cm="1">
        <v>1071</v>
      </c>
      <c r="O530" s="30" t="s">
        <v>447</v>
      </c>
      <c r="P530">
        <v>11</v>
      </c>
    </row>
    <row r="531" spans="1:16" ht="15" customHeight="1" x14ac:dyDescent="0.25">
      <c r="A531" t="s">
        <v>384</v>
      </c>
      <c r="N531" t="s" cm="1">
        <v>384</v>
      </c>
      <c r="O531" s="30" t="s">
        <v>1083</v>
      </c>
      <c r="P531">
        <v>12</v>
      </c>
    </row>
    <row r="532" spans="1:16" ht="15" customHeight="1" x14ac:dyDescent="0.25">
      <c r="A532" t="s">
        <v>384</v>
      </c>
      <c r="N532" t="s" cm="1">
        <v>384</v>
      </c>
      <c r="O532" s="30" t="s">
        <v>917</v>
      </c>
      <c r="P532">
        <v>12</v>
      </c>
    </row>
    <row r="533" spans="1:16" ht="15" customHeight="1" x14ac:dyDescent="0.25">
      <c r="A533" t="s">
        <v>384</v>
      </c>
      <c r="N533" t="s" cm="1">
        <v>384</v>
      </c>
      <c r="O533" s="30" t="s">
        <v>912</v>
      </c>
      <c r="P533">
        <v>12</v>
      </c>
    </row>
    <row r="534" spans="1:16" ht="15" customHeight="1" x14ac:dyDescent="0.25">
      <c r="A534" t="s">
        <v>384</v>
      </c>
      <c r="N534" t="s" cm="1">
        <v>384</v>
      </c>
      <c r="O534" s="30" t="s">
        <v>897</v>
      </c>
      <c r="P534">
        <v>12</v>
      </c>
    </row>
    <row r="535" spans="1:16" ht="15" customHeight="1" x14ac:dyDescent="0.25">
      <c r="A535" t="s">
        <v>384</v>
      </c>
      <c r="N535" t="s" cm="1">
        <v>384</v>
      </c>
      <c r="O535" s="30" t="s">
        <v>251</v>
      </c>
      <c r="P535">
        <v>12</v>
      </c>
    </row>
    <row r="536" spans="1:16" ht="15" customHeight="1" x14ac:dyDescent="0.25">
      <c r="A536" t="s">
        <v>384</v>
      </c>
      <c r="N536" t="s" cm="1">
        <v>384</v>
      </c>
      <c r="O536" s="30" t="s">
        <v>1071</v>
      </c>
      <c r="P536">
        <v>12</v>
      </c>
    </row>
    <row r="537" spans="1:16" ht="15" customHeight="1" x14ac:dyDescent="0.25">
      <c r="A537" t="s">
        <v>384</v>
      </c>
      <c r="N537" t="s" cm="1">
        <v>384</v>
      </c>
      <c r="O537" s="30" t="s">
        <v>976</v>
      </c>
      <c r="P537">
        <v>12</v>
      </c>
    </row>
    <row r="538" spans="1:16" ht="15" customHeight="1" x14ac:dyDescent="0.25">
      <c r="A538" t="s">
        <v>384</v>
      </c>
      <c r="N538" t="s" cm="1">
        <v>384</v>
      </c>
      <c r="O538" s="30" t="s">
        <v>225</v>
      </c>
      <c r="P538">
        <v>12</v>
      </c>
    </row>
    <row r="539" spans="1:16" ht="15" customHeight="1" x14ac:dyDescent="0.25">
      <c r="A539" t="s">
        <v>390</v>
      </c>
      <c r="N539" t="s" cm="1">
        <v>986</v>
      </c>
      <c r="O539" s="30" t="s">
        <v>402</v>
      </c>
      <c r="P539">
        <v>12</v>
      </c>
    </row>
    <row r="540" spans="1:16" ht="15" customHeight="1" x14ac:dyDescent="0.25">
      <c r="A540" t="s">
        <v>316</v>
      </c>
      <c r="N540" t="s" cm="1">
        <v>316</v>
      </c>
      <c r="O540" s="30" t="s">
        <v>245</v>
      </c>
      <c r="P540">
        <v>12</v>
      </c>
    </row>
    <row r="541" spans="1:16" ht="15" customHeight="1" x14ac:dyDescent="0.25">
      <c r="A541" t="s">
        <v>290</v>
      </c>
      <c r="N541" t="s" cm="1">
        <v>290</v>
      </c>
      <c r="O541" s="30" t="s">
        <v>1129</v>
      </c>
      <c r="P541">
        <v>12</v>
      </c>
    </row>
    <row r="542" spans="1:16" ht="15" customHeight="1" x14ac:dyDescent="0.25">
      <c r="A542" t="s">
        <v>422</v>
      </c>
      <c r="N542" t="s" cm="1">
        <v>422</v>
      </c>
      <c r="O542" s="30" t="s">
        <v>1090</v>
      </c>
      <c r="P542">
        <v>12</v>
      </c>
    </row>
    <row r="543" spans="1:16" ht="15" customHeight="1" x14ac:dyDescent="0.25">
      <c r="A543" t="s">
        <v>440</v>
      </c>
      <c r="N543" t="s" cm="1">
        <v>440</v>
      </c>
      <c r="O543" s="30" t="s">
        <v>1142</v>
      </c>
      <c r="P543">
        <v>13</v>
      </c>
    </row>
    <row r="544" spans="1:16" ht="15" customHeight="1" x14ac:dyDescent="0.25">
      <c r="A544" t="s">
        <v>334</v>
      </c>
      <c r="N544" t="s" cm="1">
        <v>334</v>
      </c>
      <c r="O544" s="30" t="s">
        <v>1151</v>
      </c>
      <c r="P544">
        <v>13</v>
      </c>
    </row>
    <row r="545" spans="1:16" ht="15" customHeight="1" x14ac:dyDescent="0.25">
      <c r="A545" t="s">
        <v>334</v>
      </c>
      <c r="N545" t="s" cm="1">
        <v>334</v>
      </c>
      <c r="O545" s="30" t="s">
        <v>1192</v>
      </c>
      <c r="P545">
        <v>14</v>
      </c>
    </row>
    <row r="546" spans="1:16" ht="15" customHeight="1" x14ac:dyDescent="0.25">
      <c r="A546" t="s">
        <v>334</v>
      </c>
      <c r="N546" t="s" cm="1">
        <v>334</v>
      </c>
      <c r="O546" s="30" t="s">
        <v>1085</v>
      </c>
      <c r="P546">
        <v>14</v>
      </c>
    </row>
    <row r="547" spans="1:16" ht="15" customHeight="1" x14ac:dyDescent="0.25">
      <c r="A547" t="s">
        <v>446</v>
      </c>
      <c r="N547" t="s" cm="1">
        <v>997</v>
      </c>
      <c r="O547" s="30" t="s">
        <v>980</v>
      </c>
      <c r="P547">
        <v>14</v>
      </c>
    </row>
    <row r="548" spans="1:16" ht="15" customHeight="1" x14ac:dyDescent="0.25">
      <c r="A548" t="s">
        <v>446</v>
      </c>
      <c r="N548" t="s" cm="1">
        <v>997</v>
      </c>
      <c r="O548" s="30" t="s">
        <v>1084</v>
      </c>
      <c r="P548">
        <v>14</v>
      </c>
    </row>
    <row r="549" spans="1:16" ht="15" customHeight="1" x14ac:dyDescent="0.25">
      <c r="A549" t="s">
        <v>273</v>
      </c>
      <c r="N549" t="s" cm="1">
        <v>273</v>
      </c>
      <c r="O549" s="30" t="s">
        <v>1163</v>
      </c>
      <c r="P549">
        <v>14</v>
      </c>
    </row>
    <row r="550" spans="1:16" ht="15" customHeight="1" x14ac:dyDescent="0.25">
      <c r="A550" t="s">
        <v>350</v>
      </c>
      <c r="N550" t="s" cm="1">
        <v>1003</v>
      </c>
      <c r="O550" s="30" t="s">
        <v>1122</v>
      </c>
      <c r="P550">
        <v>14</v>
      </c>
    </row>
    <row r="551" spans="1:16" ht="15" customHeight="1" x14ac:dyDescent="0.25">
      <c r="A551" t="s">
        <v>350</v>
      </c>
      <c r="N551" t="s" cm="1">
        <v>1003</v>
      </c>
      <c r="O551" s="30" t="s">
        <v>1030</v>
      </c>
      <c r="P551">
        <v>14</v>
      </c>
    </row>
    <row r="552" spans="1:16" ht="15" customHeight="1" x14ac:dyDescent="0.25">
      <c r="A552" t="s">
        <v>421</v>
      </c>
      <c r="N552" t="s" cm="1">
        <v>1035</v>
      </c>
      <c r="O552" s="30" t="s">
        <v>1178</v>
      </c>
      <c r="P552">
        <v>14</v>
      </c>
    </row>
    <row r="553" spans="1:16" ht="15" customHeight="1" x14ac:dyDescent="0.25">
      <c r="A553" t="s">
        <v>471</v>
      </c>
      <c r="N553" t="s" cm="1">
        <v>471</v>
      </c>
      <c r="O553" s="30" t="s">
        <v>1069</v>
      </c>
      <c r="P553">
        <v>14</v>
      </c>
    </row>
    <row r="554" spans="1:16" ht="15" customHeight="1" x14ac:dyDescent="0.25">
      <c r="A554" t="s">
        <v>476</v>
      </c>
      <c r="N554" t="s" cm="1">
        <v>1073</v>
      </c>
      <c r="O554" s="30" t="s">
        <v>1078</v>
      </c>
      <c r="P554">
        <v>14</v>
      </c>
    </row>
    <row r="555" spans="1:16" ht="15" customHeight="1" x14ac:dyDescent="0.25">
      <c r="A555" t="s">
        <v>480</v>
      </c>
      <c r="N555" t="s" cm="1">
        <v>480</v>
      </c>
      <c r="O555" s="30" t="s">
        <v>988</v>
      </c>
      <c r="P555">
        <v>14</v>
      </c>
    </row>
    <row r="556" spans="1:16" ht="15" customHeight="1" x14ac:dyDescent="0.25">
      <c r="A556" t="s">
        <v>487</v>
      </c>
      <c r="N556" t="s" cm="1">
        <v>1051</v>
      </c>
      <c r="O556" s="30" t="s">
        <v>1062</v>
      </c>
      <c r="P556">
        <v>14</v>
      </c>
    </row>
    <row r="557" spans="1:16" ht="15" customHeight="1" x14ac:dyDescent="0.25">
      <c r="A557" t="s">
        <v>493</v>
      </c>
      <c r="N557" t="s" cm="1">
        <v>1075</v>
      </c>
      <c r="O557" s="30" t="s">
        <v>1241</v>
      </c>
      <c r="P557">
        <v>14</v>
      </c>
    </row>
    <row r="558" spans="1:16" ht="15" customHeight="1" x14ac:dyDescent="0.25">
      <c r="A558" t="s">
        <v>502</v>
      </c>
      <c r="N558" t="s" cm="1">
        <v>502</v>
      </c>
      <c r="O558" s="30" t="s">
        <v>955</v>
      </c>
      <c r="P558">
        <v>14</v>
      </c>
    </row>
    <row r="559" spans="1:16" ht="15" customHeight="1" x14ac:dyDescent="0.25">
      <c r="A559" t="s">
        <v>508</v>
      </c>
      <c r="N559" t="s" cm="1">
        <v>1077</v>
      </c>
      <c r="O559" s="30" t="s">
        <v>1096</v>
      </c>
      <c r="P559">
        <v>14</v>
      </c>
    </row>
    <row r="560" spans="1:16" ht="15" customHeight="1" x14ac:dyDescent="0.25">
      <c r="A560" t="s">
        <v>517</v>
      </c>
      <c r="N560" t="s" cm="1">
        <v>987</v>
      </c>
      <c r="O560" s="30" t="s">
        <v>1133</v>
      </c>
      <c r="P560">
        <v>14</v>
      </c>
    </row>
    <row r="561" spans="1:16" ht="15" customHeight="1" x14ac:dyDescent="0.25">
      <c r="A561" t="s">
        <v>273</v>
      </c>
      <c r="N561" t="s" cm="1">
        <v>273</v>
      </c>
      <c r="O561" s="30" t="s">
        <v>903</v>
      </c>
      <c r="P561">
        <v>15</v>
      </c>
    </row>
    <row r="562" spans="1:16" ht="15" customHeight="1" x14ac:dyDescent="0.25">
      <c r="A562" t="s">
        <v>532</v>
      </c>
      <c r="N562" t="s" cm="1">
        <v>532</v>
      </c>
      <c r="O562" s="30" t="s">
        <v>1214</v>
      </c>
      <c r="P562">
        <v>16</v>
      </c>
    </row>
    <row r="563" spans="1:16" ht="15" customHeight="1" x14ac:dyDescent="0.25">
      <c r="A563" t="s">
        <v>538</v>
      </c>
      <c r="N563" t="s" cm="1">
        <v>1080</v>
      </c>
      <c r="O563" s="30" t="s">
        <v>276</v>
      </c>
      <c r="P563">
        <v>16</v>
      </c>
    </row>
    <row r="564" spans="1:16" ht="15" customHeight="1" x14ac:dyDescent="0.25">
      <c r="A564" t="s">
        <v>542</v>
      </c>
      <c r="N564" t="s" cm="1">
        <v>1081</v>
      </c>
      <c r="O564" s="30" t="s">
        <v>213</v>
      </c>
      <c r="P564">
        <v>16</v>
      </c>
    </row>
    <row r="565" spans="1:16" ht="15" customHeight="1" x14ac:dyDescent="0.25">
      <c r="A565" t="s">
        <v>545</v>
      </c>
      <c r="N565" t="s" cm="1">
        <v>1003</v>
      </c>
      <c r="O565" s="30" t="s">
        <v>272</v>
      </c>
      <c r="P565">
        <v>16</v>
      </c>
    </row>
    <row r="566" spans="1:16" ht="15" customHeight="1" x14ac:dyDescent="0.25">
      <c r="A566" t="s">
        <v>545</v>
      </c>
      <c r="N566" t="s" cm="1">
        <v>1003</v>
      </c>
      <c r="O566" s="30" t="s">
        <v>275</v>
      </c>
      <c r="P566">
        <v>16</v>
      </c>
    </row>
    <row r="567" spans="1:16" ht="15" customHeight="1" x14ac:dyDescent="0.25">
      <c r="A567" t="s">
        <v>503</v>
      </c>
      <c r="N567" t="s" cm="1">
        <v>1086</v>
      </c>
      <c r="O567" s="30" t="s">
        <v>290</v>
      </c>
      <c r="P567">
        <v>16</v>
      </c>
    </row>
    <row r="568" spans="1:16" ht="15" customHeight="1" x14ac:dyDescent="0.25">
      <c r="A568" t="s">
        <v>552</v>
      </c>
      <c r="N568" t="s" cm="1">
        <v>552</v>
      </c>
      <c r="O568" s="30" t="s">
        <v>265</v>
      </c>
      <c r="P568">
        <v>16</v>
      </c>
    </row>
    <row r="569" spans="1:16" ht="15" customHeight="1" x14ac:dyDescent="0.25">
      <c r="A569" t="s">
        <v>564</v>
      </c>
      <c r="N569" t="s" cm="1">
        <v>1051</v>
      </c>
      <c r="O569" s="30" t="s">
        <v>989</v>
      </c>
      <c r="P569">
        <v>16</v>
      </c>
    </row>
    <row r="570" spans="1:16" ht="15" customHeight="1" x14ac:dyDescent="0.25">
      <c r="A570" t="s">
        <v>340</v>
      </c>
      <c r="N570" t="s" cm="1">
        <v>1065</v>
      </c>
      <c r="O570" s="30" t="s">
        <v>1166</v>
      </c>
      <c r="P570">
        <v>16</v>
      </c>
    </row>
    <row r="571" spans="1:16" ht="15" customHeight="1" x14ac:dyDescent="0.25">
      <c r="A571" t="s">
        <v>254</v>
      </c>
      <c r="N571" t="s" cm="1">
        <v>254</v>
      </c>
      <c r="O571" s="30" t="s">
        <v>269</v>
      </c>
      <c r="P571">
        <v>16</v>
      </c>
    </row>
    <row r="572" spans="1:16" ht="15" customHeight="1" x14ac:dyDescent="0.25">
      <c r="A572" t="s">
        <v>576</v>
      </c>
      <c r="N572" t="s" cm="1">
        <v>1088</v>
      </c>
      <c r="O572" s="30" t="s">
        <v>915</v>
      </c>
      <c r="P572">
        <v>16</v>
      </c>
    </row>
    <row r="573" spans="1:16" ht="15" customHeight="1" x14ac:dyDescent="0.25">
      <c r="A573" t="s">
        <v>576</v>
      </c>
      <c r="N573" t="s" cm="1">
        <v>1088</v>
      </c>
      <c r="O573" s="30" t="s">
        <v>311</v>
      </c>
      <c r="P573">
        <v>16</v>
      </c>
    </row>
    <row r="574" spans="1:16" ht="15" customHeight="1" x14ac:dyDescent="0.25">
      <c r="A574" t="s">
        <v>576</v>
      </c>
      <c r="N574" t="s" cm="1">
        <v>1088</v>
      </c>
      <c r="O574" s="30" t="s">
        <v>267</v>
      </c>
      <c r="P574">
        <v>16</v>
      </c>
    </row>
    <row r="575" spans="1:16" ht="15" customHeight="1" x14ac:dyDescent="0.25">
      <c r="A575" t="s">
        <v>576</v>
      </c>
      <c r="N575" t="s" cm="1">
        <v>1088</v>
      </c>
      <c r="O575" s="30" t="s">
        <v>270</v>
      </c>
      <c r="P575">
        <v>16</v>
      </c>
    </row>
    <row r="576" spans="1:16" ht="15" customHeight="1" x14ac:dyDescent="0.25">
      <c r="A576" t="s">
        <v>576</v>
      </c>
      <c r="N576" t="s" cm="1">
        <v>1088</v>
      </c>
      <c r="O576" s="30" t="s">
        <v>271</v>
      </c>
      <c r="P576">
        <v>16</v>
      </c>
    </row>
    <row r="577" spans="1:16" ht="15" customHeight="1" x14ac:dyDescent="0.25">
      <c r="A577" t="s">
        <v>576</v>
      </c>
      <c r="N577" t="s" cm="1">
        <v>1088</v>
      </c>
      <c r="O577" s="30" t="s">
        <v>264</v>
      </c>
      <c r="P577">
        <v>16</v>
      </c>
    </row>
    <row r="578" spans="1:16" ht="15" customHeight="1" x14ac:dyDescent="0.25">
      <c r="A578" t="s">
        <v>449</v>
      </c>
      <c r="N578" t="s" cm="1">
        <v>1031</v>
      </c>
      <c r="O578" s="30" t="s">
        <v>258</v>
      </c>
      <c r="P578">
        <v>16</v>
      </c>
    </row>
    <row r="579" spans="1:16" ht="15" customHeight="1" x14ac:dyDescent="0.25">
      <c r="A579" t="s">
        <v>586</v>
      </c>
      <c r="N579" t="s" cm="1">
        <v>685</v>
      </c>
      <c r="O579" s="30" t="s">
        <v>262</v>
      </c>
      <c r="P579">
        <v>16</v>
      </c>
    </row>
    <row r="580" spans="1:16" ht="15" customHeight="1" x14ac:dyDescent="0.25">
      <c r="A580" t="s">
        <v>594</v>
      </c>
      <c r="N580" t="s" cm="1">
        <v>1091</v>
      </c>
      <c r="O580" s="30" t="s">
        <v>277</v>
      </c>
      <c r="P580">
        <v>16</v>
      </c>
    </row>
    <row r="581" spans="1:16" ht="15" customHeight="1" x14ac:dyDescent="0.25">
      <c r="A581" t="s">
        <v>602</v>
      </c>
      <c r="N581" t="s" cm="1">
        <v>602</v>
      </c>
      <c r="O581" s="30" t="s">
        <v>274</v>
      </c>
      <c r="P581">
        <v>16</v>
      </c>
    </row>
    <row r="582" spans="1:16" ht="15" customHeight="1" x14ac:dyDescent="0.25">
      <c r="A582" t="s">
        <v>607</v>
      </c>
      <c r="N582" t="s" cm="1">
        <v>1093</v>
      </c>
      <c r="O582" s="30" t="s">
        <v>278</v>
      </c>
      <c r="P582">
        <v>16</v>
      </c>
    </row>
    <row r="583" spans="1:16" ht="15" customHeight="1" x14ac:dyDescent="0.25">
      <c r="A583" t="s">
        <v>617</v>
      </c>
      <c r="N583" t="s" cm="1">
        <v>1094</v>
      </c>
      <c r="O583" s="30" t="s">
        <v>217</v>
      </c>
      <c r="P583">
        <v>17</v>
      </c>
    </row>
    <row r="584" spans="1:16" ht="15" customHeight="1" x14ac:dyDescent="0.25">
      <c r="A584" t="s">
        <v>621</v>
      </c>
      <c r="N584" t="s" cm="1">
        <v>621</v>
      </c>
      <c r="O584" s="30" t="s">
        <v>1025</v>
      </c>
      <c r="P584">
        <v>17</v>
      </c>
    </row>
    <row r="585" spans="1:16" ht="15" customHeight="1" x14ac:dyDescent="0.25">
      <c r="A585" t="s">
        <v>625</v>
      </c>
      <c r="N585" t="s" cm="1">
        <v>1095</v>
      </c>
      <c r="O585" s="30" t="s">
        <v>984</v>
      </c>
      <c r="P585">
        <v>18</v>
      </c>
    </row>
    <row r="586" spans="1:16" ht="15" customHeight="1" x14ac:dyDescent="0.25">
      <c r="A586" t="s">
        <v>630</v>
      </c>
      <c r="N586" t="s" cm="1">
        <v>630</v>
      </c>
      <c r="O586" s="30" t="s">
        <v>717</v>
      </c>
      <c r="P586">
        <v>18</v>
      </c>
    </row>
    <row r="587" spans="1:16" ht="15" customHeight="1" x14ac:dyDescent="0.25">
      <c r="A587" t="s">
        <v>634</v>
      </c>
      <c r="N587" t="s" cm="1">
        <v>1096</v>
      </c>
      <c r="O587" s="30" t="s">
        <v>379</v>
      </c>
      <c r="P587">
        <v>19</v>
      </c>
    </row>
    <row r="588" spans="1:16" ht="15" customHeight="1" x14ac:dyDescent="0.25">
      <c r="A588" t="s">
        <v>638</v>
      </c>
      <c r="N588" t="s" cm="1">
        <v>1003</v>
      </c>
      <c r="O588" s="30" t="s">
        <v>1177</v>
      </c>
      <c r="P588">
        <v>20</v>
      </c>
    </row>
    <row r="589" spans="1:16" ht="15" customHeight="1" x14ac:dyDescent="0.25">
      <c r="A589" t="s">
        <v>488</v>
      </c>
      <c r="N589" t="s" cm="1">
        <v>1099</v>
      </c>
      <c r="O589" s="30" t="s">
        <v>909</v>
      </c>
      <c r="P589">
        <v>20</v>
      </c>
    </row>
    <row r="590" spans="1:16" ht="15" customHeight="1" x14ac:dyDescent="0.25">
      <c r="A590" t="s">
        <v>649</v>
      </c>
      <c r="N590" t="s" cm="1">
        <v>1101</v>
      </c>
      <c r="O590" s="30" t="s">
        <v>1066</v>
      </c>
      <c r="P590">
        <v>20</v>
      </c>
    </row>
    <row r="591" spans="1:16" ht="15" customHeight="1" x14ac:dyDescent="0.25">
      <c r="A591" t="s">
        <v>656</v>
      </c>
      <c r="N591" t="s" cm="1">
        <v>1102</v>
      </c>
      <c r="O591" s="30" t="s">
        <v>1145</v>
      </c>
      <c r="P591">
        <v>20</v>
      </c>
    </row>
    <row r="592" spans="1:16" ht="15" customHeight="1" x14ac:dyDescent="0.25">
      <c r="A592" t="s">
        <v>656</v>
      </c>
      <c r="N592" t="s" cm="1">
        <v>1102</v>
      </c>
      <c r="O592" s="30" t="s">
        <v>685</v>
      </c>
      <c r="P592">
        <v>20</v>
      </c>
    </row>
    <row r="593" spans="1:16" ht="15" customHeight="1" x14ac:dyDescent="0.25">
      <c r="A593" t="s">
        <v>656</v>
      </c>
      <c r="N593" t="s" cm="1">
        <v>1102</v>
      </c>
      <c r="O593" s="30" t="s">
        <v>1109</v>
      </c>
      <c r="P593">
        <v>20</v>
      </c>
    </row>
    <row r="594" spans="1:16" ht="15" customHeight="1" x14ac:dyDescent="0.25">
      <c r="A594" t="s">
        <v>666</v>
      </c>
      <c r="N594" t="s" cm="1">
        <v>1104</v>
      </c>
      <c r="O594" s="30" t="s">
        <v>718</v>
      </c>
      <c r="P594">
        <v>21</v>
      </c>
    </row>
    <row r="595" spans="1:16" ht="15" customHeight="1" x14ac:dyDescent="0.25">
      <c r="A595" t="s">
        <v>668</v>
      </c>
      <c r="N595" t="s" cm="1">
        <v>1071</v>
      </c>
      <c r="O595" s="30" t="s">
        <v>453</v>
      </c>
      <c r="P595">
        <v>21</v>
      </c>
    </row>
    <row r="596" spans="1:16" ht="15" customHeight="1" x14ac:dyDescent="0.25">
      <c r="A596" t="s">
        <v>673</v>
      </c>
      <c r="N596" t="s" cm="1">
        <v>952</v>
      </c>
      <c r="O596" s="30" t="s">
        <v>223</v>
      </c>
      <c r="P596">
        <v>21</v>
      </c>
    </row>
    <row r="597" spans="1:16" ht="15" customHeight="1" x14ac:dyDescent="0.25">
      <c r="A597" t="s">
        <v>522</v>
      </c>
      <c r="N597" t="s" cm="1">
        <v>997</v>
      </c>
      <c r="O597" s="30" t="s">
        <v>900</v>
      </c>
      <c r="P597">
        <v>22</v>
      </c>
    </row>
    <row r="598" spans="1:16" ht="15" customHeight="1" x14ac:dyDescent="0.25">
      <c r="A598" t="s">
        <v>688</v>
      </c>
      <c r="N598" t="s" cm="1">
        <v>1003</v>
      </c>
      <c r="O598" s="30" t="s">
        <v>907</v>
      </c>
      <c r="P598">
        <v>22</v>
      </c>
    </row>
    <row r="599" spans="1:16" ht="15" customHeight="1" x14ac:dyDescent="0.25">
      <c r="A599" t="s">
        <v>688</v>
      </c>
      <c r="N599" t="s" cm="1">
        <v>1003</v>
      </c>
      <c r="O599" s="30" t="s">
        <v>268</v>
      </c>
      <c r="P599">
        <v>23</v>
      </c>
    </row>
    <row r="600" spans="1:16" ht="15" customHeight="1" x14ac:dyDescent="0.25">
      <c r="A600" t="s">
        <v>694</v>
      </c>
      <c r="N600" t="s" cm="1">
        <v>319</v>
      </c>
      <c r="O600" s="30" t="s">
        <v>773</v>
      </c>
      <c r="P600">
        <v>23</v>
      </c>
    </row>
    <row r="601" spans="1:16" ht="15" customHeight="1" x14ac:dyDescent="0.25">
      <c r="A601" t="s">
        <v>700</v>
      </c>
      <c r="N601" t="s" cm="1">
        <v>1003</v>
      </c>
      <c r="O601" s="30" t="s">
        <v>284</v>
      </c>
      <c r="P601">
        <v>24</v>
      </c>
    </row>
    <row r="602" spans="1:16" ht="15" customHeight="1" x14ac:dyDescent="0.25">
      <c r="A602" t="s">
        <v>710</v>
      </c>
      <c r="N602" t="s" cm="1">
        <v>957</v>
      </c>
      <c r="O602" s="30" t="s">
        <v>1179</v>
      </c>
      <c r="P602">
        <v>24</v>
      </c>
    </row>
    <row r="603" spans="1:16" ht="15" customHeight="1" x14ac:dyDescent="0.25">
      <c r="A603" t="s">
        <v>710</v>
      </c>
      <c r="N603" t="s" cm="1">
        <v>957</v>
      </c>
      <c r="O603" s="30" t="s">
        <v>969</v>
      </c>
      <c r="P603">
        <v>24</v>
      </c>
    </row>
    <row r="604" spans="1:16" ht="15" customHeight="1" x14ac:dyDescent="0.25">
      <c r="A604" t="s">
        <v>716</v>
      </c>
      <c r="N604" t="s" cm="1">
        <v>225</v>
      </c>
      <c r="O604" s="30" t="s">
        <v>1070</v>
      </c>
      <c r="P604">
        <v>24</v>
      </c>
    </row>
    <row r="605" spans="1:16" ht="15" customHeight="1" x14ac:dyDescent="0.25">
      <c r="A605" t="s">
        <v>716</v>
      </c>
      <c r="N605" t="s" cm="1">
        <v>225</v>
      </c>
      <c r="O605" s="30" t="s">
        <v>1132</v>
      </c>
      <c r="P605">
        <v>24</v>
      </c>
    </row>
    <row r="606" spans="1:16" ht="15" customHeight="1" x14ac:dyDescent="0.25">
      <c r="A606" t="s">
        <v>716</v>
      </c>
      <c r="N606" t="s" cm="1">
        <v>225</v>
      </c>
      <c r="O606" s="30" t="s">
        <v>292</v>
      </c>
      <c r="P606">
        <v>24</v>
      </c>
    </row>
    <row r="607" spans="1:16" ht="15" customHeight="1" x14ac:dyDescent="0.25">
      <c r="A607" t="s">
        <v>723</v>
      </c>
      <c r="N607" t="s" cm="1">
        <v>1108</v>
      </c>
      <c r="O607" s="30" t="s">
        <v>1131</v>
      </c>
      <c r="P607">
        <v>24</v>
      </c>
    </row>
    <row r="608" spans="1:16" ht="15" customHeight="1" x14ac:dyDescent="0.25">
      <c r="A608" t="s">
        <v>334</v>
      </c>
      <c r="N608" t="s" cm="1">
        <v>334</v>
      </c>
      <c r="O608" s="30" t="s">
        <v>293</v>
      </c>
      <c r="P608">
        <v>24</v>
      </c>
    </row>
    <row r="609" spans="1:16" ht="15" customHeight="1" x14ac:dyDescent="0.25">
      <c r="A609" t="s">
        <v>734</v>
      </c>
      <c r="N609" t="s" cm="1">
        <v>734</v>
      </c>
      <c r="O609" s="30" t="s">
        <v>283</v>
      </c>
      <c r="P609">
        <v>24</v>
      </c>
    </row>
    <row r="610" spans="1:16" ht="15" customHeight="1" x14ac:dyDescent="0.25">
      <c r="A610" t="s">
        <v>734</v>
      </c>
      <c r="N610" t="s" cm="1">
        <v>734</v>
      </c>
      <c r="O610" s="30" t="s">
        <v>257</v>
      </c>
      <c r="P610">
        <v>24</v>
      </c>
    </row>
    <row r="611" spans="1:16" ht="15" customHeight="1" x14ac:dyDescent="0.25">
      <c r="A611" t="s">
        <v>734</v>
      </c>
      <c r="N611" t="s" cm="1">
        <v>734</v>
      </c>
      <c r="O611" s="30" t="s">
        <v>287</v>
      </c>
      <c r="P611">
        <v>24</v>
      </c>
    </row>
    <row r="612" spans="1:16" ht="15" customHeight="1" x14ac:dyDescent="0.25">
      <c r="A612" t="s">
        <v>453</v>
      </c>
      <c r="N612" t="s" cm="1">
        <v>453</v>
      </c>
      <c r="O612" s="30" t="s">
        <v>282</v>
      </c>
      <c r="P612">
        <v>24</v>
      </c>
    </row>
    <row r="613" spans="1:16" ht="15" customHeight="1" x14ac:dyDescent="0.25">
      <c r="A613" t="s">
        <v>453</v>
      </c>
      <c r="N613" t="s" cm="1">
        <v>453</v>
      </c>
      <c r="O613" s="30" t="s">
        <v>894</v>
      </c>
      <c r="P613">
        <v>26</v>
      </c>
    </row>
    <row r="614" spans="1:16" ht="15" customHeight="1" x14ac:dyDescent="0.25">
      <c r="A614" t="s">
        <v>453</v>
      </c>
      <c r="N614" t="s" cm="1">
        <v>453</v>
      </c>
      <c r="O614" s="30" t="s">
        <v>279</v>
      </c>
      <c r="P614">
        <v>28</v>
      </c>
    </row>
    <row r="615" spans="1:16" ht="15" customHeight="1" x14ac:dyDescent="0.25">
      <c r="A615" t="s">
        <v>746</v>
      </c>
      <c r="N615" t="s" cm="1">
        <v>319</v>
      </c>
      <c r="O615" s="30" t="s">
        <v>334</v>
      </c>
      <c r="P615">
        <v>28</v>
      </c>
    </row>
    <row r="616" spans="1:16" ht="15" customHeight="1" x14ac:dyDescent="0.25">
      <c r="A616" t="s">
        <v>747</v>
      </c>
      <c r="N616" t="s" cm="1">
        <v>286</v>
      </c>
      <c r="O616" s="30" t="s">
        <v>1116</v>
      </c>
      <c r="P616">
        <v>30</v>
      </c>
    </row>
    <row r="617" spans="1:16" ht="15" customHeight="1" x14ac:dyDescent="0.25">
      <c r="A617" t="s">
        <v>747</v>
      </c>
      <c r="N617" t="s" cm="1">
        <v>286</v>
      </c>
      <c r="O617" s="30" t="s">
        <v>914</v>
      </c>
      <c r="P617">
        <v>32</v>
      </c>
    </row>
    <row r="618" spans="1:16" ht="15" customHeight="1" x14ac:dyDescent="0.25">
      <c r="A618" t="s">
        <v>750</v>
      </c>
      <c r="N618" t="s" cm="1">
        <v>1060</v>
      </c>
      <c r="O618" s="30" t="s">
        <v>904</v>
      </c>
      <c r="P618">
        <v>32</v>
      </c>
    </row>
    <row r="619" spans="1:16" ht="15" customHeight="1" x14ac:dyDescent="0.25">
      <c r="A619" t="s">
        <v>754</v>
      </c>
      <c r="N619" t="s" cm="1">
        <v>225</v>
      </c>
      <c r="O619" s="30" t="s">
        <v>291</v>
      </c>
      <c r="P619">
        <v>32</v>
      </c>
    </row>
    <row r="620" spans="1:16" ht="15" customHeight="1" x14ac:dyDescent="0.25">
      <c r="A620" t="s">
        <v>231</v>
      </c>
      <c r="N620" t="s" cm="1">
        <v>231</v>
      </c>
      <c r="O620" s="30" t="s">
        <v>719</v>
      </c>
      <c r="P620">
        <v>32</v>
      </c>
    </row>
    <row r="621" spans="1:16" ht="15" customHeight="1" x14ac:dyDescent="0.25">
      <c r="A621" t="s">
        <v>334</v>
      </c>
      <c r="N621" t="s" cm="1">
        <v>334</v>
      </c>
      <c r="O621" s="30" t="s">
        <v>1187</v>
      </c>
      <c r="P621">
        <v>32</v>
      </c>
    </row>
    <row r="622" spans="1:16" ht="15" customHeight="1" x14ac:dyDescent="0.25">
      <c r="A622" t="s">
        <v>273</v>
      </c>
      <c r="N622" t="s" cm="1">
        <v>273</v>
      </c>
      <c r="O622" s="30" t="s">
        <v>256</v>
      </c>
      <c r="P622">
        <v>32</v>
      </c>
    </row>
    <row r="623" spans="1:16" ht="15" customHeight="1" x14ac:dyDescent="0.25">
      <c r="A623" t="s">
        <v>771</v>
      </c>
      <c r="N623" t="s" cm="1">
        <v>1110</v>
      </c>
      <c r="O623" s="30" t="s">
        <v>205</v>
      </c>
      <c r="P623">
        <v>32</v>
      </c>
    </row>
    <row r="624" spans="1:16" ht="15" customHeight="1" x14ac:dyDescent="0.25">
      <c r="A624" t="s">
        <v>247</v>
      </c>
      <c r="N624" t="s" cm="1">
        <v>247</v>
      </c>
      <c r="O624" s="30" t="s">
        <v>288</v>
      </c>
      <c r="P624">
        <v>32</v>
      </c>
    </row>
    <row r="625" spans="1:16" ht="15" customHeight="1" x14ac:dyDescent="0.25">
      <c r="A625" t="s">
        <v>776</v>
      </c>
      <c r="N625" t="s" cm="1">
        <v>776</v>
      </c>
      <c r="O625" s="30" t="s">
        <v>285</v>
      </c>
      <c r="P625">
        <v>32</v>
      </c>
    </row>
    <row r="626" spans="1:16" ht="15" customHeight="1" x14ac:dyDescent="0.25">
      <c r="A626" t="s">
        <v>319</v>
      </c>
      <c r="N626" t="s" cm="1">
        <v>319</v>
      </c>
      <c r="O626" s="30" t="s">
        <v>289</v>
      </c>
      <c r="P626">
        <v>32</v>
      </c>
    </row>
    <row r="627" spans="1:16" ht="15" customHeight="1" x14ac:dyDescent="0.25">
      <c r="A627" t="s">
        <v>773</v>
      </c>
      <c r="N627" t="s" cm="1">
        <v>773</v>
      </c>
      <c r="O627" s="30" t="s">
        <v>998</v>
      </c>
      <c r="P627">
        <v>34</v>
      </c>
    </row>
    <row r="628" spans="1:16" ht="15" customHeight="1" x14ac:dyDescent="0.25">
      <c r="A628" t="s">
        <v>247</v>
      </c>
      <c r="N628" t="s" cm="1">
        <v>247</v>
      </c>
      <c r="O628" s="30" t="s">
        <v>943</v>
      </c>
      <c r="P628">
        <v>36</v>
      </c>
    </row>
    <row r="629" spans="1:16" ht="15" customHeight="1" x14ac:dyDescent="0.25">
      <c r="A629" t="s">
        <v>247</v>
      </c>
      <c r="N629" t="s" cm="1">
        <v>247</v>
      </c>
      <c r="O629" s="30" t="s">
        <v>1105</v>
      </c>
      <c r="P629">
        <v>36</v>
      </c>
    </row>
    <row r="630" spans="1:16" ht="15" customHeight="1" x14ac:dyDescent="0.25">
      <c r="A630" t="s">
        <v>783</v>
      </c>
      <c r="N630" t="s" cm="1">
        <v>783</v>
      </c>
      <c r="O630" s="30" t="s">
        <v>944</v>
      </c>
      <c r="P630">
        <v>36</v>
      </c>
    </row>
    <row r="631" spans="1:16" ht="15" customHeight="1" x14ac:dyDescent="0.25">
      <c r="A631" t="s">
        <v>203</v>
      </c>
      <c r="N631" t="s" cm="1">
        <v>203</v>
      </c>
      <c r="O631" s="30" t="s">
        <v>1188</v>
      </c>
      <c r="P631">
        <v>38</v>
      </c>
    </row>
    <row r="632" spans="1:16" ht="15" customHeight="1" x14ac:dyDescent="0.25">
      <c r="A632" t="s">
        <v>801</v>
      </c>
      <c r="N632" t="s" cm="1">
        <v>214</v>
      </c>
      <c r="O632" s="30" t="s">
        <v>934</v>
      </c>
      <c r="P632">
        <v>38</v>
      </c>
    </row>
    <row r="633" spans="1:16" ht="15" customHeight="1" x14ac:dyDescent="0.25">
      <c r="A633" t="s">
        <v>811</v>
      </c>
      <c r="N633" t="s" cm="1">
        <v>811</v>
      </c>
      <c r="O633" s="30" t="s">
        <v>1106</v>
      </c>
      <c r="P633">
        <v>38</v>
      </c>
    </row>
    <row r="634" spans="1:16" ht="15" customHeight="1" x14ac:dyDescent="0.25">
      <c r="A634" t="s">
        <v>718</v>
      </c>
      <c r="N634" t="s" cm="1">
        <v>718</v>
      </c>
      <c r="O634" s="30" t="s">
        <v>312</v>
      </c>
      <c r="P634">
        <v>38</v>
      </c>
    </row>
    <row r="635" spans="1:16" ht="15" customHeight="1" x14ac:dyDescent="0.25">
      <c r="A635" t="s">
        <v>718</v>
      </c>
      <c r="N635" t="s" cm="1">
        <v>718</v>
      </c>
      <c r="O635" s="30" t="s">
        <v>1042</v>
      </c>
      <c r="P635">
        <v>40</v>
      </c>
    </row>
    <row r="636" spans="1:16" ht="15" customHeight="1" x14ac:dyDescent="0.25">
      <c r="A636" t="s">
        <v>718</v>
      </c>
      <c r="N636" t="s" cm="1">
        <v>718</v>
      </c>
      <c r="O636" s="30" t="s">
        <v>296</v>
      </c>
      <c r="P636">
        <v>40</v>
      </c>
    </row>
    <row r="637" spans="1:16" ht="15" customHeight="1" x14ac:dyDescent="0.25">
      <c r="A637" t="s">
        <v>588</v>
      </c>
      <c r="N637" t="s" cm="1">
        <v>254</v>
      </c>
      <c r="O637" s="30" t="s">
        <v>933</v>
      </c>
      <c r="P637">
        <v>42</v>
      </c>
    </row>
    <row r="638" spans="1:16" ht="15" customHeight="1" x14ac:dyDescent="0.25">
      <c r="A638" t="s">
        <v>827</v>
      </c>
      <c r="N638" t="s" cm="1">
        <v>830</v>
      </c>
      <c r="O638" s="30" t="s">
        <v>229</v>
      </c>
      <c r="P638">
        <v>43</v>
      </c>
    </row>
    <row r="639" spans="1:16" ht="15" customHeight="1" x14ac:dyDescent="0.25">
      <c r="A639" t="s">
        <v>827</v>
      </c>
      <c r="N639" t="s" cm="1">
        <v>830</v>
      </c>
      <c r="O639" s="30" t="s">
        <v>294</v>
      </c>
      <c r="P639">
        <v>43</v>
      </c>
    </row>
    <row r="640" spans="1:16" ht="15" customHeight="1" x14ac:dyDescent="0.25">
      <c r="A640" t="s">
        <v>834</v>
      </c>
      <c r="N640" t="s" cm="1">
        <v>834</v>
      </c>
      <c r="O640" s="30" t="s">
        <v>231</v>
      </c>
      <c r="P640">
        <v>43</v>
      </c>
    </row>
    <row r="641" spans="1:16" ht="15" customHeight="1" x14ac:dyDescent="0.25">
      <c r="A641" t="s">
        <v>273</v>
      </c>
      <c r="N641" t="s" cm="1">
        <v>273</v>
      </c>
      <c r="O641" s="30" t="s">
        <v>1072</v>
      </c>
      <c r="P641">
        <v>46</v>
      </c>
    </row>
    <row r="642" spans="1:16" ht="15" customHeight="1" x14ac:dyDescent="0.25">
      <c r="A642" t="s">
        <v>273</v>
      </c>
      <c r="N642" t="s" cm="1">
        <v>273</v>
      </c>
      <c r="O642" s="30" t="s">
        <v>910</v>
      </c>
      <c r="P642">
        <v>48</v>
      </c>
    </row>
    <row r="643" spans="1:16" ht="15" customHeight="1" x14ac:dyDescent="0.25">
      <c r="A643" t="s">
        <v>273</v>
      </c>
      <c r="N643" t="s" cm="1">
        <v>273</v>
      </c>
      <c r="O643" s="30" t="s">
        <v>313</v>
      </c>
      <c r="P643">
        <v>48</v>
      </c>
    </row>
    <row r="644" spans="1:16" ht="15" customHeight="1" x14ac:dyDescent="0.25">
      <c r="A644" t="s">
        <v>247</v>
      </c>
      <c r="N644" t="s" cm="1">
        <v>247</v>
      </c>
      <c r="O644" s="30" t="s">
        <v>299</v>
      </c>
      <c r="P644">
        <v>48</v>
      </c>
    </row>
    <row r="645" spans="1:16" ht="15" customHeight="1" x14ac:dyDescent="0.25">
      <c r="A645" t="s">
        <v>853</v>
      </c>
      <c r="N645" t="s" cm="1">
        <v>853</v>
      </c>
      <c r="O645" s="30" t="s">
        <v>297</v>
      </c>
      <c r="P645">
        <v>48</v>
      </c>
    </row>
    <row r="646" spans="1:16" ht="15" customHeight="1" x14ac:dyDescent="0.25">
      <c r="A646" t="s">
        <v>861</v>
      </c>
      <c r="N646" t="s" cm="1">
        <v>865</v>
      </c>
      <c r="O646" s="30" t="s">
        <v>316</v>
      </c>
      <c r="P646">
        <v>49</v>
      </c>
    </row>
    <row r="647" spans="1:16" ht="15" customHeight="1" x14ac:dyDescent="0.25">
      <c r="A647" t="s">
        <v>872</v>
      </c>
      <c r="N647" t="s" cm="1">
        <v>872</v>
      </c>
      <c r="O647" s="30" t="s">
        <v>298</v>
      </c>
      <c r="P647">
        <v>50</v>
      </c>
    </row>
    <row r="648" spans="1:16" ht="15" customHeight="1" x14ac:dyDescent="0.25">
      <c r="A648" t="s">
        <v>453</v>
      </c>
      <c r="N648" t="s" cm="1">
        <v>453</v>
      </c>
      <c r="O648" s="30" t="s">
        <v>203</v>
      </c>
      <c r="P648">
        <v>51</v>
      </c>
    </row>
    <row r="649" spans="1:16" ht="15" customHeight="1" x14ac:dyDescent="0.25">
      <c r="A649" t="s">
        <v>789</v>
      </c>
      <c r="N649" t="s" cm="1">
        <v>789</v>
      </c>
      <c r="O649" s="30" t="s">
        <v>985</v>
      </c>
      <c r="P649">
        <v>52</v>
      </c>
    </row>
    <row r="650" spans="1:16" ht="15" customHeight="1" x14ac:dyDescent="0.25">
      <c r="A650" t="s">
        <v>889</v>
      </c>
      <c r="N650" t="s" cm="1">
        <v>889</v>
      </c>
      <c r="O650" s="30" t="s">
        <v>300</v>
      </c>
      <c r="P650">
        <v>56</v>
      </c>
    </row>
    <row r="651" spans="1:16" ht="15" customHeight="1" x14ac:dyDescent="0.25">
      <c r="A651" t="s">
        <v>273</v>
      </c>
      <c r="N651" t="s" cm="1">
        <v>273</v>
      </c>
      <c r="O651" s="30" t="s">
        <v>280</v>
      </c>
      <c r="P651">
        <v>64</v>
      </c>
    </row>
    <row r="652" spans="1:16" ht="15" customHeight="1" x14ac:dyDescent="0.25">
      <c r="A652" t="s">
        <v>273</v>
      </c>
      <c r="N652" t="s" cm="1">
        <v>273</v>
      </c>
      <c r="O652" s="30" t="s">
        <v>1068</v>
      </c>
      <c r="P652">
        <v>64</v>
      </c>
    </row>
    <row r="653" spans="1:16" ht="15" customHeight="1" x14ac:dyDescent="0.25">
      <c r="A653" t="s">
        <v>266</v>
      </c>
      <c r="N653" t="s" cm="1">
        <v>266</v>
      </c>
      <c r="O653" s="30" t="s">
        <v>301</v>
      </c>
      <c r="P653">
        <v>67</v>
      </c>
    </row>
    <row r="654" spans="1:16" ht="15" customHeight="1" x14ac:dyDescent="0.25">
      <c r="A654" t="s">
        <v>1278</v>
      </c>
      <c r="N654" t="s" cm="1">
        <v>1283</v>
      </c>
      <c r="O654" s="30" t="s">
        <v>1065</v>
      </c>
      <c r="P654">
        <v>68</v>
      </c>
    </row>
    <row r="655" spans="1:16" ht="15" customHeight="1" x14ac:dyDescent="0.25">
      <c r="A655" t="s">
        <v>1289</v>
      </c>
      <c r="N655" t="s" cm="1">
        <v>1295</v>
      </c>
      <c r="O655" s="30" t="s">
        <v>930</v>
      </c>
      <c r="P655">
        <v>74</v>
      </c>
    </row>
    <row r="656" spans="1:16" ht="15" customHeight="1" x14ac:dyDescent="0.25">
      <c r="A656" t="s">
        <v>1302</v>
      </c>
      <c r="N656" t="s" cm="1">
        <v>1332</v>
      </c>
      <c r="O656" s="30" t="s">
        <v>901</v>
      </c>
      <c r="P656">
        <v>74</v>
      </c>
    </row>
    <row r="657" spans="1:16" ht="15" customHeight="1" x14ac:dyDescent="0.25">
      <c r="A657" t="s">
        <v>1308</v>
      </c>
      <c r="N657" t="s" cm="1">
        <v>1308</v>
      </c>
      <c r="O657" s="30" t="s">
        <v>1087</v>
      </c>
      <c r="P657">
        <v>74</v>
      </c>
    </row>
    <row r="658" spans="1:16" ht="15" customHeight="1" x14ac:dyDescent="0.25">
      <c r="A658" t="s">
        <v>1318</v>
      </c>
      <c r="N658" t="s" cm="1">
        <v>1318</v>
      </c>
      <c r="O658" s="30" t="s">
        <v>1005</v>
      </c>
      <c r="P658">
        <v>75</v>
      </c>
    </row>
    <row r="659" spans="1:16" ht="15" customHeight="1" x14ac:dyDescent="0.25">
      <c r="A659" t="s">
        <v>1323</v>
      </c>
      <c r="N659" t="s" cm="1">
        <v>973</v>
      </c>
      <c r="O659" s="30" t="s">
        <v>1003</v>
      </c>
      <c r="P659">
        <v>80</v>
      </c>
    </row>
    <row r="660" spans="1:16" ht="15" customHeight="1" x14ac:dyDescent="0.25">
      <c r="A660" t="s">
        <v>789</v>
      </c>
      <c r="N660" t="s" cm="1">
        <v>789</v>
      </c>
      <c r="O660" s="30" t="s">
        <v>303</v>
      </c>
      <c r="P660">
        <v>80</v>
      </c>
    </row>
    <row r="661" spans="1:16" ht="15" customHeight="1" x14ac:dyDescent="0.25">
      <c r="A661" t="s">
        <v>273</v>
      </c>
      <c r="N661" t="s" cm="1">
        <v>273</v>
      </c>
      <c r="O661" s="30" t="s">
        <v>249</v>
      </c>
      <c r="P661">
        <v>82</v>
      </c>
    </row>
    <row r="662" spans="1:16" ht="15" customHeight="1" x14ac:dyDescent="0.25">
      <c r="A662" t="s">
        <v>273</v>
      </c>
      <c r="N662" t="s" cm="1">
        <v>273</v>
      </c>
      <c r="O662" s="30" t="s">
        <v>302</v>
      </c>
      <c r="P662">
        <v>84</v>
      </c>
    </row>
    <row r="663" spans="1:16" ht="15" customHeight="1" x14ac:dyDescent="0.25">
      <c r="A663" t="s">
        <v>319</v>
      </c>
      <c r="N663" t="s" cm="1">
        <v>319</v>
      </c>
      <c r="O663" s="30" t="s">
        <v>971</v>
      </c>
      <c r="P663">
        <v>86</v>
      </c>
    </row>
    <row r="664" spans="1:16" ht="15" customHeight="1" x14ac:dyDescent="0.25">
      <c r="A664" t="s">
        <v>319</v>
      </c>
      <c r="N664" t="s" cm="1">
        <v>319</v>
      </c>
      <c r="O664" s="30" t="s">
        <v>286</v>
      </c>
      <c r="P664">
        <v>89</v>
      </c>
    </row>
    <row r="665" spans="1:16" ht="15" customHeight="1" x14ac:dyDescent="0.25">
      <c r="A665" t="s">
        <v>319</v>
      </c>
      <c r="N665" t="s" cm="1">
        <v>319</v>
      </c>
      <c r="O665" s="30" t="s">
        <v>308</v>
      </c>
      <c r="P665">
        <v>95</v>
      </c>
    </row>
    <row r="666" spans="1:16" ht="15" customHeight="1" x14ac:dyDescent="0.25">
      <c r="A666" t="s">
        <v>325</v>
      </c>
      <c r="N666" t="s" cm="1">
        <v>1003</v>
      </c>
      <c r="O666" s="30" t="s">
        <v>1004</v>
      </c>
      <c r="P666">
        <v>98</v>
      </c>
    </row>
    <row r="667" spans="1:16" ht="15" customHeight="1" x14ac:dyDescent="0.25">
      <c r="A667" t="s">
        <v>331</v>
      </c>
      <c r="N667" t="s" cm="1">
        <v>1003</v>
      </c>
      <c r="O667" s="30" t="s">
        <v>247</v>
      </c>
      <c r="P667">
        <v>113</v>
      </c>
    </row>
    <row r="668" spans="1:16" ht="15" customHeight="1" x14ac:dyDescent="0.25">
      <c r="A668" t="s">
        <v>331</v>
      </c>
      <c r="N668" t="s" cm="1">
        <v>1003</v>
      </c>
      <c r="O668" s="30" t="s">
        <v>319</v>
      </c>
      <c r="P668">
        <v>143</v>
      </c>
    </row>
    <row r="669" spans="1:16" ht="15" customHeight="1" x14ac:dyDescent="0.25">
      <c r="A669" t="s">
        <v>337</v>
      </c>
      <c r="N669" t="s" cm="1">
        <v>1025</v>
      </c>
      <c r="O669" s="30" t="s">
        <v>207</v>
      </c>
      <c r="P669">
        <v>177</v>
      </c>
    </row>
    <row r="670" spans="1:16" ht="15" customHeight="1" x14ac:dyDescent="0.25">
      <c r="A670" t="s">
        <v>316</v>
      </c>
      <c r="N670" t="s" cm="1">
        <v>316</v>
      </c>
      <c r="O670" s="30" t="s">
        <v>295</v>
      </c>
      <c r="P670">
        <v>184</v>
      </c>
    </row>
    <row r="671" spans="1:16" ht="15" customHeight="1" x14ac:dyDescent="0.25">
      <c r="A671" t="s">
        <v>316</v>
      </c>
      <c r="N671" t="s" cm="1">
        <v>316</v>
      </c>
      <c r="O671" s="30" t="s">
        <v>305</v>
      </c>
      <c r="P671">
        <v>184</v>
      </c>
    </row>
    <row r="672" spans="1:16" ht="15" customHeight="1" x14ac:dyDescent="0.25">
      <c r="A672" t="s">
        <v>358</v>
      </c>
      <c r="N672" t="s" cm="1">
        <v>358</v>
      </c>
      <c r="O672" s="30" t="s">
        <v>228</v>
      </c>
      <c r="P672">
        <v>320</v>
      </c>
    </row>
    <row r="673" spans="1:16" ht="15" customHeight="1" x14ac:dyDescent="0.25">
      <c r="A673" t="s">
        <v>364</v>
      </c>
      <c r="N673" t="s" cm="1">
        <v>1115</v>
      </c>
      <c r="O673" s="30" t="s">
        <v>273</v>
      </c>
      <c r="P673">
        <v>371</v>
      </c>
    </row>
    <row r="674" spans="1:16" ht="15" customHeight="1" x14ac:dyDescent="0.25">
      <c r="A674" t="s">
        <v>364</v>
      </c>
      <c r="N674" t="s" cm="1">
        <v>1115</v>
      </c>
      <c r="O674" s="30" t="s">
        <v>254</v>
      </c>
      <c r="P674">
        <v>459</v>
      </c>
    </row>
    <row r="675" spans="1:16" ht="15" customHeight="1" x14ac:dyDescent="0.25">
      <c r="A675" t="s">
        <v>364</v>
      </c>
      <c r="N675" t="s" cm="1">
        <v>1115</v>
      </c>
      <c r="O675" s="30" t="s">
        <v>71</v>
      </c>
      <c r="P675">
        <v>7623</v>
      </c>
    </row>
    <row r="676" spans="1:16" ht="15" customHeight="1" x14ac:dyDescent="0.25">
      <c r="A676" t="s">
        <v>364</v>
      </c>
      <c r="N676" t="s" cm="1">
        <v>1115</v>
      </c>
    </row>
    <row r="677" spans="1:16" ht="15" customHeight="1" x14ac:dyDescent="0.25">
      <c r="A677" t="s">
        <v>367</v>
      </c>
      <c r="N677" t="s" cm="1">
        <v>367</v>
      </c>
    </row>
    <row r="678" spans="1:16" ht="15" customHeight="1" x14ac:dyDescent="0.25">
      <c r="A678" t="s">
        <v>290</v>
      </c>
      <c r="N678" t="s" cm="1">
        <v>290</v>
      </c>
    </row>
    <row r="679" spans="1:16" ht="15" customHeight="1" x14ac:dyDescent="0.25">
      <c r="A679" t="s">
        <v>375</v>
      </c>
      <c r="N679" t="s" cm="1">
        <v>1025</v>
      </c>
    </row>
    <row r="680" spans="1:16" ht="15" customHeight="1" x14ac:dyDescent="0.25">
      <c r="A680" t="s">
        <v>375</v>
      </c>
      <c r="N680" t="s" cm="1">
        <v>1025</v>
      </c>
    </row>
    <row r="681" spans="1:16" ht="15" customHeight="1" x14ac:dyDescent="0.25">
      <c r="A681" t="s">
        <v>381</v>
      </c>
      <c r="N681" t="s" cm="1">
        <v>1003</v>
      </c>
    </row>
    <row r="682" spans="1:16" ht="15" customHeight="1" x14ac:dyDescent="0.25">
      <c r="A682" t="s">
        <v>381</v>
      </c>
      <c r="N682" t="s" cm="1">
        <v>1003</v>
      </c>
    </row>
    <row r="683" spans="1:16" ht="15" customHeight="1" x14ac:dyDescent="0.25">
      <c r="A683" t="s">
        <v>385</v>
      </c>
      <c r="N683" t="s" cm="1">
        <v>1071</v>
      </c>
    </row>
    <row r="684" spans="1:16" ht="15" customHeight="1" x14ac:dyDescent="0.25">
      <c r="A684" t="s">
        <v>385</v>
      </c>
      <c r="N684" t="s" cm="1">
        <v>1071</v>
      </c>
    </row>
    <row r="685" spans="1:16" ht="15" customHeight="1" x14ac:dyDescent="0.25">
      <c r="A685" t="s">
        <v>385</v>
      </c>
      <c r="N685" t="s" cm="1">
        <v>1071</v>
      </c>
    </row>
    <row r="686" spans="1:16" ht="15" customHeight="1" x14ac:dyDescent="0.25">
      <c r="A686" t="s">
        <v>385</v>
      </c>
      <c r="N686" t="s" cm="1">
        <v>1071</v>
      </c>
    </row>
    <row r="687" spans="1:16" ht="15" customHeight="1" x14ac:dyDescent="0.25">
      <c r="A687" t="s">
        <v>385</v>
      </c>
      <c r="N687" t="s" cm="1">
        <v>1071</v>
      </c>
    </row>
    <row r="688" spans="1:16" ht="15" customHeight="1" x14ac:dyDescent="0.25">
      <c r="A688" t="s">
        <v>385</v>
      </c>
      <c r="N688" t="s" cm="1">
        <v>1071</v>
      </c>
    </row>
    <row r="689" spans="1:14" ht="15" customHeight="1" x14ac:dyDescent="0.25">
      <c r="A689" t="s">
        <v>385</v>
      </c>
      <c r="N689" t="s" cm="1">
        <v>1071</v>
      </c>
    </row>
    <row r="690" spans="1:14" ht="15" customHeight="1" x14ac:dyDescent="0.25">
      <c r="A690" t="s">
        <v>385</v>
      </c>
      <c r="N690" t="s" cm="1">
        <v>1071</v>
      </c>
    </row>
    <row r="691" spans="1:14" ht="15" customHeight="1" x14ac:dyDescent="0.25">
      <c r="A691" t="s">
        <v>391</v>
      </c>
      <c r="N691" t="s" cm="1">
        <v>1117</v>
      </c>
    </row>
    <row r="692" spans="1:14" ht="15" customHeight="1" x14ac:dyDescent="0.25">
      <c r="A692" t="s">
        <v>231</v>
      </c>
      <c r="N692" t="s" cm="1">
        <v>231</v>
      </c>
    </row>
    <row r="693" spans="1:14" ht="15" customHeight="1" x14ac:dyDescent="0.25">
      <c r="A693" t="s">
        <v>423</v>
      </c>
      <c r="N693" t="s" cm="1">
        <v>1120</v>
      </c>
    </row>
    <row r="694" spans="1:14" ht="15" customHeight="1" x14ac:dyDescent="0.25">
      <c r="A694" t="s">
        <v>441</v>
      </c>
      <c r="N694" t="s" cm="1">
        <v>1003</v>
      </c>
    </row>
    <row r="695" spans="1:14" ht="15" customHeight="1" x14ac:dyDescent="0.25">
      <c r="A695" t="s">
        <v>441</v>
      </c>
      <c r="N695" t="s" cm="1">
        <v>1003</v>
      </c>
    </row>
    <row r="696" spans="1:14" ht="15" customHeight="1" x14ac:dyDescent="0.25">
      <c r="A696" t="s">
        <v>441</v>
      </c>
      <c r="N696" t="s" cm="1">
        <v>1003</v>
      </c>
    </row>
    <row r="697" spans="1:14" ht="15" customHeight="1" x14ac:dyDescent="0.25">
      <c r="A697" t="s">
        <v>447</v>
      </c>
      <c r="N697" t="s" cm="1">
        <v>447</v>
      </c>
    </row>
    <row r="698" spans="1:14" ht="15" customHeight="1" x14ac:dyDescent="0.25">
      <c r="A698" t="s">
        <v>447</v>
      </c>
      <c r="N698" t="s" cm="1">
        <v>447</v>
      </c>
    </row>
    <row r="699" spans="1:14" ht="15" customHeight="1" x14ac:dyDescent="0.25">
      <c r="A699" t="s">
        <v>454</v>
      </c>
      <c r="N699" t="s" cm="1">
        <v>1031</v>
      </c>
    </row>
    <row r="700" spans="1:14" ht="15" customHeight="1" x14ac:dyDescent="0.25">
      <c r="A700" t="s">
        <v>351</v>
      </c>
      <c r="N700" t="s" cm="1">
        <v>1122</v>
      </c>
    </row>
    <row r="701" spans="1:14" ht="15" customHeight="1" x14ac:dyDescent="0.25">
      <c r="A701" t="s">
        <v>351</v>
      </c>
      <c r="N701" t="s" cm="1">
        <v>1122</v>
      </c>
    </row>
    <row r="702" spans="1:14" ht="15" customHeight="1" x14ac:dyDescent="0.25">
      <c r="A702" t="s">
        <v>463</v>
      </c>
      <c r="N702" t="s" cm="1">
        <v>1123</v>
      </c>
    </row>
    <row r="703" spans="1:14" ht="15" customHeight="1" x14ac:dyDescent="0.25">
      <c r="A703" t="s">
        <v>273</v>
      </c>
      <c r="N703" t="s" cm="1">
        <v>273</v>
      </c>
    </row>
    <row r="704" spans="1:14" ht="15" customHeight="1" x14ac:dyDescent="0.25">
      <c r="A704" t="s">
        <v>477</v>
      </c>
      <c r="N704" t="s" cm="1">
        <v>477</v>
      </c>
    </row>
    <row r="705" spans="1:14" ht="15" customHeight="1" x14ac:dyDescent="0.25">
      <c r="A705" t="s">
        <v>481</v>
      </c>
      <c r="N705" t="s" cm="1">
        <v>1003</v>
      </c>
    </row>
    <row r="706" spans="1:14" ht="15" customHeight="1" x14ac:dyDescent="0.25">
      <c r="A706" t="s">
        <v>488</v>
      </c>
      <c r="N706" t="s" cm="1">
        <v>1099</v>
      </c>
    </row>
    <row r="707" spans="1:14" ht="15" customHeight="1" x14ac:dyDescent="0.25">
      <c r="A707" t="s">
        <v>494</v>
      </c>
      <c r="N707" t="s" cm="1">
        <v>494</v>
      </c>
    </row>
    <row r="708" spans="1:14" ht="15" customHeight="1" x14ac:dyDescent="0.25">
      <c r="A708" t="s">
        <v>316</v>
      </c>
      <c r="N708" t="s" cm="1">
        <v>316</v>
      </c>
    </row>
    <row r="709" spans="1:14" ht="15" customHeight="1" x14ac:dyDescent="0.25">
      <c r="A709" t="s">
        <v>509</v>
      </c>
      <c r="N709" t="s" cm="1">
        <v>1126</v>
      </c>
    </row>
    <row r="710" spans="1:14" ht="15" customHeight="1" x14ac:dyDescent="0.25">
      <c r="A710" t="s">
        <v>231</v>
      </c>
      <c r="N710" t="s" cm="1">
        <v>231</v>
      </c>
    </row>
    <row r="711" spans="1:14" ht="15" customHeight="1" x14ac:dyDescent="0.25">
      <c r="A711" t="s">
        <v>524</v>
      </c>
      <c r="N711" t="s" cm="1">
        <v>524</v>
      </c>
    </row>
    <row r="712" spans="1:14" ht="15" customHeight="1" x14ac:dyDescent="0.25">
      <c r="A712" t="s">
        <v>533</v>
      </c>
      <c r="N712" t="s" cm="1">
        <v>1127</v>
      </c>
    </row>
    <row r="713" spans="1:14" ht="15" customHeight="1" x14ac:dyDescent="0.25">
      <c r="A713" t="s">
        <v>543</v>
      </c>
      <c r="N713" t="s" cm="1">
        <v>1081</v>
      </c>
    </row>
    <row r="714" spans="1:14" ht="15" customHeight="1" x14ac:dyDescent="0.25">
      <c r="A714" t="s">
        <v>546</v>
      </c>
      <c r="N714" t="s" cm="1">
        <v>1003</v>
      </c>
    </row>
    <row r="715" spans="1:14" ht="15" customHeight="1" x14ac:dyDescent="0.25">
      <c r="A715" t="s">
        <v>546</v>
      </c>
      <c r="N715" t="s" cm="1">
        <v>1003</v>
      </c>
    </row>
    <row r="716" spans="1:14" ht="15" customHeight="1" x14ac:dyDescent="0.25">
      <c r="A716" t="s">
        <v>504</v>
      </c>
      <c r="N716" t="s" cm="1">
        <v>1128</v>
      </c>
    </row>
    <row r="717" spans="1:14" ht="15" customHeight="1" x14ac:dyDescent="0.25">
      <c r="A717" t="s">
        <v>553</v>
      </c>
      <c r="N717" t="s" cm="1">
        <v>1003</v>
      </c>
    </row>
    <row r="718" spans="1:14" ht="15" customHeight="1" x14ac:dyDescent="0.25">
      <c r="A718" t="s">
        <v>486</v>
      </c>
      <c r="N718" t="s" cm="1">
        <v>957</v>
      </c>
    </row>
    <row r="719" spans="1:14" ht="15" customHeight="1" x14ac:dyDescent="0.25">
      <c r="A719" t="s">
        <v>339</v>
      </c>
      <c r="N719" t="s" cm="1">
        <v>1129</v>
      </c>
    </row>
    <row r="720" spans="1:14" ht="15" customHeight="1" x14ac:dyDescent="0.25">
      <c r="A720" t="s">
        <v>319</v>
      </c>
      <c r="N720" t="s" cm="1">
        <v>319</v>
      </c>
    </row>
    <row r="721" spans="1:14" ht="15" customHeight="1" x14ac:dyDescent="0.25">
      <c r="A721" t="s">
        <v>577</v>
      </c>
      <c r="N721" t="s" cm="1">
        <v>1130</v>
      </c>
    </row>
    <row r="722" spans="1:14" ht="15" customHeight="1" x14ac:dyDescent="0.25">
      <c r="A722" t="s">
        <v>577</v>
      </c>
      <c r="N722" t="s" cm="1">
        <v>1130</v>
      </c>
    </row>
    <row r="723" spans="1:14" ht="15" customHeight="1" x14ac:dyDescent="0.25">
      <c r="A723" t="s">
        <v>577</v>
      </c>
      <c r="N723" t="s" cm="1">
        <v>1130</v>
      </c>
    </row>
    <row r="724" spans="1:14" ht="15" customHeight="1" x14ac:dyDescent="0.25">
      <c r="A724" t="s">
        <v>577</v>
      </c>
      <c r="N724" t="s" cm="1">
        <v>1130</v>
      </c>
    </row>
    <row r="725" spans="1:14" ht="15" customHeight="1" x14ac:dyDescent="0.25">
      <c r="A725" t="s">
        <v>577</v>
      </c>
      <c r="N725" t="s" cm="1">
        <v>1130</v>
      </c>
    </row>
    <row r="726" spans="1:14" ht="15" customHeight="1" x14ac:dyDescent="0.25">
      <c r="A726" t="s">
        <v>577</v>
      </c>
      <c r="N726" t="s" cm="1">
        <v>1130</v>
      </c>
    </row>
    <row r="727" spans="1:14" ht="15" customHeight="1" x14ac:dyDescent="0.25">
      <c r="A727" t="s">
        <v>408</v>
      </c>
      <c r="N727" t="s" cm="1">
        <v>1133</v>
      </c>
    </row>
    <row r="728" spans="1:14" ht="15" customHeight="1" x14ac:dyDescent="0.25">
      <c r="A728" t="s">
        <v>587</v>
      </c>
      <c r="N728" t="s" cm="1">
        <v>286</v>
      </c>
    </row>
    <row r="729" spans="1:14" ht="15" customHeight="1" x14ac:dyDescent="0.25">
      <c r="A729" t="s">
        <v>595</v>
      </c>
      <c r="N729" t="s" cm="1">
        <v>1134</v>
      </c>
    </row>
    <row r="730" spans="1:14" ht="15" customHeight="1" x14ac:dyDescent="0.25">
      <c r="A730" t="s">
        <v>603</v>
      </c>
      <c r="N730" t="s" cm="1">
        <v>603</v>
      </c>
    </row>
    <row r="731" spans="1:14" ht="15" customHeight="1" x14ac:dyDescent="0.25">
      <c r="A731" t="s">
        <v>608</v>
      </c>
      <c r="N731" t="s" cm="1">
        <v>1136</v>
      </c>
    </row>
    <row r="732" spans="1:14" ht="15" customHeight="1" x14ac:dyDescent="0.25">
      <c r="A732" t="s">
        <v>273</v>
      </c>
      <c r="N732" t="s" cm="1">
        <v>273</v>
      </c>
    </row>
    <row r="733" spans="1:14" ht="15" customHeight="1" x14ac:dyDescent="0.25">
      <c r="A733" t="s">
        <v>626</v>
      </c>
      <c r="N733" t="s" cm="1">
        <v>1137</v>
      </c>
    </row>
    <row r="734" spans="1:14" ht="15" customHeight="1" x14ac:dyDescent="0.25">
      <c r="A734" t="s">
        <v>635</v>
      </c>
      <c r="N734" t="s" cm="1">
        <v>1096</v>
      </c>
    </row>
    <row r="735" spans="1:14" ht="15" customHeight="1" x14ac:dyDescent="0.25">
      <c r="A735" t="s">
        <v>350</v>
      </c>
      <c r="N735" t="s" cm="1">
        <v>1003</v>
      </c>
    </row>
    <row r="736" spans="1:14" ht="15" customHeight="1" x14ac:dyDescent="0.25">
      <c r="A736" t="s">
        <v>644</v>
      </c>
      <c r="N736" t="s" cm="1">
        <v>1139</v>
      </c>
    </row>
    <row r="737" spans="1:14" ht="15" customHeight="1" x14ac:dyDescent="0.25">
      <c r="A737" t="s">
        <v>650</v>
      </c>
      <c r="N737" t="s" cm="1">
        <v>1140</v>
      </c>
    </row>
    <row r="738" spans="1:14" ht="15" customHeight="1" x14ac:dyDescent="0.25">
      <c r="A738" t="s">
        <v>657</v>
      </c>
      <c r="N738" t="s" cm="1">
        <v>1102</v>
      </c>
    </row>
    <row r="739" spans="1:14" ht="15" customHeight="1" x14ac:dyDescent="0.25">
      <c r="A739" t="s">
        <v>657</v>
      </c>
      <c r="N739" t="s" cm="1">
        <v>1102</v>
      </c>
    </row>
    <row r="740" spans="1:14" ht="15" customHeight="1" x14ac:dyDescent="0.25">
      <c r="A740" t="s">
        <v>657</v>
      </c>
      <c r="N740" t="s" cm="1">
        <v>1102</v>
      </c>
    </row>
    <row r="741" spans="1:14" ht="15" customHeight="1" x14ac:dyDescent="0.25">
      <c r="A741" t="s">
        <v>581</v>
      </c>
      <c r="N741" t="s" cm="1">
        <v>1142</v>
      </c>
    </row>
    <row r="742" spans="1:14" ht="15" customHeight="1" x14ac:dyDescent="0.25">
      <c r="A742" t="s">
        <v>669</v>
      </c>
      <c r="N742" t="s" cm="1">
        <v>1143</v>
      </c>
    </row>
    <row r="743" spans="1:14" ht="15" customHeight="1" x14ac:dyDescent="0.25">
      <c r="A743" t="s">
        <v>674</v>
      </c>
      <c r="N743" t="s" cm="1">
        <v>1094</v>
      </c>
    </row>
    <row r="744" spans="1:14" ht="15" customHeight="1" x14ac:dyDescent="0.25">
      <c r="A744" t="s">
        <v>372</v>
      </c>
      <c r="N744" t="s" cm="1">
        <v>372</v>
      </c>
    </row>
    <row r="745" spans="1:14" ht="15" customHeight="1" x14ac:dyDescent="0.25">
      <c r="A745" t="s">
        <v>689</v>
      </c>
      <c r="N745" t="s" cm="1">
        <v>1122</v>
      </c>
    </row>
    <row r="746" spans="1:14" ht="15" customHeight="1" x14ac:dyDescent="0.25">
      <c r="A746" t="s">
        <v>689</v>
      </c>
      <c r="N746" t="s" cm="1">
        <v>1122</v>
      </c>
    </row>
    <row r="747" spans="1:14" ht="15" customHeight="1" x14ac:dyDescent="0.25">
      <c r="A747" t="s">
        <v>695</v>
      </c>
      <c r="N747" t="s" cm="1">
        <v>249</v>
      </c>
    </row>
    <row r="748" spans="1:14" ht="15" customHeight="1" x14ac:dyDescent="0.25">
      <c r="A748" t="s">
        <v>701</v>
      </c>
      <c r="N748" t="s" cm="1">
        <v>1025</v>
      </c>
    </row>
    <row r="749" spans="1:14" ht="15" customHeight="1" x14ac:dyDescent="0.25">
      <c r="A749" t="s">
        <v>711</v>
      </c>
      <c r="N749" t="s" cm="1">
        <v>1148</v>
      </c>
    </row>
    <row r="750" spans="1:14" ht="15" customHeight="1" x14ac:dyDescent="0.25">
      <c r="A750" t="s">
        <v>711</v>
      </c>
      <c r="N750" t="s" cm="1">
        <v>1148</v>
      </c>
    </row>
    <row r="751" spans="1:14" ht="15" customHeight="1" x14ac:dyDescent="0.25">
      <c r="A751" t="s">
        <v>717</v>
      </c>
      <c r="N751" t="s" cm="1">
        <v>717</v>
      </c>
    </row>
    <row r="752" spans="1:14" ht="15" customHeight="1" x14ac:dyDescent="0.25">
      <c r="A752" t="s">
        <v>717</v>
      </c>
      <c r="N752" t="s" cm="1">
        <v>717</v>
      </c>
    </row>
    <row r="753" spans="1:14" ht="15" customHeight="1" x14ac:dyDescent="0.25">
      <c r="A753" t="s">
        <v>717</v>
      </c>
      <c r="N753" t="s" cm="1">
        <v>717</v>
      </c>
    </row>
    <row r="754" spans="1:14" ht="15" customHeight="1" x14ac:dyDescent="0.25">
      <c r="A754" t="s">
        <v>724</v>
      </c>
      <c r="N754" t="s" cm="1">
        <v>1149</v>
      </c>
    </row>
    <row r="755" spans="1:14" ht="15" customHeight="1" x14ac:dyDescent="0.25">
      <c r="A755" t="s">
        <v>729</v>
      </c>
      <c r="N755" t="s" cm="1">
        <v>249</v>
      </c>
    </row>
    <row r="756" spans="1:14" ht="15" customHeight="1" x14ac:dyDescent="0.25">
      <c r="A756" t="s">
        <v>735</v>
      </c>
      <c r="N756" t="s" cm="1">
        <v>249</v>
      </c>
    </row>
    <row r="757" spans="1:14" ht="15" customHeight="1" x14ac:dyDescent="0.25">
      <c r="A757" t="s">
        <v>735</v>
      </c>
      <c r="N757" t="s" cm="1">
        <v>249</v>
      </c>
    </row>
    <row r="758" spans="1:14" ht="15" customHeight="1" x14ac:dyDescent="0.25">
      <c r="A758" t="s">
        <v>735</v>
      </c>
      <c r="N758" t="s" cm="1">
        <v>249</v>
      </c>
    </row>
    <row r="759" spans="1:14" ht="15" customHeight="1" x14ac:dyDescent="0.25">
      <c r="A759" t="s">
        <v>273</v>
      </c>
      <c r="N759" t="s" cm="1">
        <v>273</v>
      </c>
    </row>
    <row r="760" spans="1:14" ht="15" customHeight="1" x14ac:dyDescent="0.25">
      <c r="A760" t="s">
        <v>273</v>
      </c>
      <c r="N760" t="s" cm="1">
        <v>273</v>
      </c>
    </row>
    <row r="761" spans="1:14" ht="15" customHeight="1" x14ac:dyDescent="0.25">
      <c r="A761" t="s">
        <v>273</v>
      </c>
      <c r="N761" t="s" cm="1">
        <v>273</v>
      </c>
    </row>
    <row r="762" spans="1:14" ht="15" customHeight="1" x14ac:dyDescent="0.25">
      <c r="A762" t="s">
        <v>748</v>
      </c>
      <c r="N762" t="s" cm="1">
        <v>254</v>
      </c>
    </row>
    <row r="763" spans="1:14" ht="15" customHeight="1" x14ac:dyDescent="0.25">
      <c r="A763" t="s">
        <v>748</v>
      </c>
      <c r="N763" t="s" cm="1">
        <v>254</v>
      </c>
    </row>
    <row r="764" spans="1:14" ht="15" customHeight="1" x14ac:dyDescent="0.25">
      <c r="A764" t="s">
        <v>717</v>
      </c>
      <c r="N764" t="s" cm="1">
        <v>717</v>
      </c>
    </row>
    <row r="765" spans="1:14" ht="15" customHeight="1" x14ac:dyDescent="0.25">
      <c r="A765" t="s">
        <v>349</v>
      </c>
      <c r="N765" t="s" cm="1">
        <v>349</v>
      </c>
    </row>
    <row r="766" spans="1:14" ht="15" customHeight="1" x14ac:dyDescent="0.25">
      <c r="A766" t="s">
        <v>761</v>
      </c>
      <c r="N766" t="s" cm="1">
        <v>319</v>
      </c>
    </row>
    <row r="767" spans="1:14" ht="15" customHeight="1" x14ac:dyDescent="0.25">
      <c r="A767" t="s">
        <v>764</v>
      </c>
      <c r="N767" t="s" cm="1">
        <v>764</v>
      </c>
    </row>
    <row r="768" spans="1:14" ht="15" customHeight="1" x14ac:dyDescent="0.25">
      <c r="A768" t="s">
        <v>772</v>
      </c>
      <c r="N768" t="s" cm="1">
        <v>1151</v>
      </c>
    </row>
    <row r="769" spans="1:14" ht="15" customHeight="1" x14ac:dyDescent="0.25">
      <c r="A769" t="s">
        <v>480</v>
      </c>
      <c r="N769" t="s" cm="1">
        <v>480</v>
      </c>
    </row>
    <row r="770" spans="1:14" ht="15" customHeight="1" x14ac:dyDescent="0.25">
      <c r="A770" t="s">
        <v>273</v>
      </c>
      <c r="N770" t="s" cm="1">
        <v>273</v>
      </c>
    </row>
    <row r="771" spans="1:14" ht="15" customHeight="1" x14ac:dyDescent="0.25">
      <c r="A771" t="s">
        <v>273</v>
      </c>
      <c r="N771" t="s" cm="1">
        <v>273</v>
      </c>
    </row>
    <row r="772" spans="1:14" ht="15" customHeight="1" x14ac:dyDescent="0.25">
      <c r="A772" t="s">
        <v>480</v>
      </c>
      <c r="N772" t="s" cm="1">
        <v>480</v>
      </c>
    </row>
    <row r="773" spans="1:14" ht="15" customHeight="1" x14ac:dyDescent="0.25">
      <c r="A773" t="s">
        <v>777</v>
      </c>
      <c r="N773" t="s" cm="1">
        <v>777</v>
      </c>
    </row>
    <row r="774" spans="1:14" ht="15" customHeight="1" x14ac:dyDescent="0.25">
      <c r="A774" t="s">
        <v>784</v>
      </c>
      <c r="N774" t="s" cm="1">
        <v>784</v>
      </c>
    </row>
    <row r="775" spans="1:14" ht="15" customHeight="1" x14ac:dyDescent="0.25">
      <c r="A775" t="s">
        <v>789</v>
      </c>
      <c r="N775" t="s" cm="1">
        <v>789</v>
      </c>
    </row>
    <row r="776" spans="1:14" ht="15" customHeight="1" x14ac:dyDescent="0.25">
      <c r="A776" t="s">
        <v>802</v>
      </c>
      <c r="N776" t="s" cm="1">
        <v>806</v>
      </c>
    </row>
    <row r="777" spans="1:14" ht="15" customHeight="1" x14ac:dyDescent="0.25">
      <c r="A777" t="s">
        <v>812</v>
      </c>
      <c r="N777" t="s" cm="1">
        <v>812</v>
      </c>
    </row>
    <row r="778" spans="1:14" ht="15" customHeight="1" x14ac:dyDescent="0.25">
      <c r="A778" t="s">
        <v>821</v>
      </c>
      <c r="N778" t="s" cm="1">
        <v>821</v>
      </c>
    </row>
    <row r="779" spans="1:14" ht="15" customHeight="1" x14ac:dyDescent="0.25">
      <c r="A779" t="s">
        <v>821</v>
      </c>
      <c r="N779" t="s" cm="1">
        <v>821</v>
      </c>
    </row>
    <row r="780" spans="1:14" ht="15" customHeight="1" x14ac:dyDescent="0.25">
      <c r="A780" t="s">
        <v>821</v>
      </c>
      <c r="N780" t="s" cm="1">
        <v>821</v>
      </c>
    </row>
    <row r="781" spans="1:14" ht="15" customHeight="1" x14ac:dyDescent="0.25">
      <c r="A781" t="s">
        <v>824</v>
      </c>
      <c r="N781" t="s" cm="1">
        <v>286</v>
      </c>
    </row>
    <row r="782" spans="1:14" ht="15" customHeight="1" x14ac:dyDescent="0.25">
      <c r="A782" t="s">
        <v>828</v>
      </c>
      <c r="N782" t="s" cm="1">
        <v>215</v>
      </c>
    </row>
    <row r="783" spans="1:14" ht="15" customHeight="1" x14ac:dyDescent="0.25">
      <c r="A783" t="s">
        <v>828</v>
      </c>
      <c r="N783" t="s" cm="1">
        <v>215</v>
      </c>
    </row>
    <row r="784" spans="1:14" ht="15" customHeight="1" x14ac:dyDescent="0.25">
      <c r="A784" t="s">
        <v>835</v>
      </c>
      <c r="N784" t="s" cm="1">
        <v>835</v>
      </c>
    </row>
    <row r="785" spans="1:14" ht="15" customHeight="1" x14ac:dyDescent="0.25">
      <c r="A785" t="s">
        <v>524</v>
      </c>
      <c r="N785" t="s" cm="1">
        <v>524</v>
      </c>
    </row>
    <row r="786" spans="1:14" ht="15" customHeight="1" x14ac:dyDescent="0.25">
      <c r="A786" t="s">
        <v>524</v>
      </c>
      <c r="N786" t="s" cm="1">
        <v>524</v>
      </c>
    </row>
    <row r="787" spans="1:14" ht="15" customHeight="1" x14ac:dyDescent="0.25">
      <c r="A787" t="s">
        <v>847</v>
      </c>
      <c r="N787" t="s" cm="1">
        <v>978</v>
      </c>
    </row>
    <row r="788" spans="1:14" ht="15" customHeight="1" x14ac:dyDescent="0.25">
      <c r="A788" t="s">
        <v>273</v>
      </c>
      <c r="N788" t="s" cm="1">
        <v>273</v>
      </c>
    </row>
    <row r="789" spans="1:14" ht="15" customHeight="1" x14ac:dyDescent="0.25">
      <c r="A789" t="s">
        <v>855</v>
      </c>
      <c r="N789" t="s" cm="1">
        <v>855</v>
      </c>
    </row>
    <row r="790" spans="1:14" ht="15" customHeight="1" x14ac:dyDescent="0.25">
      <c r="A790" t="s">
        <v>862</v>
      </c>
      <c r="N790" t="s" cm="1">
        <v>865</v>
      </c>
    </row>
    <row r="791" spans="1:14" ht="15" customHeight="1" x14ac:dyDescent="0.25">
      <c r="A791" t="s">
        <v>873</v>
      </c>
      <c r="N791" t="s" cm="1">
        <v>873</v>
      </c>
    </row>
    <row r="792" spans="1:14" ht="15" customHeight="1" x14ac:dyDescent="0.25">
      <c r="A792" t="s">
        <v>878</v>
      </c>
      <c r="N792" t="s" cm="1">
        <v>878</v>
      </c>
    </row>
    <row r="793" spans="1:14" ht="15" customHeight="1" x14ac:dyDescent="0.25">
      <c r="A793" t="s">
        <v>273</v>
      </c>
      <c r="N793" t="s" cm="1">
        <v>273</v>
      </c>
    </row>
    <row r="794" spans="1:14" ht="15" customHeight="1" x14ac:dyDescent="0.25">
      <c r="A794" t="s">
        <v>890</v>
      </c>
      <c r="N794" t="s" cm="1">
        <v>890</v>
      </c>
    </row>
    <row r="795" spans="1:14" ht="15" customHeight="1" x14ac:dyDescent="0.25">
      <c r="A795" t="s">
        <v>742</v>
      </c>
      <c r="N795" t="s" cm="1">
        <v>685</v>
      </c>
    </row>
    <row r="796" spans="1:14" ht="15" customHeight="1" x14ac:dyDescent="0.25">
      <c r="A796" t="s">
        <v>742</v>
      </c>
      <c r="N796" t="s" cm="1">
        <v>685</v>
      </c>
    </row>
    <row r="797" spans="1:14" ht="15" customHeight="1" x14ac:dyDescent="0.25">
      <c r="A797" t="s">
        <v>1274</v>
      </c>
      <c r="N797" t="s" cm="1">
        <v>719</v>
      </c>
    </row>
    <row r="798" spans="1:14" ht="15" customHeight="1" x14ac:dyDescent="0.25">
      <c r="A798" t="s">
        <v>1279</v>
      </c>
      <c r="N798" t="s" cm="1">
        <v>1279</v>
      </c>
    </row>
    <row r="799" spans="1:14" ht="15" customHeight="1" x14ac:dyDescent="0.25">
      <c r="A799" t="s">
        <v>1290</v>
      </c>
      <c r="N799" t="s" cm="1">
        <v>1290</v>
      </c>
    </row>
    <row r="800" spans="1:14" ht="15" customHeight="1" x14ac:dyDescent="0.25">
      <c r="A800" t="s">
        <v>452</v>
      </c>
      <c r="N800" t="s" cm="1">
        <v>452</v>
      </c>
    </row>
    <row r="801" spans="1:14" ht="15" customHeight="1" x14ac:dyDescent="0.25">
      <c r="A801" t="s">
        <v>316</v>
      </c>
      <c r="N801" t="s" cm="1">
        <v>316</v>
      </c>
    </row>
    <row r="802" spans="1:14" ht="15" customHeight="1" x14ac:dyDescent="0.25">
      <c r="A802" t="s">
        <v>694</v>
      </c>
      <c r="N802" t="s" cm="1">
        <v>319</v>
      </c>
    </row>
    <row r="803" spans="1:14" ht="15" customHeight="1" x14ac:dyDescent="0.25">
      <c r="A803" t="s">
        <v>273</v>
      </c>
      <c r="N803" t="s" cm="1">
        <v>273</v>
      </c>
    </row>
    <row r="804" spans="1:14" ht="15" customHeight="1" x14ac:dyDescent="0.25">
      <c r="A804" t="s">
        <v>266</v>
      </c>
      <c r="N804" t="s" cm="1">
        <v>266</v>
      </c>
    </row>
    <row r="805" spans="1:14" ht="15" customHeight="1" x14ac:dyDescent="0.25">
      <c r="A805" t="s">
        <v>247</v>
      </c>
      <c r="N805" t="s" cm="1">
        <v>247</v>
      </c>
    </row>
    <row r="806" spans="1:14" ht="15" customHeight="1" x14ac:dyDescent="0.25">
      <c r="A806" t="s">
        <v>247</v>
      </c>
      <c r="N806" t="s" cm="1">
        <v>247</v>
      </c>
    </row>
    <row r="807" spans="1:14" ht="15" customHeight="1" x14ac:dyDescent="0.25">
      <c r="A807" t="s">
        <v>326</v>
      </c>
      <c r="N807" t="s" cm="1">
        <v>1071</v>
      </c>
    </row>
    <row r="808" spans="1:14" ht="15" customHeight="1" x14ac:dyDescent="0.25">
      <c r="A808" t="s">
        <v>332</v>
      </c>
      <c r="N808" t="s" cm="1">
        <v>1065</v>
      </c>
    </row>
    <row r="809" spans="1:14" ht="15" customHeight="1" x14ac:dyDescent="0.25">
      <c r="A809" t="s">
        <v>332</v>
      </c>
      <c r="N809" t="s" cm="1">
        <v>1065</v>
      </c>
    </row>
    <row r="810" spans="1:14" ht="15" customHeight="1" x14ac:dyDescent="0.25">
      <c r="A810" t="s">
        <v>338</v>
      </c>
      <c r="N810" t="s" cm="1">
        <v>1003</v>
      </c>
    </row>
    <row r="811" spans="1:14" ht="15" customHeight="1" x14ac:dyDescent="0.25">
      <c r="A811" t="s">
        <v>348</v>
      </c>
      <c r="N811" t="s" cm="1">
        <v>896</v>
      </c>
    </row>
    <row r="812" spans="1:14" ht="15" customHeight="1" x14ac:dyDescent="0.25">
      <c r="A812" t="s">
        <v>348</v>
      </c>
      <c r="N812" t="s" cm="1">
        <v>896</v>
      </c>
    </row>
    <row r="813" spans="1:14" ht="15" customHeight="1" x14ac:dyDescent="0.25">
      <c r="A813" t="s">
        <v>359</v>
      </c>
      <c r="N813" t="s" cm="1">
        <v>1157</v>
      </c>
    </row>
    <row r="814" spans="1:14" ht="15" customHeight="1" x14ac:dyDescent="0.25">
      <c r="A814" t="s">
        <v>365</v>
      </c>
      <c r="N814" t="s" cm="1">
        <v>1159</v>
      </c>
    </row>
    <row r="815" spans="1:14" ht="15" customHeight="1" x14ac:dyDescent="0.25">
      <c r="A815" t="s">
        <v>365</v>
      </c>
      <c r="N815" t="s" cm="1">
        <v>1159</v>
      </c>
    </row>
    <row r="816" spans="1:14" ht="15" customHeight="1" x14ac:dyDescent="0.25">
      <c r="A816" t="s">
        <v>365</v>
      </c>
      <c r="N816" t="s" cm="1">
        <v>1159</v>
      </c>
    </row>
    <row r="817" spans="1:14" ht="15" customHeight="1" x14ac:dyDescent="0.25">
      <c r="A817" t="s">
        <v>365</v>
      </c>
      <c r="N817" t="s" cm="1">
        <v>1159</v>
      </c>
    </row>
    <row r="818" spans="1:14" ht="15" customHeight="1" x14ac:dyDescent="0.25">
      <c r="A818" t="s">
        <v>330</v>
      </c>
      <c r="N818" t="s" cm="1">
        <v>1003</v>
      </c>
    </row>
    <row r="819" spans="1:14" ht="15" customHeight="1" x14ac:dyDescent="0.25">
      <c r="A819" t="s">
        <v>376</v>
      </c>
      <c r="N819" t="s" cm="1">
        <v>1160</v>
      </c>
    </row>
    <row r="820" spans="1:14" ht="15" customHeight="1" x14ac:dyDescent="0.25">
      <c r="A820" t="s">
        <v>376</v>
      </c>
      <c r="N820" t="s" cm="1">
        <v>1160</v>
      </c>
    </row>
    <row r="821" spans="1:14" ht="15" customHeight="1" x14ac:dyDescent="0.25">
      <c r="A821" t="s">
        <v>330</v>
      </c>
      <c r="N821" t="s" cm="1">
        <v>1003</v>
      </c>
    </row>
    <row r="822" spans="1:14" ht="15" customHeight="1" x14ac:dyDescent="0.25">
      <c r="A822" t="s">
        <v>330</v>
      </c>
      <c r="N822" t="s" cm="1">
        <v>1003</v>
      </c>
    </row>
    <row r="823" spans="1:14" ht="15" customHeight="1" x14ac:dyDescent="0.25">
      <c r="A823" t="s">
        <v>386</v>
      </c>
      <c r="N823" t="s" cm="1">
        <v>1003</v>
      </c>
    </row>
    <row r="824" spans="1:14" ht="15" customHeight="1" x14ac:dyDescent="0.25">
      <c r="A824" t="s">
        <v>386</v>
      </c>
      <c r="N824" t="s" cm="1">
        <v>1003</v>
      </c>
    </row>
    <row r="825" spans="1:14" ht="15" customHeight="1" x14ac:dyDescent="0.25">
      <c r="A825" t="s">
        <v>386</v>
      </c>
      <c r="N825" t="s" cm="1">
        <v>1003</v>
      </c>
    </row>
    <row r="826" spans="1:14" ht="15" customHeight="1" x14ac:dyDescent="0.25">
      <c r="A826" t="s">
        <v>386</v>
      </c>
      <c r="N826" t="s" cm="1">
        <v>1003</v>
      </c>
    </row>
    <row r="827" spans="1:14" ht="15" customHeight="1" x14ac:dyDescent="0.25">
      <c r="A827" t="s">
        <v>386</v>
      </c>
      <c r="N827" t="s" cm="1">
        <v>1003</v>
      </c>
    </row>
    <row r="828" spans="1:14" ht="15" customHeight="1" x14ac:dyDescent="0.25">
      <c r="A828" t="s">
        <v>386</v>
      </c>
      <c r="N828" t="s" cm="1">
        <v>1003</v>
      </c>
    </row>
    <row r="829" spans="1:14" ht="15" customHeight="1" x14ac:dyDescent="0.25">
      <c r="A829" t="s">
        <v>386</v>
      </c>
      <c r="N829" t="s" cm="1">
        <v>1003</v>
      </c>
    </row>
    <row r="830" spans="1:14" ht="15" customHeight="1" x14ac:dyDescent="0.25">
      <c r="A830" t="s">
        <v>386</v>
      </c>
      <c r="N830" t="s" cm="1">
        <v>1003</v>
      </c>
    </row>
    <row r="831" spans="1:14" ht="15" customHeight="1" x14ac:dyDescent="0.25">
      <c r="A831" t="s">
        <v>392</v>
      </c>
      <c r="N831" t="s" cm="1">
        <v>1161</v>
      </c>
    </row>
    <row r="832" spans="1:14" ht="15" customHeight="1" x14ac:dyDescent="0.25">
      <c r="A832" t="s">
        <v>403</v>
      </c>
      <c r="N832" t="s" cm="1">
        <v>403</v>
      </c>
    </row>
    <row r="833" spans="1:14" ht="15" customHeight="1" x14ac:dyDescent="0.25">
      <c r="A833" t="s">
        <v>424</v>
      </c>
      <c r="N833" t="s" cm="1">
        <v>1162</v>
      </c>
    </row>
    <row r="834" spans="1:14" ht="15" customHeight="1" x14ac:dyDescent="0.25">
      <c r="A834" t="s">
        <v>442</v>
      </c>
      <c r="N834" t="s" cm="1">
        <v>1065</v>
      </c>
    </row>
    <row r="835" spans="1:14" ht="15" customHeight="1" x14ac:dyDescent="0.25">
      <c r="A835" t="s">
        <v>442</v>
      </c>
      <c r="N835" t="s" cm="1">
        <v>1065</v>
      </c>
    </row>
    <row r="836" spans="1:14" ht="15" customHeight="1" x14ac:dyDescent="0.25">
      <c r="A836" t="s">
        <v>442</v>
      </c>
      <c r="N836" t="s" cm="1">
        <v>1065</v>
      </c>
    </row>
    <row r="837" spans="1:14" ht="15" customHeight="1" x14ac:dyDescent="0.25">
      <c r="A837" t="s">
        <v>273</v>
      </c>
      <c r="N837" t="s" cm="1">
        <v>273</v>
      </c>
    </row>
    <row r="838" spans="1:14" ht="15" customHeight="1" x14ac:dyDescent="0.25">
      <c r="A838" t="s">
        <v>273</v>
      </c>
      <c r="N838" t="s" cm="1">
        <v>273</v>
      </c>
    </row>
    <row r="839" spans="1:14" ht="15" customHeight="1" x14ac:dyDescent="0.25">
      <c r="A839" t="s">
        <v>455</v>
      </c>
      <c r="N839" t="s" cm="1">
        <v>1165</v>
      </c>
    </row>
    <row r="840" spans="1:14" ht="15" customHeight="1" x14ac:dyDescent="0.25">
      <c r="A840" t="s">
        <v>352</v>
      </c>
      <c r="N840" t="s" cm="1">
        <v>1065</v>
      </c>
    </row>
    <row r="841" spans="1:14" ht="15" customHeight="1" x14ac:dyDescent="0.25">
      <c r="A841" t="s">
        <v>352</v>
      </c>
      <c r="N841" t="s" cm="1">
        <v>1065</v>
      </c>
    </row>
    <row r="842" spans="1:14" ht="15" customHeight="1" x14ac:dyDescent="0.25">
      <c r="A842" t="s">
        <v>464</v>
      </c>
      <c r="N842" t="s" cm="1">
        <v>1167</v>
      </c>
    </row>
    <row r="843" spans="1:14" ht="15" customHeight="1" x14ac:dyDescent="0.25">
      <c r="A843" t="s">
        <v>472</v>
      </c>
      <c r="N843" t="s" cm="1">
        <v>1169</v>
      </c>
    </row>
    <row r="844" spans="1:14" ht="15" customHeight="1" x14ac:dyDescent="0.25">
      <c r="A844" t="s">
        <v>372</v>
      </c>
      <c r="N844" t="s" cm="1">
        <v>372</v>
      </c>
    </row>
    <row r="845" spans="1:14" ht="15" customHeight="1" x14ac:dyDescent="0.25">
      <c r="A845" t="s">
        <v>350</v>
      </c>
      <c r="N845" t="s" cm="1">
        <v>1003</v>
      </c>
    </row>
    <row r="846" spans="1:14" ht="15" customHeight="1" x14ac:dyDescent="0.25">
      <c r="A846" t="s">
        <v>489</v>
      </c>
      <c r="N846" t="s" cm="1">
        <v>489</v>
      </c>
    </row>
    <row r="847" spans="1:14" ht="15" customHeight="1" x14ac:dyDescent="0.25">
      <c r="A847" t="s">
        <v>495</v>
      </c>
      <c r="N847" t="s" cm="1">
        <v>495</v>
      </c>
    </row>
    <row r="848" spans="1:14" ht="15" customHeight="1" x14ac:dyDescent="0.25">
      <c r="A848" t="s">
        <v>372</v>
      </c>
      <c r="N848" t="s" cm="1">
        <v>372</v>
      </c>
    </row>
    <row r="849" spans="1:14" ht="15" customHeight="1" x14ac:dyDescent="0.25">
      <c r="A849" t="s">
        <v>510</v>
      </c>
      <c r="N849" t="s" cm="1">
        <v>510</v>
      </c>
    </row>
    <row r="850" spans="1:14" ht="15" customHeight="1" x14ac:dyDescent="0.25">
      <c r="A850" t="s">
        <v>518</v>
      </c>
      <c r="N850" t="s" cm="1">
        <v>518</v>
      </c>
    </row>
    <row r="851" spans="1:14" ht="15" customHeight="1" x14ac:dyDescent="0.25">
      <c r="A851" t="s">
        <v>454</v>
      </c>
      <c r="N851" t="s" cm="1">
        <v>1031</v>
      </c>
    </row>
    <row r="852" spans="1:14" ht="15" customHeight="1" x14ac:dyDescent="0.25">
      <c r="A852" t="s">
        <v>534</v>
      </c>
      <c r="N852" t="s" cm="1">
        <v>1081</v>
      </c>
    </row>
    <row r="853" spans="1:14" ht="15" customHeight="1" x14ac:dyDescent="0.25">
      <c r="A853" t="s">
        <v>281</v>
      </c>
      <c r="N853" t="s" cm="1">
        <v>281</v>
      </c>
    </row>
    <row r="854" spans="1:14" ht="15" customHeight="1" x14ac:dyDescent="0.25">
      <c r="A854" t="s">
        <v>547</v>
      </c>
      <c r="N854" t="s" cm="1">
        <v>1170</v>
      </c>
    </row>
    <row r="855" spans="1:14" ht="15" customHeight="1" x14ac:dyDescent="0.25">
      <c r="A855" t="s">
        <v>547</v>
      </c>
      <c r="N855" t="s" cm="1">
        <v>1170</v>
      </c>
    </row>
    <row r="856" spans="1:14" ht="15" customHeight="1" x14ac:dyDescent="0.25">
      <c r="A856" t="s">
        <v>319</v>
      </c>
      <c r="N856" t="s" cm="1">
        <v>319</v>
      </c>
    </row>
    <row r="857" spans="1:14" ht="15" customHeight="1" x14ac:dyDescent="0.25">
      <c r="A857" t="s">
        <v>554</v>
      </c>
      <c r="N857" t="s" cm="1">
        <v>1122</v>
      </c>
    </row>
    <row r="858" spans="1:14" ht="15" customHeight="1" x14ac:dyDescent="0.25">
      <c r="A858" t="s">
        <v>565</v>
      </c>
      <c r="N858" t="s" cm="1">
        <v>957</v>
      </c>
    </row>
    <row r="859" spans="1:14" ht="15" customHeight="1" x14ac:dyDescent="0.25">
      <c r="A859" t="s">
        <v>578</v>
      </c>
      <c r="N859" t="s" cm="1">
        <v>1096</v>
      </c>
    </row>
    <row r="860" spans="1:14" ht="15" customHeight="1" x14ac:dyDescent="0.25">
      <c r="A860" t="s">
        <v>578</v>
      </c>
      <c r="N860" t="s" cm="1">
        <v>1096</v>
      </c>
    </row>
    <row r="861" spans="1:14" ht="15" customHeight="1" x14ac:dyDescent="0.25">
      <c r="A861" t="s">
        <v>578</v>
      </c>
      <c r="N861" t="s" cm="1">
        <v>1096</v>
      </c>
    </row>
    <row r="862" spans="1:14" ht="15" customHeight="1" x14ac:dyDescent="0.25">
      <c r="A862" t="s">
        <v>578</v>
      </c>
      <c r="N862" t="s" cm="1">
        <v>1096</v>
      </c>
    </row>
    <row r="863" spans="1:14" ht="15" customHeight="1" x14ac:dyDescent="0.25">
      <c r="A863" t="s">
        <v>578</v>
      </c>
      <c r="N863" t="s" cm="1">
        <v>1096</v>
      </c>
    </row>
    <row r="864" spans="1:14" ht="15" customHeight="1" x14ac:dyDescent="0.25">
      <c r="A864" t="s">
        <v>578</v>
      </c>
      <c r="N864" t="s" cm="1">
        <v>1096</v>
      </c>
    </row>
    <row r="865" spans="1:14" ht="15" customHeight="1" x14ac:dyDescent="0.25">
      <c r="A865" t="s">
        <v>409</v>
      </c>
      <c r="N865" t="s" cm="1">
        <v>1025</v>
      </c>
    </row>
    <row r="866" spans="1:14" ht="15" customHeight="1" x14ac:dyDescent="0.25">
      <c r="A866" t="s">
        <v>588</v>
      </c>
      <c r="N866" t="s" cm="1">
        <v>254</v>
      </c>
    </row>
    <row r="867" spans="1:14" ht="15" customHeight="1" x14ac:dyDescent="0.25">
      <c r="A867" t="s">
        <v>596</v>
      </c>
      <c r="N867" t="s" cm="1">
        <v>1171</v>
      </c>
    </row>
    <row r="868" spans="1:14" ht="15" customHeight="1" x14ac:dyDescent="0.25">
      <c r="A868" t="s">
        <v>609</v>
      </c>
      <c r="N868" t="s" cm="1">
        <v>609</v>
      </c>
    </row>
    <row r="869" spans="1:14" ht="15" customHeight="1" x14ac:dyDescent="0.25">
      <c r="A869" t="s">
        <v>290</v>
      </c>
      <c r="N869" t="s" cm="1">
        <v>290</v>
      </c>
    </row>
    <row r="870" spans="1:14" ht="15" customHeight="1" x14ac:dyDescent="0.25">
      <c r="A870" t="s">
        <v>627</v>
      </c>
      <c r="N870" t="s" cm="1">
        <v>1010</v>
      </c>
    </row>
    <row r="871" spans="1:14" ht="15" customHeight="1" x14ac:dyDescent="0.25">
      <c r="A871" t="s">
        <v>470</v>
      </c>
      <c r="N871" t="s" cm="1">
        <v>470</v>
      </c>
    </row>
    <row r="872" spans="1:14" ht="15" customHeight="1" x14ac:dyDescent="0.25">
      <c r="A872" t="s">
        <v>351</v>
      </c>
      <c r="N872" t="s" cm="1">
        <v>1122</v>
      </c>
    </row>
    <row r="873" spans="1:14" ht="15" customHeight="1" x14ac:dyDescent="0.25">
      <c r="A873" t="s">
        <v>645</v>
      </c>
      <c r="N873" t="s" cm="1">
        <v>1173</v>
      </c>
    </row>
    <row r="874" spans="1:14" ht="15" customHeight="1" x14ac:dyDescent="0.25">
      <c r="A874" t="s">
        <v>651</v>
      </c>
      <c r="N874" t="s" cm="1">
        <v>1174</v>
      </c>
    </row>
    <row r="875" spans="1:14" ht="15" customHeight="1" x14ac:dyDescent="0.25">
      <c r="A875" t="s">
        <v>658</v>
      </c>
      <c r="N875" t="s" cm="1">
        <v>1176</v>
      </c>
    </row>
    <row r="876" spans="1:14" ht="15" customHeight="1" x14ac:dyDescent="0.25">
      <c r="A876" t="s">
        <v>658</v>
      </c>
      <c r="N876" t="s" cm="1">
        <v>1176</v>
      </c>
    </row>
    <row r="877" spans="1:14" ht="15" customHeight="1" x14ac:dyDescent="0.25">
      <c r="A877" t="s">
        <v>658</v>
      </c>
      <c r="N877" t="s" cm="1">
        <v>1176</v>
      </c>
    </row>
    <row r="878" spans="1:14" ht="15" customHeight="1" x14ac:dyDescent="0.25">
      <c r="A878" t="s">
        <v>583</v>
      </c>
      <c r="N878" t="s" cm="1">
        <v>1177</v>
      </c>
    </row>
    <row r="879" spans="1:14" ht="15" customHeight="1" x14ac:dyDescent="0.25">
      <c r="A879" t="s">
        <v>327</v>
      </c>
      <c r="N879" t="s" cm="1">
        <v>1177</v>
      </c>
    </row>
    <row r="880" spans="1:14" ht="15" customHeight="1" x14ac:dyDescent="0.25">
      <c r="A880" t="s">
        <v>675</v>
      </c>
      <c r="N880" t="s" cm="1">
        <v>1180</v>
      </c>
    </row>
    <row r="881" spans="1:14" ht="15" customHeight="1" x14ac:dyDescent="0.25">
      <c r="A881" t="s">
        <v>247</v>
      </c>
      <c r="N881" t="s" cm="1">
        <v>247</v>
      </c>
    </row>
    <row r="882" spans="1:14" ht="15" customHeight="1" x14ac:dyDescent="0.25">
      <c r="A882" t="s">
        <v>690</v>
      </c>
      <c r="N882" t="s" cm="1">
        <v>1122</v>
      </c>
    </row>
    <row r="883" spans="1:14" ht="15" customHeight="1" x14ac:dyDescent="0.25">
      <c r="A883" t="s">
        <v>690</v>
      </c>
      <c r="N883" t="s" cm="1">
        <v>1122</v>
      </c>
    </row>
    <row r="884" spans="1:14" ht="15" customHeight="1" x14ac:dyDescent="0.25">
      <c r="A884" t="s">
        <v>696</v>
      </c>
      <c r="N884" t="s" cm="1">
        <v>249</v>
      </c>
    </row>
    <row r="885" spans="1:14" ht="15" customHeight="1" x14ac:dyDescent="0.25">
      <c r="A885" t="s">
        <v>702</v>
      </c>
      <c r="N885" t="s" cm="1">
        <v>1003</v>
      </c>
    </row>
    <row r="886" spans="1:14" ht="15" customHeight="1" x14ac:dyDescent="0.25">
      <c r="A886" t="s">
        <v>712</v>
      </c>
      <c r="N886" t="s" cm="1">
        <v>1099</v>
      </c>
    </row>
    <row r="887" spans="1:14" ht="15" customHeight="1" x14ac:dyDescent="0.25">
      <c r="A887" t="s">
        <v>712</v>
      </c>
      <c r="N887" t="s" cm="1">
        <v>1099</v>
      </c>
    </row>
    <row r="888" spans="1:14" ht="15" customHeight="1" x14ac:dyDescent="0.25">
      <c r="A888" t="s">
        <v>718</v>
      </c>
      <c r="N888" t="s" cm="1">
        <v>718</v>
      </c>
    </row>
    <row r="889" spans="1:14" ht="15" customHeight="1" x14ac:dyDescent="0.25">
      <c r="A889" t="s">
        <v>718</v>
      </c>
      <c r="N889" t="s" cm="1">
        <v>718</v>
      </c>
    </row>
    <row r="890" spans="1:14" ht="15" customHeight="1" x14ac:dyDescent="0.25">
      <c r="A890" t="s">
        <v>718</v>
      </c>
      <c r="N890" t="s" cm="1">
        <v>718</v>
      </c>
    </row>
    <row r="891" spans="1:14" ht="15" customHeight="1" x14ac:dyDescent="0.25">
      <c r="A891" t="s">
        <v>725</v>
      </c>
      <c r="N891" t="s" cm="1">
        <v>1184</v>
      </c>
    </row>
    <row r="892" spans="1:14" ht="15" customHeight="1" x14ac:dyDescent="0.25">
      <c r="A892" t="s">
        <v>730</v>
      </c>
      <c r="N892" t="s" cm="1">
        <v>319</v>
      </c>
    </row>
    <row r="893" spans="1:14" ht="15" customHeight="1" x14ac:dyDescent="0.25">
      <c r="A893" t="s">
        <v>736</v>
      </c>
      <c r="N893" t="s" cm="1">
        <v>319</v>
      </c>
    </row>
    <row r="894" spans="1:14" ht="15" customHeight="1" x14ac:dyDescent="0.25">
      <c r="A894" t="s">
        <v>736</v>
      </c>
      <c r="N894" t="s" cm="1">
        <v>319</v>
      </c>
    </row>
    <row r="895" spans="1:14" ht="15" customHeight="1" x14ac:dyDescent="0.25">
      <c r="A895" t="s">
        <v>736</v>
      </c>
      <c r="N895" t="s" cm="1">
        <v>319</v>
      </c>
    </row>
    <row r="896" spans="1:14" ht="15" customHeight="1" x14ac:dyDescent="0.25">
      <c r="A896" t="s">
        <v>741</v>
      </c>
      <c r="N896" t="s" cm="1">
        <v>685</v>
      </c>
    </row>
    <row r="897" spans="1:14" ht="15" customHeight="1" x14ac:dyDescent="0.25">
      <c r="A897" t="s">
        <v>741</v>
      </c>
      <c r="N897" t="s" cm="1">
        <v>685</v>
      </c>
    </row>
    <row r="898" spans="1:14" ht="15" customHeight="1" x14ac:dyDescent="0.25">
      <c r="A898" t="s">
        <v>741</v>
      </c>
      <c r="N898" t="s" cm="1">
        <v>685</v>
      </c>
    </row>
    <row r="899" spans="1:14" ht="15" customHeight="1" x14ac:dyDescent="0.25">
      <c r="A899" t="s">
        <v>498</v>
      </c>
      <c r="N899" t="s" cm="1">
        <v>319</v>
      </c>
    </row>
    <row r="900" spans="1:14" ht="15" customHeight="1" x14ac:dyDescent="0.25">
      <c r="A900" t="s">
        <v>498</v>
      </c>
      <c r="N900" t="s" cm="1">
        <v>319</v>
      </c>
    </row>
    <row r="901" spans="1:14" ht="15" customHeight="1" x14ac:dyDescent="0.25">
      <c r="A901" t="s">
        <v>718</v>
      </c>
      <c r="N901" t="s" cm="1">
        <v>718</v>
      </c>
    </row>
    <row r="902" spans="1:14" ht="15" customHeight="1" x14ac:dyDescent="0.25">
      <c r="A902" t="s">
        <v>273</v>
      </c>
      <c r="N902" t="s" cm="1">
        <v>273</v>
      </c>
    </row>
    <row r="903" spans="1:14" ht="15" customHeight="1" x14ac:dyDescent="0.25">
      <c r="A903" t="s">
        <v>319</v>
      </c>
      <c r="N903" t="s" cm="1">
        <v>319</v>
      </c>
    </row>
    <row r="904" spans="1:14" ht="15" customHeight="1" x14ac:dyDescent="0.25">
      <c r="A904" t="s">
        <v>765</v>
      </c>
      <c r="N904" t="s" cm="1">
        <v>765</v>
      </c>
    </row>
    <row r="905" spans="1:14" ht="15" customHeight="1" x14ac:dyDescent="0.25">
      <c r="A905" t="s">
        <v>774</v>
      </c>
      <c r="N905" t="s" cm="1">
        <v>319</v>
      </c>
    </row>
    <row r="906" spans="1:14" ht="15" customHeight="1" x14ac:dyDescent="0.25">
      <c r="A906" t="s">
        <v>777</v>
      </c>
      <c r="N906" t="s" cm="1">
        <v>777</v>
      </c>
    </row>
    <row r="907" spans="1:14" ht="15" customHeight="1" x14ac:dyDescent="0.25">
      <c r="A907" t="s">
        <v>247</v>
      </c>
      <c r="N907" t="s" cm="1">
        <v>247</v>
      </c>
    </row>
    <row r="908" spans="1:14" ht="15" customHeight="1" x14ac:dyDescent="0.25">
      <c r="A908" t="s">
        <v>774</v>
      </c>
      <c r="N908" t="s" cm="1">
        <v>319</v>
      </c>
    </row>
    <row r="909" spans="1:14" ht="15" customHeight="1" x14ac:dyDescent="0.25">
      <c r="A909" t="s">
        <v>774</v>
      </c>
      <c r="N909" t="s" cm="1">
        <v>319</v>
      </c>
    </row>
    <row r="910" spans="1:14" ht="15" customHeight="1" x14ac:dyDescent="0.25">
      <c r="A910" t="s">
        <v>774</v>
      </c>
      <c r="N910" t="s" cm="1">
        <v>319</v>
      </c>
    </row>
    <row r="911" spans="1:14" ht="15" customHeight="1" x14ac:dyDescent="0.25">
      <c r="A911" t="s">
        <v>790</v>
      </c>
      <c r="N911" t="s" cm="1">
        <v>790</v>
      </c>
    </row>
    <row r="912" spans="1:14" ht="15" customHeight="1" x14ac:dyDescent="0.25">
      <c r="A912" t="s">
        <v>803</v>
      </c>
      <c r="N912" t="s" cm="1">
        <v>803</v>
      </c>
    </row>
    <row r="913" spans="1:14" ht="15" customHeight="1" x14ac:dyDescent="0.25">
      <c r="A913" t="s">
        <v>251</v>
      </c>
      <c r="N913" t="s" cm="1">
        <v>251</v>
      </c>
    </row>
    <row r="914" spans="1:14" ht="15" customHeight="1" x14ac:dyDescent="0.25">
      <c r="A914" t="s">
        <v>822</v>
      </c>
      <c r="N914" t="s" cm="1">
        <v>249</v>
      </c>
    </row>
    <row r="915" spans="1:14" ht="15" customHeight="1" x14ac:dyDescent="0.25">
      <c r="A915" t="s">
        <v>822</v>
      </c>
      <c r="N915" t="s" cm="1">
        <v>249</v>
      </c>
    </row>
    <row r="916" spans="1:14" ht="15" customHeight="1" x14ac:dyDescent="0.25">
      <c r="A916" t="s">
        <v>822</v>
      </c>
      <c r="N916" t="s" cm="1">
        <v>249</v>
      </c>
    </row>
    <row r="917" spans="1:14" ht="15" customHeight="1" x14ac:dyDescent="0.25">
      <c r="A917" t="s">
        <v>254</v>
      </c>
      <c r="N917" t="s" cm="1">
        <v>254</v>
      </c>
    </row>
    <row r="918" spans="1:14" ht="15" customHeight="1" x14ac:dyDescent="0.25">
      <c r="A918" t="s">
        <v>717</v>
      </c>
      <c r="N918" t="s" cm="1">
        <v>717</v>
      </c>
    </row>
    <row r="919" spans="1:14" ht="15" customHeight="1" x14ac:dyDescent="0.25">
      <c r="A919" t="s">
        <v>717</v>
      </c>
      <c r="N919" t="s" cm="1">
        <v>717</v>
      </c>
    </row>
    <row r="920" spans="1:14" ht="15" customHeight="1" x14ac:dyDescent="0.25">
      <c r="A920" t="s">
        <v>334</v>
      </c>
      <c r="N920" t="s" cm="1">
        <v>334</v>
      </c>
    </row>
    <row r="921" spans="1:14" ht="15" customHeight="1" x14ac:dyDescent="0.25">
      <c r="A921" t="s">
        <v>843</v>
      </c>
      <c r="N921" t="s" cm="1">
        <v>719</v>
      </c>
    </row>
    <row r="922" spans="1:14" ht="15" customHeight="1" x14ac:dyDescent="0.25">
      <c r="A922" t="s">
        <v>843</v>
      </c>
      <c r="N922" t="s" cm="1">
        <v>719</v>
      </c>
    </row>
    <row r="923" spans="1:14" ht="15" customHeight="1" x14ac:dyDescent="0.25">
      <c r="A923" t="s">
        <v>848</v>
      </c>
      <c r="N923" t="s" cm="1">
        <v>978</v>
      </c>
    </row>
    <row r="924" spans="1:14" ht="15" customHeight="1" x14ac:dyDescent="0.25">
      <c r="A924" t="s">
        <v>334</v>
      </c>
      <c r="N924" t="s" cm="1">
        <v>334</v>
      </c>
    </row>
    <row r="925" spans="1:14" ht="15" customHeight="1" x14ac:dyDescent="0.25">
      <c r="A925" t="s">
        <v>588</v>
      </c>
      <c r="N925" t="s" cm="1">
        <v>254</v>
      </c>
    </row>
    <row r="926" spans="1:14" ht="15" customHeight="1" x14ac:dyDescent="0.25">
      <c r="A926" t="s">
        <v>863</v>
      </c>
      <c r="N926" t="s" cm="1">
        <v>863</v>
      </c>
    </row>
    <row r="927" spans="1:14" ht="15" customHeight="1" x14ac:dyDescent="0.25">
      <c r="A927" t="s">
        <v>873</v>
      </c>
      <c r="N927" t="s" cm="1">
        <v>873</v>
      </c>
    </row>
    <row r="928" spans="1:14" ht="15" customHeight="1" x14ac:dyDescent="0.25">
      <c r="A928" t="s">
        <v>879</v>
      </c>
      <c r="N928" t="s" cm="1">
        <v>879</v>
      </c>
    </row>
    <row r="929" spans="1:14" ht="15" customHeight="1" x14ac:dyDescent="0.25">
      <c r="A929" t="s">
        <v>885</v>
      </c>
      <c r="N929" t="s" cm="1">
        <v>885</v>
      </c>
    </row>
    <row r="930" spans="1:14" ht="15" customHeight="1" x14ac:dyDescent="0.25">
      <c r="A930" t="s">
        <v>273</v>
      </c>
      <c r="N930" t="s" cm="1">
        <v>273</v>
      </c>
    </row>
    <row r="931" spans="1:14" ht="15" customHeight="1" x14ac:dyDescent="0.25">
      <c r="A931" t="s">
        <v>741</v>
      </c>
      <c r="N931" t="s" cm="1">
        <v>685</v>
      </c>
    </row>
    <row r="932" spans="1:14" ht="15" customHeight="1" x14ac:dyDescent="0.25">
      <c r="A932" t="s">
        <v>741</v>
      </c>
      <c r="N932" t="s" cm="1">
        <v>685</v>
      </c>
    </row>
    <row r="933" spans="1:14" ht="15" customHeight="1" x14ac:dyDescent="0.25">
      <c r="A933" t="s">
        <v>719</v>
      </c>
      <c r="N933" t="s" cm="1">
        <v>719</v>
      </c>
    </row>
    <row r="934" spans="1:14" ht="15" customHeight="1" x14ac:dyDescent="0.25">
      <c r="A934" t="s">
        <v>1280</v>
      </c>
      <c r="N934" t="s" cm="1">
        <v>1280</v>
      </c>
    </row>
    <row r="935" spans="1:14" ht="15" customHeight="1" x14ac:dyDescent="0.25">
      <c r="A935" t="s">
        <v>1291</v>
      </c>
      <c r="N935" t="s" cm="1">
        <v>1296</v>
      </c>
    </row>
    <row r="936" spans="1:14" ht="15" customHeight="1" x14ac:dyDescent="0.25">
      <c r="A936" t="s">
        <v>1303</v>
      </c>
      <c r="N936" t="s" cm="1">
        <v>1303</v>
      </c>
    </row>
    <row r="937" spans="1:14" ht="15" customHeight="1" x14ac:dyDescent="0.25">
      <c r="A937" t="s">
        <v>811</v>
      </c>
      <c r="N937" t="s" cm="1">
        <v>811</v>
      </c>
    </row>
    <row r="938" spans="1:14" ht="15" customHeight="1" x14ac:dyDescent="0.25">
      <c r="A938" t="s">
        <v>1319</v>
      </c>
      <c r="N938" t="s" cm="1">
        <v>319</v>
      </c>
    </row>
    <row r="939" spans="1:14" ht="15" customHeight="1" x14ac:dyDescent="0.25">
      <c r="A939" t="s">
        <v>290</v>
      </c>
      <c r="N939" t="s" cm="1">
        <v>290</v>
      </c>
    </row>
    <row r="940" spans="1:14" ht="15" customHeight="1" x14ac:dyDescent="0.25">
      <c r="A940" t="s">
        <v>1326</v>
      </c>
      <c r="N940" t="s" cm="1">
        <v>1151</v>
      </c>
    </row>
    <row r="941" spans="1:14" ht="15" customHeight="1" x14ac:dyDescent="0.25">
      <c r="A941" t="s">
        <v>1339</v>
      </c>
      <c r="N941" t="s" cm="1">
        <v>1151</v>
      </c>
    </row>
    <row r="942" spans="1:14" ht="15" customHeight="1" x14ac:dyDescent="0.25">
      <c r="A942" t="s">
        <v>1339</v>
      </c>
      <c r="N942" t="s" cm="1">
        <v>1151</v>
      </c>
    </row>
    <row r="943" spans="1:14" ht="15" customHeight="1" x14ac:dyDescent="0.25">
      <c r="A943" t="s">
        <v>327</v>
      </c>
      <c r="N943" t="s" cm="1">
        <v>1177</v>
      </c>
    </row>
    <row r="944" spans="1:14" ht="15" customHeight="1" x14ac:dyDescent="0.25">
      <c r="A944" t="s">
        <v>333</v>
      </c>
      <c r="N944" t="s" cm="1">
        <v>1065</v>
      </c>
    </row>
    <row r="945" spans="1:14" ht="15" customHeight="1" x14ac:dyDescent="0.25">
      <c r="A945" t="s">
        <v>333</v>
      </c>
      <c r="N945" t="s" cm="1">
        <v>1065</v>
      </c>
    </row>
    <row r="946" spans="1:14" ht="15" customHeight="1" x14ac:dyDescent="0.25">
      <c r="A946" t="s">
        <v>339</v>
      </c>
      <c r="N946" t="s" cm="1">
        <v>1129</v>
      </c>
    </row>
    <row r="947" spans="1:14" ht="15" customHeight="1" x14ac:dyDescent="0.25">
      <c r="A947" t="s">
        <v>349</v>
      </c>
      <c r="N947" t="s" cm="1">
        <v>349</v>
      </c>
    </row>
    <row r="948" spans="1:14" ht="15" customHeight="1" x14ac:dyDescent="0.25">
      <c r="A948" t="s">
        <v>349</v>
      </c>
      <c r="N948" t="s" cm="1">
        <v>349</v>
      </c>
    </row>
    <row r="949" spans="1:14" ht="15" customHeight="1" x14ac:dyDescent="0.25">
      <c r="A949" t="s">
        <v>366</v>
      </c>
      <c r="N949" t="s" cm="1">
        <v>1186</v>
      </c>
    </row>
    <row r="950" spans="1:14" ht="15" customHeight="1" x14ac:dyDescent="0.25">
      <c r="A950" t="s">
        <v>366</v>
      </c>
      <c r="N950" t="s" cm="1">
        <v>1186</v>
      </c>
    </row>
    <row r="951" spans="1:14" ht="15" customHeight="1" x14ac:dyDescent="0.25">
      <c r="A951" t="s">
        <v>366</v>
      </c>
      <c r="N951" t="s" cm="1">
        <v>1186</v>
      </c>
    </row>
    <row r="952" spans="1:14" ht="15" customHeight="1" x14ac:dyDescent="0.25">
      <c r="A952" t="s">
        <v>366</v>
      </c>
      <c r="N952" t="s" cm="1">
        <v>1186</v>
      </c>
    </row>
    <row r="953" spans="1:14" ht="15" customHeight="1" x14ac:dyDescent="0.25">
      <c r="A953" t="s">
        <v>333</v>
      </c>
      <c r="N953" t="s" cm="1">
        <v>1065</v>
      </c>
    </row>
    <row r="954" spans="1:14" ht="15" customHeight="1" x14ac:dyDescent="0.25">
      <c r="A954" t="s">
        <v>377</v>
      </c>
      <c r="N954" t="s" cm="1">
        <v>1065</v>
      </c>
    </row>
    <row r="955" spans="1:14" ht="15" customHeight="1" x14ac:dyDescent="0.25">
      <c r="A955" t="s">
        <v>377</v>
      </c>
      <c r="N955" t="s" cm="1">
        <v>1065</v>
      </c>
    </row>
    <row r="956" spans="1:14" ht="15" customHeight="1" x14ac:dyDescent="0.25">
      <c r="A956" t="s">
        <v>382</v>
      </c>
      <c r="N956" t="s" cm="1">
        <v>1065</v>
      </c>
    </row>
    <row r="957" spans="1:14" ht="15" customHeight="1" x14ac:dyDescent="0.25">
      <c r="A957" t="s">
        <v>382</v>
      </c>
      <c r="N957" t="s" cm="1">
        <v>1065</v>
      </c>
    </row>
    <row r="958" spans="1:14" ht="15" customHeight="1" x14ac:dyDescent="0.25">
      <c r="A958" t="s">
        <v>381</v>
      </c>
      <c r="N958" t="s" cm="1">
        <v>1003</v>
      </c>
    </row>
    <row r="959" spans="1:14" ht="15" customHeight="1" x14ac:dyDescent="0.25">
      <c r="A959" t="s">
        <v>381</v>
      </c>
      <c r="N959" t="s" cm="1">
        <v>1003</v>
      </c>
    </row>
    <row r="960" spans="1:14" ht="15" customHeight="1" x14ac:dyDescent="0.25">
      <c r="A960" t="s">
        <v>381</v>
      </c>
      <c r="N960" t="s" cm="1">
        <v>1003</v>
      </c>
    </row>
    <row r="961" spans="1:14" ht="15" customHeight="1" x14ac:dyDescent="0.25">
      <c r="A961" t="s">
        <v>381</v>
      </c>
      <c r="N961" t="s" cm="1">
        <v>1003</v>
      </c>
    </row>
    <row r="962" spans="1:14" ht="15" customHeight="1" x14ac:dyDescent="0.25">
      <c r="A962" t="s">
        <v>381</v>
      </c>
      <c r="N962" t="s" cm="1">
        <v>1003</v>
      </c>
    </row>
    <row r="963" spans="1:14" ht="15" customHeight="1" x14ac:dyDescent="0.25">
      <c r="A963" t="s">
        <v>381</v>
      </c>
      <c r="N963" t="s" cm="1">
        <v>1003</v>
      </c>
    </row>
    <row r="964" spans="1:14" ht="15" customHeight="1" x14ac:dyDescent="0.25">
      <c r="A964" t="s">
        <v>381</v>
      </c>
      <c r="N964" t="s" cm="1">
        <v>1003</v>
      </c>
    </row>
    <row r="965" spans="1:14" ht="15" customHeight="1" x14ac:dyDescent="0.25">
      <c r="A965" t="s">
        <v>381</v>
      </c>
      <c r="N965" t="s" cm="1">
        <v>1003</v>
      </c>
    </row>
    <row r="966" spans="1:14" ht="15" customHeight="1" x14ac:dyDescent="0.25">
      <c r="A966" t="s">
        <v>393</v>
      </c>
      <c r="N966" t="s" cm="1">
        <v>1189</v>
      </c>
    </row>
    <row r="967" spans="1:14" ht="15" customHeight="1" x14ac:dyDescent="0.25">
      <c r="A967" t="s">
        <v>404</v>
      </c>
      <c r="N967" t="s" cm="1">
        <v>404</v>
      </c>
    </row>
    <row r="968" spans="1:14" ht="15" customHeight="1" x14ac:dyDescent="0.25">
      <c r="A968" t="s">
        <v>425</v>
      </c>
      <c r="N968" t="s" cm="1">
        <v>1190</v>
      </c>
    </row>
    <row r="969" spans="1:14" ht="15" customHeight="1" x14ac:dyDescent="0.25">
      <c r="A969" t="s">
        <v>448</v>
      </c>
      <c r="N969" t="s" cm="1">
        <v>1031</v>
      </c>
    </row>
    <row r="970" spans="1:14" ht="15" customHeight="1" x14ac:dyDescent="0.25">
      <c r="A970" t="s">
        <v>448</v>
      </c>
      <c r="N970" t="s" cm="1">
        <v>1031</v>
      </c>
    </row>
    <row r="971" spans="1:14" ht="15" customHeight="1" x14ac:dyDescent="0.25">
      <c r="A971" t="s">
        <v>456</v>
      </c>
      <c r="N971" t="s" cm="1">
        <v>1160</v>
      </c>
    </row>
    <row r="972" spans="1:14" ht="15" customHeight="1" x14ac:dyDescent="0.25">
      <c r="A972" t="s">
        <v>353</v>
      </c>
      <c r="N972" t="s" cm="1">
        <v>1192</v>
      </c>
    </row>
    <row r="973" spans="1:14" ht="15" customHeight="1" x14ac:dyDescent="0.25">
      <c r="A973" t="s">
        <v>353</v>
      </c>
      <c r="N973" t="s" cm="1">
        <v>1192</v>
      </c>
    </row>
    <row r="974" spans="1:14" ht="15" customHeight="1" x14ac:dyDescent="0.25">
      <c r="A974" t="s">
        <v>465</v>
      </c>
      <c r="N974" t="s" cm="1">
        <v>465</v>
      </c>
    </row>
    <row r="975" spans="1:14" ht="15" customHeight="1" x14ac:dyDescent="0.25">
      <c r="A975" t="s">
        <v>478</v>
      </c>
      <c r="N975" t="s" cm="1">
        <v>478</v>
      </c>
    </row>
    <row r="976" spans="1:14" ht="15" customHeight="1" x14ac:dyDescent="0.25">
      <c r="A976" t="s">
        <v>351</v>
      </c>
      <c r="N976" t="s" cm="1">
        <v>1122</v>
      </c>
    </row>
    <row r="977" spans="1:14" ht="15" customHeight="1" x14ac:dyDescent="0.25">
      <c r="A977" t="s">
        <v>371</v>
      </c>
      <c r="N977" t="s" cm="1">
        <v>371</v>
      </c>
    </row>
    <row r="978" spans="1:14" ht="15" customHeight="1" x14ac:dyDescent="0.25">
      <c r="A978" t="s">
        <v>496</v>
      </c>
      <c r="N978" t="s" cm="1">
        <v>1075</v>
      </c>
    </row>
    <row r="979" spans="1:14" ht="15" customHeight="1" x14ac:dyDescent="0.25">
      <c r="A979" t="s">
        <v>273</v>
      </c>
      <c r="N979" t="s" cm="1">
        <v>273</v>
      </c>
    </row>
    <row r="980" spans="1:14" ht="15" customHeight="1" x14ac:dyDescent="0.25">
      <c r="A980" t="s">
        <v>511</v>
      </c>
      <c r="N980" t="s" cm="1">
        <v>511</v>
      </c>
    </row>
    <row r="981" spans="1:14" ht="15" customHeight="1" x14ac:dyDescent="0.25">
      <c r="A981" t="s">
        <v>266</v>
      </c>
      <c r="N981" t="s" cm="1">
        <v>266</v>
      </c>
    </row>
    <row r="982" spans="1:14" ht="15" customHeight="1" x14ac:dyDescent="0.25">
      <c r="A982" t="s">
        <v>455</v>
      </c>
      <c r="N982" t="s" cm="1">
        <v>1165</v>
      </c>
    </row>
    <row r="983" spans="1:14" ht="15" customHeight="1" x14ac:dyDescent="0.25">
      <c r="A983" t="s">
        <v>281</v>
      </c>
      <c r="N983" t="s" cm="1">
        <v>281</v>
      </c>
    </row>
    <row r="984" spans="1:14" ht="15" customHeight="1" x14ac:dyDescent="0.25">
      <c r="A984" t="s">
        <v>544</v>
      </c>
      <c r="N984" t="s" cm="1">
        <v>544</v>
      </c>
    </row>
    <row r="985" spans="1:14" ht="15" customHeight="1" x14ac:dyDescent="0.25">
      <c r="A985" t="s">
        <v>548</v>
      </c>
      <c r="N985" t="s" cm="1">
        <v>1194</v>
      </c>
    </row>
    <row r="986" spans="1:14" ht="15" customHeight="1" x14ac:dyDescent="0.25">
      <c r="A986" t="s">
        <v>548</v>
      </c>
      <c r="N986" t="s" cm="1">
        <v>1194</v>
      </c>
    </row>
    <row r="987" spans="1:14" ht="15" customHeight="1" x14ac:dyDescent="0.25">
      <c r="A987" t="s">
        <v>551</v>
      </c>
      <c r="N987" t="s" cm="1">
        <v>551</v>
      </c>
    </row>
    <row r="988" spans="1:14" ht="15" customHeight="1" x14ac:dyDescent="0.25">
      <c r="A988" t="s">
        <v>555</v>
      </c>
      <c r="N988" t="s" cm="1">
        <v>1003</v>
      </c>
    </row>
    <row r="989" spans="1:14" ht="15" customHeight="1" x14ac:dyDescent="0.25">
      <c r="A989" t="s">
        <v>566</v>
      </c>
      <c r="N989" t="s" cm="1">
        <v>1196</v>
      </c>
    </row>
    <row r="990" spans="1:14" ht="15" customHeight="1" x14ac:dyDescent="0.25">
      <c r="A990" t="s">
        <v>579</v>
      </c>
      <c r="N990" t="s" cm="1">
        <v>1096</v>
      </c>
    </row>
    <row r="991" spans="1:14" ht="15" customHeight="1" x14ac:dyDescent="0.25">
      <c r="A991" t="s">
        <v>579</v>
      </c>
      <c r="N991" t="s" cm="1">
        <v>1096</v>
      </c>
    </row>
    <row r="992" spans="1:14" ht="15" customHeight="1" x14ac:dyDescent="0.25">
      <c r="A992" t="s">
        <v>579</v>
      </c>
      <c r="N992" t="s" cm="1">
        <v>1096</v>
      </c>
    </row>
    <row r="993" spans="1:14" ht="15" customHeight="1" x14ac:dyDescent="0.25">
      <c r="A993" t="s">
        <v>579</v>
      </c>
      <c r="N993" t="s" cm="1">
        <v>1096</v>
      </c>
    </row>
    <row r="994" spans="1:14" ht="15" customHeight="1" x14ac:dyDescent="0.25">
      <c r="A994" t="s">
        <v>579</v>
      </c>
      <c r="N994" t="s" cm="1">
        <v>1096</v>
      </c>
    </row>
    <row r="995" spans="1:14" ht="15" customHeight="1" x14ac:dyDescent="0.25">
      <c r="A995" t="s">
        <v>579</v>
      </c>
      <c r="N995" t="s" cm="1">
        <v>1096</v>
      </c>
    </row>
    <row r="996" spans="1:14" ht="15" customHeight="1" x14ac:dyDescent="0.25">
      <c r="A996" t="s">
        <v>451</v>
      </c>
      <c r="N996" t="s" cm="1">
        <v>1160</v>
      </c>
    </row>
    <row r="997" spans="1:14" ht="15" customHeight="1" x14ac:dyDescent="0.25">
      <c r="A997" t="s">
        <v>589</v>
      </c>
      <c r="N997" t="s" cm="1">
        <v>686</v>
      </c>
    </row>
    <row r="998" spans="1:14" ht="15" customHeight="1" x14ac:dyDescent="0.25">
      <c r="A998" t="s">
        <v>597</v>
      </c>
      <c r="N998" t="s" cm="1">
        <v>1091</v>
      </c>
    </row>
    <row r="999" spans="1:14" ht="15" customHeight="1" x14ac:dyDescent="0.25">
      <c r="A999" t="s">
        <v>610</v>
      </c>
      <c r="N999" t="s" cm="1">
        <v>1199</v>
      </c>
    </row>
    <row r="1000" spans="1:14" ht="15" customHeight="1" x14ac:dyDescent="0.25">
      <c r="A1000" t="s">
        <v>628</v>
      </c>
      <c r="N1000" t="s" cm="1">
        <v>1033</v>
      </c>
    </row>
    <row r="1001" spans="1:14" ht="15" customHeight="1" x14ac:dyDescent="0.25">
      <c r="A1001" t="s">
        <v>636</v>
      </c>
      <c r="N1001" t="s" cm="1">
        <v>1202</v>
      </c>
    </row>
    <row r="1002" spans="1:14" ht="15" customHeight="1" x14ac:dyDescent="0.25">
      <c r="A1002" t="s">
        <v>336</v>
      </c>
      <c r="N1002" t="s" cm="1">
        <v>1003</v>
      </c>
    </row>
    <row r="1003" spans="1:14" ht="15" customHeight="1" x14ac:dyDescent="0.25">
      <c r="A1003" t="s">
        <v>316</v>
      </c>
      <c r="N1003" t="s" cm="1">
        <v>316</v>
      </c>
    </row>
    <row r="1004" spans="1:14" ht="15" customHeight="1" x14ac:dyDescent="0.25">
      <c r="A1004" t="s">
        <v>652</v>
      </c>
      <c r="N1004" t="s" cm="1">
        <v>652</v>
      </c>
    </row>
    <row r="1005" spans="1:14" ht="15" customHeight="1" x14ac:dyDescent="0.25">
      <c r="A1005" t="s">
        <v>659</v>
      </c>
      <c r="N1005" t="s" cm="1">
        <v>960</v>
      </c>
    </row>
    <row r="1006" spans="1:14" ht="15" customHeight="1" x14ac:dyDescent="0.25">
      <c r="A1006" t="s">
        <v>659</v>
      </c>
      <c r="N1006" t="s" cm="1">
        <v>960</v>
      </c>
    </row>
    <row r="1007" spans="1:14" ht="15" customHeight="1" x14ac:dyDescent="0.25">
      <c r="A1007" t="s">
        <v>659</v>
      </c>
      <c r="N1007" t="s" cm="1">
        <v>960</v>
      </c>
    </row>
    <row r="1008" spans="1:14" ht="15" customHeight="1" x14ac:dyDescent="0.25">
      <c r="A1008" t="s">
        <v>676</v>
      </c>
      <c r="N1008" t="s" cm="1">
        <v>1048</v>
      </c>
    </row>
    <row r="1009" spans="1:14" ht="15" customHeight="1" x14ac:dyDescent="0.25">
      <c r="A1009" t="s">
        <v>684</v>
      </c>
      <c r="N1009" t="s" cm="1">
        <v>684</v>
      </c>
    </row>
    <row r="1010" spans="1:14" ht="15" customHeight="1" x14ac:dyDescent="0.25">
      <c r="A1010" t="s">
        <v>350</v>
      </c>
      <c r="N1010" t="s" cm="1">
        <v>1003</v>
      </c>
    </row>
    <row r="1011" spans="1:14" ht="15" customHeight="1" x14ac:dyDescent="0.25">
      <c r="A1011" t="s">
        <v>350</v>
      </c>
      <c r="N1011" t="s" cm="1">
        <v>1003</v>
      </c>
    </row>
    <row r="1012" spans="1:14" ht="15" customHeight="1" x14ac:dyDescent="0.25">
      <c r="A1012" t="s">
        <v>697</v>
      </c>
      <c r="N1012" t="s" cm="1">
        <v>319</v>
      </c>
    </row>
    <row r="1013" spans="1:14" ht="15" customHeight="1" x14ac:dyDescent="0.25">
      <c r="A1013" t="s">
        <v>703</v>
      </c>
      <c r="N1013" t="s" cm="1">
        <v>1025</v>
      </c>
    </row>
    <row r="1014" spans="1:14" ht="15" customHeight="1" x14ac:dyDescent="0.25">
      <c r="A1014" t="s">
        <v>223</v>
      </c>
      <c r="N1014" t="s" cm="1">
        <v>223</v>
      </c>
    </row>
    <row r="1015" spans="1:14" ht="15" customHeight="1" x14ac:dyDescent="0.25">
      <c r="A1015" t="s">
        <v>223</v>
      </c>
      <c r="N1015" t="s" cm="1">
        <v>223</v>
      </c>
    </row>
    <row r="1016" spans="1:14" ht="15" customHeight="1" x14ac:dyDescent="0.25">
      <c r="A1016" t="s">
        <v>223</v>
      </c>
      <c r="N1016" t="s" cm="1">
        <v>223</v>
      </c>
    </row>
    <row r="1017" spans="1:14" ht="15" customHeight="1" x14ac:dyDescent="0.25">
      <c r="A1017" t="s">
        <v>726</v>
      </c>
      <c r="N1017" t="s" cm="1">
        <v>1206</v>
      </c>
    </row>
    <row r="1018" spans="1:14" ht="15" customHeight="1" x14ac:dyDescent="0.25">
      <c r="A1018" t="s">
        <v>695</v>
      </c>
      <c r="N1018" t="s" cm="1">
        <v>249</v>
      </c>
    </row>
    <row r="1019" spans="1:14" ht="15" customHeight="1" x14ac:dyDescent="0.25">
      <c r="A1019" t="s">
        <v>737</v>
      </c>
      <c r="N1019" t="s" cm="1">
        <v>249</v>
      </c>
    </row>
    <row r="1020" spans="1:14" ht="15" customHeight="1" x14ac:dyDescent="0.25">
      <c r="A1020" t="s">
        <v>737</v>
      </c>
      <c r="N1020" t="s" cm="1">
        <v>249</v>
      </c>
    </row>
    <row r="1021" spans="1:14" ht="15" customHeight="1" x14ac:dyDescent="0.25">
      <c r="A1021" t="s">
        <v>737</v>
      </c>
      <c r="N1021" t="s" cm="1">
        <v>249</v>
      </c>
    </row>
    <row r="1022" spans="1:14" ht="15" customHeight="1" x14ac:dyDescent="0.25">
      <c r="A1022" t="s">
        <v>742</v>
      </c>
      <c r="N1022" t="s" cm="1">
        <v>685</v>
      </c>
    </row>
    <row r="1023" spans="1:14" ht="15" customHeight="1" x14ac:dyDescent="0.25">
      <c r="A1023" t="s">
        <v>742</v>
      </c>
      <c r="N1023" t="s" cm="1">
        <v>685</v>
      </c>
    </row>
    <row r="1024" spans="1:14" ht="15" customHeight="1" x14ac:dyDescent="0.25">
      <c r="A1024" t="s">
        <v>742</v>
      </c>
      <c r="N1024" t="s" cm="1">
        <v>685</v>
      </c>
    </row>
    <row r="1025" spans="1:14" ht="15" customHeight="1" x14ac:dyDescent="0.25">
      <c r="A1025" t="s">
        <v>254</v>
      </c>
      <c r="N1025" t="s" cm="1">
        <v>254</v>
      </c>
    </row>
    <row r="1026" spans="1:14" ht="15" customHeight="1" x14ac:dyDescent="0.25">
      <c r="A1026" t="s">
        <v>254</v>
      </c>
      <c r="N1026" t="s" cm="1">
        <v>254</v>
      </c>
    </row>
    <row r="1027" spans="1:14" ht="15" customHeight="1" x14ac:dyDescent="0.25">
      <c r="A1027" t="s">
        <v>223</v>
      </c>
      <c r="N1027" t="s" cm="1">
        <v>223</v>
      </c>
    </row>
    <row r="1028" spans="1:14" ht="15" customHeight="1" x14ac:dyDescent="0.25">
      <c r="A1028" t="s">
        <v>760</v>
      </c>
      <c r="N1028" t="s" cm="1">
        <v>760</v>
      </c>
    </row>
    <row r="1029" spans="1:14" ht="15" customHeight="1" x14ac:dyDescent="0.25">
      <c r="A1029" t="s">
        <v>766</v>
      </c>
      <c r="N1029" t="s" cm="1">
        <v>249</v>
      </c>
    </row>
    <row r="1030" spans="1:14" ht="15" customHeight="1" x14ac:dyDescent="0.25">
      <c r="A1030" t="s">
        <v>775</v>
      </c>
      <c r="N1030" t="s" cm="1">
        <v>319</v>
      </c>
    </row>
    <row r="1031" spans="1:14" ht="15" customHeight="1" x14ac:dyDescent="0.25">
      <c r="A1031" t="s">
        <v>778</v>
      </c>
      <c r="N1031" t="s" cm="1">
        <v>319</v>
      </c>
    </row>
    <row r="1032" spans="1:14" ht="15" customHeight="1" x14ac:dyDescent="0.25">
      <c r="A1032" t="s">
        <v>480</v>
      </c>
      <c r="N1032" t="s" cm="1">
        <v>480</v>
      </c>
    </row>
    <row r="1033" spans="1:14" ht="15" customHeight="1" x14ac:dyDescent="0.25">
      <c r="A1033" t="s">
        <v>775</v>
      </c>
      <c r="N1033" t="s" cm="1">
        <v>319</v>
      </c>
    </row>
    <row r="1034" spans="1:14" ht="15" customHeight="1" x14ac:dyDescent="0.25">
      <c r="A1034" t="s">
        <v>782</v>
      </c>
      <c r="N1034" t="s" cm="1">
        <v>319</v>
      </c>
    </row>
    <row r="1035" spans="1:14" ht="15" customHeight="1" x14ac:dyDescent="0.25">
      <c r="A1035" t="s">
        <v>785</v>
      </c>
      <c r="N1035" t="s" cm="1">
        <v>1210</v>
      </c>
    </row>
    <row r="1036" spans="1:14" ht="15" customHeight="1" x14ac:dyDescent="0.25">
      <c r="A1036" t="s">
        <v>791</v>
      </c>
      <c r="N1036" t="s" cm="1">
        <v>791</v>
      </c>
    </row>
    <row r="1037" spans="1:14" ht="15" customHeight="1" x14ac:dyDescent="0.25">
      <c r="A1037" t="s">
        <v>214</v>
      </c>
      <c r="N1037" t="s" cm="1">
        <v>214</v>
      </c>
    </row>
    <row r="1038" spans="1:14" ht="15" customHeight="1" x14ac:dyDescent="0.25">
      <c r="A1038" t="s">
        <v>251</v>
      </c>
      <c r="N1038" t="s" cm="1">
        <v>251</v>
      </c>
    </row>
    <row r="1039" spans="1:14" ht="15" customHeight="1" x14ac:dyDescent="0.25">
      <c r="A1039" t="s">
        <v>286</v>
      </c>
      <c r="N1039" t="s" cm="1">
        <v>286</v>
      </c>
    </row>
    <row r="1040" spans="1:14" ht="15" customHeight="1" x14ac:dyDescent="0.25">
      <c r="A1040" t="s">
        <v>718</v>
      </c>
      <c r="N1040" t="s" cm="1">
        <v>718</v>
      </c>
    </row>
    <row r="1041" spans="1:14" ht="15" customHeight="1" x14ac:dyDescent="0.25">
      <c r="A1041" t="s">
        <v>718</v>
      </c>
      <c r="N1041" t="s" cm="1">
        <v>718</v>
      </c>
    </row>
    <row r="1042" spans="1:14" ht="15" customHeight="1" x14ac:dyDescent="0.25">
      <c r="A1042" t="s">
        <v>836</v>
      </c>
      <c r="N1042" t="s" cm="1">
        <v>836</v>
      </c>
    </row>
    <row r="1043" spans="1:14" ht="15" customHeight="1" x14ac:dyDescent="0.25">
      <c r="A1043" t="s">
        <v>719</v>
      </c>
      <c r="N1043" t="s" cm="1">
        <v>719</v>
      </c>
    </row>
    <row r="1044" spans="1:14" ht="15" customHeight="1" x14ac:dyDescent="0.25">
      <c r="A1044" t="s">
        <v>719</v>
      </c>
      <c r="N1044" t="s" cm="1">
        <v>719</v>
      </c>
    </row>
    <row r="1045" spans="1:14" ht="15" customHeight="1" x14ac:dyDescent="0.25">
      <c r="A1045" t="s">
        <v>849</v>
      </c>
      <c r="N1045" t="s" cm="1">
        <v>1212</v>
      </c>
    </row>
    <row r="1046" spans="1:14" ht="15" customHeight="1" x14ac:dyDescent="0.25">
      <c r="A1046" t="s">
        <v>850</v>
      </c>
      <c r="N1046" t="s" cm="1">
        <v>850</v>
      </c>
    </row>
    <row r="1047" spans="1:14" ht="15" customHeight="1" x14ac:dyDescent="0.25">
      <c r="A1047" t="s">
        <v>587</v>
      </c>
      <c r="N1047" t="s" cm="1">
        <v>286</v>
      </c>
    </row>
    <row r="1048" spans="1:14" ht="15" customHeight="1" x14ac:dyDescent="0.25">
      <c r="A1048" t="s">
        <v>203</v>
      </c>
      <c r="N1048" t="s" cm="1">
        <v>203</v>
      </c>
    </row>
    <row r="1049" spans="1:14" ht="15" customHeight="1" x14ac:dyDescent="0.25">
      <c r="A1049" t="s">
        <v>273</v>
      </c>
      <c r="N1049" t="s" cm="1">
        <v>273</v>
      </c>
    </row>
    <row r="1050" spans="1:14" ht="15" customHeight="1" x14ac:dyDescent="0.25">
      <c r="A1050" t="s">
        <v>879</v>
      </c>
      <c r="N1050" t="s" cm="1">
        <v>879</v>
      </c>
    </row>
    <row r="1051" spans="1:14" ht="15" customHeight="1" x14ac:dyDescent="0.25">
      <c r="A1051" t="s">
        <v>886</v>
      </c>
      <c r="N1051" t="s" cm="1">
        <v>319</v>
      </c>
    </row>
    <row r="1052" spans="1:14" ht="15" customHeight="1" x14ac:dyDescent="0.25">
      <c r="A1052" t="s">
        <v>891</v>
      </c>
      <c r="N1052" t="s" cm="1">
        <v>891</v>
      </c>
    </row>
    <row r="1053" spans="1:14" ht="15" customHeight="1" x14ac:dyDescent="0.25">
      <c r="A1053" t="s">
        <v>881</v>
      </c>
      <c r="N1053" t="s" cm="1">
        <v>685</v>
      </c>
    </row>
    <row r="1054" spans="1:14" ht="15" customHeight="1" x14ac:dyDescent="0.25">
      <c r="A1054" t="s">
        <v>881</v>
      </c>
      <c r="N1054" t="s" cm="1">
        <v>685</v>
      </c>
    </row>
    <row r="1055" spans="1:14" ht="15" customHeight="1" x14ac:dyDescent="0.25">
      <c r="A1055" t="s">
        <v>316</v>
      </c>
      <c r="N1055" t="s" cm="1">
        <v>316</v>
      </c>
    </row>
    <row r="1056" spans="1:14" ht="15" customHeight="1" x14ac:dyDescent="0.25">
      <c r="A1056" t="s">
        <v>1292</v>
      </c>
      <c r="N1056" t="s" cm="1">
        <v>1292</v>
      </c>
    </row>
    <row r="1057" spans="1:14" ht="15" customHeight="1" x14ac:dyDescent="0.25">
      <c r="A1057" t="s">
        <v>273</v>
      </c>
      <c r="N1057" t="s" cm="1">
        <v>273</v>
      </c>
    </row>
    <row r="1058" spans="1:14" ht="15" customHeight="1" x14ac:dyDescent="0.25">
      <c r="A1058" t="s">
        <v>1309</v>
      </c>
      <c r="N1058" t="s" cm="1">
        <v>1309</v>
      </c>
    </row>
    <row r="1059" spans="1:14" ht="15" customHeight="1" x14ac:dyDescent="0.25">
      <c r="A1059" t="s">
        <v>1320</v>
      </c>
      <c r="N1059" t="s" cm="1">
        <v>217</v>
      </c>
    </row>
    <row r="1060" spans="1:14" ht="15" customHeight="1" x14ac:dyDescent="0.25">
      <c r="A1060" t="s">
        <v>254</v>
      </c>
      <c r="N1060" t="s" cm="1">
        <v>254</v>
      </c>
    </row>
    <row r="1061" spans="1:14" ht="15" customHeight="1" x14ac:dyDescent="0.25">
      <c r="A1061" t="s">
        <v>1327</v>
      </c>
      <c r="N1061" t="s" cm="1">
        <v>1151</v>
      </c>
    </row>
    <row r="1062" spans="1:14" ht="15" customHeight="1" x14ac:dyDescent="0.25">
      <c r="A1062" t="s">
        <v>1340</v>
      </c>
      <c r="N1062" t="s" cm="1">
        <v>1151</v>
      </c>
    </row>
    <row r="1063" spans="1:14" ht="15" customHeight="1" x14ac:dyDescent="0.25">
      <c r="A1063" t="s">
        <v>1340</v>
      </c>
      <c r="N1063" t="s" cm="1">
        <v>1151</v>
      </c>
    </row>
    <row r="1064" spans="1:14" ht="15" customHeight="1" x14ac:dyDescent="0.25">
      <c r="A1064" t="s">
        <v>340</v>
      </c>
      <c r="N1064" t="s" cm="1">
        <v>1065</v>
      </c>
    </row>
    <row r="1065" spans="1:14" ht="15" customHeight="1" x14ac:dyDescent="0.25">
      <c r="A1065" t="s">
        <v>350</v>
      </c>
      <c r="N1065" t="s" cm="1">
        <v>1003</v>
      </c>
    </row>
    <row r="1066" spans="1:14" ht="15" customHeight="1" x14ac:dyDescent="0.25">
      <c r="A1066" t="s">
        <v>350</v>
      </c>
      <c r="N1066" t="s" cm="1">
        <v>1003</v>
      </c>
    </row>
    <row r="1067" spans="1:14" ht="15" customHeight="1" x14ac:dyDescent="0.25">
      <c r="A1067" t="s">
        <v>367</v>
      </c>
      <c r="N1067" t="s" cm="1">
        <v>367</v>
      </c>
    </row>
    <row r="1068" spans="1:14" ht="15" customHeight="1" x14ac:dyDescent="0.25">
      <c r="A1068" t="s">
        <v>367</v>
      </c>
      <c r="N1068" t="s" cm="1">
        <v>367</v>
      </c>
    </row>
    <row r="1069" spans="1:14" ht="15" customHeight="1" x14ac:dyDescent="0.25">
      <c r="A1069" t="s">
        <v>367</v>
      </c>
      <c r="N1069" t="s" cm="1">
        <v>367</v>
      </c>
    </row>
    <row r="1070" spans="1:14" ht="15" customHeight="1" x14ac:dyDescent="0.25">
      <c r="A1070" t="s">
        <v>367</v>
      </c>
      <c r="N1070" t="s" cm="1">
        <v>367</v>
      </c>
    </row>
    <row r="1071" spans="1:14" ht="15" customHeight="1" x14ac:dyDescent="0.25">
      <c r="A1071" t="s">
        <v>378</v>
      </c>
      <c r="N1071" t="s" cm="1">
        <v>1133</v>
      </c>
    </row>
    <row r="1072" spans="1:14" ht="15" customHeight="1" x14ac:dyDescent="0.25">
      <c r="A1072" t="s">
        <v>378</v>
      </c>
      <c r="N1072" t="s" cm="1">
        <v>1133</v>
      </c>
    </row>
    <row r="1073" spans="1:14" ht="15" customHeight="1" x14ac:dyDescent="0.25">
      <c r="A1073" t="s">
        <v>333</v>
      </c>
      <c r="N1073" t="s" cm="1">
        <v>1065</v>
      </c>
    </row>
    <row r="1074" spans="1:14" ht="15" customHeight="1" x14ac:dyDescent="0.25">
      <c r="A1074" t="s">
        <v>333</v>
      </c>
      <c r="N1074" t="s" cm="1">
        <v>1065</v>
      </c>
    </row>
    <row r="1075" spans="1:14" ht="15" customHeight="1" x14ac:dyDescent="0.25">
      <c r="A1075" t="s">
        <v>382</v>
      </c>
      <c r="N1075" t="s" cm="1">
        <v>1065</v>
      </c>
    </row>
    <row r="1076" spans="1:14" ht="15" customHeight="1" x14ac:dyDescent="0.25">
      <c r="A1076" t="s">
        <v>382</v>
      </c>
      <c r="N1076" t="s" cm="1">
        <v>1065</v>
      </c>
    </row>
    <row r="1077" spans="1:14" ht="15" customHeight="1" x14ac:dyDescent="0.25">
      <c r="A1077" t="s">
        <v>382</v>
      </c>
      <c r="N1077" t="s" cm="1">
        <v>1065</v>
      </c>
    </row>
    <row r="1078" spans="1:14" ht="15" customHeight="1" x14ac:dyDescent="0.25">
      <c r="A1078" t="s">
        <v>382</v>
      </c>
      <c r="N1078" t="s" cm="1">
        <v>1065</v>
      </c>
    </row>
    <row r="1079" spans="1:14" ht="15" customHeight="1" x14ac:dyDescent="0.25">
      <c r="A1079" t="s">
        <v>382</v>
      </c>
      <c r="N1079" t="s" cm="1">
        <v>1065</v>
      </c>
    </row>
    <row r="1080" spans="1:14" ht="15" customHeight="1" x14ac:dyDescent="0.25">
      <c r="A1080" t="s">
        <v>382</v>
      </c>
      <c r="N1080" t="s" cm="1">
        <v>1065</v>
      </c>
    </row>
    <row r="1081" spans="1:14" ht="15" customHeight="1" x14ac:dyDescent="0.25">
      <c r="A1081" t="s">
        <v>382</v>
      </c>
      <c r="N1081" t="s" cm="1">
        <v>1065</v>
      </c>
    </row>
    <row r="1082" spans="1:14" ht="15" customHeight="1" x14ac:dyDescent="0.25">
      <c r="A1082" t="s">
        <v>382</v>
      </c>
      <c r="N1082" t="s" cm="1">
        <v>1065</v>
      </c>
    </row>
    <row r="1083" spans="1:14" ht="15" customHeight="1" x14ac:dyDescent="0.25">
      <c r="A1083" t="s">
        <v>379</v>
      </c>
      <c r="N1083" t="s" cm="1">
        <v>379</v>
      </c>
    </row>
    <row r="1084" spans="1:14" ht="15" customHeight="1" x14ac:dyDescent="0.25">
      <c r="A1084" t="s">
        <v>405</v>
      </c>
      <c r="N1084" t="s" cm="1">
        <v>405</v>
      </c>
    </row>
    <row r="1085" spans="1:14" ht="15" customHeight="1" x14ac:dyDescent="0.25">
      <c r="A1085" t="s">
        <v>426</v>
      </c>
      <c r="N1085" t="s" cm="1">
        <v>426</v>
      </c>
    </row>
    <row r="1086" spans="1:14" ht="15" customHeight="1" x14ac:dyDescent="0.25">
      <c r="A1086" t="s">
        <v>449</v>
      </c>
      <c r="N1086" t="s" cm="1">
        <v>1031</v>
      </c>
    </row>
    <row r="1087" spans="1:14" ht="15" customHeight="1" x14ac:dyDescent="0.25">
      <c r="A1087" t="s">
        <v>449</v>
      </c>
      <c r="N1087" t="s" cm="1">
        <v>1031</v>
      </c>
    </row>
    <row r="1088" spans="1:14" ht="15" customHeight="1" x14ac:dyDescent="0.25">
      <c r="A1088" t="s">
        <v>457</v>
      </c>
      <c r="N1088" t="s" cm="1">
        <v>1133</v>
      </c>
    </row>
    <row r="1089" spans="1:14" ht="15" customHeight="1" x14ac:dyDescent="0.25">
      <c r="A1089" t="s">
        <v>425</v>
      </c>
      <c r="N1089" t="s" cm="1">
        <v>1190</v>
      </c>
    </row>
    <row r="1090" spans="1:14" ht="15" customHeight="1" x14ac:dyDescent="0.25">
      <c r="A1090" t="s">
        <v>479</v>
      </c>
      <c r="N1090" t="s" cm="1">
        <v>479</v>
      </c>
    </row>
    <row r="1091" spans="1:14" ht="15" customHeight="1" x14ac:dyDescent="0.25">
      <c r="A1091" t="s">
        <v>482</v>
      </c>
      <c r="N1091" t="s" cm="1">
        <v>1003</v>
      </c>
    </row>
    <row r="1092" spans="1:14" ht="15" customHeight="1" x14ac:dyDescent="0.25">
      <c r="A1092" t="s">
        <v>330</v>
      </c>
      <c r="N1092" t="s" cm="1">
        <v>1003</v>
      </c>
    </row>
    <row r="1093" spans="1:14" ht="15" customHeight="1" x14ac:dyDescent="0.25">
      <c r="A1093" t="s">
        <v>497</v>
      </c>
      <c r="N1093" t="s" cm="1">
        <v>497</v>
      </c>
    </row>
    <row r="1094" spans="1:14" ht="15" customHeight="1" x14ac:dyDescent="0.25">
      <c r="A1094" t="s">
        <v>503</v>
      </c>
      <c r="N1094" t="s" cm="1">
        <v>1086</v>
      </c>
    </row>
    <row r="1095" spans="1:14" ht="15" customHeight="1" x14ac:dyDescent="0.25">
      <c r="A1095" t="s">
        <v>512</v>
      </c>
      <c r="N1095" t="s" cm="1">
        <v>512</v>
      </c>
    </row>
    <row r="1096" spans="1:14" ht="15" customHeight="1" x14ac:dyDescent="0.25">
      <c r="A1096" t="s">
        <v>519</v>
      </c>
      <c r="N1096" t="s" cm="1">
        <v>1025</v>
      </c>
    </row>
    <row r="1097" spans="1:14" ht="15" customHeight="1" x14ac:dyDescent="0.25">
      <c r="A1097" t="s">
        <v>449</v>
      </c>
      <c r="N1097" t="s" cm="1">
        <v>1031</v>
      </c>
    </row>
    <row r="1098" spans="1:14" ht="15" customHeight="1" x14ac:dyDescent="0.25">
      <c r="A1098" t="s">
        <v>549</v>
      </c>
      <c r="N1098" t="s" cm="1">
        <v>1065</v>
      </c>
    </row>
    <row r="1099" spans="1:14" ht="15" customHeight="1" x14ac:dyDescent="0.25">
      <c r="A1099" t="s">
        <v>549</v>
      </c>
      <c r="N1099" t="s" cm="1">
        <v>1065</v>
      </c>
    </row>
    <row r="1100" spans="1:14" ht="15" customHeight="1" x14ac:dyDescent="0.25">
      <c r="A1100" t="s">
        <v>556</v>
      </c>
      <c r="N1100" t="s" cm="1">
        <v>1122</v>
      </c>
    </row>
    <row r="1101" spans="1:14" ht="15" customHeight="1" x14ac:dyDescent="0.25">
      <c r="A1101" t="s">
        <v>567</v>
      </c>
      <c r="N1101" t="s" cm="1">
        <v>1219</v>
      </c>
    </row>
    <row r="1102" spans="1:14" ht="15" customHeight="1" x14ac:dyDescent="0.25">
      <c r="A1102" t="s">
        <v>379</v>
      </c>
      <c r="N1102" t="s" cm="1">
        <v>379</v>
      </c>
    </row>
    <row r="1103" spans="1:14" ht="15" customHeight="1" x14ac:dyDescent="0.25">
      <c r="A1103" t="s">
        <v>379</v>
      </c>
      <c r="N1103" t="s" cm="1">
        <v>379</v>
      </c>
    </row>
    <row r="1104" spans="1:14" ht="15" customHeight="1" x14ac:dyDescent="0.25">
      <c r="A1104" t="s">
        <v>379</v>
      </c>
      <c r="N1104" t="s" cm="1">
        <v>379</v>
      </c>
    </row>
    <row r="1105" spans="1:14" ht="15" customHeight="1" x14ac:dyDescent="0.25">
      <c r="A1105" t="s">
        <v>379</v>
      </c>
      <c r="N1105" t="s" cm="1">
        <v>379</v>
      </c>
    </row>
    <row r="1106" spans="1:14" ht="15" customHeight="1" x14ac:dyDescent="0.25">
      <c r="A1106" t="s">
        <v>379</v>
      </c>
      <c r="N1106" t="s" cm="1">
        <v>379</v>
      </c>
    </row>
    <row r="1107" spans="1:14" ht="15" customHeight="1" x14ac:dyDescent="0.25">
      <c r="A1107" t="s">
        <v>379</v>
      </c>
      <c r="N1107" t="s" cm="1">
        <v>379</v>
      </c>
    </row>
    <row r="1108" spans="1:14" ht="15" customHeight="1" x14ac:dyDescent="0.25">
      <c r="A1108" t="s">
        <v>414</v>
      </c>
      <c r="N1108" t="s" cm="1">
        <v>1117</v>
      </c>
    </row>
    <row r="1109" spans="1:14" ht="15" customHeight="1" x14ac:dyDescent="0.25">
      <c r="A1109" t="s">
        <v>254</v>
      </c>
      <c r="N1109" t="s" cm="1">
        <v>254</v>
      </c>
    </row>
    <row r="1110" spans="1:14" ht="15" customHeight="1" x14ac:dyDescent="0.25">
      <c r="A1110" t="s">
        <v>598</v>
      </c>
      <c r="N1110" t="s" cm="1">
        <v>1091</v>
      </c>
    </row>
    <row r="1111" spans="1:14" ht="15" customHeight="1" x14ac:dyDescent="0.25">
      <c r="A1111" t="s">
        <v>611</v>
      </c>
      <c r="N1111" t="s" cm="1">
        <v>1221</v>
      </c>
    </row>
    <row r="1112" spans="1:14" ht="15" customHeight="1" x14ac:dyDescent="0.25">
      <c r="A1112" t="s">
        <v>629</v>
      </c>
      <c r="N1112" t="s" cm="1">
        <v>1222</v>
      </c>
    </row>
    <row r="1113" spans="1:14" ht="15" customHeight="1" x14ac:dyDescent="0.25">
      <c r="A1113" t="s">
        <v>335</v>
      </c>
      <c r="N1113" t="s" cm="1">
        <v>1025</v>
      </c>
    </row>
    <row r="1114" spans="1:14" ht="15" customHeight="1" x14ac:dyDescent="0.25">
      <c r="A1114" t="s">
        <v>290</v>
      </c>
      <c r="N1114" t="s" cm="1">
        <v>290</v>
      </c>
    </row>
    <row r="1115" spans="1:14" ht="15" customHeight="1" x14ac:dyDescent="0.25">
      <c r="A1115" t="s">
        <v>660</v>
      </c>
      <c r="N1115" t="s" cm="1">
        <v>1223</v>
      </c>
    </row>
    <row r="1116" spans="1:14" ht="15" customHeight="1" x14ac:dyDescent="0.25">
      <c r="A1116" t="s">
        <v>660</v>
      </c>
      <c r="N1116" t="s" cm="1">
        <v>1223</v>
      </c>
    </row>
    <row r="1117" spans="1:14" ht="15" customHeight="1" x14ac:dyDescent="0.25">
      <c r="A1117" t="s">
        <v>660</v>
      </c>
      <c r="N1117" t="s" cm="1">
        <v>1223</v>
      </c>
    </row>
    <row r="1118" spans="1:14" ht="15" customHeight="1" x14ac:dyDescent="0.25">
      <c r="A1118" t="s">
        <v>677</v>
      </c>
      <c r="N1118" t="s" cm="1">
        <v>677</v>
      </c>
    </row>
    <row r="1119" spans="1:14" ht="15" customHeight="1" x14ac:dyDescent="0.25">
      <c r="A1119" t="s">
        <v>685</v>
      </c>
      <c r="N1119" t="s" cm="1">
        <v>685</v>
      </c>
    </row>
    <row r="1120" spans="1:14" ht="15" customHeight="1" x14ac:dyDescent="0.25">
      <c r="A1120" t="s">
        <v>351</v>
      </c>
      <c r="N1120" t="s" cm="1">
        <v>1122</v>
      </c>
    </row>
    <row r="1121" spans="1:14" ht="15" customHeight="1" x14ac:dyDescent="0.25">
      <c r="A1121" t="s">
        <v>351</v>
      </c>
      <c r="N1121" t="s" cm="1">
        <v>1122</v>
      </c>
    </row>
    <row r="1122" spans="1:14" ht="15" customHeight="1" x14ac:dyDescent="0.25">
      <c r="A1122" t="s">
        <v>698</v>
      </c>
      <c r="N1122" t="s" cm="1">
        <v>249</v>
      </c>
    </row>
    <row r="1123" spans="1:14" ht="15" customHeight="1" x14ac:dyDescent="0.25">
      <c r="A1123" t="s">
        <v>704</v>
      </c>
      <c r="N1123" t="s" cm="1">
        <v>1065</v>
      </c>
    </row>
    <row r="1124" spans="1:14" ht="15" customHeight="1" x14ac:dyDescent="0.25">
      <c r="A1124" t="s">
        <v>273</v>
      </c>
      <c r="N1124" t="s" cm="1">
        <v>273</v>
      </c>
    </row>
    <row r="1125" spans="1:14" ht="15" customHeight="1" x14ac:dyDescent="0.25">
      <c r="A1125" t="s">
        <v>273</v>
      </c>
      <c r="N1125" t="s" cm="1">
        <v>273</v>
      </c>
    </row>
    <row r="1126" spans="1:14" ht="15" customHeight="1" x14ac:dyDescent="0.25">
      <c r="A1126" t="s">
        <v>273</v>
      </c>
      <c r="N1126" t="s" cm="1">
        <v>273</v>
      </c>
    </row>
    <row r="1127" spans="1:14" ht="15" customHeight="1" x14ac:dyDescent="0.25">
      <c r="A1127" t="s">
        <v>731</v>
      </c>
      <c r="N1127" t="s" cm="1">
        <v>249</v>
      </c>
    </row>
    <row r="1128" spans="1:14" ht="15" customHeight="1" x14ac:dyDescent="0.25">
      <c r="A1128" t="s">
        <v>738</v>
      </c>
      <c r="N1128" t="s" cm="1">
        <v>254</v>
      </c>
    </row>
    <row r="1129" spans="1:14" ht="15" customHeight="1" x14ac:dyDescent="0.25">
      <c r="A1129" t="s">
        <v>738</v>
      </c>
      <c r="N1129" t="s" cm="1">
        <v>254</v>
      </c>
    </row>
    <row r="1130" spans="1:14" ht="15" customHeight="1" x14ac:dyDescent="0.25">
      <c r="A1130" t="s">
        <v>738</v>
      </c>
      <c r="N1130" t="s" cm="1">
        <v>254</v>
      </c>
    </row>
    <row r="1131" spans="1:14" ht="15" customHeight="1" x14ac:dyDescent="0.25">
      <c r="A1131" t="s">
        <v>586</v>
      </c>
      <c r="N1131" t="s" cm="1">
        <v>685</v>
      </c>
    </row>
    <row r="1132" spans="1:14" ht="15" customHeight="1" x14ac:dyDescent="0.25">
      <c r="A1132" t="s">
        <v>586</v>
      </c>
      <c r="N1132" t="s" cm="1">
        <v>685</v>
      </c>
    </row>
    <row r="1133" spans="1:14" ht="15" customHeight="1" x14ac:dyDescent="0.25">
      <c r="A1133" t="s">
        <v>586</v>
      </c>
      <c r="N1133" t="s" cm="1">
        <v>685</v>
      </c>
    </row>
    <row r="1134" spans="1:14" ht="15" customHeight="1" x14ac:dyDescent="0.25">
      <c r="A1134" t="s">
        <v>319</v>
      </c>
      <c r="N1134" t="s" cm="1">
        <v>319</v>
      </c>
    </row>
    <row r="1135" spans="1:14" ht="15" customHeight="1" x14ac:dyDescent="0.25">
      <c r="A1135" t="s">
        <v>319</v>
      </c>
      <c r="N1135" t="s" cm="1">
        <v>319</v>
      </c>
    </row>
    <row r="1136" spans="1:14" ht="15" customHeight="1" x14ac:dyDescent="0.25">
      <c r="A1136" t="s">
        <v>755</v>
      </c>
      <c r="N1136" t="s" cm="1">
        <v>755</v>
      </c>
    </row>
    <row r="1137" spans="1:14" ht="15" customHeight="1" x14ac:dyDescent="0.25">
      <c r="A1137" t="s">
        <v>746</v>
      </c>
      <c r="N1137" t="s" cm="1">
        <v>319</v>
      </c>
    </row>
    <row r="1138" spans="1:14" ht="15" customHeight="1" x14ac:dyDescent="0.25">
      <c r="A1138" t="s">
        <v>767</v>
      </c>
      <c r="N1138" t="s" cm="1">
        <v>249</v>
      </c>
    </row>
    <row r="1139" spans="1:14" ht="15" customHeight="1" x14ac:dyDescent="0.25">
      <c r="A1139" t="s">
        <v>319</v>
      </c>
      <c r="N1139" t="s" cm="1">
        <v>319</v>
      </c>
    </row>
    <row r="1140" spans="1:14" ht="15" customHeight="1" x14ac:dyDescent="0.25">
      <c r="A1140" t="s">
        <v>774</v>
      </c>
      <c r="N1140" t="s" cm="1">
        <v>319</v>
      </c>
    </row>
    <row r="1141" spans="1:14" ht="15" customHeight="1" x14ac:dyDescent="0.25">
      <c r="A1141" t="s">
        <v>774</v>
      </c>
      <c r="N1141" t="s" cm="1">
        <v>319</v>
      </c>
    </row>
    <row r="1142" spans="1:14" ht="15" customHeight="1" x14ac:dyDescent="0.25">
      <c r="A1142" t="s">
        <v>319</v>
      </c>
      <c r="N1142" t="s" cm="1">
        <v>319</v>
      </c>
    </row>
    <row r="1143" spans="1:14" ht="15" customHeight="1" x14ac:dyDescent="0.25">
      <c r="A1143" t="s">
        <v>319</v>
      </c>
      <c r="N1143" t="s" cm="1">
        <v>319</v>
      </c>
    </row>
    <row r="1144" spans="1:14" ht="15" customHeight="1" x14ac:dyDescent="0.25">
      <c r="A1144" t="s">
        <v>319</v>
      </c>
      <c r="N1144" t="s" cm="1">
        <v>319</v>
      </c>
    </row>
    <row r="1145" spans="1:14" ht="15" customHeight="1" x14ac:dyDescent="0.25">
      <c r="A1145" t="s">
        <v>788</v>
      </c>
      <c r="N1145" t="s" cm="1">
        <v>788</v>
      </c>
    </row>
    <row r="1146" spans="1:14" ht="15" customHeight="1" x14ac:dyDescent="0.25">
      <c r="A1146" t="s">
        <v>804</v>
      </c>
      <c r="N1146" t="s" cm="1">
        <v>214</v>
      </c>
    </row>
    <row r="1147" spans="1:14" ht="15" customHeight="1" x14ac:dyDescent="0.25">
      <c r="A1147" t="s">
        <v>813</v>
      </c>
      <c r="N1147" t="s" cm="1">
        <v>813</v>
      </c>
    </row>
    <row r="1148" spans="1:14" ht="15" customHeight="1" x14ac:dyDescent="0.25">
      <c r="A1148" t="s">
        <v>316</v>
      </c>
      <c r="N1148" t="s" cm="1">
        <v>316</v>
      </c>
    </row>
    <row r="1149" spans="1:14" ht="15" customHeight="1" x14ac:dyDescent="0.25">
      <c r="A1149" t="s">
        <v>316</v>
      </c>
      <c r="N1149" t="s" cm="1">
        <v>316</v>
      </c>
    </row>
    <row r="1150" spans="1:14" ht="15" customHeight="1" x14ac:dyDescent="0.25">
      <c r="A1150" t="s">
        <v>837</v>
      </c>
      <c r="N1150" t="s" cm="1">
        <v>1060</v>
      </c>
    </row>
    <row r="1151" spans="1:14" ht="15" customHeight="1" x14ac:dyDescent="0.25">
      <c r="A1151" t="s">
        <v>851</v>
      </c>
      <c r="N1151" t="s" cm="1">
        <v>1227</v>
      </c>
    </row>
    <row r="1152" spans="1:14" ht="15" customHeight="1" x14ac:dyDescent="0.25">
      <c r="A1152" t="s">
        <v>856</v>
      </c>
      <c r="N1152" t="s" cm="1">
        <v>254</v>
      </c>
    </row>
    <row r="1153" spans="1:14" ht="15" customHeight="1" x14ac:dyDescent="0.25">
      <c r="A1153" t="s">
        <v>372</v>
      </c>
      <c r="N1153" t="s" cm="1">
        <v>372</v>
      </c>
    </row>
    <row r="1154" spans="1:14" ht="15" customHeight="1" x14ac:dyDescent="0.25">
      <c r="A1154" t="s">
        <v>874</v>
      </c>
      <c r="N1154" t="s" cm="1">
        <v>684</v>
      </c>
    </row>
    <row r="1155" spans="1:14" ht="15" customHeight="1" x14ac:dyDescent="0.25">
      <c r="A1155" t="s">
        <v>273</v>
      </c>
      <c r="N1155" t="s" cm="1">
        <v>273</v>
      </c>
    </row>
    <row r="1156" spans="1:14" ht="15" customHeight="1" x14ac:dyDescent="0.25">
      <c r="A1156" t="s">
        <v>319</v>
      </c>
      <c r="N1156" t="s" cm="1">
        <v>319</v>
      </c>
    </row>
    <row r="1157" spans="1:14" ht="15" customHeight="1" x14ac:dyDescent="0.25">
      <c r="A1157" t="s">
        <v>892</v>
      </c>
      <c r="N1157" t="s" cm="1">
        <v>319</v>
      </c>
    </row>
    <row r="1158" spans="1:14" ht="15" customHeight="1" x14ac:dyDescent="0.25">
      <c r="A1158" t="s">
        <v>743</v>
      </c>
      <c r="N1158" t="s" cm="1">
        <v>686</v>
      </c>
    </row>
    <row r="1159" spans="1:14" ht="15" customHeight="1" x14ac:dyDescent="0.25">
      <c r="A1159" t="s">
        <v>743</v>
      </c>
      <c r="N1159" t="s" cm="1">
        <v>686</v>
      </c>
    </row>
    <row r="1160" spans="1:14" ht="15" customHeight="1" x14ac:dyDescent="0.25">
      <c r="A1160" t="s">
        <v>1279</v>
      </c>
      <c r="N1160" t="s" cm="1">
        <v>1279</v>
      </c>
    </row>
    <row r="1161" spans="1:14" ht="15" customHeight="1" x14ac:dyDescent="0.25">
      <c r="A1161" t="s">
        <v>1293</v>
      </c>
      <c r="N1161" t="s" cm="1">
        <v>1293</v>
      </c>
    </row>
    <row r="1162" spans="1:14" ht="15" customHeight="1" x14ac:dyDescent="0.25">
      <c r="A1162" t="s">
        <v>290</v>
      </c>
      <c r="N1162" t="s" cm="1">
        <v>290</v>
      </c>
    </row>
    <row r="1163" spans="1:14" ht="15" customHeight="1" x14ac:dyDescent="0.25">
      <c r="A1163" t="s">
        <v>1310</v>
      </c>
      <c r="N1163" t="s" cm="1">
        <v>1310</v>
      </c>
    </row>
    <row r="1164" spans="1:14" ht="15" customHeight="1" x14ac:dyDescent="0.25">
      <c r="A1164" t="s">
        <v>319</v>
      </c>
      <c r="N1164" t="s" cm="1">
        <v>319</v>
      </c>
    </row>
    <row r="1165" spans="1:14" ht="15" customHeight="1" x14ac:dyDescent="0.25">
      <c r="A1165" t="s">
        <v>1151</v>
      </c>
      <c r="N1165" t="s" cm="1">
        <v>1151</v>
      </c>
    </row>
    <row r="1166" spans="1:14" ht="15" customHeight="1" x14ac:dyDescent="0.25">
      <c r="A1166" t="s">
        <v>1341</v>
      </c>
      <c r="N1166" t="s" cm="1">
        <v>1151</v>
      </c>
    </row>
    <row r="1167" spans="1:14" ht="15" customHeight="1" x14ac:dyDescent="0.25">
      <c r="A1167" t="s">
        <v>1341</v>
      </c>
      <c r="N1167" t="s" cm="1">
        <v>1151</v>
      </c>
    </row>
    <row r="1168" spans="1:14" ht="15" customHeight="1" x14ac:dyDescent="0.25">
      <c r="A1168" t="s">
        <v>341</v>
      </c>
      <c r="N1168" t="s" cm="1">
        <v>1129</v>
      </c>
    </row>
    <row r="1169" spans="1:14" ht="15" customHeight="1" x14ac:dyDescent="0.25">
      <c r="A1169" t="s">
        <v>351</v>
      </c>
      <c r="N1169" t="s" cm="1">
        <v>1122</v>
      </c>
    </row>
    <row r="1170" spans="1:14" ht="15" customHeight="1" x14ac:dyDescent="0.25">
      <c r="A1170" t="s">
        <v>351</v>
      </c>
      <c r="N1170" t="s" cm="1">
        <v>1122</v>
      </c>
    </row>
    <row r="1171" spans="1:14" ht="15" customHeight="1" x14ac:dyDescent="0.25">
      <c r="A1171" t="s">
        <v>327</v>
      </c>
      <c r="N1171" t="s" cm="1">
        <v>1177</v>
      </c>
    </row>
    <row r="1172" spans="1:14" ht="15" customHeight="1" x14ac:dyDescent="0.25">
      <c r="A1172" t="s">
        <v>327</v>
      </c>
      <c r="N1172" t="s" cm="1">
        <v>1177</v>
      </c>
    </row>
    <row r="1173" spans="1:14" ht="15" customHeight="1" x14ac:dyDescent="0.25">
      <c r="A1173" t="s">
        <v>327</v>
      </c>
      <c r="N1173" t="s" cm="1">
        <v>1177</v>
      </c>
    </row>
    <row r="1174" spans="1:14" ht="15" customHeight="1" x14ac:dyDescent="0.25">
      <c r="A1174" t="s">
        <v>327</v>
      </c>
      <c r="N1174" t="s" cm="1">
        <v>1177</v>
      </c>
    </row>
    <row r="1175" spans="1:14" ht="15" customHeight="1" x14ac:dyDescent="0.25">
      <c r="A1175" t="s">
        <v>327</v>
      </c>
      <c r="N1175" t="s" cm="1">
        <v>1177</v>
      </c>
    </row>
    <row r="1176" spans="1:14" ht="15" customHeight="1" x14ac:dyDescent="0.25">
      <c r="A1176" t="s">
        <v>327</v>
      </c>
      <c r="N1176" t="s" cm="1">
        <v>1177</v>
      </c>
    </row>
    <row r="1177" spans="1:14" ht="15" customHeight="1" x14ac:dyDescent="0.25">
      <c r="A1177" t="s">
        <v>327</v>
      </c>
      <c r="N1177" t="s" cm="1">
        <v>1177</v>
      </c>
    </row>
    <row r="1178" spans="1:14" ht="15" customHeight="1" x14ac:dyDescent="0.25">
      <c r="A1178" t="s">
        <v>327</v>
      </c>
      <c r="N1178" t="s" cm="1">
        <v>1177</v>
      </c>
    </row>
    <row r="1179" spans="1:14" ht="15" customHeight="1" x14ac:dyDescent="0.25">
      <c r="A1179" t="s">
        <v>327</v>
      </c>
      <c r="N1179" t="s" cm="1">
        <v>1177</v>
      </c>
    </row>
    <row r="1180" spans="1:14" ht="15" customHeight="1" x14ac:dyDescent="0.25">
      <c r="A1180" t="s">
        <v>327</v>
      </c>
      <c r="N1180" t="s" cm="1">
        <v>1177</v>
      </c>
    </row>
    <row r="1181" spans="1:14" ht="15" customHeight="1" x14ac:dyDescent="0.25">
      <c r="A1181" t="s">
        <v>394</v>
      </c>
      <c r="N1181" t="s" cm="1">
        <v>1229</v>
      </c>
    </row>
    <row r="1182" spans="1:14" ht="15" customHeight="1" x14ac:dyDescent="0.25">
      <c r="A1182" t="s">
        <v>406</v>
      </c>
      <c r="N1182" t="s" cm="1">
        <v>1025</v>
      </c>
    </row>
    <row r="1183" spans="1:14" ht="15" customHeight="1" x14ac:dyDescent="0.25">
      <c r="A1183" t="s">
        <v>427</v>
      </c>
      <c r="N1183" t="s" cm="1">
        <v>1231</v>
      </c>
    </row>
    <row r="1184" spans="1:14" ht="15" customHeight="1" x14ac:dyDescent="0.25">
      <c r="A1184" t="s">
        <v>450</v>
      </c>
      <c r="N1184" t="s" cm="1">
        <v>1160</v>
      </c>
    </row>
    <row r="1185" spans="1:14" ht="15" customHeight="1" x14ac:dyDescent="0.25">
      <c r="A1185" t="s">
        <v>450</v>
      </c>
      <c r="N1185" t="s" cm="1">
        <v>1160</v>
      </c>
    </row>
    <row r="1186" spans="1:14" ht="15" customHeight="1" x14ac:dyDescent="0.25">
      <c r="A1186" t="s">
        <v>254</v>
      </c>
      <c r="N1186" t="s" cm="1">
        <v>254</v>
      </c>
    </row>
    <row r="1187" spans="1:14" ht="15" customHeight="1" x14ac:dyDescent="0.25">
      <c r="A1187" t="s">
        <v>466</v>
      </c>
      <c r="N1187" t="s" cm="1">
        <v>1233</v>
      </c>
    </row>
    <row r="1188" spans="1:14" ht="15" customHeight="1" x14ac:dyDescent="0.25">
      <c r="A1188" t="s">
        <v>286</v>
      </c>
      <c r="N1188" t="s" cm="1">
        <v>286</v>
      </c>
    </row>
    <row r="1189" spans="1:14" ht="15" customHeight="1" x14ac:dyDescent="0.25">
      <c r="A1189" t="s">
        <v>352</v>
      </c>
      <c r="N1189" t="s" cm="1">
        <v>1065</v>
      </c>
    </row>
    <row r="1190" spans="1:14" ht="15" customHeight="1" x14ac:dyDescent="0.25">
      <c r="A1190" t="s">
        <v>333</v>
      </c>
      <c r="N1190" t="s" cm="1">
        <v>1065</v>
      </c>
    </row>
    <row r="1191" spans="1:14" ht="15" customHeight="1" x14ac:dyDescent="0.25">
      <c r="A1191" t="s">
        <v>489</v>
      </c>
      <c r="N1191" t="s" cm="1">
        <v>489</v>
      </c>
    </row>
    <row r="1192" spans="1:14" ht="15" customHeight="1" x14ac:dyDescent="0.25">
      <c r="A1192" t="s">
        <v>504</v>
      </c>
      <c r="N1192" t="s" cm="1">
        <v>1128</v>
      </c>
    </row>
    <row r="1193" spans="1:14" ht="15" customHeight="1" x14ac:dyDescent="0.25">
      <c r="A1193" t="s">
        <v>513</v>
      </c>
      <c r="N1193" t="s" cm="1">
        <v>513</v>
      </c>
    </row>
    <row r="1194" spans="1:14" ht="15" customHeight="1" x14ac:dyDescent="0.25">
      <c r="A1194" t="s">
        <v>520</v>
      </c>
      <c r="N1194" t="s" cm="1">
        <v>1129</v>
      </c>
    </row>
    <row r="1195" spans="1:14" ht="15" customHeight="1" x14ac:dyDescent="0.25">
      <c r="A1195" t="s">
        <v>525</v>
      </c>
      <c r="N1195" t="s" cm="1">
        <v>1086</v>
      </c>
    </row>
    <row r="1196" spans="1:14" ht="15" customHeight="1" x14ac:dyDescent="0.25">
      <c r="A1196" t="s">
        <v>550</v>
      </c>
      <c r="N1196" t="s" cm="1">
        <v>1065</v>
      </c>
    </row>
    <row r="1197" spans="1:14" ht="15" customHeight="1" x14ac:dyDescent="0.25">
      <c r="A1197" t="s">
        <v>550</v>
      </c>
      <c r="N1197" t="s" cm="1">
        <v>1065</v>
      </c>
    </row>
    <row r="1198" spans="1:14" ht="15" customHeight="1" x14ac:dyDescent="0.25">
      <c r="A1198" t="s">
        <v>557</v>
      </c>
      <c r="N1198" t="s" cm="1">
        <v>1065</v>
      </c>
    </row>
    <row r="1199" spans="1:14" ht="15" customHeight="1" x14ac:dyDescent="0.25">
      <c r="A1199" t="s">
        <v>488</v>
      </c>
      <c r="N1199" t="s" cm="1">
        <v>1099</v>
      </c>
    </row>
    <row r="1200" spans="1:14" ht="15" customHeight="1" x14ac:dyDescent="0.25">
      <c r="A1200" t="s">
        <v>203</v>
      </c>
      <c r="N1200" t="s" cm="1">
        <v>203</v>
      </c>
    </row>
    <row r="1201" spans="1:14" ht="15" customHeight="1" x14ac:dyDescent="0.25">
      <c r="A1201" t="s">
        <v>203</v>
      </c>
      <c r="N1201" t="s" cm="1">
        <v>203</v>
      </c>
    </row>
    <row r="1202" spans="1:14" ht="15" customHeight="1" x14ac:dyDescent="0.25">
      <c r="A1202" t="s">
        <v>203</v>
      </c>
      <c r="N1202" t="s" cm="1">
        <v>203</v>
      </c>
    </row>
    <row r="1203" spans="1:14" ht="15" customHeight="1" x14ac:dyDescent="0.25">
      <c r="A1203" t="s">
        <v>203</v>
      </c>
      <c r="N1203" t="s" cm="1">
        <v>203</v>
      </c>
    </row>
    <row r="1204" spans="1:14" ht="15" customHeight="1" x14ac:dyDescent="0.25">
      <c r="A1204" t="s">
        <v>203</v>
      </c>
      <c r="N1204" t="s" cm="1">
        <v>203</v>
      </c>
    </row>
    <row r="1205" spans="1:14" ht="15" customHeight="1" x14ac:dyDescent="0.25">
      <c r="A1205" t="s">
        <v>203</v>
      </c>
      <c r="N1205" t="s" cm="1">
        <v>203</v>
      </c>
    </row>
    <row r="1206" spans="1:14" ht="15" customHeight="1" x14ac:dyDescent="0.25">
      <c r="A1206" t="s">
        <v>415</v>
      </c>
      <c r="N1206" t="s" cm="1">
        <v>1129</v>
      </c>
    </row>
    <row r="1207" spans="1:14" ht="15" customHeight="1" x14ac:dyDescent="0.25">
      <c r="A1207" t="s">
        <v>286</v>
      </c>
      <c r="N1207" t="s" cm="1">
        <v>286</v>
      </c>
    </row>
    <row r="1208" spans="1:14" ht="15" customHeight="1" x14ac:dyDescent="0.25">
      <c r="A1208" t="s">
        <v>220</v>
      </c>
      <c r="N1208" t="s" cm="1">
        <v>220</v>
      </c>
    </row>
    <row r="1209" spans="1:14" ht="15" customHeight="1" x14ac:dyDescent="0.25">
      <c r="A1209" t="s">
        <v>612</v>
      </c>
      <c r="N1209" t="s" cm="1">
        <v>1235</v>
      </c>
    </row>
    <row r="1210" spans="1:14" ht="15" customHeight="1" x14ac:dyDescent="0.25">
      <c r="A1210" t="s">
        <v>630</v>
      </c>
      <c r="N1210" t="s" cm="1">
        <v>630</v>
      </c>
    </row>
    <row r="1211" spans="1:14" ht="15" customHeight="1" x14ac:dyDescent="0.25">
      <c r="A1211" t="s">
        <v>639</v>
      </c>
      <c r="N1211" t="s" cm="1">
        <v>1086</v>
      </c>
    </row>
    <row r="1212" spans="1:14" ht="15" customHeight="1" x14ac:dyDescent="0.25">
      <c r="A1212" t="s">
        <v>335</v>
      </c>
      <c r="N1212" t="s" cm="1">
        <v>1025</v>
      </c>
    </row>
    <row r="1213" spans="1:14" ht="15" customHeight="1" x14ac:dyDescent="0.25">
      <c r="A1213" t="s">
        <v>661</v>
      </c>
      <c r="N1213" t="s" cm="1">
        <v>661</v>
      </c>
    </row>
    <row r="1214" spans="1:14" ht="15" customHeight="1" x14ac:dyDescent="0.25">
      <c r="A1214" t="s">
        <v>661</v>
      </c>
      <c r="N1214" t="s" cm="1">
        <v>661</v>
      </c>
    </row>
    <row r="1215" spans="1:14" ht="15" customHeight="1" x14ac:dyDescent="0.25">
      <c r="A1215" t="s">
        <v>661</v>
      </c>
      <c r="N1215" t="s" cm="1">
        <v>661</v>
      </c>
    </row>
    <row r="1216" spans="1:14" ht="15" customHeight="1" x14ac:dyDescent="0.25">
      <c r="A1216" t="s">
        <v>678</v>
      </c>
      <c r="N1216" t="s" cm="1">
        <v>678</v>
      </c>
    </row>
    <row r="1217" spans="1:14" ht="15" customHeight="1" x14ac:dyDescent="0.25">
      <c r="A1217" t="s">
        <v>375</v>
      </c>
      <c r="N1217" t="s" cm="1">
        <v>1025</v>
      </c>
    </row>
    <row r="1218" spans="1:14" ht="15" customHeight="1" x14ac:dyDescent="0.25">
      <c r="A1218" t="s">
        <v>691</v>
      </c>
      <c r="N1218" t="s" cm="1">
        <v>1065</v>
      </c>
    </row>
    <row r="1219" spans="1:14" ht="15" customHeight="1" x14ac:dyDescent="0.25">
      <c r="A1219" t="s">
        <v>691</v>
      </c>
      <c r="N1219" t="s" cm="1">
        <v>1065</v>
      </c>
    </row>
    <row r="1220" spans="1:14" ht="15" customHeight="1" x14ac:dyDescent="0.25">
      <c r="A1220" t="s">
        <v>249</v>
      </c>
      <c r="N1220" t="s" cm="1">
        <v>249</v>
      </c>
    </row>
    <row r="1221" spans="1:14" ht="15" customHeight="1" x14ac:dyDescent="0.25">
      <c r="A1221" t="s">
        <v>705</v>
      </c>
      <c r="N1221" t="s" cm="1">
        <v>1065</v>
      </c>
    </row>
    <row r="1222" spans="1:14" ht="15" customHeight="1" x14ac:dyDescent="0.25">
      <c r="A1222" t="s">
        <v>247</v>
      </c>
      <c r="N1222" t="s" cm="1">
        <v>247</v>
      </c>
    </row>
    <row r="1223" spans="1:14" ht="15" customHeight="1" x14ac:dyDescent="0.25">
      <c r="A1223" t="s">
        <v>247</v>
      </c>
      <c r="N1223" t="s" cm="1">
        <v>247</v>
      </c>
    </row>
    <row r="1224" spans="1:14" ht="15" customHeight="1" x14ac:dyDescent="0.25">
      <c r="A1224" t="s">
        <v>247</v>
      </c>
      <c r="N1224" t="s" cm="1">
        <v>247</v>
      </c>
    </row>
    <row r="1225" spans="1:14" ht="15" customHeight="1" x14ac:dyDescent="0.25">
      <c r="A1225" t="s">
        <v>732</v>
      </c>
      <c r="N1225" t="s" cm="1">
        <v>249</v>
      </c>
    </row>
    <row r="1226" spans="1:14" ht="15" customHeight="1" x14ac:dyDescent="0.25">
      <c r="A1226" t="s">
        <v>249</v>
      </c>
      <c r="N1226" t="s" cm="1">
        <v>249</v>
      </c>
    </row>
    <row r="1227" spans="1:14" ht="15" customHeight="1" x14ac:dyDescent="0.25">
      <c r="A1227" t="s">
        <v>249</v>
      </c>
      <c r="N1227" t="s" cm="1">
        <v>249</v>
      </c>
    </row>
    <row r="1228" spans="1:14" ht="15" customHeight="1" x14ac:dyDescent="0.25">
      <c r="A1228" t="s">
        <v>249</v>
      </c>
      <c r="N1228" t="s" cm="1">
        <v>249</v>
      </c>
    </row>
    <row r="1229" spans="1:14" ht="15" customHeight="1" x14ac:dyDescent="0.25">
      <c r="A1229" t="s">
        <v>743</v>
      </c>
      <c r="N1229" t="s" cm="1">
        <v>686</v>
      </c>
    </row>
    <row r="1230" spans="1:14" ht="15" customHeight="1" x14ac:dyDescent="0.25">
      <c r="A1230" t="s">
        <v>743</v>
      </c>
      <c r="N1230" t="s" cm="1">
        <v>686</v>
      </c>
    </row>
    <row r="1231" spans="1:14" ht="15" customHeight="1" x14ac:dyDescent="0.25">
      <c r="A1231" t="s">
        <v>743</v>
      </c>
      <c r="N1231" t="s" cm="1">
        <v>686</v>
      </c>
    </row>
    <row r="1232" spans="1:14" ht="15" customHeight="1" x14ac:dyDescent="0.25">
      <c r="A1232" t="s">
        <v>286</v>
      </c>
      <c r="N1232" t="s" cm="1">
        <v>286</v>
      </c>
    </row>
    <row r="1233" spans="1:14" ht="15" customHeight="1" x14ac:dyDescent="0.25">
      <c r="A1233" t="s">
        <v>286</v>
      </c>
      <c r="N1233" t="s" cm="1">
        <v>286</v>
      </c>
    </row>
    <row r="1234" spans="1:14" ht="15" customHeight="1" x14ac:dyDescent="0.25">
      <c r="A1234" t="s">
        <v>756</v>
      </c>
      <c r="N1234" t="s" cm="1">
        <v>757</v>
      </c>
    </row>
    <row r="1235" spans="1:14" ht="15" customHeight="1" x14ac:dyDescent="0.25">
      <c r="A1235" t="s">
        <v>498</v>
      </c>
      <c r="N1235" t="s" cm="1">
        <v>319</v>
      </c>
    </row>
    <row r="1236" spans="1:14" ht="15" customHeight="1" x14ac:dyDescent="0.25">
      <c r="A1236" t="s">
        <v>768</v>
      </c>
      <c r="N1236" t="s" cm="1">
        <v>319</v>
      </c>
    </row>
    <row r="1237" spans="1:14" ht="15" customHeight="1" x14ac:dyDescent="0.25">
      <c r="A1237" t="s">
        <v>779</v>
      </c>
      <c r="N1237" t="s" cm="1">
        <v>319</v>
      </c>
    </row>
    <row r="1238" spans="1:14" ht="15" customHeight="1" x14ac:dyDescent="0.25">
      <c r="A1238" t="s">
        <v>775</v>
      </c>
      <c r="N1238" t="s" cm="1">
        <v>319</v>
      </c>
    </row>
    <row r="1239" spans="1:14" ht="15" customHeight="1" x14ac:dyDescent="0.25">
      <c r="A1239" t="s">
        <v>786</v>
      </c>
      <c r="N1239" t="s" cm="1">
        <v>286</v>
      </c>
    </row>
    <row r="1240" spans="1:14" ht="15" customHeight="1" x14ac:dyDescent="0.25">
      <c r="A1240" t="s">
        <v>792</v>
      </c>
      <c r="N1240" t="s" cm="1">
        <v>792</v>
      </c>
    </row>
    <row r="1241" spans="1:14" ht="15" customHeight="1" x14ac:dyDescent="0.25">
      <c r="A1241" t="s">
        <v>805</v>
      </c>
      <c r="N1241" t="s" cm="1">
        <v>805</v>
      </c>
    </row>
    <row r="1242" spans="1:14" ht="15" customHeight="1" x14ac:dyDescent="0.25">
      <c r="A1242" t="s">
        <v>814</v>
      </c>
      <c r="N1242" t="s" cm="1">
        <v>818</v>
      </c>
    </row>
    <row r="1243" spans="1:14" ht="15" customHeight="1" x14ac:dyDescent="0.25">
      <c r="A1243" t="s">
        <v>829</v>
      </c>
      <c r="N1243" t="s" cm="1">
        <v>829</v>
      </c>
    </row>
    <row r="1244" spans="1:14" ht="15" customHeight="1" x14ac:dyDescent="0.25">
      <c r="A1244" t="s">
        <v>829</v>
      </c>
      <c r="N1244" t="s" cm="1">
        <v>829</v>
      </c>
    </row>
    <row r="1245" spans="1:14" ht="15" customHeight="1" x14ac:dyDescent="0.25">
      <c r="A1245" t="s">
        <v>838</v>
      </c>
      <c r="N1245" t="s" cm="1">
        <v>838</v>
      </c>
    </row>
    <row r="1246" spans="1:14" ht="15" customHeight="1" x14ac:dyDescent="0.25">
      <c r="A1246" t="s">
        <v>694</v>
      </c>
      <c r="N1246" t="s" cm="1">
        <v>319</v>
      </c>
    </row>
    <row r="1247" spans="1:14" ht="15" customHeight="1" x14ac:dyDescent="0.25">
      <c r="A1247" t="s">
        <v>857</v>
      </c>
      <c r="N1247" t="s" cm="1">
        <v>719</v>
      </c>
    </row>
    <row r="1248" spans="1:14" ht="15" customHeight="1" x14ac:dyDescent="0.25">
      <c r="A1248" t="s">
        <v>864</v>
      </c>
      <c r="N1248" t="s" cm="1">
        <v>833</v>
      </c>
    </row>
    <row r="1249" spans="1:14" ht="15" customHeight="1" x14ac:dyDescent="0.25">
      <c r="A1249" t="s">
        <v>741</v>
      </c>
      <c r="N1249" t="s" cm="1">
        <v>685</v>
      </c>
    </row>
    <row r="1250" spans="1:14" ht="15" customHeight="1" x14ac:dyDescent="0.25">
      <c r="A1250" t="s">
        <v>247</v>
      </c>
      <c r="N1250" t="s" cm="1">
        <v>247</v>
      </c>
    </row>
    <row r="1251" spans="1:14" ht="15" customHeight="1" x14ac:dyDescent="0.25">
      <c r="A1251" t="s">
        <v>319</v>
      </c>
      <c r="N1251" t="s" cm="1">
        <v>319</v>
      </c>
    </row>
    <row r="1252" spans="1:14" ht="15" customHeight="1" x14ac:dyDescent="0.25">
      <c r="A1252" t="s">
        <v>254</v>
      </c>
      <c r="N1252" t="s" cm="1">
        <v>254</v>
      </c>
    </row>
    <row r="1253" spans="1:14" ht="15" customHeight="1" x14ac:dyDescent="0.25">
      <c r="A1253" t="s">
        <v>254</v>
      </c>
      <c r="N1253" t="s" cm="1">
        <v>254</v>
      </c>
    </row>
    <row r="1254" spans="1:14" ht="15" customHeight="1" x14ac:dyDescent="0.25">
      <c r="A1254" t="s">
        <v>1281</v>
      </c>
      <c r="N1254" t="s" cm="1">
        <v>1281</v>
      </c>
    </row>
    <row r="1255" spans="1:14" ht="15" customHeight="1" x14ac:dyDescent="0.25">
      <c r="A1255" t="s">
        <v>203</v>
      </c>
      <c r="N1255" t="s" cm="1">
        <v>203</v>
      </c>
    </row>
    <row r="1256" spans="1:14" ht="15" customHeight="1" x14ac:dyDescent="0.25">
      <c r="A1256" t="s">
        <v>1304</v>
      </c>
      <c r="N1256" t="s" cm="1">
        <v>249</v>
      </c>
    </row>
    <row r="1257" spans="1:14" ht="15" customHeight="1" x14ac:dyDescent="0.25">
      <c r="A1257" t="s">
        <v>273</v>
      </c>
      <c r="N1257" t="s" cm="1">
        <v>273</v>
      </c>
    </row>
    <row r="1258" spans="1:14" ht="15" customHeight="1" x14ac:dyDescent="0.25">
      <c r="A1258" t="s">
        <v>1151</v>
      </c>
      <c r="N1258" t="s" cm="1">
        <v>1151</v>
      </c>
    </row>
    <row r="1259" spans="1:14" ht="15" customHeight="1" x14ac:dyDescent="0.25">
      <c r="A1259" t="s">
        <v>1151</v>
      </c>
      <c r="N1259" t="s" cm="1">
        <v>1151</v>
      </c>
    </row>
    <row r="1260" spans="1:14" ht="15" customHeight="1" x14ac:dyDescent="0.25">
      <c r="A1260" t="s">
        <v>342</v>
      </c>
      <c r="N1260" t="s" cm="1">
        <v>1065</v>
      </c>
    </row>
    <row r="1261" spans="1:14" ht="15" customHeight="1" x14ac:dyDescent="0.25">
      <c r="A1261" t="s">
        <v>352</v>
      </c>
      <c r="N1261" t="s" cm="1">
        <v>1065</v>
      </c>
    </row>
    <row r="1262" spans="1:14" ht="15" customHeight="1" x14ac:dyDescent="0.25">
      <c r="A1262" t="s">
        <v>352</v>
      </c>
      <c r="N1262" t="s" cm="1">
        <v>1065</v>
      </c>
    </row>
    <row r="1263" spans="1:14" ht="15" customHeight="1" x14ac:dyDescent="0.25">
      <c r="A1263" t="s">
        <v>395</v>
      </c>
      <c r="N1263" t="s" cm="1">
        <v>395</v>
      </c>
    </row>
    <row r="1264" spans="1:14" ht="15" customHeight="1" x14ac:dyDescent="0.25">
      <c r="A1264" t="s">
        <v>407</v>
      </c>
      <c r="N1264" t="s" cm="1">
        <v>1025</v>
      </c>
    </row>
    <row r="1265" spans="1:14" ht="15" customHeight="1" x14ac:dyDescent="0.25">
      <c r="A1265" t="s">
        <v>428</v>
      </c>
      <c r="N1265" t="s" cm="1">
        <v>428</v>
      </c>
    </row>
    <row r="1266" spans="1:14" ht="15" customHeight="1" x14ac:dyDescent="0.25">
      <c r="A1266" t="s">
        <v>451</v>
      </c>
      <c r="N1266" t="s" cm="1">
        <v>1160</v>
      </c>
    </row>
    <row r="1267" spans="1:14" ht="15" customHeight="1" x14ac:dyDescent="0.25">
      <c r="A1267" t="s">
        <v>451</v>
      </c>
      <c r="N1267" t="s" cm="1">
        <v>1160</v>
      </c>
    </row>
    <row r="1268" spans="1:14" ht="15" customHeight="1" x14ac:dyDescent="0.25">
      <c r="A1268" t="s">
        <v>378</v>
      </c>
      <c r="N1268" t="s" cm="1">
        <v>1133</v>
      </c>
    </row>
    <row r="1269" spans="1:14" ht="15" customHeight="1" x14ac:dyDescent="0.25">
      <c r="A1269" t="s">
        <v>428</v>
      </c>
      <c r="N1269" t="s" cm="1">
        <v>428</v>
      </c>
    </row>
    <row r="1270" spans="1:14" ht="15" customHeight="1" x14ac:dyDescent="0.25">
      <c r="A1270" t="s">
        <v>353</v>
      </c>
      <c r="N1270" t="s" cm="1">
        <v>1192</v>
      </c>
    </row>
    <row r="1271" spans="1:14" ht="15" customHeight="1" x14ac:dyDescent="0.25">
      <c r="A1271" t="s">
        <v>489</v>
      </c>
      <c r="N1271" t="s" cm="1">
        <v>489</v>
      </c>
    </row>
    <row r="1272" spans="1:14" ht="15" customHeight="1" x14ac:dyDescent="0.25">
      <c r="A1272" t="s">
        <v>336</v>
      </c>
      <c r="N1272" t="s" cm="1">
        <v>1003</v>
      </c>
    </row>
    <row r="1273" spans="1:14" ht="15" customHeight="1" x14ac:dyDescent="0.25">
      <c r="A1273" t="s">
        <v>558</v>
      </c>
      <c r="N1273" t="s" cm="1">
        <v>1192</v>
      </c>
    </row>
    <row r="1274" spans="1:14" ht="15" customHeight="1" x14ac:dyDescent="0.25">
      <c r="A1274" t="s">
        <v>568</v>
      </c>
      <c r="N1274" t="s" cm="1">
        <v>1099</v>
      </c>
    </row>
    <row r="1275" spans="1:14" ht="15" customHeight="1" x14ac:dyDescent="0.25">
      <c r="A1275" t="s">
        <v>334</v>
      </c>
      <c r="N1275" t="s" cm="1">
        <v>334</v>
      </c>
    </row>
    <row r="1276" spans="1:14" ht="15" customHeight="1" x14ac:dyDescent="0.25">
      <c r="A1276" t="s">
        <v>334</v>
      </c>
      <c r="N1276" t="s" cm="1">
        <v>334</v>
      </c>
    </row>
    <row r="1277" spans="1:14" ht="15" customHeight="1" x14ac:dyDescent="0.25">
      <c r="A1277" t="s">
        <v>334</v>
      </c>
      <c r="N1277" t="s" cm="1">
        <v>334</v>
      </c>
    </row>
    <row r="1278" spans="1:14" ht="15" customHeight="1" x14ac:dyDescent="0.25">
      <c r="A1278" t="s">
        <v>334</v>
      </c>
      <c r="N1278" t="s" cm="1">
        <v>334</v>
      </c>
    </row>
    <row r="1279" spans="1:14" ht="15" customHeight="1" x14ac:dyDescent="0.25">
      <c r="A1279" t="s">
        <v>334</v>
      </c>
      <c r="N1279" t="s" cm="1">
        <v>334</v>
      </c>
    </row>
    <row r="1280" spans="1:14" ht="15" customHeight="1" x14ac:dyDescent="0.25">
      <c r="A1280" t="s">
        <v>334</v>
      </c>
      <c r="N1280" t="s" cm="1">
        <v>334</v>
      </c>
    </row>
    <row r="1281" spans="1:14" ht="15" customHeight="1" x14ac:dyDescent="0.25">
      <c r="A1281" t="s">
        <v>378</v>
      </c>
      <c r="N1281" t="s" cm="1">
        <v>1133</v>
      </c>
    </row>
    <row r="1282" spans="1:14" ht="15" customHeight="1" x14ac:dyDescent="0.25">
      <c r="A1282" t="s">
        <v>590</v>
      </c>
      <c r="N1282" t="s" cm="1">
        <v>286</v>
      </c>
    </row>
    <row r="1283" spans="1:14" ht="15" customHeight="1" x14ac:dyDescent="0.25">
      <c r="A1283" t="s">
        <v>290</v>
      </c>
      <c r="N1283" t="s" cm="1">
        <v>290</v>
      </c>
    </row>
    <row r="1284" spans="1:14" ht="15" customHeight="1" x14ac:dyDescent="0.25">
      <c r="A1284" t="s">
        <v>613</v>
      </c>
      <c r="N1284" t="s" cm="1">
        <v>613</v>
      </c>
    </row>
    <row r="1285" spans="1:14" ht="15" customHeight="1" x14ac:dyDescent="0.25">
      <c r="A1285" t="s">
        <v>266</v>
      </c>
      <c r="N1285" t="s" cm="1">
        <v>266</v>
      </c>
    </row>
    <row r="1286" spans="1:14" ht="15" customHeight="1" x14ac:dyDescent="0.25">
      <c r="A1286" t="s">
        <v>640</v>
      </c>
      <c r="N1286" t="s" cm="1">
        <v>1065</v>
      </c>
    </row>
    <row r="1287" spans="1:14" ht="15" customHeight="1" x14ac:dyDescent="0.25">
      <c r="A1287" t="s">
        <v>336</v>
      </c>
      <c r="N1287" t="s" cm="1">
        <v>1003</v>
      </c>
    </row>
    <row r="1288" spans="1:14" ht="15" customHeight="1" x14ac:dyDescent="0.25">
      <c r="A1288" t="s">
        <v>679</v>
      </c>
      <c r="N1288" t="s" cm="1">
        <v>679</v>
      </c>
    </row>
    <row r="1289" spans="1:14" ht="15" customHeight="1" x14ac:dyDescent="0.25">
      <c r="A1289" t="s">
        <v>374</v>
      </c>
      <c r="N1289" t="s" cm="1">
        <v>1003</v>
      </c>
    </row>
    <row r="1290" spans="1:14" ht="15" customHeight="1" x14ac:dyDescent="0.25">
      <c r="A1290" t="s">
        <v>692</v>
      </c>
      <c r="N1290" t="s" cm="1">
        <v>1192</v>
      </c>
    </row>
    <row r="1291" spans="1:14" ht="15" customHeight="1" x14ac:dyDescent="0.25">
      <c r="A1291" t="s">
        <v>692</v>
      </c>
      <c r="N1291" t="s" cm="1">
        <v>1192</v>
      </c>
    </row>
    <row r="1292" spans="1:14" ht="15" customHeight="1" x14ac:dyDescent="0.25">
      <c r="A1292" t="s">
        <v>319</v>
      </c>
      <c r="N1292" t="s" cm="1">
        <v>319</v>
      </c>
    </row>
    <row r="1293" spans="1:14" ht="15" customHeight="1" x14ac:dyDescent="0.25">
      <c r="A1293" t="s">
        <v>706</v>
      </c>
      <c r="N1293" t="s" cm="1">
        <v>1129</v>
      </c>
    </row>
    <row r="1294" spans="1:14" ht="15" customHeight="1" x14ac:dyDescent="0.25">
      <c r="A1294" t="s">
        <v>206</v>
      </c>
      <c r="N1294" t="s" cm="1">
        <v>206</v>
      </c>
    </row>
    <row r="1295" spans="1:14" ht="15" customHeight="1" x14ac:dyDescent="0.25">
      <c r="A1295" t="s">
        <v>206</v>
      </c>
      <c r="N1295" t="s" cm="1">
        <v>206</v>
      </c>
    </row>
    <row r="1296" spans="1:14" ht="15" customHeight="1" x14ac:dyDescent="0.25">
      <c r="A1296" t="s">
        <v>206</v>
      </c>
      <c r="N1296" t="s" cm="1">
        <v>206</v>
      </c>
    </row>
    <row r="1297" spans="1:14" ht="15" customHeight="1" x14ac:dyDescent="0.25">
      <c r="A1297" t="s">
        <v>694</v>
      </c>
      <c r="N1297" t="s" cm="1">
        <v>319</v>
      </c>
    </row>
    <row r="1298" spans="1:14" ht="15" customHeight="1" x14ac:dyDescent="0.25">
      <c r="A1298" t="s">
        <v>254</v>
      </c>
      <c r="N1298" t="s" cm="1">
        <v>254</v>
      </c>
    </row>
    <row r="1299" spans="1:14" ht="15" customHeight="1" x14ac:dyDescent="0.25">
      <c r="A1299" t="s">
        <v>254</v>
      </c>
      <c r="N1299" t="s" cm="1">
        <v>254</v>
      </c>
    </row>
    <row r="1300" spans="1:14" ht="15" customHeight="1" x14ac:dyDescent="0.25">
      <c r="A1300" t="s">
        <v>254</v>
      </c>
      <c r="N1300" t="s" cm="1">
        <v>254</v>
      </c>
    </row>
    <row r="1301" spans="1:14" ht="15" customHeight="1" x14ac:dyDescent="0.25">
      <c r="A1301" t="s">
        <v>589</v>
      </c>
      <c r="N1301" t="s" cm="1">
        <v>686</v>
      </c>
    </row>
    <row r="1302" spans="1:14" ht="15" customHeight="1" x14ac:dyDescent="0.25">
      <c r="A1302" t="s">
        <v>589</v>
      </c>
      <c r="N1302" t="s" cm="1">
        <v>686</v>
      </c>
    </row>
    <row r="1303" spans="1:14" ht="15" customHeight="1" x14ac:dyDescent="0.25">
      <c r="A1303" t="s">
        <v>589</v>
      </c>
      <c r="N1303" t="s" cm="1">
        <v>686</v>
      </c>
    </row>
    <row r="1304" spans="1:14" ht="15" customHeight="1" x14ac:dyDescent="0.25">
      <c r="A1304" t="s">
        <v>757</v>
      </c>
      <c r="N1304" t="s" cm="1">
        <v>757</v>
      </c>
    </row>
    <row r="1305" spans="1:14" ht="15" customHeight="1" x14ac:dyDescent="0.25">
      <c r="A1305" t="s">
        <v>249</v>
      </c>
      <c r="N1305" t="s" cm="1">
        <v>249</v>
      </c>
    </row>
    <row r="1306" spans="1:14" ht="15" customHeight="1" x14ac:dyDescent="0.25">
      <c r="A1306" t="s">
        <v>249</v>
      </c>
      <c r="N1306" t="s" cm="1">
        <v>249</v>
      </c>
    </row>
    <row r="1307" spans="1:14" ht="15" customHeight="1" x14ac:dyDescent="0.25">
      <c r="A1307" t="s">
        <v>319</v>
      </c>
      <c r="N1307" t="s" cm="1">
        <v>319</v>
      </c>
    </row>
    <row r="1308" spans="1:14" ht="15" customHeight="1" x14ac:dyDescent="0.25">
      <c r="A1308" t="s">
        <v>319</v>
      </c>
      <c r="N1308" t="s" cm="1">
        <v>319</v>
      </c>
    </row>
    <row r="1309" spans="1:14" ht="15" customHeight="1" x14ac:dyDescent="0.25">
      <c r="A1309" t="s">
        <v>788</v>
      </c>
      <c r="N1309" t="s" cm="1">
        <v>788</v>
      </c>
    </row>
    <row r="1310" spans="1:14" ht="15" customHeight="1" x14ac:dyDescent="0.25">
      <c r="A1310" t="s">
        <v>806</v>
      </c>
      <c r="N1310" t="s" cm="1">
        <v>806</v>
      </c>
    </row>
    <row r="1311" spans="1:14" ht="15" customHeight="1" x14ac:dyDescent="0.25">
      <c r="A1311" t="s">
        <v>815</v>
      </c>
      <c r="N1311" t="s" cm="1">
        <v>319</v>
      </c>
    </row>
    <row r="1312" spans="1:14" ht="15" customHeight="1" x14ac:dyDescent="0.25">
      <c r="A1312" t="s">
        <v>830</v>
      </c>
      <c r="N1312" t="s" cm="1">
        <v>830</v>
      </c>
    </row>
    <row r="1313" spans="1:14" ht="15" customHeight="1" x14ac:dyDescent="0.25">
      <c r="A1313" t="s">
        <v>830</v>
      </c>
      <c r="N1313" t="s" cm="1">
        <v>830</v>
      </c>
    </row>
    <row r="1314" spans="1:14" ht="15" customHeight="1" x14ac:dyDescent="0.25">
      <c r="A1314" t="s">
        <v>852</v>
      </c>
      <c r="N1314" t="s" cm="1">
        <v>217</v>
      </c>
    </row>
    <row r="1315" spans="1:14" ht="15" customHeight="1" x14ac:dyDescent="0.25">
      <c r="A1315" t="s">
        <v>719</v>
      </c>
      <c r="N1315" t="s" cm="1">
        <v>719</v>
      </c>
    </row>
    <row r="1316" spans="1:14" ht="15" customHeight="1" x14ac:dyDescent="0.25">
      <c r="A1316" t="s">
        <v>212</v>
      </c>
      <c r="N1316" t="s" cm="1">
        <v>212</v>
      </c>
    </row>
    <row r="1317" spans="1:14" ht="15" customHeight="1" x14ac:dyDescent="0.25">
      <c r="A1317" t="s">
        <v>254</v>
      </c>
      <c r="N1317" t="s" cm="1">
        <v>254</v>
      </c>
    </row>
    <row r="1318" spans="1:14" ht="15" customHeight="1" x14ac:dyDescent="0.25">
      <c r="A1318" t="s">
        <v>880</v>
      </c>
      <c r="N1318" t="s" cm="1">
        <v>685</v>
      </c>
    </row>
    <row r="1319" spans="1:14" ht="15" customHeight="1" x14ac:dyDescent="0.25">
      <c r="A1319" t="s">
        <v>286</v>
      </c>
      <c r="N1319" t="s" cm="1">
        <v>286</v>
      </c>
    </row>
    <row r="1320" spans="1:14" ht="15" customHeight="1" x14ac:dyDescent="0.25">
      <c r="A1320" t="s">
        <v>286</v>
      </c>
      <c r="N1320" t="s" cm="1">
        <v>286</v>
      </c>
    </row>
    <row r="1321" spans="1:14" ht="15" customHeight="1" x14ac:dyDescent="0.25">
      <c r="A1321" t="s">
        <v>1282</v>
      </c>
      <c r="N1321" t="s" cm="1">
        <v>1282</v>
      </c>
    </row>
    <row r="1322" spans="1:14" ht="15" customHeight="1" x14ac:dyDescent="0.25">
      <c r="A1322" t="s">
        <v>855</v>
      </c>
      <c r="N1322" t="s" cm="1">
        <v>855</v>
      </c>
    </row>
    <row r="1323" spans="1:14" ht="15" customHeight="1" x14ac:dyDescent="0.25">
      <c r="A1323" t="s">
        <v>249</v>
      </c>
      <c r="N1323" t="s" cm="1">
        <v>249</v>
      </c>
    </row>
    <row r="1324" spans="1:14" ht="15" customHeight="1" x14ac:dyDescent="0.25">
      <c r="A1324" t="s">
        <v>1311</v>
      </c>
      <c r="N1324" t="s" cm="1">
        <v>1311</v>
      </c>
    </row>
    <row r="1325" spans="1:14" ht="15" customHeight="1" x14ac:dyDescent="0.25">
      <c r="A1325" t="s">
        <v>343</v>
      </c>
      <c r="N1325" t="s" cm="1">
        <v>343</v>
      </c>
    </row>
    <row r="1326" spans="1:14" ht="15" customHeight="1" x14ac:dyDescent="0.25">
      <c r="A1326" t="s">
        <v>353</v>
      </c>
      <c r="N1326" t="s" cm="1">
        <v>1192</v>
      </c>
    </row>
    <row r="1327" spans="1:14" ht="15" customHeight="1" x14ac:dyDescent="0.25">
      <c r="A1327" t="s">
        <v>353</v>
      </c>
      <c r="N1327" t="s" cm="1">
        <v>1192</v>
      </c>
    </row>
    <row r="1328" spans="1:14" ht="15" customHeight="1" x14ac:dyDescent="0.25">
      <c r="A1328" t="s">
        <v>396</v>
      </c>
      <c r="N1328" t="s" cm="1">
        <v>396</v>
      </c>
    </row>
    <row r="1329" spans="1:14" ht="15" customHeight="1" x14ac:dyDescent="0.25">
      <c r="A1329" t="s">
        <v>408</v>
      </c>
      <c r="N1329" t="s" cm="1">
        <v>1133</v>
      </c>
    </row>
    <row r="1330" spans="1:14" ht="15" customHeight="1" x14ac:dyDescent="0.25">
      <c r="A1330" t="s">
        <v>429</v>
      </c>
      <c r="N1330" t="s" cm="1">
        <v>429</v>
      </c>
    </row>
    <row r="1331" spans="1:14" ht="15" customHeight="1" x14ac:dyDescent="0.25">
      <c r="A1331" t="s">
        <v>378</v>
      </c>
      <c r="N1331" t="s" cm="1">
        <v>1133</v>
      </c>
    </row>
    <row r="1332" spans="1:14" ht="15" customHeight="1" x14ac:dyDescent="0.25">
      <c r="A1332" t="s">
        <v>378</v>
      </c>
      <c r="N1332" t="s" cm="1">
        <v>1133</v>
      </c>
    </row>
    <row r="1333" spans="1:14" ht="15" customHeight="1" x14ac:dyDescent="0.25">
      <c r="A1333" t="s">
        <v>467</v>
      </c>
      <c r="N1333" t="s" cm="1">
        <v>467</v>
      </c>
    </row>
    <row r="1334" spans="1:14" ht="15" customHeight="1" x14ac:dyDescent="0.25">
      <c r="A1334" t="s">
        <v>483</v>
      </c>
      <c r="N1334" t="s" cm="1">
        <v>1065</v>
      </c>
    </row>
    <row r="1335" spans="1:14" ht="15" customHeight="1" x14ac:dyDescent="0.25">
      <c r="A1335" t="s">
        <v>273</v>
      </c>
      <c r="N1335" t="s" cm="1">
        <v>273</v>
      </c>
    </row>
    <row r="1336" spans="1:14" ht="15" customHeight="1" x14ac:dyDescent="0.25">
      <c r="A1336" t="s">
        <v>335</v>
      </c>
      <c r="N1336" t="s" cm="1">
        <v>1025</v>
      </c>
    </row>
    <row r="1337" spans="1:14" ht="15" customHeight="1" x14ac:dyDescent="0.25">
      <c r="A1337" t="s">
        <v>559</v>
      </c>
      <c r="N1337" t="s" cm="1">
        <v>1065</v>
      </c>
    </row>
    <row r="1338" spans="1:14" ht="15" customHeight="1" x14ac:dyDescent="0.25">
      <c r="A1338" t="s">
        <v>316</v>
      </c>
      <c r="N1338" t="s" cm="1">
        <v>316</v>
      </c>
    </row>
    <row r="1339" spans="1:14" ht="15" customHeight="1" x14ac:dyDescent="0.25">
      <c r="A1339" t="s">
        <v>580</v>
      </c>
      <c r="N1339" t="s" cm="1">
        <v>1142</v>
      </c>
    </row>
    <row r="1340" spans="1:14" ht="15" customHeight="1" x14ac:dyDescent="0.25">
      <c r="A1340" t="s">
        <v>580</v>
      </c>
      <c r="N1340" t="s" cm="1">
        <v>1142</v>
      </c>
    </row>
    <row r="1341" spans="1:14" ht="15" customHeight="1" x14ac:dyDescent="0.25">
      <c r="A1341" t="s">
        <v>580</v>
      </c>
      <c r="N1341" t="s" cm="1">
        <v>1142</v>
      </c>
    </row>
    <row r="1342" spans="1:14" ht="15" customHeight="1" x14ac:dyDescent="0.25">
      <c r="A1342" t="s">
        <v>580</v>
      </c>
      <c r="N1342" t="s" cm="1">
        <v>1142</v>
      </c>
    </row>
    <row r="1343" spans="1:14" ht="15" customHeight="1" x14ac:dyDescent="0.25">
      <c r="A1343" t="s">
        <v>580</v>
      </c>
      <c r="N1343" t="s" cm="1">
        <v>1142</v>
      </c>
    </row>
    <row r="1344" spans="1:14" ht="15" customHeight="1" x14ac:dyDescent="0.25">
      <c r="A1344" t="s">
        <v>580</v>
      </c>
      <c r="N1344" t="s" cm="1">
        <v>1142</v>
      </c>
    </row>
    <row r="1345" spans="1:14" ht="15" customHeight="1" x14ac:dyDescent="0.25">
      <c r="A1345" t="s">
        <v>352</v>
      </c>
      <c r="N1345" t="s" cm="1">
        <v>1065</v>
      </c>
    </row>
    <row r="1346" spans="1:14" ht="15" customHeight="1" x14ac:dyDescent="0.25">
      <c r="A1346" t="s">
        <v>339</v>
      </c>
      <c r="N1346" t="s" cm="1">
        <v>1129</v>
      </c>
    </row>
    <row r="1347" spans="1:14" ht="15" customHeight="1" x14ac:dyDescent="0.25">
      <c r="A1347" t="s">
        <v>680</v>
      </c>
      <c r="N1347" t="s" cm="1">
        <v>680</v>
      </c>
    </row>
    <row r="1348" spans="1:14" ht="15" customHeight="1" x14ac:dyDescent="0.25">
      <c r="A1348" t="s">
        <v>686</v>
      </c>
      <c r="N1348" t="s" cm="1">
        <v>686</v>
      </c>
    </row>
    <row r="1349" spans="1:14" ht="15" customHeight="1" x14ac:dyDescent="0.25">
      <c r="A1349" t="s">
        <v>693</v>
      </c>
      <c r="N1349" t="s" cm="1">
        <v>1192</v>
      </c>
    </row>
    <row r="1350" spans="1:14" ht="15" customHeight="1" x14ac:dyDescent="0.25">
      <c r="A1350" t="s">
        <v>693</v>
      </c>
      <c r="N1350" t="s" cm="1">
        <v>1192</v>
      </c>
    </row>
    <row r="1351" spans="1:14" ht="15" customHeight="1" x14ac:dyDescent="0.25">
      <c r="A1351" t="s">
        <v>719</v>
      </c>
      <c r="N1351" t="s" cm="1">
        <v>719</v>
      </c>
    </row>
    <row r="1352" spans="1:14" ht="15" customHeight="1" x14ac:dyDescent="0.25">
      <c r="A1352" t="s">
        <v>719</v>
      </c>
      <c r="N1352" t="s" cm="1">
        <v>719</v>
      </c>
    </row>
    <row r="1353" spans="1:14" ht="15" customHeight="1" x14ac:dyDescent="0.25">
      <c r="A1353" t="s">
        <v>719</v>
      </c>
      <c r="N1353" t="s" cm="1">
        <v>719</v>
      </c>
    </row>
    <row r="1354" spans="1:14" ht="15" customHeight="1" x14ac:dyDescent="0.25">
      <c r="A1354" t="s">
        <v>249</v>
      </c>
      <c r="N1354" t="s" cm="1">
        <v>249</v>
      </c>
    </row>
    <row r="1355" spans="1:14" ht="15" customHeight="1" x14ac:dyDescent="0.25">
      <c r="A1355" t="s">
        <v>319</v>
      </c>
      <c r="N1355" t="s" cm="1">
        <v>319</v>
      </c>
    </row>
    <row r="1356" spans="1:14" ht="15" customHeight="1" x14ac:dyDescent="0.25">
      <c r="A1356" t="s">
        <v>319</v>
      </c>
      <c r="N1356" t="s" cm="1">
        <v>319</v>
      </c>
    </row>
    <row r="1357" spans="1:14" ht="15" customHeight="1" x14ac:dyDescent="0.25">
      <c r="A1357" t="s">
        <v>319</v>
      </c>
      <c r="N1357" t="s" cm="1">
        <v>319</v>
      </c>
    </row>
    <row r="1358" spans="1:14" ht="15" customHeight="1" x14ac:dyDescent="0.25">
      <c r="A1358" t="s">
        <v>254</v>
      </c>
      <c r="N1358" t="s" cm="1">
        <v>254</v>
      </c>
    </row>
    <row r="1359" spans="1:14" ht="15" customHeight="1" x14ac:dyDescent="0.25">
      <c r="A1359" t="s">
        <v>254</v>
      </c>
      <c r="N1359" t="s" cm="1">
        <v>254</v>
      </c>
    </row>
    <row r="1360" spans="1:14" ht="15" customHeight="1" x14ac:dyDescent="0.25">
      <c r="A1360" t="s">
        <v>254</v>
      </c>
      <c r="N1360" t="s" cm="1">
        <v>254</v>
      </c>
    </row>
    <row r="1361" spans="1:14" ht="15" customHeight="1" x14ac:dyDescent="0.25">
      <c r="A1361" t="s">
        <v>758</v>
      </c>
      <c r="N1361" t="s" cm="1">
        <v>758</v>
      </c>
    </row>
    <row r="1362" spans="1:14" ht="15" customHeight="1" x14ac:dyDescent="0.25">
      <c r="A1362" t="s">
        <v>319</v>
      </c>
      <c r="N1362" t="s" cm="1">
        <v>319</v>
      </c>
    </row>
    <row r="1363" spans="1:14" ht="15" customHeight="1" x14ac:dyDescent="0.25">
      <c r="A1363" t="s">
        <v>319</v>
      </c>
      <c r="N1363" t="s" cm="1">
        <v>319</v>
      </c>
    </row>
    <row r="1364" spans="1:14" ht="15" customHeight="1" x14ac:dyDescent="0.25">
      <c r="A1364" t="s">
        <v>791</v>
      </c>
      <c r="N1364" t="s" cm="1">
        <v>791</v>
      </c>
    </row>
    <row r="1365" spans="1:14" ht="15" customHeight="1" x14ac:dyDescent="0.25">
      <c r="A1365" t="s">
        <v>807</v>
      </c>
      <c r="N1365" t="s" cm="1">
        <v>1246</v>
      </c>
    </row>
    <row r="1366" spans="1:14" ht="15" customHeight="1" x14ac:dyDescent="0.25">
      <c r="A1366" t="s">
        <v>816</v>
      </c>
      <c r="N1366" t="s" cm="1">
        <v>818</v>
      </c>
    </row>
    <row r="1367" spans="1:14" ht="15" customHeight="1" x14ac:dyDescent="0.25">
      <c r="A1367" t="s">
        <v>273</v>
      </c>
      <c r="N1367" t="s" cm="1">
        <v>273</v>
      </c>
    </row>
    <row r="1368" spans="1:14" ht="15" customHeight="1" x14ac:dyDescent="0.25">
      <c r="A1368" t="s">
        <v>273</v>
      </c>
      <c r="N1368" t="s" cm="1">
        <v>273</v>
      </c>
    </row>
    <row r="1369" spans="1:14" ht="15" customHeight="1" x14ac:dyDescent="0.25">
      <c r="A1369" t="s">
        <v>319</v>
      </c>
      <c r="N1369" t="s" cm="1">
        <v>319</v>
      </c>
    </row>
    <row r="1370" spans="1:14" ht="15" customHeight="1" x14ac:dyDescent="0.25">
      <c r="A1370" t="s">
        <v>254</v>
      </c>
      <c r="N1370" t="s" cm="1">
        <v>254</v>
      </c>
    </row>
    <row r="1371" spans="1:14" ht="15" customHeight="1" x14ac:dyDescent="0.25">
      <c r="A1371" t="s">
        <v>865</v>
      </c>
      <c r="N1371" t="s" cm="1">
        <v>865</v>
      </c>
    </row>
    <row r="1372" spans="1:14" ht="15" customHeight="1" x14ac:dyDescent="0.25">
      <c r="A1372" t="s">
        <v>319</v>
      </c>
      <c r="N1372" t="s" cm="1">
        <v>319</v>
      </c>
    </row>
    <row r="1373" spans="1:14" ht="15" customHeight="1" x14ac:dyDescent="0.25">
      <c r="A1373" t="s">
        <v>881</v>
      </c>
      <c r="N1373" t="s" cm="1">
        <v>685</v>
      </c>
    </row>
    <row r="1374" spans="1:14" ht="15" customHeight="1" x14ac:dyDescent="0.25">
      <c r="A1374" t="s">
        <v>590</v>
      </c>
      <c r="N1374" t="s" cm="1">
        <v>286</v>
      </c>
    </row>
    <row r="1375" spans="1:14" ht="15" customHeight="1" x14ac:dyDescent="0.25">
      <c r="A1375" t="s">
        <v>590</v>
      </c>
      <c r="N1375" t="s" cm="1">
        <v>286</v>
      </c>
    </row>
    <row r="1376" spans="1:14" ht="15" customHeight="1" x14ac:dyDescent="0.25">
      <c r="A1376" t="s">
        <v>1283</v>
      </c>
      <c r="N1376" t="s" cm="1">
        <v>1283</v>
      </c>
    </row>
    <row r="1377" spans="1:14" ht="15" customHeight="1" x14ac:dyDescent="0.25">
      <c r="A1377" t="s">
        <v>1294</v>
      </c>
      <c r="N1377" t="s" cm="1">
        <v>1294</v>
      </c>
    </row>
    <row r="1378" spans="1:14" ht="15" customHeight="1" x14ac:dyDescent="0.25">
      <c r="A1378" t="s">
        <v>571</v>
      </c>
      <c r="N1378" t="s" cm="1">
        <v>319</v>
      </c>
    </row>
    <row r="1379" spans="1:14" ht="15" customHeight="1" x14ac:dyDescent="0.25">
      <c r="A1379" t="s">
        <v>397</v>
      </c>
      <c r="N1379" t="s" cm="1">
        <v>1248</v>
      </c>
    </row>
    <row r="1380" spans="1:14" ht="15" customHeight="1" x14ac:dyDescent="0.25">
      <c r="A1380" t="s">
        <v>409</v>
      </c>
      <c r="N1380" t="s" cm="1">
        <v>1025</v>
      </c>
    </row>
    <row r="1381" spans="1:14" ht="15" customHeight="1" x14ac:dyDescent="0.25">
      <c r="A1381" t="s">
        <v>430</v>
      </c>
      <c r="N1381" t="s" cm="1">
        <v>430</v>
      </c>
    </row>
    <row r="1382" spans="1:14" ht="15" customHeight="1" x14ac:dyDescent="0.25">
      <c r="A1382" t="s">
        <v>436</v>
      </c>
      <c r="N1382" t="s" cm="1">
        <v>1249</v>
      </c>
    </row>
    <row r="1383" spans="1:14" ht="15" customHeight="1" x14ac:dyDescent="0.25">
      <c r="A1383" t="s">
        <v>371</v>
      </c>
      <c r="N1383" t="s" cm="1">
        <v>371</v>
      </c>
    </row>
    <row r="1384" spans="1:14" ht="15" customHeight="1" x14ac:dyDescent="0.25">
      <c r="A1384" t="s">
        <v>526</v>
      </c>
      <c r="N1384" t="s" cm="1">
        <v>1003</v>
      </c>
    </row>
    <row r="1385" spans="1:14" ht="15" customHeight="1" x14ac:dyDescent="0.25">
      <c r="A1385" t="s">
        <v>560</v>
      </c>
      <c r="N1385" t="s" cm="1">
        <v>1192</v>
      </c>
    </row>
    <row r="1386" spans="1:14" ht="15" customHeight="1" x14ac:dyDescent="0.25">
      <c r="A1386" t="s">
        <v>569</v>
      </c>
      <c r="N1386" t="s" cm="1">
        <v>569</v>
      </c>
    </row>
    <row r="1387" spans="1:14" ht="15" customHeight="1" x14ac:dyDescent="0.25">
      <c r="A1387" t="s">
        <v>581</v>
      </c>
      <c r="N1387" t="s" cm="1">
        <v>1142</v>
      </c>
    </row>
    <row r="1388" spans="1:14" ht="15" customHeight="1" x14ac:dyDescent="0.25">
      <c r="A1388" t="s">
        <v>581</v>
      </c>
      <c r="N1388" t="s" cm="1">
        <v>1142</v>
      </c>
    </row>
    <row r="1389" spans="1:14" ht="15" customHeight="1" x14ac:dyDescent="0.25">
      <c r="A1389" t="s">
        <v>581</v>
      </c>
      <c r="N1389" t="s" cm="1">
        <v>1142</v>
      </c>
    </row>
    <row r="1390" spans="1:14" ht="15" customHeight="1" x14ac:dyDescent="0.25">
      <c r="A1390" t="s">
        <v>581</v>
      </c>
      <c r="N1390" t="s" cm="1">
        <v>1142</v>
      </c>
    </row>
    <row r="1391" spans="1:14" ht="15" customHeight="1" x14ac:dyDescent="0.25">
      <c r="A1391" t="s">
        <v>581</v>
      </c>
      <c r="N1391" t="s" cm="1">
        <v>1142</v>
      </c>
    </row>
    <row r="1392" spans="1:14" ht="15" customHeight="1" x14ac:dyDescent="0.25">
      <c r="A1392" t="s">
        <v>581</v>
      </c>
      <c r="N1392" t="s" cm="1">
        <v>1142</v>
      </c>
    </row>
    <row r="1393" spans="1:14" ht="15" customHeight="1" x14ac:dyDescent="0.25">
      <c r="A1393" t="s">
        <v>353</v>
      </c>
      <c r="N1393" t="s" cm="1">
        <v>1192</v>
      </c>
    </row>
    <row r="1394" spans="1:14" ht="15" customHeight="1" x14ac:dyDescent="0.25">
      <c r="A1394" t="s">
        <v>340</v>
      </c>
      <c r="N1394" t="s" cm="1">
        <v>1065</v>
      </c>
    </row>
    <row r="1395" spans="1:14" ht="15" customHeight="1" x14ac:dyDescent="0.25">
      <c r="A1395" t="s">
        <v>681</v>
      </c>
      <c r="N1395" t="s" cm="1">
        <v>681</v>
      </c>
    </row>
    <row r="1396" spans="1:14" ht="15" customHeight="1" x14ac:dyDescent="0.25">
      <c r="A1396" t="s">
        <v>377</v>
      </c>
      <c r="N1396" t="s" cm="1">
        <v>1065</v>
      </c>
    </row>
    <row r="1397" spans="1:14" ht="15" customHeight="1" x14ac:dyDescent="0.25">
      <c r="A1397" t="s">
        <v>352</v>
      </c>
      <c r="N1397" t="s" cm="1">
        <v>1065</v>
      </c>
    </row>
    <row r="1398" spans="1:14" ht="15" customHeight="1" x14ac:dyDescent="0.25">
      <c r="A1398" t="s">
        <v>352</v>
      </c>
      <c r="N1398" t="s" cm="1">
        <v>1065</v>
      </c>
    </row>
    <row r="1399" spans="1:14" ht="15" customHeight="1" x14ac:dyDescent="0.25">
      <c r="A1399" t="s">
        <v>254</v>
      </c>
      <c r="N1399" t="s" cm="1">
        <v>254</v>
      </c>
    </row>
    <row r="1400" spans="1:14" ht="15" customHeight="1" x14ac:dyDescent="0.25">
      <c r="A1400" t="s">
        <v>254</v>
      </c>
      <c r="N1400" t="s" cm="1">
        <v>254</v>
      </c>
    </row>
    <row r="1401" spans="1:14" ht="15" customHeight="1" x14ac:dyDescent="0.25">
      <c r="A1401" t="s">
        <v>254</v>
      </c>
      <c r="N1401" t="s" cm="1">
        <v>254</v>
      </c>
    </row>
    <row r="1402" spans="1:14" ht="15" customHeight="1" x14ac:dyDescent="0.25">
      <c r="A1402" t="s">
        <v>319</v>
      </c>
      <c r="N1402" t="s" cm="1">
        <v>319</v>
      </c>
    </row>
    <row r="1403" spans="1:14" ht="15" customHeight="1" x14ac:dyDescent="0.25">
      <c r="A1403" t="s">
        <v>286</v>
      </c>
      <c r="N1403" t="s" cm="1">
        <v>286</v>
      </c>
    </row>
    <row r="1404" spans="1:14" ht="15" customHeight="1" x14ac:dyDescent="0.25">
      <c r="A1404" t="s">
        <v>286</v>
      </c>
      <c r="N1404" t="s" cm="1">
        <v>286</v>
      </c>
    </row>
    <row r="1405" spans="1:14" ht="15" customHeight="1" x14ac:dyDescent="0.25">
      <c r="A1405" t="s">
        <v>286</v>
      </c>
      <c r="N1405" t="s" cm="1">
        <v>286</v>
      </c>
    </row>
    <row r="1406" spans="1:14" ht="15" customHeight="1" x14ac:dyDescent="0.25">
      <c r="A1406" t="s">
        <v>206</v>
      </c>
      <c r="N1406" t="s" cm="1">
        <v>206</v>
      </c>
    </row>
    <row r="1407" spans="1:14" ht="15" customHeight="1" x14ac:dyDescent="0.25">
      <c r="A1407" t="s">
        <v>792</v>
      </c>
      <c r="N1407" t="s" cm="1">
        <v>792</v>
      </c>
    </row>
    <row r="1408" spans="1:14" ht="15" customHeight="1" x14ac:dyDescent="0.25">
      <c r="A1408" t="s">
        <v>281</v>
      </c>
      <c r="N1408" t="s" cm="1">
        <v>281</v>
      </c>
    </row>
    <row r="1409" spans="1:14" ht="15" customHeight="1" x14ac:dyDescent="0.25">
      <c r="A1409" t="s">
        <v>817</v>
      </c>
      <c r="N1409" t="s" cm="1">
        <v>1021</v>
      </c>
    </row>
    <row r="1410" spans="1:14" ht="15" customHeight="1" x14ac:dyDescent="0.25">
      <c r="A1410" t="s">
        <v>290</v>
      </c>
      <c r="N1410" t="s" cm="1">
        <v>290</v>
      </c>
    </row>
    <row r="1411" spans="1:14" ht="15" customHeight="1" x14ac:dyDescent="0.25">
      <c r="A1411" t="s">
        <v>290</v>
      </c>
      <c r="N1411" t="s" cm="1">
        <v>290</v>
      </c>
    </row>
    <row r="1412" spans="1:14" ht="15" customHeight="1" x14ac:dyDescent="0.25">
      <c r="A1412" t="s">
        <v>286</v>
      </c>
      <c r="N1412" t="s" cm="1">
        <v>286</v>
      </c>
    </row>
    <row r="1413" spans="1:14" ht="15" customHeight="1" x14ac:dyDescent="0.25">
      <c r="A1413" t="s">
        <v>859</v>
      </c>
      <c r="N1413" t="s" cm="1">
        <v>859</v>
      </c>
    </row>
    <row r="1414" spans="1:14" ht="15" customHeight="1" x14ac:dyDescent="0.25">
      <c r="A1414" t="s">
        <v>590</v>
      </c>
      <c r="N1414" t="s" cm="1">
        <v>286</v>
      </c>
    </row>
    <row r="1415" spans="1:14" ht="15" customHeight="1" x14ac:dyDescent="0.25">
      <c r="A1415" t="s">
        <v>254</v>
      </c>
      <c r="N1415" t="s" cm="1">
        <v>254</v>
      </c>
    </row>
    <row r="1416" spans="1:14" ht="15" customHeight="1" x14ac:dyDescent="0.25">
      <c r="A1416" t="s">
        <v>273</v>
      </c>
      <c r="N1416" t="s" cm="1">
        <v>273</v>
      </c>
    </row>
    <row r="1417" spans="1:14" ht="15" customHeight="1" x14ac:dyDescent="0.25">
      <c r="A1417" t="s">
        <v>231</v>
      </c>
      <c r="N1417" t="s" cm="1">
        <v>231</v>
      </c>
    </row>
    <row r="1418" spans="1:14" ht="15" customHeight="1" x14ac:dyDescent="0.25">
      <c r="A1418" t="s">
        <v>572</v>
      </c>
      <c r="N1418" t="s" cm="1">
        <v>254</v>
      </c>
    </row>
    <row r="1419" spans="1:14" ht="15" customHeight="1" x14ac:dyDescent="0.25">
      <c r="A1419" t="s">
        <v>398</v>
      </c>
      <c r="N1419" t="s" cm="1">
        <v>1133</v>
      </c>
    </row>
    <row r="1420" spans="1:14" ht="15" customHeight="1" x14ac:dyDescent="0.25">
      <c r="A1420" t="s">
        <v>410</v>
      </c>
      <c r="N1420" t="s" cm="1">
        <v>1133</v>
      </c>
    </row>
    <row r="1421" spans="1:14" ht="15" customHeight="1" x14ac:dyDescent="0.25">
      <c r="A1421" t="s">
        <v>431</v>
      </c>
      <c r="N1421" t="s" cm="1">
        <v>431</v>
      </c>
    </row>
    <row r="1422" spans="1:14" ht="15" customHeight="1" x14ac:dyDescent="0.25">
      <c r="A1422" t="s">
        <v>498</v>
      </c>
      <c r="N1422" t="s" cm="1">
        <v>319</v>
      </c>
    </row>
    <row r="1423" spans="1:14" ht="15" customHeight="1" x14ac:dyDescent="0.25">
      <c r="A1423" t="s">
        <v>527</v>
      </c>
      <c r="N1423" t="s" cm="1">
        <v>1255</v>
      </c>
    </row>
    <row r="1424" spans="1:14" ht="15" customHeight="1" x14ac:dyDescent="0.25">
      <c r="A1424" t="s">
        <v>570</v>
      </c>
      <c r="N1424" t="s" cm="1">
        <v>570</v>
      </c>
    </row>
    <row r="1425" spans="1:14" ht="15" customHeight="1" x14ac:dyDescent="0.25">
      <c r="A1425" t="s">
        <v>381</v>
      </c>
      <c r="N1425" t="s" cm="1">
        <v>1003</v>
      </c>
    </row>
    <row r="1426" spans="1:14" ht="15" customHeight="1" x14ac:dyDescent="0.25">
      <c r="A1426" t="s">
        <v>381</v>
      </c>
      <c r="N1426" t="s" cm="1">
        <v>1003</v>
      </c>
    </row>
    <row r="1427" spans="1:14" ht="15" customHeight="1" x14ac:dyDescent="0.25">
      <c r="A1427" t="s">
        <v>381</v>
      </c>
      <c r="N1427" t="s" cm="1">
        <v>1003</v>
      </c>
    </row>
    <row r="1428" spans="1:14" ht="15" customHeight="1" x14ac:dyDescent="0.25">
      <c r="A1428" t="s">
        <v>381</v>
      </c>
      <c r="N1428" t="s" cm="1">
        <v>1003</v>
      </c>
    </row>
    <row r="1429" spans="1:14" ht="15" customHeight="1" x14ac:dyDescent="0.25">
      <c r="A1429" t="s">
        <v>381</v>
      </c>
      <c r="N1429" t="s" cm="1">
        <v>1003</v>
      </c>
    </row>
    <row r="1430" spans="1:14" ht="15" customHeight="1" x14ac:dyDescent="0.25">
      <c r="A1430" t="s">
        <v>381</v>
      </c>
      <c r="N1430" t="s" cm="1">
        <v>1003</v>
      </c>
    </row>
    <row r="1431" spans="1:14" ht="15" customHeight="1" x14ac:dyDescent="0.25">
      <c r="A1431" t="s">
        <v>340</v>
      </c>
      <c r="N1431" t="s" cm="1">
        <v>1065</v>
      </c>
    </row>
    <row r="1432" spans="1:14" ht="15" customHeight="1" x14ac:dyDescent="0.25">
      <c r="A1432" t="s">
        <v>682</v>
      </c>
      <c r="N1432" t="s" cm="1">
        <v>682</v>
      </c>
    </row>
    <row r="1433" spans="1:14" ht="15" customHeight="1" x14ac:dyDescent="0.25">
      <c r="A1433" t="s">
        <v>378</v>
      </c>
      <c r="N1433" t="s" cm="1">
        <v>1133</v>
      </c>
    </row>
    <row r="1434" spans="1:14" ht="15" customHeight="1" x14ac:dyDescent="0.25">
      <c r="A1434" t="s">
        <v>353</v>
      </c>
      <c r="N1434" t="s" cm="1">
        <v>1192</v>
      </c>
    </row>
    <row r="1435" spans="1:14" ht="15" customHeight="1" x14ac:dyDescent="0.25">
      <c r="A1435" t="s">
        <v>353</v>
      </c>
      <c r="N1435" t="s" cm="1">
        <v>1192</v>
      </c>
    </row>
    <row r="1436" spans="1:14" ht="15" customHeight="1" x14ac:dyDescent="0.25">
      <c r="A1436" t="s">
        <v>319</v>
      </c>
      <c r="N1436" t="s" cm="1">
        <v>319</v>
      </c>
    </row>
    <row r="1437" spans="1:14" ht="15" customHeight="1" x14ac:dyDescent="0.25">
      <c r="A1437" t="s">
        <v>319</v>
      </c>
      <c r="N1437" t="s" cm="1">
        <v>319</v>
      </c>
    </row>
    <row r="1438" spans="1:14" ht="15" customHeight="1" x14ac:dyDescent="0.25">
      <c r="A1438" t="s">
        <v>319</v>
      </c>
      <c r="N1438" t="s" cm="1">
        <v>319</v>
      </c>
    </row>
    <row r="1439" spans="1:14" ht="15" customHeight="1" x14ac:dyDescent="0.25">
      <c r="A1439" t="s">
        <v>590</v>
      </c>
      <c r="N1439" t="s" cm="1">
        <v>286</v>
      </c>
    </row>
    <row r="1440" spans="1:14" ht="15" customHeight="1" x14ac:dyDescent="0.25">
      <c r="A1440" t="s">
        <v>590</v>
      </c>
      <c r="N1440" t="s" cm="1">
        <v>286</v>
      </c>
    </row>
    <row r="1441" spans="1:14" ht="15" customHeight="1" x14ac:dyDescent="0.25">
      <c r="A1441" t="s">
        <v>590</v>
      </c>
      <c r="N1441" t="s" cm="1">
        <v>286</v>
      </c>
    </row>
    <row r="1442" spans="1:14" ht="15" customHeight="1" x14ac:dyDescent="0.25">
      <c r="A1442" t="s">
        <v>254</v>
      </c>
      <c r="N1442" t="s" cm="1">
        <v>254</v>
      </c>
    </row>
    <row r="1443" spans="1:14" ht="15" customHeight="1" x14ac:dyDescent="0.25">
      <c r="A1443" t="s">
        <v>790</v>
      </c>
      <c r="N1443" t="s" cm="1">
        <v>790</v>
      </c>
    </row>
    <row r="1444" spans="1:14" ht="15" customHeight="1" x14ac:dyDescent="0.25">
      <c r="A1444" t="s">
        <v>224</v>
      </c>
      <c r="N1444" t="s" cm="1">
        <v>224</v>
      </c>
    </row>
    <row r="1445" spans="1:14" ht="15" customHeight="1" x14ac:dyDescent="0.25">
      <c r="A1445" t="s">
        <v>319</v>
      </c>
      <c r="N1445" t="s" cm="1">
        <v>319</v>
      </c>
    </row>
    <row r="1446" spans="1:14" ht="15" customHeight="1" x14ac:dyDescent="0.25">
      <c r="A1446" t="s">
        <v>217</v>
      </c>
      <c r="N1446" t="s" cm="1">
        <v>217</v>
      </c>
    </row>
    <row r="1447" spans="1:14" ht="15" customHeight="1" x14ac:dyDescent="0.25">
      <c r="A1447" t="s">
        <v>217</v>
      </c>
      <c r="N1447" t="s" cm="1">
        <v>217</v>
      </c>
    </row>
    <row r="1448" spans="1:14" ht="15" customHeight="1" x14ac:dyDescent="0.25">
      <c r="A1448" t="s">
        <v>334</v>
      </c>
      <c r="N1448" t="s" cm="1">
        <v>334</v>
      </c>
    </row>
    <row r="1449" spans="1:14" ht="15" customHeight="1" x14ac:dyDescent="0.25">
      <c r="A1449" t="s">
        <v>875</v>
      </c>
      <c r="N1449" t="s" cm="1">
        <v>286</v>
      </c>
    </row>
    <row r="1450" spans="1:14" ht="15" customHeight="1" x14ac:dyDescent="0.25">
      <c r="A1450" t="s">
        <v>286</v>
      </c>
      <c r="N1450" t="s" cm="1">
        <v>286</v>
      </c>
    </row>
    <row r="1451" spans="1:14" ht="15" customHeight="1" x14ac:dyDescent="0.25">
      <c r="A1451" t="s">
        <v>1284</v>
      </c>
      <c r="N1451" t="s" cm="1">
        <v>1284</v>
      </c>
    </row>
    <row r="1452" spans="1:14" ht="15" customHeight="1" x14ac:dyDescent="0.25">
      <c r="A1452" t="s">
        <v>1295</v>
      </c>
      <c r="N1452" t="s" cm="1">
        <v>1295</v>
      </c>
    </row>
    <row r="1453" spans="1:14" ht="15" customHeight="1" x14ac:dyDescent="0.25">
      <c r="A1453" t="s">
        <v>1312</v>
      </c>
      <c r="N1453" t="s" cm="1">
        <v>319</v>
      </c>
    </row>
    <row r="1454" spans="1:14" ht="15" customHeight="1" x14ac:dyDescent="0.25">
      <c r="A1454" t="s">
        <v>399</v>
      </c>
      <c r="N1454" t="s" cm="1">
        <v>1177</v>
      </c>
    </row>
    <row r="1455" spans="1:14" ht="15" customHeight="1" x14ac:dyDescent="0.25">
      <c r="A1455" t="s">
        <v>411</v>
      </c>
      <c r="N1455" t="s" cm="1">
        <v>1025</v>
      </c>
    </row>
    <row r="1456" spans="1:14" ht="15" customHeight="1" x14ac:dyDescent="0.25">
      <c r="A1456" t="s">
        <v>432</v>
      </c>
      <c r="N1456" t="s" cm="1">
        <v>432</v>
      </c>
    </row>
    <row r="1457" spans="1:14" ht="15" customHeight="1" x14ac:dyDescent="0.25">
      <c r="A1457" t="s">
        <v>254</v>
      </c>
      <c r="N1457" t="s" cm="1">
        <v>254</v>
      </c>
    </row>
    <row r="1458" spans="1:14" ht="15" customHeight="1" x14ac:dyDescent="0.25">
      <c r="A1458" t="s">
        <v>456</v>
      </c>
      <c r="N1458" t="s" cm="1">
        <v>1160</v>
      </c>
    </row>
    <row r="1459" spans="1:14" ht="15" customHeight="1" x14ac:dyDescent="0.25">
      <c r="A1459" t="s">
        <v>290</v>
      </c>
      <c r="N1459" t="s" cm="1">
        <v>290</v>
      </c>
    </row>
    <row r="1460" spans="1:14" ht="15" customHeight="1" x14ac:dyDescent="0.25">
      <c r="A1460" t="s">
        <v>582</v>
      </c>
      <c r="N1460" t="s" cm="1">
        <v>1259</v>
      </c>
    </row>
    <row r="1461" spans="1:14" ht="15" customHeight="1" x14ac:dyDescent="0.25">
      <c r="A1461" t="s">
        <v>582</v>
      </c>
      <c r="N1461" t="s" cm="1">
        <v>1259</v>
      </c>
    </row>
    <row r="1462" spans="1:14" ht="15" customHeight="1" x14ac:dyDescent="0.25">
      <c r="A1462" t="s">
        <v>582</v>
      </c>
      <c r="N1462" t="s" cm="1">
        <v>1259</v>
      </c>
    </row>
    <row r="1463" spans="1:14" ht="15" customHeight="1" x14ac:dyDescent="0.25">
      <c r="A1463" t="s">
        <v>582</v>
      </c>
      <c r="N1463" t="s" cm="1">
        <v>1259</v>
      </c>
    </row>
    <row r="1464" spans="1:14" ht="15" customHeight="1" x14ac:dyDescent="0.25">
      <c r="A1464" t="s">
        <v>582</v>
      </c>
      <c r="N1464" t="s" cm="1">
        <v>1259</v>
      </c>
    </row>
    <row r="1465" spans="1:14" ht="15" customHeight="1" x14ac:dyDescent="0.25">
      <c r="A1465" t="s">
        <v>582</v>
      </c>
      <c r="N1465" t="s" cm="1">
        <v>1259</v>
      </c>
    </row>
    <row r="1466" spans="1:14" ht="15" customHeight="1" x14ac:dyDescent="0.25">
      <c r="A1466" t="s">
        <v>339</v>
      </c>
      <c r="N1466" t="s" cm="1">
        <v>1129</v>
      </c>
    </row>
    <row r="1467" spans="1:14" ht="15" customHeight="1" x14ac:dyDescent="0.25">
      <c r="A1467" t="s">
        <v>290</v>
      </c>
      <c r="N1467" t="s" cm="1">
        <v>290</v>
      </c>
    </row>
    <row r="1468" spans="1:14" ht="15" customHeight="1" x14ac:dyDescent="0.25">
      <c r="A1468" t="s">
        <v>457</v>
      </c>
      <c r="N1468" t="s" cm="1">
        <v>1133</v>
      </c>
    </row>
    <row r="1469" spans="1:14" ht="15" customHeight="1" x14ac:dyDescent="0.25">
      <c r="A1469" t="s">
        <v>319</v>
      </c>
      <c r="N1469" t="s" cm="1">
        <v>319</v>
      </c>
    </row>
    <row r="1470" spans="1:14" ht="15" customHeight="1" x14ac:dyDescent="0.25">
      <c r="A1470" t="s">
        <v>793</v>
      </c>
      <c r="N1470" t="s" cm="1">
        <v>793</v>
      </c>
    </row>
    <row r="1471" spans="1:14" ht="15" customHeight="1" x14ac:dyDescent="0.25">
      <c r="A1471" t="s">
        <v>792</v>
      </c>
      <c r="N1471" t="s" cm="1">
        <v>792</v>
      </c>
    </row>
    <row r="1472" spans="1:14" ht="15" customHeight="1" x14ac:dyDescent="0.25">
      <c r="A1472" t="s">
        <v>818</v>
      </c>
      <c r="N1472" t="s" cm="1">
        <v>818</v>
      </c>
    </row>
    <row r="1473" spans="1:14" ht="15" customHeight="1" x14ac:dyDescent="0.25">
      <c r="A1473" t="s">
        <v>254</v>
      </c>
      <c r="N1473" t="s" cm="1">
        <v>254</v>
      </c>
    </row>
    <row r="1474" spans="1:14" ht="15" customHeight="1" x14ac:dyDescent="0.25">
      <c r="A1474" t="s">
        <v>254</v>
      </c>
      <c r="N1474" t="s" cm="1">
        <v>254</v>
      </c>
    </row>
    <row r="1475" spans="1:14" ht="15" customHeight="1" x14ac:dyDescent="0.25">
      <c r="A1475" t="s">
        <v>866</v>
      </c>
      <c r="N1475" t="s" cm="1">
        <v>866</v>
      </c>
    </row>
    <row r="1476" spans="1:14" ht="15" customHeight="1" x14ac:dyDescent="0.25">
      <c r="A1476" t="s">
        <v>590</v>
      </c>
      <c r="N1476" t="s" cm="1">
        <v>286</v>
      </c>
    </row>
    <row r="1477" spans="1:14" ht="15" customHeight="1" x14ac:dyDescent="0.25">
      <c r="A1477" t="s">
        <v>1285</v>
      </c>
      <c r="N1477" t="s" cm="1">
        <v>719</v>
      </c>
    </row>
    <row r="1478" spans="1:14" ht="15" customHeight="1" x14ac:dyDescent="0.25">
      <c r="A1478" t="s">
        <v>1296</v>
      </c>
      <c r="N1478" t="s" cm="1">
        <v>1296</v>
      </c>
    </row>
    <row r="1479" spans="1:14" ht="15" customHeight="1" x14ac:dyDescent="0.25">
      <c r="A1479" t="s">
        <v>1313</v>
      </c>
      <c r="N1479" t="s" cm="1">
        <v>254</v>
      </c>
    </row>
    <row r="1480" spans="1:14" ht="15" customHeight="1" x14ac:dyDescent="0.25">
      <c r="A1480" t="s">
        <v>412</v>
      </c>
      <c r="N1480" t="s" cm="1">
        <v>1129</v>
      </c>
    </row>
    <row r="1481" spans="1:14" ht="15" customHeight="1" x14ac:dyDescent="0.25">
      <c r="A1481" t="s">
        <v>433</v>
      </c>
      <c r="N1481" t="s" cm="1">
        <v>913</v>
      </c>
    </row>
    <row r="1482" spans="1:14" ht="15" customHeight="1" x14ac:dyDescent="0.25">
      <c r="A1482" t="s">
        <v>306</v>
      </c>
      <c r="N1482" t="s" cm="1">
        <v>254</v>
      </c>
    </row>
    <row r="1483" spans="1:14" ht="15" customHeight="1" x14ac:dyDescent="0.25">
      <c r="A1483" t="s">
        <v>451</v>
      </c>
      <c r="N1483" t="s" cm="1">
        <v>1160</v>
      </c>
    </row>
    <row r="1484" spans="1:14" ht="15" customHeight="1" x14ac:dyDescent="0.25">
      <c r="A1484" t="s">
        <v>382</v>
      </c>
      <c r="N1484" t="s" cm="1">
        <v>1065</v>
      </c>
    </row>
    <row r="1485" spans="1:14" ht="15" customHeight="1" x14ac:dyDescent="0.25">
      <c r="A1485" t="s">
        <v>382</v>
      </c>
      <c r="N1485" t="s" cm="1">
        <v>1065</v>
      </c>
    </row>
    <row r="1486" spans="1:14" ht="15" customHeight="1" x14ac:dyDescent="0.25">
      <c r="A1486" t="s">
        <v>382</v>
      </c>
      <c r="N1486" t="s" cm="1">
        <v>1065</v>
      </c>
    </row>
    <row r="1487" spans="1:14" ht="15" customHeight="1" x14ac:dyDescent="0.25">
      <c r="A1487" t="s">
        <v>382</v>
      </c>
      <c r="N1487" t="s" cm="1">
        <v>1065</v>
      </c>
    </row>
    <row r="1488" spans="1:14" ht="15" customHeight="1" x14ac:dyDescent="0.25">
      <c r="A1488" t="s">
        <v>382</v>
      </c>
      <c r="N1488" t="s" cm="1">
        <v>1065</v>
      </c>
    </row>
    <row r="1489" spans="1:14" ht="15" customHeight="1" x14ac:dyDescent="0.25">
      <c r="A1489" t="s">
        <v>382</v>
      </c>
      <c r="N1489" t="s" cm="1">
        <v>1065</v>
      </c>
    </row>
    <row r="1490" spans="1:14" ht="15" customHeight="1" x14ac:dyDescent="0.25">
      <c r="A1490" t="s">
        <v>641</v>
      </c>
      <c r="N1490" t="s" cm="1">
        <v>1128</v>
      </c>
    </row>
    <row r="1491" spans="1:14" ht="15" customHeight="1" x14ac:dyDescent="0.25">
      <c r="A1491" t="s">
        <v>683</v>
      </c>
      <c r="N1491" t="s" cm="1">
        <v>683</v>
      </c>
    </row>
    <row r="1492" spans="1:14" ht="15" customHeight="1" x14ac:dyDescent="0.25">
      <c r="A1492" t="s">
        <v>794</v>
      </c>
      <c r="N1492" t="s" cm="1">
        <v>794</v>
      </c>
    </row>
    <row r="1493" spans="1:14" ht="15" customHeight="1" x14ac:dyDescent="0.25">
      <c r="A1493" t="s">
        <v>808</v>
      </c>
      <c r="N1493" t="s" cm="1">
        <v>808</v>
      </c>
    </row>
    <row r="1494" spans="1:14" ht="15" customHeight="1" x14ac:dyDescent="0.25">
      <c r="A1494" t="s">
        <v>319</v>
      </c>
      <c r="N1494" t="s" cm="1">
        <v>319</v>
      </c>
    </row>
    <row r="1495" spans="1:14" ht="15" customHeight="1" x14ac:dyDescent="0.25">
      <c r="A1495" t="s">
        <v>319</v>
      </c>
      <c r="N1495" t="s" cm="1">
        <v>319</v>
      </c>
    </row>
    <row r="1496" spans="1:14" ht="15" customHeight="1" x14ac:dyDescent="0.25">
      <c r="A1496" t="s">
        <v>867</v>
      </c>
      <c r="N1496" t="s" cm="1">
        <v>319</v>
      </c>
    </row>
    <row r="1497" spans="1:14" ht="15" customHeight="1" x14ac:dyDescent="0.25">
      <c r="A1497" t="s">
        <v>843</v>
      </c>
      <c r="N1497" t="s" cm="1">
        <v>719</v>
      </c>
    </row>
    <row r="1498" spans="1:14" ht="15" customHeight="1" x14ac:dyDescent="0.25">
      <c r="A1498" t="s">
        <v>1290</v>
      </c>
      <c r="N1498" t="s" cm="1">
        <v>1290</v>
      </c>
    </row>
    <row r="1499" spans="1:14" ht="15" customHeight="1" x14ac:dyDescent="0.25">
      <c r="A1499" t="s">
        <v>1314</v>
      </c>
      <c r="N1499" t="s" cm="1">
        <v>319</v>
      </c>
    </row>
    <row r="1500" spans="1:14" ht="15" customHeight="1" x14ac:dyDescent="0.25">
      <c r="A1500" t="s">
        <v>413</v>
      </c>
      <c r="N1500" t="s" cm="1">
        <v>1129</v>
      </c>
    </row>
    <row r="1501" spans="1:14" ht="15" customHeight="1" x14ac:dyDescent="0.25">
      <c r="A1501" t="s">
        <v>434</v>
      </c>
      <c r="N1501" t="s" cm="1">
        <v>434</v>
      </c>
    </row>
    <row r="1502" spans="1:14" ht="15" customHeight="1" x14ac:dyDescent="0.25">
      <c r="A1502" t="s">
        <v>319</v>
      </c>
      <c r="N1502" t="s" cm="1">
        <v>319</v>
      </c>
    </row>
    <row r="1503" spans="1:14" ht="15" customHeight="1" x14ac:dyDescent="0.25">
      <c r="A1503" t="s">
        <v>340</v>
      </c>
      <c r="N1503" t="s" cm="1">
        <v>1065</v>
      </c>
    </row>
    <row r="1504" spans="1:14" ht="15" customHeight="1" x14ac:dyDescent="0.25">
      <c r="A1504" t="s">
        <v>583</v>
      </c>
      <c r="N1504" t="s" cm="1">
        <v>1177</v>
      </c>
    </row>
    <row r="1505" spans="1:14" ht="15" customHeight="1" x14ac:dyDescent="0.25">
      <c r="A1505" t="s">
        <v>583</v>
      </c>
      <c r="N1505" t="s" cm="1">
        <v>1177</v>
      </c>
    </row>
    <row r="1506" spans="1:14" ht="15" customHeight="1" x14ac:dyDescent="0.25">
      <c r="A1506" t="s">
        <v>583</v>
      </c>
      <c r="N1506" t="s" cm="1">
        <v>1177</v>
      </c>
    </row>
    <row r="1507" spans="1:14" ht="15" customHeight="1" x14ac:dyDescent="0.25">
      <c r="A1507" t="s">
        <v>583</v>
      </c>
      <c r="N1507" t="s" cm="1">
        <v>1177</v>
      </c>
    </row>
    <row r="1508" spans="1:14" ht="15" customHeight="1" x14ac:dyDescent="0.25">
      <c r="A1508" t="s">
        <v>583</v>
      </c>
      <c r="N1508" t="s" cm="1">
        <v>1177</v>
      </c>
    </row>
    <row r="1509" spans="1:14" ht="15" customHeight="1" x14ac:dyDescent="0.25">
      <c r="A1509" t="s">
        <v>583</v>
      </c>
      <c r="N1509" t="s" cm="1">
        <v>1177</v>
      </c>
    </row>
    <row r="1510" spans="1:14" ht="15" customHeight="1" x14ac:dyDescent="0.25">
      <c r="A1510" t="s">
        <v>290</v>
      </c>
      <c r="N1510" t="s" cm="1">
        <v>290</v>
      </c>
    </row>
    <row r="1511" spans="1:14" ht="15" customHeight="1" x14ac:dyDescent="0.25">
      <c r="A1511" t="s">
        <v>273</v>
      </c>
      <c r="N1511" t="s" cm="1">
        <v>273</v>
      </c>
    </row>
    <row r="1512" spans="1:14" ht="15" customHeight="1" x14ac:dyDescent="0.25">
      <c r="A1512" t="s">
        <v>286</v>
      </c>
      <c r="N1512" t="s" cm="1">
        <v>286</v>
      </c>
    </row>
    <row r="1513" spans="1:14" ht="15" customHeight="1" x14ac:dyDescent="0.25">
      <c r="A1513" t="s">
        <v>286</v>
      </c>
      <c r="N1513" t="s" cm="1">
        <v>286</v>
      </c>
    </row>
    <row r="1514" spans="1:14" ht="15" customHeight="1" x14ac:dyDescent="0.25">
      <c r="A1514" t="s">
        <v>868</v>
      </c>
      <c r="N1514" t="s" cm="1">
        <v>1262</v>
      </c>
    </row>
    <row r="1515" spans="1:14" ht="15" customHeight="1" x14ac:dyDescent="0.25">
      <c r="A1515" t="s">
        <v>719</v>
      </c>
      <c r="N1515" t="s" cm="1">
        <v>719</v>
      </c>
    </row>
    <row r="1516" spans="1:14" ht="15" customHeight="1" x14ac:dyDescent="0.25">
      <c r="A1516" t="s">
        <v>349</v>
      </c>
      <c r="N1516" t="s" cm="1">
        <v>349</v>
      </c>
    </row>
    <row r="1517" spans="1:14" ht="15" customHeight="1" x14ac:dyDescent="0.25">
      <c r="A1517" t="s">
        <v>1315</v>
      </c>
      <c r="N1517" t="s" cm="1">
        <v>319</v>
      </c>
    </row>
    <row r="1518" spans="1:14" ht="15" customHeight="1" x14ac:dyDescent="0.25">
      <c r="A1518" t="s">
        <v>414</v>
      </c>
      <c r="N1518" t="s" cm="1">
        <v>1117</v>
      </c>
    </row>
    <row r="1519" spans="1:14" ht="15" customHeight="1" x14ac:dyDescent="0.25">
      <c r="A1519" t="s">
        <v>435</v>
      </c>
      <c r="N1519" t="s" cm="1">
        <v>435</v>
      </c>
    </row>
    <row r="1520" spans="1:14" ht="15" customHeight="1" x14ac:dyDescent="0.25">
      <c r="A1520" t="s">
        <v>339</v>
      </c>
      <c r="N1520" t="s" cm="1">
        <v>1129</v>
      </c>
    </row>
    <row r="1521" spans="1:14" ht="15" customHeight="1" x14ac:dyDescent="0.25">
      <c r="A1521" t="s">
        <v>795</v>
      </c>
      <c r="N1521" t="s" cm="1">
        <v>286</v>
      </c>
    </row>
    <row r="1522" spans="1:14" ht="15" customHeight="1" x14ac:dyDescent="0.25">
      <c r="A1522" t="s">
        <v>806</v>
      </c>
      <c r="N1522" t="s" cm="1">
        <v>806</v>
      </c>
    </row>
    <row r="1523" spans="1:14" ht="15" customHeight="1" x14ac:dyDescent="0.25">
      <c r="A1523" t="s">
        <v>767</v>
      </c>
      <c r="N1523" t="s" cm="1">
        <v>249</v>
      </c>
    </row>
    <row r="1524" spans="1:14" ht="15" customHeight="1" x14ac:dyDescent="0.25">
      <c r="A1524" t="s">
        <v>1286</v>
      </c>
      <c r="N1524" t="s" cm="1">
        <v>1286</v>
      </c>
    </row>
    <row r="1525" spans="1:14" ht="15" customHeight="1" x14ac:dyDescent="0.25">
      <c r="A1525" t="s">
        <v>273</v>
      </c>
      <c r="N1525" t="s" cm="1">
        <v>273</v>
      </c>
    </row>
    <row r="1526" spans="1:14" ht="15" customHeight="1" x14ac:dyDescent="0.25">
      <c r="A1526" t="s">
        <v>254</v>
      </c>
      <c r="N1526" t="s" cm="1">
        <v>254</v>
      </c>
    </row>
    <row r="1527" spans="1:14" ht="15" customHeight="1" x14ac:dyDescent="0.25">
      <c r="A1527" t="s">
        <v>415</v>
      </c>
      <c r="N1527" t="s" cm="1">
        <v>1129</v>
      </c>
    </row>
    <row r="1528" spans="1:14" ht="15" customHeight="1" x14ac:dyDescent="0.25">
      <c r="A1528" t="s">
        <v>436</v>
      </c>
      <c r="N1528" t="s" cm="1">
        <v>1249</v>
      </c>
    </row>
    <row r="1529" spans="1:14" ht="15" customHeight="1" x14ac:dyDescent="0.25">
      <c r="A1529" t="s">
        <v>528</v>
      </c>
      <c r="N1529" t="s" cm="1">
        <v>1065</v>
      </c>
    </row>
    <row r="1530" spans="1:14" ht="15" customHeight="1" x14ac:dyDescent="0.25">
      <c r="A1530" t="s">
        <v>796</v>
      </c>
      <c r="N1530" t="s" cm="1">
        <v>286</v>
      </c>
    </row>
    <row r="1531" spans="1:14" ht="15" customHeight="1" x14ac:dyDescent="0.25">
      <c r="A1531" t="s">
        <v>806</v>
      </c>
      <c r="N1531" t="s" cm="1">
        <v>806</v>
      </c>
    </row>
    <row r="1532" spans="1:14" ht="15" customHeight="1" x14ac:dyDescent="0.25">
      <c r="A1532" t="s">
        <v>768</v>
      </c>
      <c r="N1532" t="s" cm="1">
        <v>319</v>
      </c>
    </row>
    <row r="1533" spans="1:14" ht="15" customHeight="1" x14ac:dyDescent="0.25">
      <c r="A1533" t="s">
        <v>290</v>
      </c>
      <c r="N1533" t="s" cm="1">
        <v>290</v>
      </c>
    </row>
    <row r="1534" spans="1:14" ht="15" customHeight="1" x14ac:dyDescent="0.25">
      <c r="A1534" t="s">
        <v>319</v>
      </c>
      <c r="N1534" t="s" cm="1">
        <v>319</v>
      </c>
    </row>
    <row r="1535" spans="1:14" ht="15" customHeight="1" x14ac:dyDescent="0.25">
      <c r="A1535" t="s">
        <v>281</v>
      </c>
      <c r="N1535" t="s" cm="1">
        <v>281</v>
      </c>
    </row>
    <row r="1536" spans="1:14" ht="15" customHeight="1" x14ac:dyDescent="0.25">
      <c r="A1536" t="s">
        <v>378</v>
      </c>
      <c r="N1536" t="s" cm="1">
        <v>1133</v>
      </c>
    </row>
    <row r="1537" spans="1:14" ht="15" customHeight="1" x14ac:dyDescent="0.25">
      <c r="A1537" t="s">
        <v>797</v>
      </c>
      <c r="N1537" t="s" cm="1">
        <v>286</v>
      </c>
    </row>
    <row r="1538" spans="1:14" ht="15" customHeight="1" x14ac:dyDescent="0.25">
      <c r="A1538" t="s">
        <v>808</v>
      </c>
      <c r="N1538" t="s" cm="1">
        <v>808</v>
      </c>
    </row>
    <row r="1539" spans="1:14" ht="15" customHeight="1" x14ac:dyDescent="0.25">
      <c r="A1539" t="s">
        <v>869</v>
      </c>
      <c r="N1539" t="s" cm="1">
        <v>217</v>
      </c>
    </row>
    <row r="1540" spans="1:14" ht="15" customHeight="1" x14ac:dyDescent="0.25">
      <c r="A1540" t="s">
        <v>1297</v>
      </c>
      <c r="N1540" t="s" cm="1">
        <v>319</v>
      </c>
    </row>
    <row r="1541" spans="1:14" ht="15" customHeight="1" x14ac:dyDescent="0.25">
      <c r="A1541" t="s">
        <v>286</v>
      </c>
      <c r="N1541" t="s" cm="1">
        <v>286</v>
      </c>
    </row>
    <row r="1542" spans="1:14" ht="15" customHeight="1" x14ac:dyDescent="0.25">
      <c r="A1542" t="s">
        <v>792</v>
      </c>
      <c r="N1542" t="s" cm="1">
        <v>792</v>
      </c>
    </row>
    <row r="1543" spans="1:14" ht="15" customHeight="1" x14ac:dyDescent="0.25">
      <c r="A1543" t="s">
        <v>249</v>
      </c>
      <c r="N1543" t="s" cm="1">
        <v>249</v>
      </c>
    </row>
    <row r="1544" spans="1:14" ht="15" customHeight="1" x14ac:dyDescent="0.25">
      <c r="A1544" t="s">
        <v>1298</v>
      </c>
      <c r="N1544" t="s" cm="1">
        <v>319</v>
      </c>
    </row>
    <row r="1545" spans="1:14" ht="15" customHeight="1" x14ac:dyDescent="0.25">
      <c r="A1545" t="s">
        <v>290</v>
      </c>
      <c r="N1545" t="s" cm="1">
        <v>290</v>
      </c>
    </row>
    <row r="1546" spans="1:14" ht="15" customHeight="1" x14ac:dyDescent="0.25">
      <c r="A1546" t="s">
        <v>870</v>
      </c>
      <c r="N1546" t="s" cm="1">
        <v>249</v>
      </c>
    </row>
    <row r="1547" spans="1:14" ht="15" customHeight="1" x14ac:dyDescent="0.25">
      <c r="A1547" t="s">
        <v>319</v>
      </c>
      <c r="N1547" t="s" cm="1">
        <v>319</v>
      </c>
    </row>
    <row r="1548" spans="1:14" ht="15" customHeight="1" x14ac:dyDescent="0.25">
      <c r="A1548" t="s">
        <v>286</v>
      </c>
      <c r="N1548" t="s" cm="1">
        <v>286</v>
      </c>
    </row>
    <row r="1549" spans="1:14" ht="15" customHeight="1" x14ac:dyDescent="0.25">
      <c r="A1549" t="s">
        <v>319</v>
      </c>
      <c r="N1549" t="s" cm="1">
        <v>319</v>
      </c>
    </row>
    <row r="1550" spans="1:14" ht="15" customHeight="1" x14ac:dyDescent="0.25">
      <c r="A1550" s="2"/>
      <c r="N1550" t="s">
        <v>254</v>
      </c>
    </row>
    <row r="1551" spans="1:14" ht="15" customHeight="1" x14ac:dyDescent="0.25">
      <c r="A1551" s="2"/>
      <c r="N1551" t="s">
        <v>311</v>
      </c>
    </row>
    <row r="1552" spans="1:14" ht="15" customHeight="1" x14ac:dyDescent="0.25">
      <c r="A1552" s="2"/>
      <c r="N1552" t="s">
        <v>254</v>
      </c>
    </row>
    <row r="1553" spans="1:14" ht="15" customHeight="1" x14ac:dyDescent="0.25">
      <c r="A1553" s="2"/>
      <c r="N1553" t="s">
        <v>254</v>
      </c>
    </row>
    <row r="1554" spans="1:14" ht="15" customHeight="1" x14ac:dyDescent="0.25">
      <c r="A1554" s="2"/>
      <c r="N1554" t="s">
        <v>254</v>
      </c>
    </row>
    <row r="1555" spans="1:14" ht="15" customHeight="1" x14ac:dyDescent="0.25">
      <c r="A1555" s="2"/>
      <c r="N1555" t="s">
        <v>217</v>
      </c>
    </row>
    <row r="1556" spans="1:14" ht="15" customHeight="1" x14ac:dyDescent="0.25">
      <c r="A1556" s="2"/>
      <c r="N1556" t="s">
        <v>254</v>
      </c>
    </row>
    <row r="1557" spans="1:14" ht="15" customHeight="1" x14ac:dyDescent="0.25">
      <c r="A1557" s="2"/>
      <c r="N1557" t="s">
        <v>258</v>
      </c>
    </row>
    <row r="1558" spans="1:14" ht="15" customHeight="1" x14ac:dyDescent="0.25">
      <c r="A1558" s="2"/>
      <c r="N1558" t="s">
        <v>216</v>
      </c>
    </row>
    <row r="1559" spans="1:14" ht="15" customHeight="1" x14ac:dyDescent="0.25">
      <c r="A1559" s="2"/>
      <c r="N1559" t="s">
        <v>257</v>
      </c>
    </row>
    <row r="1560" spans="1:14" ht="15" customHeight="1" x14ac:dyDescent="0.25">
      <c r="A1560" s="2"/>
      <c r="N1560" t="s">
        <v>264</v>
      </c>
    </row>
    <row r="1561" spans="1:14" ht="15" customHeight="1" x14ac:dyDescent="0.25">
      <c r="A1561" s="2"/>
      <c r="N1561" t="s">
        <v>296</v>
      </c>
    </row>
    <row r="1562" spans="1:14" ht="15" customHeight="1" x14ac:dyDescent="0.25">
      <c r="A1562" s="2"/>
      <c r="N1562" t="s">
        <v>222</v>
      </c>
    </row>
    <row r="1563" spans="1:14" ht="15" customHeight="1" x14ac:dyDescent="0.25">
      <c r="A1563" s="2"/>
      <c r="N1563" t="s">
        <v>221</v>
      </c>
    </row>
    <row r="1564" spans="1:14" ht="15" customHeight="1" x14ac:dyDescent="0.25">
      <c r="A1564" s="2"/>
      <c r="N1564" t="s">
        <v>267</v>
      </c>
    </row>
    <row r="1565" spans="1:14" ht="15" customHeight="1" x14ac:dyDescent="0.25">
      <c r="A1565" s="2"/>
      <c r="N1565" t="s">
        <v>228</v>
      </c>
    </row>
    <row r="1566" spans="1:14" ht="15" customHeight="1" x14ac:dyDescent="0.25">
      <c r="A1566" s="2"/>
      <c r="N1566" t="s">
        <v>308</v>
      </c>
    </row>
    <row r="1567" spans="1:14" ht="15" customHeight="1" x14ac:dyDescent="0.25">
      <c r="A1567" s="2"/>
      <c r="N1567" t="s">
        <v>218</v>
      </c>
    </row>
    <row r="1568" spans="1:14" ht="15" customHeight="1" x14ac:dyDescent="0.25">
      <c r="A1568" s="2"/>
      <c r="N1568" t="s">
        <v>280</v>
      </c>
    </row>
    <row r="1569" spans="1:14" ht="15" customHeight="1" x14ac:dyDescent="0.25">
      <c r="A1569" s="2"/>
      <c r="N1569" t="s">
        <v>312</v>
      </c>
    </row>
    <row r="1570" spans="1:14" ht="15" customHeight="1" x14ac:dyDescent="0.25">
      <c r="A1570" s="2"/>
      <c r="N1570" t="s">
        <v>265</v>
      </c>
    </row>
    <row r="1571" spans="1:14" ht="15" customHeight="1" x14ac:dyDescent="0.25">
      <c r="A1571" s="2"/>
      <c r="N1571" t="s">
        <v>308</v>
      </c>
    </row>
    <row r="1572" spans="1:14" ht="15" customHeight="1" x14ac:dyDescent="0.25">
      <c r="A1572" s="2"/>
      <c r="N1572" t="s">
        <v>254</v>
      </c>
    </row>
    <row r="1573" spans="1:14" ht="15" customHeight="1" x14ac:dyDescent="0.25">
      <c r="A1573" s="2"/>
      <c r="N1573" t="s">
        <v>289</v>
      </c>
    </row>
    <row r="1574" spans="1:14" ht="15" customHeight="1" x14ac:dyDescent="0.25">
      <c r="A1574" s="2"/>
      <c r="N1574" t="s">
        <v>273</v>
      </c>
    </row>
    <row r="1575" spans="1:14" ht="15" customHeight="1" x14ac:dyDescent="0.25">
      <c r="A1575" s="2"/>
      <c r="N1575" t="s">
        <v>249</v>
      </c>
    </row>
    <row r="1576" spans="1:14" ht="15" customHeight="1" x14ac:dyDescent="0.25">
      <c r="A1576" s="2"/>
      <c r="N1576" t="s">
        <v>226</v>
      </c>
    </row>
    <row r="1577" spans="1:14" ht="15" customHeight="1" x14ac:dyDescent="0.25">
      <c r="A1577" s="2"/>
      <c r="N1577" t="s">
        <v>228</v>
      </c>
    </row>
    <row r="1578" spans="1:14" ht="15" customHeight="1" x14ac:dyDescent="0.25">
      <c r="A1578" s="2"/>
      <c r="N1578" t="s">
        <v>288</v>
      </c>
    </row>
    <row r="1579" spans="1:14" ht="15" customHeight="1" x14ac:dyDescent="0.25">
      <c r="A1579" s="2"/>
      <c r="N1579" t="s">
        <v>228</v>
      </c>
    </row>
    <row r="1580" spans="1:14" ht="15" customHeight="1" x14ac:dyDescent="0.25">
      <c r="A1580" s="2"/>
      <c r="N1580" t="s">
        <v>228</v>
      </c>
    </row>
    <row r="1581" spans="1:14" ht="15" customHeight="1" x14ac:dyDescent="0.25">
      <c r="A1581" s="2"/>
      <c r="N1581" t="s">
        <v>228</v>
      </c>
    </row>
    <row r="1582" spans="1:14" ht="15" customHeight="1" x14ac:dyDescent="0.25">
      <c r="A1582" s="2"/>
      <c r="N1582" t="s">
        <v>254</v>
      </c>
    </row>
    <row r="1583" spans="1:14" ht="15" customHeight="1" x14ac:dyDescent="0.25">
      <c r="A1583" s="2"/>
      <c r="N1583" t="s">
        <v>295</v>
      </c>
    </row>
    <row r="1584" spans="1:14" ht="15" customHeight="1" x14ac:dyDescent="0.25">
      <c r="A1584" s="2"/>
      <c r="N1584" t="s">
        <v>295</v>
      </c>
    </row>
    <row r="1585" spans="1:14" ht="15" customHeight="1" x14ac:dyDescent="0.25">
      <c r="A1585" s="2"/>
      <c r="N1585" t="s">
        <v>254</v>
      </c>
    </row>
    <row r="1586" spans="1:14" ht="15" customHeight="1" x14ac:dyDescent="0.25">
      <c r="A1586" s="2"/>
      <c r="N1586" t="s">
        <v>295</v>
      </c>
    </row>
    <row r="1587" spans="1:14" ht="15" customHeight="1" x14ac:dyDescent="0.25">
      <c r="A1587" s="2"/>
      <c r="N1587" t="s">
        <v>295</v>
      </c>
    </row>
    <row r="1588" spans="1:14" ht="15" customHeight="1" x14ac:dyDescent="0.25">
      <c r="A1588" s="2"/>
      <c r="N1588" t="s">
        <v>262</v>
      </c>
    </row>
    <row r="1589" spans="1:14" ht="15" customHeight="1" x14ac:dyDescent="0.25">
      <c r="A1589" s="2"/>
      <c r="N1589" t="s">
        <v>295</v>
      </c>
    </row>
    <row r="1590" spans="1:14" ht="15" customHeight="1" x14ac:dyDescent="0.25">
      <c r="A1590" s="2"/>
      <c r="N1590" t="s">
        <v>295</v>
      </c>
    </row>
    <row r="1591" spans="1:14" ht="15" customHeight="1" x14ac:dyDescent="0.25">
      <c r="A1591" s="2"/>
      <c r="N1591" t="s">
        <v>279</v>
      </c>
    </row>
    <row r="1592" spans="1:14" ht="15" customHeight="1" x14ac:dyDescent="0.25">
      <c r="A1592" s="2"/>
      <c r="N1592" t="s">
        <v>268</v>
      </c>
    </row>
    <row r="1593" spans="1:14" ht="15" customHeight="1" x14ac:dyDescent="0.25">
      <c r="A1593" s="2"/>
      <c r="N1593" t="s">
        <v>300</v>
      </c>
    </row>
    <row r="1594" spans="1:14" ht="15" customHeight="1" x14ac:dyDescent="0.25">
      <c r="A1594" s="2"/>
      <c r="N1594" t="s">
        <v>286</v>
      </c>
    </row>
    <row r="1595" spans="1:14" ht="15" customHeight="1" x14ac:dyDescent="0.25">
      <c r="A1595" s="2"/>
      <c r="N1595" t="s">
        <v>295</v>
      </c>
    </row>
    <row r="1596" spans="1:14" ht="15" customHeight="1" x14ac:dyDescent="0.25">
      <c r="A1596" s="2"/>
      <c r="N1596" t="s">
        <v>254</v>
      </c>
    </row>
    <row r="1597" spans="1:14" ht="15" customHeight="1" x14ac:dyDescent="0.25">
      <c r="A1597" s="2"/>
      <c r="N1597" t="s">
        <v>302</v>
      </c>
    </row>
    <row r="1598" spans="1:14" ht="15" customHeight="1" x14ac:dyDescent="0.25">
      <c r="A1598" s="2"/>
      <c r="N1598" t="s">
        <v>302</v>
      </c>
    </row>
    <row r="1599" spans="1:14" ht="15" customHeight="1" x14ac:dyDescent="0.25">
      <c r="A1599" s="2"/>
      <c r="N1599" t="s">
        <v>254</v>
      </c>
    </row>
    <row r="1600" spans="1:14" ht="15" customHeight="1" x14ac:dyDescent="0.25">
      <c r="A1600" s="2"/>
      <c r="N1600" t="s">
        <v>301</v>
      </c>
    </row>
    <row r="1601" spans="1:14" ht="15" customHeight="1" x14ac:dyDescent="0.25">
      <c r="A1601" s="2"/>
      <c r="N1601" t="s">
        <v>210</v>
      </c>
    </row>
    <row r="1602" spans="1:14" ht="15" customHeight="1" x14ac:dyDescent="0.25">
      <c r="A1602" s="2"/>
      <c r="N1602" t="s">
        <v>254</v>
      </c>
    </row>
    <row r="1603" spans="1:14" ht="15" customHeight="1" x14ac:dyDescent="0.25">
      <c r="A1603" s="2"/>
      <c r="N1603" t="s">
        <v>313</v>
      </c>
    </row>
    <row r="1604" spans="1:14" ht="15" customHeight="1" x14ac:dyDescent="0.25">
      <c r="A1604" s="2"/>
      <c r="N1604" t="s">
        <v>313</v>
      </c>
    </row>
    <row r="1605" spans="1:14" ht="15" customHeight="1" x14ac:dyDescent="0.25">
      <c r="A1605" s="2"/>
      <c r="N1605" t="s">
        <v>313</v>
      </c>
    </row>
    <row r="1606" spans="1:14" ht="15" customHeight="1" x14ac:dyDescent="0.25">
      <c r="A1606" s="2"/>
      <c r="N1606" t="s">
        <v>313</v>
      </c>
    </row>
    <row r="1607" spans="1:14" ht="15" customHeight="1" x14ac:dyDescent="0.25">
      <c r="A1607" s="2"/>
      <c r="N1607" t="s">
        <v>313</v>
      </c>
    </row>
    <row r="1608" spans="1:14" ht="15" customHeight="1" x14ac:dyDescent="0.25">
      <c r="A1608" s="2"/>
      <c r="N1608" t="s">
        <v>209</v>
      </c>
    </row>
    <row r="1609" spans="1:14" ht="15" customHeight="1" x14ac:dyDescent="0.25">
      <c r="A1609" s="2"/>
      <c r="N1609" t="s">
        <v>254</v>
      </c>
    </row>
    <row r="1610" spans="1:14" ht="15" customHeight="1" x14ac:dyDescent="0.25">
      <c r="A1610" s="2"/>
      <c r="N1610" t="s">
        <v>254</v>
      </c>
    </row>
    <row r="1611" spans="1:14" ht="15" customHeight="1" x14ac:dyDescent="0.25">
      <c r="A1611" s="2"/>
      <c r="N1611" t="s">
        <v>211</v>
      </c>
    </row>
    <row r="1612" spans="1:14" ht="15" customHeight="1" x14ac:dyDescent="0.25">
      <c r="A1612" s="2"/>
      <c r="N1612" t="s">
        <v>251</v>
      </c>
    </row>
    <row r="1613" spans="1:14" ht="15" customHeight="1" x14ac:dyDescent="0.25">
      <c r="A1613" s="2"/>
      <c r="N1613" t="s">
        <v>254</v>
      </c>
    </row>
    <row r="1614" spans="1:14" ht="15" customHeight="1" x14ac:dyDescent="0.25">
      <c r="A1614" s="2"/>
      <c r="N1614" t="s">
        <v>254</v>
      </c>
    </row>
    <row r="1615" spans="1:14" ht="15" customHeight="1" x14ac:dyDescent="0.25">
      <c r="A1615" s="2"/>
      <c r="N1615" t="s">
        <v>228</v>
      </c>
    </row>
    <row r="1616" spans="1:14" ht="15" customHeight="1" x14ac:dyDescent="0.25">
      <c r="A1616" s="2"/>
      <c r="N1616" t="s">
        <v>303</v>
      </c>
    </row>
    <row r="1617" spans="1:14" ht="15" customHeight="1" x14ac:dyDescent="0.25">
      <c r="A1617" s="2"/>
      <c r="N1617" t="s">
        <v>228</v>
      </c>
    </row>
    <row r="1618" spans="1:14" ht="15" customHeight="1" x14ac:dyDescent="0.25">
      <c r="A1618" s="2"/>
      <c r="N1618" t="s">
        <v>264</v>
      </c>
    </row>
    <row r="1619" spans="1:14" ht="15" customHeight="1" x14ac:dyDescent="0.25">
      <c r="A1619" s="2"/>
      <c r="N1619" t="s">
        <v>291</v>
      </c>
    </row>
    <row r="1620" spans="1:14" ht="15" customHeight="1" x14ac:dyDescent="0.25">
      <c r="A1620" s="2"/>
      <c r="N1620" t="s">
        <v>239</v>
      </c>
    </row>
    <row r="1621" spans="1:14" ht="15" customHeight="1" x14ac:dyDescent="0.25">
      <c r="A1621" s="2"/>
      <c r="N1621" t="s">
        <v>228</v>
      </c>
    </row>
    <row r="1622" spans="1:14" ht="15" customHeight="1" x14ac:dyDescent="0.25">
      <c r="A1622" s="2"/>
      <c r="N1622" t="s">
        <v>304</v>
      </c>
    </row>
    <row r="1623" spans="1:14" ht="15" customHeight="1" x14ac:dyDescent="0.25">
      <c r="A1623" s="2"/>
      <c r="N1623" t="s">
        <v>228</v>
      </c>
    </row>
    <row r="1624" spans="1:14" ht="15" customHeight="1" x14ac:dyDescent="0.25">
      <c r="A1624" s="2"/>
      <c r="N1624" t="s">
        <v>276</v>
      </c>
    </row>
    <row r="1625" spans="1:14" ht="15" customHeight="1" x14ac:dyDescent="0.25">
      <c r="A1625" s="2"/>
      <c r="N1625" t="s">
        <v>254</v>
      </c>
    </row>
    <row r="1626" spans="1:14" ht="15" customHeight="1" x14ac:dyDescent="0.25">
      <c r="A1626" s="2"/>
      <c r="N1626" t="s">
        <v>254</v>
      </c>
    </row>
    <row r="1627" spans="1:14" ht="15" customHeight="1" x14ac:dyDescent="0.25">
      <c r="A1627" s="2"/>
      <c r="N1627" t="s">
        <v>289</v>
      </c>
    </row>
    <row r="1628" spans="1:14" ht="15" customHeight="1" x14ac:dyDescent="0.25">
      <c r="A1628" s="2"/>
      <c r="N1628" t="s">
        <v>254</v>
      </c>
    </row>
    <row r="1629" spans="1:14" ht="15" customHeight="1" x14ac:dyDescent="0.25">
      <c r="A1629" s="2"/>
      <c r="N1629" t="s">
        <v>269</v>
      </c>
    </row>
    <row r="1630" spans="1:14" ht="15" customHeight="1" x14ac:dyDescent="0.25">
      <c r="A1630" s="2"/>
      <c r="N1630" t="s">
        <v>228</v>
      </c>
    </row>
    <row r="1631" spans="1:14" ht="15" customHeight="1" x14ac:dyDescent="0.25">
      <c r="A1631" s="2"/>
      <c r="N1631" t="s">
        <v>288</v>
      </c>
    </row>
    <row r="1632" spans="1:14" ht="15" customHeight="1" x14ac:dyDescent="0.25">
      <c r="A1632" s="2"/>
      <c r="N1632" t="s">
        <v>253</v>
      </c>
    </row>
    <row r="1633" spans="1:14" ht="15" customHeight="1" x14ac:dyDescent="0.25">
      <c r="A1633" s="2"/>
      <c r="N1633" t="s">
        <v>254</v>
      </c>
    </row>
    <row r="1634" spans="1:14" ht="15" customHeight="1" x14ac:dyDescent="0.25">
      <c r="A1634" s="2"/>
      <c r="N1634" t="s">
        <v>295</v>
      </c>
    </row>
    <row r="1635" spans="1:14" ht="15" customHeight="1" x14ac:dyDescent="0.25">
      <c r="A1635" s="2"/>
      <c r="N1635" t="s">
        <v>254</v>
      </c>
    </row>
    <row r="1636" spans="1:14" ht="15" customHeight="1" x14ac:dyDescent="0.25">
      <c r="A1636" s="2"/>
      <c r="N1636" t="s">
        <v>279</v>
      </c>
    </row>
    <row r="1637" spans="1:14" ht="15" customHeight="1" x14ac:dyDescent="0.25">
      <c r="A1637" s="2"/>
      <c r="N1637" t="s">
        <v>262</v>
      </c>
    </row>
    <row r="1638" spans="1:14" ht="15" customHeight="1" x14ac:dyDescent="0.25">
      <c r="A1638" s="2"/>
      <c r="N1638" t="s">
        <v>295</v>
      </c>
    </row>
    <row r="1639" spans="1:14" ht="15" customHeight="1" x14ac:dyDescent="0.25">
      <c r="A1639" s="2"/>
      <c r="N1639" t="s">
        <v>295</v>
      </c>
    </row>
    <row r="1640" spans="1:14" ht="15" customHeight="1" x14ac:dyDescent="0.25">
      <c r="A1640" s="2"/>
      <c r="N1640" t="s">
        <v>295</v>
      </c>
    </row>
    <row r="1641" spans="1:14" ht="15" customHeight="1" x14ac:dyDescent="0.25">
      <c r="A1641" s="2"/>
      <c r="N1641" t="s">
        <v>295</v>
      </c>
    </row>
    <row r="1642" spans="1:14" ht="15" customHeight="1" x14ac:dyDescent="0.25">
      <c r="A1642" s="2"/>
      <c r="N1642" t="s">
        <v>300</v>
      </c>
    </row>
    <row r="1643" spans="1:14" ht="15" customHeight="1" x14ac:dyDescent="0.25">
      <c r="A1643" s="2"/>
      <c r="N1643" t="s">
        <v>286</v>
      </c>
    </row>
    <row r="1644" spans="1:14" ht="15" customHeight="1" x14ac:dyDescent="0.25">
      <c r="A1644" s="2"/>
      <c r="N1644" t="s">
        <v>295</v>
      </c>
    </row>
    <row r="1645" spans="1:14" ht="15" customHeight="1" x14ac:dyDescent="0.25">
      <c r="A1645" s="2"/>
      <c r="N1645" t="s">
        <v>254</v>
      </c>
    </row>
    <row r="1646" spans="1:14" ht="15" customHeight="1" x14ac:dyDescent="0.25">
      <c r="A1646" s="2"/>
      <c r="N1646" t="s">
        <v>275</v>
      </c>
    </row>
    <row r="1647" spans="1:14" ht="15" customHeight="1" x14ac:dyDescent="0.25">
      <c r="A1647" s="2"/>
      <c r="N1647" t="s">
        <v>248</v>
      </c>
    </row>
    <row r="1648" spans="1:14" ht="15" customHeight="1" x14ac:dyDescent="0.25">
      <c r="A1648" s="2"/>
      <c r="N1648" t="s">
        <v>254</v>
      </c>
    </row>
    <row r="1649" spans="1:14" ht="15" customHeight="1" x14ac:dyDescent="0.25">
      <c r="A1649" s="2"/>
      <c r="N1649" t="s">
        <v>302</v>
      </c>
    </row>
    <row r="1650" spans="1:14" ht="15" customHeight="1" x14ac:dyDescent="0.25">
      <c r="A1650" s="2"/>
      <c r="N1650" t="s">
        <v>302</v>
      </c>
    </row>
    <row r="1651" spans="1:14" ht="15" customHeight="1" x14ac:dyDescent="0.25">
      <c r="A1651" s="2"/>
      <c r="N1651" t="s">
        <v>254</v>
      </c>
    </row>
    <row r="1652" spans="1:14" ht="15" customHeight="1" x14ac:dyDescent="0.25">
      <c r="A1652" s="2"/>
      <c r="N1652" t="s">
        <v>302</v>
      </c>
    </row>
    <row r="1653" spans="1:14" ht="15" customHeight="1" x14ac:dyDescent="0.25">
      <c r="A1653" s="2"/>
      <c r="N1653" t="s">
        <v>301</v>
      </c>
    </row>
    <row r="1654" spans="1:14" ht="15" customHeight="1" x14ac:dyDescent="0.25">
      <c r="A1654" s="2"/>
      <c r="N1654" t="s">
        <v>228</v>
      </c>
    </row>
    <row r="1655" spans="1:14" ht="15" customHeight="1" x14ac:dyDescent="0.25">
      <c r="A1655" s="2"/>
      <c r="N1655" t="s">
        <v>209</v>
      </c>
    </row>
    <row r="1656" spans="1:14" ht="15" customHeight="1" x14ac:dyDescent="0.25">
      <c r="A1656" s="2"/>
      <c r="N1656" t="s">
        <v>254</v>
      </c>
    </row>
    <row r="1657" spans="1:14" ht="15" customHeight="1" x14ac:dyDescent="0.25">
      <c r="A1657" s="2"/>
      <c r="N1657" t="s">
        <v>263</v>
      </c>
    </row>
    <row r="1658" spans="1:14" ht="15" customHeight="1" x14ac:dyDescent="0.25">
      <c r="A1658" s="2"/>
      <c r="N1658" t="s">
        <v>228</v>
      </c>
    </row>
    <row r="1659" spans="1:14" ht="15" customHeight="1" x14ac:dyDescent="0.25">
      <c r="A1659" s="2"/>
      <c r="N1659" t="s">
        <v>303</v>
      </c>
    </row>
    <row r="1660" spans="1:14" ht="15" customHeight="1" x14ac:dyDescent="0.25">
      <c r="A1660" s="2"/>
      <c r="N1660" t="s">
        <v>228</v>
      </c>
    </row>
    <row r="1661" spans="1:14" ht="15" customHeight="1" x14ac:dyDescent="0.25">
      <c r="A1661" s="2"/>
      <c r="N1661" t="s">
        <v>291</v>
      </c>
    </row>
    <row r="1662" spans="1:14" ht="15" customHeight="1" x14ac:dyDescent="0.25">
      <c r="A1662" s="2"/>
      <c r="N1662" t="s">
        <v>261</v>
      </c>
    </row>
    <row r="1663" spans="1:14" ht="15" customHeight="1" x14ac:dyDescent="0.25">
      <c r="A1663" s="2"/>
      <c r="N1663" t="s">
        <v>289</v>
      </c>
    </row>
    <row r="1664" spans="1:14" ht="15" customHeight="1" x14ac:dyDescent="0.25">
      <c r="A1664" s="2"/>
      <c r="N1664" t="s">
        <v>243</v>
      </c>
    </row>
    <row r="1665" spans="1:14" ht="15" customHeight="1" x14ac:dyDescent="0.25">
      <c r="A1665" s="2"/>
      <c r="N1665" t="s">
        <v>255</v>
      </c>
    </row>
    <row r="1666" spans="1:14" ht="15" customHeight="1" x14ac:dyDescent="0.25">
      <c r="A1666" s="2"/>
      <c r="N1666" t="s">
        <v>254</v>
      </c>
    </row>
    <row r="1667" spans="1:14" ht="15" customHeight="1" x14ac:dyDescent="0.25">
      <c r="A1667" s="2"/>
      <c r="N1667" t="s">
        <v>295</v>
      </c>
    </row>
    <row r="1668" spans="1:14" ht="15" customHeight="1" x14ac:dyDescent="0.25">
      <c r="A1668" s="2"/>
      <c r="N1668" t="s">
        <v>254</v>
      </c>
    </row>
    <row r="1669" spans="1:14" ht="15" customHeight="1" x14ac:dyDescent="0.25">
      <c r="A1669" s="2"/>
      <c r="N1669" t="s">
        <v>279</v>
      </c>
    </row>
    <row r="1670" spans="1:14" ht="15" customHeight="1" x14ac:dyDescent="0.25">
      <c r="A1670" s="2"/>
      <c r="N1670" t="s">
        <v>295</v>
      </c>
    </row>
    <row r="1671" spans="1:14" ht="15" customHeight="1" x14ac:dyDescent="0.25">
      <c r="A1671" s="2"/>
      <c r="N1671" t="s">
        <v>295</v>
      </c>
    </row>
    <row r="1672" spans="1:14" ht="15" customHeight="1" x14ac:dyDescent="0.25">
      <c r="A1672" s="2"/>
      <c r="N1672" t="s">
        <v>300</v>
      </c>
    </row>
    <row r="1673" spans="1:14" ht="15" customHeight="1" x14ac:dyDescent="0.25">
      <c r="A1673" s="2"/>
      <c r="N1673" t="s">
        <v>237</v>
      </c>
    </row>
    <row r="1674" spans="1:14" ht="15" customHeight="1" x14ac:dyDescent="0.25">
      <c r="A1674" s="2"/>
      <c r="N1674" t="s">
        <v>271</v>
      </c>
    </row>
    <row r="1675" spans="1:14" ht="15" customHeight="1" x14ac:dyDescent="0.25">
      <c r="A1675" s="2"/>
      <c r="N1675" t="s">
        <v>254</v>
      </c>
    </row>
    <row r="1676" spans="1:14" ht="15" customHeight="1" x14ac:dyDescent="0.25">
      <c r="A1676" s="2"/>
      <c r="N1676" t="s">
        <v>254</v>
      </c>
    </row>
    <row r="1677" spans="1:14" ht="15" customHeight="1" x14ac:dyDescent="0.25">
      <c r="A1677" s="2"/>
      <c r="N1677" t="s">
        <v>307</v>
      </c>
    </row>
    <row r="1678" spans="1:14" ht="15" customHeight="1" x14ac:dyDescent="0.25">
      <c r="A1678" s="2"/>
      <c r="N1678" t="s">
        <v>229</v>
      </c>
    </row>
    <row r="1679" spans="1:14" ht="15" customHeight="1" x14ac:dyDescent="0.25">
      <c r="A1679" s="2"/>
      <c r="N1679" t="s">
        <v>254</v>
      </c>
    </row>
    <row r="1680" spans="1:14" ht="15" customHeight="1" x14ac:dyDescent="0.25">
      <c r="A1680" s="2"/>
      <c r="N1680" t="s">
        <v>303</v>
      </c>
    </row>
    <row r="1681" spans="1:14" ht="15" customHeight="1" x14ac:dyDescent="0.25">
      <c r="A1681" s="2"/>
      <c r="N1681" t="s">
        <v>267</v>
      </c>
    </row>
    <row r="1682" spans="1:14" ht="15" customHeight="1" x14ac:dyDescent="0.25">
      <c r="A1682" s="2"/>
      <c r="N1682" t="s">
        <v>254</v>
      </c>
    </row>
    <row r="1683" spans="1:14" ht="15" customHeight="1" x14ac:dyDescent="0.25">
      <c r="A1683" s="2"/>
      <c r="N1683" t="s">
        <v>289</v>
      </c>
    </row>
    <row r="1684" spans="1:14" ht="15" customHeight="1" x14ac:dyDescent="0.25">
      <c r="A1684" s="2"/>
      <c r="N1684" t="s">
        <v>228</v>
      </c>
    </row>
    <row r="1685" spans="1:14" ht="15" customHeight="1" x14ac:dyDescent="0.25">
      <c r="A1685" s="2"/>
      <c r="N1685" t="s">
        <v>254</v>
      </c>
    </row>
    <row r="1686" spans="1:14" ht="15" customHeight="1" x14ac:dyDescent="0.25">
      <c r="A1686" s="2"/>
      <c r="N1686" t="s">
        <v>295</v>
      </c>
    </row>
    <row r="1687" spans="1:14" ht="15" customHeight="1" x14ac:dyDescent="0.25">
      <c r="A1687" s="2"/>
      <c r="N1687" t="s">
        <v>236</v>
      </c>
    </row>
    <row r="1688" spans="1:14" ht="15" customHeight="1" x14ac:dyDescent="0.25">
      <c r="A1688" s="2"/>
      <c r="N1688" t="s">
        <v>246</v>
      </c>
    </row>
    <row r="1689" spans="1:14" ht="15" customHeight="1" x14ac:dyDescent="0.25">
      <c r="A1689" s="2"/>
      <c r="N1689" t="s">
        <v>297</v>
      </c>
    </row>
    <row r="1690" spans="1:14" ht="15" customHeight="1" x14ac:dyDescent="0.25">
      <c r="A1690" s="2"/>
      <c r="N1690" t="s">
        <v>302</v>
      </c>
    </row>
    <row r="1691" spans="1:14" ht="15" customHeight="1" x14ac:dyDescent="0.25">
      <c r="A1691" s="2"/>
      <c r="N1691" t="s">
        <v>234</v>
      </c>
    </row>
    <row r="1692" spans="1:14" ht="15" customHeight="1" x14ac:dyDescent="0.25">
      <c r="A1692" s="2"/>
      <c r="N1692" t="s">
        <v>294</v>
      </c>
    </row>
    <row r="1693" spans="1:14" ht="15" customHeight="1" x14ac:dyDescent="0.25">
      <c r="A1693" s="2"/>
      <c r="N1693" t="s">
        <v>291</v>
      </c>
    </row>
    <row r="1694" spans="1:14" ht="15" customHeight="1" x14ac:dyDescent="0.25">
      <c r="A1694" s="2"/>
      <c r="N1694" t="s">
        <v>270</v>
      </c>
    </row>
    <row r="1695" spans="1:14" ht="15" customHeight="1" x14ac:dyDescent="0.25">
      <c r="A1695" s="2"/>
      <c r="N1695" t="s">
        <v>257</v>
      </c>
    </row>
    <row r="1696" spans="1:14" ht="15" customHeight="1" x14ac:dyDescent="0.25">
      <c r="A1696" s="2"/>
      <c r="N1696" t="s">
        <v>288</v>
      </c>
    </row>
    <row r="1697" spans="1:14" ht="15" customHeight="1" x14ac:dyDescent="0.25">
      <c r="A1697" s="2"/>
      <c r="N1697" t="s">
        <v>300</v>
      </c>
    </row>
    <row r="1698" spans="1:14" ht="15" customHeight="1" x14ac:dyDescent="0.25">
      <c r="A1698" s="2"/>
      <c r="N1698" t="s">
        <v>233</v>
      </c>
    </row>
    <row r="1699" spans="1:14" ht="15" customHeight="1" x14ac:dyDescent="0.25">
      <c r="A1699" s="2"/>
      <c r="N1699" t="s">
        <v>297</v>
      </c>
    </row>
    <row r="1700" spans="1:14" ht="15" customHeight="1" x14ac:dyDescent="0.25">
      <c r="A1700" s="2"/>
      <c r="N1700" t="s">
        <v>254</v>
      </c>
    </row>
    <row r="1701" spans="1:14" ht="15" customHeight="1" x14ac:dyDescent="0.25">
      <c r="A1701" s="2"/>
      <c r="N1701" t="s">
        <v>301</v>
      </c>
    </row>
    <row r="1702" spans="1:14" ht="15" customHeight="1" x14ac:dyDescent="0.25">
      <c r="A1702" s="2"/>
      <c r="N1702" t="s">
        <v>273</v>
      </c>
    </row>
    <row r="1703" spans="1:14" ht="15" customHeight="1" x14ac:dyDescent="0.25">
      <c r="A1703" s="2"/>
      <c r="N1703" t="s">
        <v>207</v>
      </c>
    </row>
    <row r="1704" spans="1:14" ht="15" customHeight="1" x14ac:dyDescent="0.25">
      <c r="A1704" s="2"/>
      <c r="N1704" t="s">
        <v>299</v>
      </c>
    </row>
    <row r="1705" spans="1:14" ht="15" customHeight="1" x14ac:dyDescent="0.25">
      <c r="A1705" s="2"/>
      <c r="N1705" t="s">
        <v>291</v>
      </c>
    </row>
    <row r="1706" spans="1:14" ht="15" customHeight="1" x14ac:dyDescent="0.25">
      <c r="A1706" s="2"/>
      <c r="N1706" t="s">
        <v>276</v>
      </c>
    </row>
    <row r="1707" spans="1:14" ht="15" customHeight="1" x14ac:dyDescent="0.25">
      <c r="A1707" s="2"/>
      <c r="N1707" t="s">
        <v>282</v>
      </c>
    </row>
    <row r="1708" spans="1:14" ht="15" customHeight="1" x14ac:dyDescent="0.25">
      <c r="A1708" s="2"/>
      <c r="N1708" t="s">
        <v>203</v>
      </c>
    </row>
    <row r="1709" spans="1:14" ht="15" customHeight="1" x14ac:dyDescent="0.25">
      <c r="A1709" s="2"/>
      <c r="N1709" t="s">
        <v>288</v>
      </c>
    </row>
    <row r="1710" spans="1:14" ht="15" customHeight="1" x14ac:dyDescent="0.25">
      <c r="A1710" s="2"/>
      <c r="N1710" t="s">
        <v>300</v>
      </c>
    </row>
    <row r="1711" spans="1:14" ht="15" customHeight="1" x14ac:dyDescent="0.25">
      <c r="A1711" s="2"/>
      <c r="N1711" t="s">
        <v>300</v>
      </c>
    </row>
    <row r="1712" spans="1:14" ht="15" customHeight="1" x14ac:dyDescent="0.25">
      <c r="A1712" s="2"/>
      <c r="N1712" t="s">
        <v>203</v>
      </c>
    </row>
    <row r="1713" spans="1:14" ht="15" customHeight="1" x14ac:dyDescent="0.25">
      <c r="A1713" s="2"/>
      <c r="N1713" t="s">
        <v>207</v>
      </c>
    </row>
    <row r="1714" spans="1:14" ht="15" customHeight="1" x14ac:dyDescent="0.25">
      <c r="A1714" s="2"/>
      <c r="N1714" t="s">
        <v>301</v>
      </c>
    </row>
    <row r="1715" spans="1:14" ht="15" customHeight="1" x14ac:dyDescent="0.25">
      <c r="A1715" s="2"/>
      <c r="N1715" t="s">
        <v>231</v>
      </c>
    </row>
    <row r="1716" spans="1:14" ht="15" customHeight="1" x14ac:dyDescent="0.25">
      <c r="A1716" s="2"/>
      <c r="N1716" t="s">
        <v>228</v>
      </c>
    </row>
    <row r="1717" spans="1:14" ht="15" customHeight="1" x14ac:dyDescent="0.25">
      <c r="A1717" s="2"/>
      <c r="N1717" t="s">
        <v>299</v>
      </c>
    </row>
    <row r="1718" spans="1:14" ht="15" customHeight="1" x14ac:dyDescent="0.25">
      <c r="A1718" s="2"/>
      <c r="N1718" t="s">
        <v>303</v>
      </c>
    </row>
    <row r="1719" spans="1:14" ht="15" customHeight="1" x14ac:dyDescent="0.25">
      <c r="A1719" s="2"/>
      <c r="N1719" t="s">
        <v>282</v>
      </c>
    </row>
    <row r="1720" spans="1:14" ht="15" customHeight="1" x14ac:dyDescent="0.25">
      <c r="A1720" s="2"/>
      <c r="N1720" t="s">
        <v>273</v>
      </c>
    </row>
    <row r="1721" spans="1:14" ht="15" customHeight="1" x14ac:dyDescent="0.25">
      <c r="A1721" s="2"/>
      <c r="N1721" t="s">
        <v>254</v>
      </c>
    </row>
    <row r="1722" spans="1:14" ht="15" customHeight="1" x14ac:dyDescent="0.25">
      <c r="A1722" s="2"/>
      <c r="N1722" t="s">
        <v>228</v>
      </c>
    </row>
    <row r="1723" spans="1:14" ht="15" customHeight="1" x14ac:dyDescent="0.25">
      <c r="A1723" s="2"/>
      <c r="N1723" t="s">
        <v>268</v>
      </c>
    </row>
    <row r="1724" spans="1:14" ht="15" customHeight="1" x14ac:dyDescent="0.25">
      <c r="A1724" s="2"/>
      <c r="N1724" t="s">
        <v>275</v>
      </c>
    </row>
    <row r="1725" spans="1:14" ht="15" customHeight="1" x14ac:dyDescent="0.25">
      <c r="A1725" s="2"/>
      <c r="N1725" t="s">
        <v>203</v>
      </c>
    </row>
    <row r="1726" spans="1:14" ht="15" customHeight="1" x14ac:dyDescent="0.25">
      <c r="A1726" s="2"/>
      <c r="N1726" t="s">
        <v>273</v>
      </c>
    </row>
    <row r="1727" spans="1:14" ht="15" customHeight="1" x14ac:dyDescent="0.25">
      <c r="A1727" s="2"/>
      <c r="N1727" t="s">
        <v>278</v>
      </c>
    </row>
    <row r="1728" spans="1:14" ht="15" customHeight="1" x14ac:dyDescent="0.25">
      <c r="A1728" s="2"/>
      <c r="N1728" t="s">
        <v>303</v>
      </c>
    </row>
    <row r="1729" spans="1:14" ht="15" customHeight="1" x14ac:dyDescent="0.25">
      <c r="A1729" s="2"/>
      <c r="N1729" t="s">
        <v>244</v>
      </c>
    </row>
    <row r="1730" spans="1:14" ht="15" customHeight="1" x14ac:dyDescent="0.25">
      <c r="A1730" s="2"/>
      <c r="N1730" t="s">
        <v>254</v>
      </c>
    </row>
    <row r="1731" spans="1:14" ht="15" customHeight="1" x14ac:dyDescent="0.25">
      <c r="A1731" s="2"/>
      <c r="N1731" t="s">
        <v>231</v>
      </c>
    </row>
    <row r="1732" spans="1:14" ht="15" customHeight="1" x14ac:dyDescent="0.25">
      <c r="A1732" s="2"/>
      <c r="N1732" t="s">
        <v>299</v>
      </c>
    </row>
    <row r="1733" spans="1:14" ht="15" customHeight="1" x14ac:dyDescent="0.25">
      <c r="A1733" s="2"/>
      <c r="N1733" t="s">
        <v>303</v>
      </c>
    </row>
    <row r="1734" spans="1:14" ht="15" customHeight="1" x14ac:dyDescent="0.25">
      <c r="A1734" s="2"/>
      <c r="N1734" t="s">
        <v>260</v>
      </c>
    </row>
    <row r="1735" spans="1:14" ht="15" customHeight="1" x14ac:dyDescent="0.25">
      <c r="A1735" s="2"/>
      <c r="N1735" t="s">
        <v>254</v>
      </c>
    </row>
    <row r="1736" spans="1:14" ht="15" customHeight="1" x14ac:dyDescent="0.25">
      <c r="A1736" s="2"/>
      <c r="N1736" t="s">
        <v>301</v>
      </c>
    </row>
    <row r="1737" spans="1:14" ht="15" customHeight="1" x14ac:dyDescent="0.25">
      <c r="A1737" s="2"/>
      <c r="N1737" t="s">
        <v>273</v>
      </c>
    </row>
    <row r="1738" spans="1:14" ht="15" customHeight="1" x14ac:dyDescent="0.25">
      <c r="A1738" s="2"/>
      <c r="N1738" t="s">
        <v>294</v>
      </c>
    </row>
    <row r="1739" spans="1:14" ht="15" customHeight="1" x14ac:dyDescent="0.25">
      <c r="A1739" s="2"/>
      <c r="N1739" t="s">
        <v>299</v>
      </c>
    </row>
    <row r="1740" spans="1:14" ht="15" customHeight="1" x14ac:dyDescent="0.25">
      <c r="A1740" s="2"/>
      <c r="N1740" t="s">
        <v>303</v>
      </c>
    </row>
    <row r="1741" spans="1:14" ht="15" customHeight="1" x14ac:dyDescent="0.25">
      <c r="A1741" s="2"/>
      <c r="N1741" t="s">
        <v>228</v>
      </c>
    </row>
    <row r="1742" spans="1:14" ht="15" customHeight="1" x14ac:dyDescent="0.25">
      <c r="A1742" s="2"/>
      <c r="N1742" t="s">
        <v>303</v>
      </c>
    </row>
    <row r="1743" spans="1:14" ht="15" customHeight="1" x14ac:dyDescent="0.25">
      <c r="A1743" s="2"/>
      <c r="N1743" t="s">
        <v>228</v>
      </c>
    </row>
    <row r="1744" spans="1:14" ht="15" customHeight="1" x14ac:dyDescent="0.25">
      <c r="A1744" s="2"/>
      <c r="N1744" t="s">
        <v>232</v>
      </c>
    </row>
    <row r="1745" spans="1:14" ht="15" customHeight="1" x14ac:dyDescent="0.25">
      <c r="A1745" s="2"/>
      <c r="N1745" t="s">
        <v>207</v>
      </c>
    </row>
    <row r="1746" spans="1:14" ht="15" customHeight="1" x14ac:dyDescent="0.25">
      <c r="A1746" s="2"/>
      <c r="N1746" t="s">
        <v>299</v>
      </c>
    </row>
    <row r="1747" spans="1:14" ht="15" customHeight="1" x14ac:dyDescent="0.25">
      <c r="A1747" s="2"/>
      <c r="N1747" t="s">
        <v>270</v>
      </c>
    </row>
    <row r="1748" spans="1:14" ht="15" customHeight="1" x14ac:dyDescent="0.25">
      <c r="A1748" s="2"/>
      <c r="N1748" t="s">
        <v>230</v>
      </c>
    </row>
    <row r="1749" spans="1:14" ht="15" customHeight="1" x14ac:dyDescent="0.25">
      <c r="A1749" s="2"/>
      <c r="N1749" t="s">
        <v>257</v>
      </c>
    </row>
    <row r="1750" spans="1:14" ht="15" customHeight="1" x14ac:dyDescent="0.25">
      <c r="A1750" s="2"/>
      <c r="N1750" t="s">
        <v>301</v>
      </c>
    </row>
    <row r="1751" spans="1:14" ht="15" customHeight="1" x14ac:dyDescent="0.25">
      <c r="A1751" s="2"/>
      <c r="N1751" t="s">
        <v>207</v>
      </c>
    </row>
    <row r="1752" spans="1:14" ht="15" customHeight="1" x14ac:dyDescent="0.25">
      <c r="A1752" s="2"/>
      <c r="N1752" t="s">
        <v>231</v>
      </c>
    </row>
    <row r="1753" spans="1:14" ht="15" customHeight="1" x14ac:dyDescent="0.25">
      <c r="A1753" s="2"/>
      <c r="N1753" t="s">
        <v>299</v>
      </c>
    </row>
    <row r="1754" spans="1:14" ht="15" customHeight="1" x14ac:dyDescent="0.25">
      <c r="A1754" s="2"/>
      <c r="N1754" t="s">
        <v>240</v>
      </c>
    </row>
    <row r="1755" spans="1:14" ht="15" customHeight="1" x14ac:dyDescent="0.25">
      <c r="A1755" s="2"/>
      <c r="N1755" t="s">
        <v>294</v>
      </c>
    </row>
    <row r="1756" spans="1:14" ht="15" customHeight="1" x14ac:dyDescent="0.25">
      <c r="A1756" s="2"/>
      <c r="N1756" t="s">
        <v>277</v>
      </c>
    </row>
    <row r="1757" spans="1:14" ht="15" customHeight="1" x14ac:dyDescent="0.25">
      <c r="A1757" s="2"/>
      <c r="N1757" t="s">
        <v>273</v>
      </c>
    </row>
    <row r="1758" spans="1:14" ht="15" customHeight="1" x14ac:dyDescent="0.25">
      <c r="A1758" s="2"/>
      <c r="N1758" t="s">
        <v>207</v>
      </c>
    </row>
    <row r="1759" spans="1:14" ht="15" customHeight="1" x14ac:dyDescent="0.25">
      <c r="A1759" s="2"/>
      <c r="N1759" t="s">
        <v>265</v>
      </c>
    </row>
    <row r="1760" spans="1:14" ht="15" customHeight="1" x14ac:dyDescent="0.25">
      <c r="A1760" s="2"/>
      <c r="N1760" t="s">
        <v>273</v>
      </c>
    </row>
    <row r="1761" spans="1:14" ht="15" customHeight="1" x14ac:dyDescent="0.25">
      <c r="A1761" s="2"/>
      <c r="N1761" t="s">
        <v>207</v>
      </c>
    </row>
    <row r="1762" spans="1:14" ht="15" customHeight="1" x14ac:dyDescent="0.25">
      <c r="A1762" s="2"/>
      <c r="N1762" t="s">
        <v>287</v>
      </c>
    </row>
    <row r="1763" spans="1:14" ht="15" customHeight="1" x14ac:dyDescent="0.25">
      <c r="A1763" s="2"/>
      <c r="N1763" t="s">
        <v>292</v>
      </c>
    </row>
    <row r="1764" spans="1:14" ht="15" customHeight="1" x14ac:dyDescent="0.25">
      <c r="A1764" s="2"/>
      <c r="N1764" t="s">
        <v>207</v>
      </c>
    </row>
    <row r="1765" spans="1:14" ht="15" customHeight="1" x14ac:dyDescent="0.25">
      <c r="A1765" s="2"/>
      <c r="N1765" t="s">
        <v>295</v>
      </c>
    </row>
    <row r="1766" spans="1:14" ht="15" customHeight="1" x14ac:dyDescent="0.25">
      <c r="A1766" s="2"/>
      <c r="N1766" t="s">
        <v>207</v>
      </c>
    </row>
    <row r="1767" spans="1:14" ht="15" customHeight="1" x14ac:dyDescent="0.25">
      <c r="A1767" s="2"/>
      <c r="N1767" t="s">
        <v>294</v>
      </c>
    </row>
    <row r="1768" spans="1:14" ht="15" customHeight="1" x14ac:dyDescent="0.25">
      <c r="A1768" s="2"/>
      <c r="N1768" t="s">
        <v>277</v>
      </c>
    </row>
    <row r="1769" spans="1:14" ht="15" customHeight="1" x14ac:dyDescent="0.25">
      <c r="A1769" s="2"/>
      <c r="N1769" t="s">
        <v>241</v>
      </c>
    </row>
    <row r="1770" spans="1:14" ht="15" customHeight="1" x14ac:dyDescent="0.25">
      <c r="A1770" s="2"/>
      <c r="N1770" t="s">
        <v>207</v>
      </c>
    </row>
    <row r="1771" spans="1:14" ht="15" customHeight="1" x14ac:dyDescent="0.25">
      <c r="A1771" s="2"/>
      <c r="N1771" t="s">
        <v>273</v>
      </c>
    </row>
    <row r="1772" spans="1:14" ht="15" customHeight="1" x14ac:dyDescent="0.25">
      <c r="A1772" s="2"/>
      <c r="N1772" t="s">
        <v>238</v>
      </c>
    </row>
    <row r="1773" spans="1:14" ht="15" customHeight="1" x14ac:dyDescent="0.25">
      <c r="A1773" s="2"/>
      <c r="N1773" t="s">
        <v>273</v>
      </c>
    </row>
    <row r="1774" spans="1:14" ht="15" customHeight="1" x14ac:dyDescent="0.25">
      <c r="A1774" s="2"/>
      <c r="N1774" t="s">
        <v>245</v>
      </c>
    </row>
    <row r="1775" spans="1:14" ht="15" customHeight="1" x14ac:dyDescent="0.25">
      <c r="A1775" s="2"/>
      <c r="N1775" t="s">
        <v>287</v>
      </c>
    </row>
    <row r="1776" spans="1:14" ht="15" customHeight="1" x14ac:dyDescent="0.25">
      <c r="A1776" s="2"/>
      <c r="N1776" t="s">
        <v>250</v>
      </c>
    </row>
    <row r="1777" spans="1:14" ht="15" customHeight="1" x14ac:dyDescent="0.25">
      <c r="A1777" s="2"/>
      <c r="N1777" t="s">
        <v>213</v>
      </c>
    </row>
    <row r="1778" spans="1:14" ht="15" customHeight="1" x14ac:dyDescent="0.25">
      <c r="A1778" s="2"/>
      <c r="N1778" t="s">
        <v>273</v>
      </c>
    </row>
    <row r="1779" spans="1:14" ht="15" customHeight="1" x14ac:dyDescent="0.25">
      <c r="A1779" s="2"/>
      <c r="N1779" t="s">
        <v>273</v>
      </c>
    </row>
    <row r="1780" spans="1:14" ht="15" customHeight="1" x14ac:dyDescent="0.25">
      <c r="A1780" s="2"/>
      <c r="N1780" t="s">
        <v>205</v>
      </c>
    </row>
    <row r="1781" spans="1:14" ht="15" customHeight="1" x14ac:dyDescent="0.25">
      <c r="A1781" s="2"/>
      <c r="N1781" t="s">
        <v>308</v>
      </c>
    </row>
    <row r="1782" spans="1:14" ht="15" customHeight="1" x14ac:dyDescent="0.25">
      <c r="A1782" s="2"/>
      <c r="N1782" t="s">
        <v>207</v>
      </c>
    </row>
    <row r="1783" spans="1:14" ht="15" customHeight="1" x14ac:dyDescent="0.25">
      <c r="A1783" s="2"/>
      <c r="N1783" t="s">
        <v>207</v>
      </c>
    </row>
    <row r="1784" spans="1:14" ht="15" customHeight="1" x14ac:dyDescent="0.25">
      <c r="A1784" s="2"/>
      <c r="N1784" t="s">
        <v>292</v>
      </c>
    </row>
    <row r="1785" spans="1:14" ht="15" customHeight="1" x14ac:dyDescent="0.25">
      <c r="A1785" s="2"/>
      <c r="N1785" t="s">
        <v>228</v>
      </c>
    </row>
    <row r="1786" spans="1:14" ht="15" customHeight="1" x14ac:dyDescent="0.25">
      <c r="A1786" s="2"/>
      <c r="N1786" t="s">
        <v>273</v>
      </c>
    </row>
    <row r="1787" spans="1:14" ht="15" customHeight="1" x14ac:dyDescent="0.25">
      <c r="A1787" s="2"/>
      <c r="N1787" t="s">
        <v>273</v>
      </c>
    </row>
    <row r="1788" spans="1:14" ht="15" customHeight="1" x14ac:dyDescent="0.25">
      <c r="A1788" s="2"/>
      <c r="N1788" t="s">
        <v>207</v>
      </c>
    </row>
    <row r="1789" spans="1:14" ht="15" customHeight="1" x14ac:dyDescent="0.25">
      <c r="A1789" s="2"/>
      <c r="N1789" t="s">
        <v>207</v>
      </c>
    </row>
    <row r="1790" spans="1:14" ht="15" customHeight="1" x14ac:dyDescent="0.25">
      <c r="A1790" s="2"/>
      <c r="N1790" t="s">
        <v>254</v>
      </c>
    </row>
    <row r="1791" spans="1:14" ht="15" customHeight="1" x14ac:dyDescent="0.25">
      <c r="A1791" s="2"/>
      <c r="N1791" t="s">
        <v>303</v>
      </c>
    </row>
    <row r="1792" spans="1:14" ht="15" customHeight="1" x14ac:dyDescent="0.25">
      <c r="A1792" s="2"/>
      <c r="N1792" t="s">
        <v>228</v>
      </c>
    </row>
    <row r="1793" spans="1:14" ht="15" customHeight="1" x14ac:dyDescent="0.25">
      <c r="A1793" s="2"/>
      <c r="N1793" t="s">
        <v>308</v>
      </c>
    </row>
    <row r="1794" spans="1:14" ht="15" customHeight="1" x14ac:dyDescent="0.25">
      <c r="A1794" s="2"/>
      <c r="N1794" t="s">
        <v>228</v>
      </c>
    </row>
    <row r="1795" spans="1:14" ht="15" customHeight="1" x14ac:dyDescent="0.25">
      <c r="A1795" s="2"/>
      <c r="N1795" t="s">
        <v>228</v>
      </c>
    </row>
    <row r="1796" spans="1:14" ht="15" customHeight="1" x14ac:dyDescent="0.25">
      <c r="A1796" s="2"/>
      <c r="N1796" t="s">
        <v>305</v>
      </c>
    </row>
    <row r="1797" spans="1:14" ht="15" customHeight="1" x14ac:dyDescent="0.25">
      <c r="A1797" s="2"/>
      <c r="N1797" t="s">
        <v>298</v>
      </c>
    </row>
    <row r="1798" spans="1:14" ht="15" customHeight="1" x14ac:dyDescent="0.25">
      <c r="A1798" s="2"/>
      <c r="N1798" t="s">
        <v>309</v>
      </c>
    </row>
    <row r="1799" spans="1:14" ht="15" customHeight="1" x14ac:dyDescent="0.25">
      <c r="A1799" s="2"/>
      <c r="N1799" t="s">
        <v>254</v>
      </c>
    </row>
    <row r="1800" spans="1:14" ht="15" customHeight="1" x14ac:dyDescent="0.25">
      <c r="A1800" s="2"/>
      <c r="N1800" t="s">
        <v>273</v>
      </c>
    </row>
    <row r="1801" spans="1:14" ht="15" customHeight="1" x14ac:dyDescent="0.25">
      <c r="A1801" s="2"/>
      <c r="N1801" t="s">
        <v>256</v>
      </c>
    </row>
    <row r="1802" spans="1:14" ht="15" customHeight="1" x14ac:dyDescent="0.25">
      <c r="A1802" s="2"/>
      <c r="N1802" t="s">
        <v>273</v>
      </c>
    </row>
    <row r="1803" spans="1:14" ht="15" customHeight="1" x14ac:dyDescent="0.25">
      <c r="A1803" s="2"/>
      <c r="N1803" t="s">
        <v>228</v>
      </c>
    </row>
    <row r="1804" spans="1:14" ht="15" customHeight="1" x14ac:dyDescent="0.25">
      <c r="A1804" s="2"/>
      <c r="N1804" t="s">
        <v>305</v>
      </c>
    </row>
    <row r="1805" spans="1:14" ht="15" customHeight="1" x14ac:dyDescent="0.25">
      <c r="A1805" s="2"/>
      <c r="N1805" t="s">
        <v>228</v>
      </c>
    </row>
    <row r="1806" spans="1:14" ht="15" customHeight="1" x14ac:dyDescent="0.25">
      <c r="A1806" s="2"/>
      <c r="N1806" t="s">
        <v>305</v>
      </c>
    </row>
    <row r="1807" spans="1:14" ht="15" customHeight="1" x14ac:dyDescent="0.25">
      <c r="A1807" s="2"/>
      <c r="N1807" t="s">
        <v>305</v>
      </c>
    </row>
    <row r="1808" spans="1:14" ht="15" customHeight="1" x14ac:dyDescent="0.25">
      <c r="A1808" s="2"/>
      <c r="N1808" t="s">
        <v>228</v>
      </c>
    </row>
    <row r="1809" spans="1:14" ht="15" customHeight="1" x14ac:dyDescent="0.25">
      <c r="A1809" s="2"/>
      <c r="N1809" t="s">
        <v>295</v>
      </c>
    </row>
    <row r="1810" spans="1:14" ht="15" customHeight="1" x14ac:dyDescent="0.25">
      <c r="A1810" s="2"/>
      <c r="N1810" t="s">
        <v>295</v>
      </c>
    </row>
    <row r="1811" spans="1:14" ht="15" customHeight="1" x14ac:dyDescent="0.25">
      <c r="A1811" s="2"/>
      <c r="N1811" t="s">
        <v>295</v>
      </c>
    </row>
    <row r="1812" spans="1:14" ht="15" customHeight="1" x14ac:dyDescent="0.25">
      <c r="A1812" s="2"/>
      <c r="N1812" t="s">
        <v>298</v>
      </c>
    </row>
    <row r="1813" spans="1:14" ht="15" customHeight="1" x14ac:dyDescent="0.25">
      <c r="A1813" s="2"/>
      <c r="N1813" t="s">
        <v>273</v>
      </c>
    </row>
    <row r="1814" spans="1:14" ht="15" customHeight="1" x14ac:dyDescent="0.25">
      <c r="A1814" s="2"/>
      <c r="N1814" t="s">
        <v>297</v>
      </c>
    </row>
    <row r="1815" spans="1:14" ht="15" customHeight="1" x14ac:dyDescent="0.25">
      <c r="A1815" s="2"/>
      <c r="N1815" t="s">
        <v>207</v>
      </c>
    </row>
    <row r="1816" spans="1:14" ht="15" customHeight="1" x14ac:dyDescent="0.25">
      <c r="A1816" s="2"/>
      <c r="N1816" t="s">
        <v>285</v>
      </c>
    </row>
    <row r="1817" spans="1:14" ht="15" customHeight="1" x14ac:dyDescent="0.25">
      <c r="A1817" s="2"/>
      <c r="N1817" t="s">
        <v>282</v>
      </c>
    </row>
    <row r="1818" spans="1:14" ht="15" customHeight="1" x14ac:dyDescent="0.25">
      <c r="A1818" s="2"/>
      <c r="N1818" t="s">
        <v>205</v>
      </c>
    </row>
    <row r="1819" spans="1:14" ht="15" customHeight="1" x14ac:dyDescent="0.25">
      <c r="A1819" s="2"/>
      <c r="N1819" t="s">
        <v>304</v>
      </c>
    </row>
    <row r="1820" spans="1:14" ht="15" customHeight="1" x14ac:dyDescent="0.25">
      <c r="A1820" s="2"/>
      <c r="N1820" t="s">
        <v>304</v>
      </c>
    </row>
    <row r="1821" spans="1:14" ht="15" customHeight="1" x14ac:dyDescent="0.25">
      <c r="A1821" s="2"/>
      <c r="N1821" t="s">
        <v>304</v>
      </c>
    </row>
    <row r="1822" spans="1:14" ht="15" customHeight="1" x14ac:dyDescent="0.25">
      <c r="A1822" s="2"/>
      <c r="N1822" t="s">
        <v>304</v>
      </c>
    </row>
    <row r="1823" spans="1:14" ht="15" customHeight="1" x14ac:dyDescent="0.25">
      <c r="A1823" s="2"/>
      <c r="N1823" t="s">
        <v>304</v>
      </c>
    </row>
    <row r="1824" spans="1:14" ht="15" customHeight="1" x14ac:dyDescent="0.25">
      <c r="A1824" s="2"/>
      <c r="N1824" t="s">
        <v>207</v>
      </c>
    </row>
    <row r="1825" spans="1:14" ht="15" customHeight="1" x14ac:dyDescent="0.25">
      <c r="A1825" s="2"/>
      <c r="N1825" t="s">
        <v>292</v>
      </c>
    </row>
    <row r="1826" spans="1:14" ht="15" customHeight="1" x14ac:dyDescent="0.25">
      <c r="A1826" s="2"/>
      <c r="N1826" t="s">
        <v>273</v>
      </c>
    </row>
    <row r="1827" spans="1:14" ht="15" customHeight="1" x14ac:dyDescent="0.25">
      <c r="A1827" s="2"/>
      <c r="N1827" t="s">
        <v>207</v>
      </c>
    </row>
    <row r="1828" spans="1:14" ht="15" customHeight="1" x14ac:dyDescent="0.25">
      <c r="A1828" s="2"/>
      <c r="N1828" t="s">
        <v>305</v>
      </c>
    </row>
    <row r="1829" spans="1:14" ht="15" customHeight="1" x14ac:dyDescent="0.25">
      <c r="A1829" s="2"/>
      <c r="N1829" t="s">
        <v>296</v>
      </c>
    </row>
    <row r="1830" spans="1:14" ht="15" customHeight="1" x14ac:dyDescent="0.25">
      <c r="A1830" s="2"/>
      <c r="N1830" t="s">
        <v>259</v>
      </c>
    </row>
    <row r="1831" spans="1:14" ht="15" customHeight="1" x14ac:dyDescent="0.25">
      <c r="A1831" s="2"/>
      <c r="N1831" t="s">
        <v>305</v>
      </c>
    </row>
    <row r="1832" spans="1:14" ht="15" customHeight="1" x14ac:dyDescent="0.25">
      <c r="A1832" s="2"/>
      <c r="N1832" t="s">
        <v>273</v>
      </c>
    </row>
    <row r="1833" spans="1:14" ht="15" customHeight="1" x14ac:dyDescent="0.25">
      <c r="A1833" s="2"/>
      <c r="N1833" t="s">
        <v>256</v>
      </c>
    </row>
    <row r="1834" spans="1:14" ht="15" customHeight="1" x14ac:dyDescent="0.25">
      <c r="A1834" s="2"/>
      <c r="N1834" t="s">
        <v>305</v>
      </c>
    </row>
    <row r="1835" spans="1:14" ht="15" customHeight="1" x14ac:dyDescent="0.25">
      <c r="A1835" s="2"/>
      <c r="N1835" t="s">
        <v>274</v>
      </c>
    </row>
    <row r="1836" spans="1:14" ht="15" customHeight="1" x14ac:dyDescent="0.25">
      <c r="A1836" s="2"/>
      <c r="N1836" t="s">
        <v>305</v>
      </c>
    </row>
    <row r="1837" spans="1:14" ht="15" customHeight="1" x14ac:dyDescent="0.25">
      <c r="A1837" s="2"/>
      <c r="N1837" t="s">
        <v>228</v>
      </c>
    </row>
    <row r="1838" spans="1:14" ht="15" customHeight="1" x14ac:dyDescent="0.25">
      <c r="A1838" s="2"/>
      <c r="N1838" t="s">
        <v>295</v>
      </c>
    </row>
    <row r="1839" spans="1:14" ht="15" customHeight="1" x14ac:dyDescent="0.25">
      <c r="A1839" s="2"/>
      <c r="N1839" t="s">
        <v>273</v>
      </c>
    </row>
    <row r="1840" spans="1:14" ht="15" customHeight="1" x14ac:dyDescent="0.25">
      <c r="A1840" s="2"/>
      <c r="N1840" t="s">
        <v>271</v>
      </c>
    </row>
    <row r="1841" spans="1:14" ht="15" customHeight="1" x14ac:dyDescent="0.25">
      <c r="A1841" s="2"/>
      <c r="N1841" t="s">
        <v>287</v>
      </c>
    </row>
    <row r="1842" spans="1:14" ht="15" customHeight="1" x14ac:dyDescent="0.25">
      <c r="A1842" s="2"/>
      <c r="N1842" t="s">
        <v>298</v>
      </c>
    </row>
    <row r="1843" spans="1:14" ht="15" customHeight="1" x14ac:dyDescent="0.25">
      <c r="A1843" s="2"/>
      <c r="N1843" t="s">
        <v>207</v>
      </c>
    </row>
    <row r="1844" spans="1:14" ht="15" customHeight="1" x14ac:dyDescent="0.25">
      <c r="A1844" s="2"/>
      <c r="N1844" t="s">
        <v>298</v>
      </c>
    </row>
    <row r="1845" spans="1:14" ht="15" customHeight="1" x14ac:dyDescent="0.25">
      <c r="A1845" s="2"/>
      <c r="N1845" t="s">
        <v>308</v>
      </c>
    </row>
    <row r="1846" spans="1:14" ht="15" customHeight="1" x14ac:dyDescent="0.25">
      <c r="A1846" s="2"/>
      <c r="N1846" t="s">
        <v>207</v>
      </c>
    </row>
    <row r="1847" spans="1:14" ht="15" customHeight="1" x14ac:dyDescent="0.25">
      <c r="A1847" s="2"/>
      <c r="N1847" t="s">
        <v>296</v>
      </c>
    </row>
    <row r="1848" spans="1:14" ht="15" customHeight="1" x14ac:dyDescent="0.25">
      <c r="A1848" s="2"/>
      <c r="N1848" t="s">
        <v>228</v>
      </c>
    </row>
    <row r="1849" spans="1:14" ht="15" customHeight="1" x14ac:dyDescent="0.25">
      <c r="A1849" s="2"/>
      <c r="N1849" t="s">
        <v>228</v>
      </c>
    </row>
    <row r="1850" spans="1:14" ht="15" customHeight="1" x14ac:dyDescent="0.25">
      <c r="A1850" s="2"/>
      <c r="N1850" t="s">
        <v>295</v>
      </c>
    </row>
    <row r="1851" spans="1:14" ht="15" customHeight="1" x14ac:dyDescent="0.25">
      <c r="A1851" s="2"/>
      <c r="N1851" t="s">
        <v>286</v>
      </c>
    </row>
    <row r="1852" spans="1:14" ht="15" customHeight="1" x14ac:dyDescent="0.25">
      <c r="A1852" s="2"/>
      <c r="N1852" t="s">
        <v>273</v>
      </c>
    </row>
    <row r="1853" spans="1:14" ht="15" customHeight="1" x14ac:dyDescent="0.25">
      <c r="A1853" s="2"/>
      <c r="N1853" t="s">
        <v>285</v>
      </c>
    </row>
    <row r="1854" spans="1:14" ht="15" customHeight="1" x14ac:dyDescent="0.25">
      <c r="A1854" s="2"/>
      <c r="N1854" t="s">
        <v>285</v>
      </c>
    </row>
    <row r="1855" spans="1:14" ht="15" customHeight="1" x14ac:dyDescent="0.25">
      <c r="A1855" s="2"/>
      <c r="N1855" t="s">
        <v>213</v>
      </c>
    </row>
    <row r="1856" spans="1:14" ht="15" customHeight="1" x14ac:dyDescent="0.25">
      <c r="A1856" s="2"/>
      <c r="N1856" t="s">
        <v>280</v>
      </c>
    </row>
    <row r="1857" spans="1:14" ht="15" customHeight="1" x14ac:dyDescent="0.25">
      <c r="A1857" s="2"/>
      <c r="N1857" t="s">
        <v>298</v>
      </c>
    </row>
    <row r="1858" spans="1:14" ht="15" customHeight="1" x14ac:dyDescent="0.25">
      <c r="A1858" s="2"/>
      <c r="N1858" t="s">
        <v>228</v>
      </c>
    </row>
    <row r="1859" spans="1:14" ht="15" customHeight="1" x14ac:dyDescent="0.25">
      <c r="A1859" s="2"/>
      <c r="N1859" t="s">
        <v>300</v>
      </c>
    </row>
    <row r="1860" spans="1:14" ht="15" customHeight="1" x14ac:dyDescent="0.25">
      <c r="A1860" s="2"/>
      <c r="N1860" t="s">
        <v>285</v>
      </c>
    </row>
    <row r="1861" spans="1:14" ht="15" customHeight="1" x14ac:dyDescent="0.25">
      <c r="A1861" s="2"/>
      <c r="N1861" t="s">
        <v>205</v>
      </c>
    </row>
    <row r="1862" spans="1:14" ht="15" customHeight="1" x14ac:dyDescent="0.25">
      <c r="A1862" s="2"/>
      <c r="N1862" t="s">
        <v>258</v>
      </c>
    </row>
    <row r="1863" spans="1:14" ht="15" customHeight="1" x14ac:dyDescent="0.25">
      <c r="A1863" s="2"/>
      <c r="N1863" t="s">
        <v>274</v>
      </c>
    </row>
    <row r="1864" spans="1:14" ht="15" customHeight="1" x14ac:dyDescent="0.25">
      <c r="A1864" s="2"/>
      <c r="N1864" t="s">
        <v>228</v>
      </c>
    </row>
    <row r="1865" spans="1:14" ht="15" customHeight="1" x14ac:dyDescent="0.25">
      <c r="A1865" s="2"/>
      <c r="N1865" t="s">
        <v>254</v>
      </c>
    </row>
    <row r="1866" spans="1:14" ht="15" customHeight="1" x14ac:dyDescent="0.25">
      <c r="A1866" s="2"/>
      <c r="N1866" t="s">
        <v>280</v>
      </c>
    </row>
    <row r="1867" spans="1:14" ht="15" customHeight="1" x14ac:dyDescent="0.25">
      <c r="A1867" s="2"/>
      <c r="N1867" t="s">
        <v>283</v>
      </c>
    </row>
    <row r="1868" spans="1:14" ht="15" customHeight="1" x14ac:dyDescent="0.25">
      <c r="A1868" s="2"/>
      <c r="N1868" t="s">
        <v>301</v>
      </c>
    </row>
    <row r="1869" spans="1:14" ht="15" customHeight="1" x14ac:dyDescent="0.25">
      <c r="A1869" s="2"/>
      <c r="N1869" t="s">
        <v>228</v>
      </c>
    </row>
    <row r="1870" spans="1:14" ht="15" customHeight="1" x14ac:dyDescent="0.25">
      <c r="A1870" s="2"/>
      <c r="N1870" t="s">
        <v>278</v>
      </c>
    </row>
    <row r="1871" spans="1:14" ht="15" customHeight="1" x14ac:dyDescent="0.25">
      <c r="A1871" s="2"/>
      <c r="N1871" t="s">
        <v>273</v>
      </c>
    </row>
    <row r="1872" spans="1:14" ht="15" customHeight="1" x14ac:dyDescent="0.25">
      <c r="A1872" s="2"/>
      <c r="N1872" t="s">
        <v>280</v>
      </c>
    </row>
    <row r="1873" spans="1:14" ht="15" customHeight="1" x14ac:dyDescent="0.25">
      <c r="A1873" s="2"/>
      <c r="N1873" t="s">
        <v>205</v>
      </c>
    </row>
    <row r="1874" spans="1:14" ht="15" customHeight="1" x14ac:dyDescent="0.25">
      <c r="A1874" s="2"/>
      <c r="N1874" t="s">
        <v>283</v>
      </c>
    </row>
    <row r="1875" spans="1:14" ht="15" customHeight="1" x14ac:dyDescent="0.25">
      <c r="A1875" s="2"/>
      <c r="N1875" t="s">
        <v>280</v>
      </c>
    </row>
    <row r="1876" spans="1:14" ht="15" customHeight="1" x14ac:dyDescent="0.25">
      <c r="A1876" s="2"/>
      <c r="N1876" t="s">
        <v>242</v>
      </c>
    </row>
    <row r="1877" spans="1:14" ht="15" customHeight="1" x14ac:dyDescent="0.25">
      <c r="A1877" s="2"/>
      <c r="N1877" t="s">
        <v>252</v>
      </c>
    </row>
    <row r="1878" spans="1:14" ht="15" customHeight="1" x14ac:dyDescent="0.25">
      <c r="A1878" s="2"/>
      <c r="N1878" t="s">
        <v>228</v>
      </c>
    </row>
    <row r="1879" spans="1:14" ht="15" customHeight="1" x14ac:dyDescent="0.25">
      <c r="A1879" s="2"/>
      <c r="N1879" t="s">
        <v>256</v>
      </c>
    </row>
    <row r="1880" spans="1:14" ht="15" customHeight="1" x14ac:dyDescent="0.25">
      <c r="A1880" s="2"/>
      <c r="N1880" t="s">
        <v>298</v>
      </c>
    </row>
    <row r="1881" spans="1:14" ht="15" customHeight="1" x14ac:dyDescent="0.25">
      <c r="A1881" s="2"/>
      <c r="N1881" t="s">
        <v>207</v>
      </c>
    </row>
    <row r="1882" spans="1:14" ht="15" customHeight="1" x14ac:dyDescent="0.25">
      <c r="A1882" s="2"/>
      <c r="N1882" t="s">
        <v>280</v>
      </c>
    </row>
    <row r="1883" spans="1:14" ht="15" customHeight="1" x14ac:dyDescent="0.25">
      <c r="A1883" s="2"/>
      <c r="N1883" t="s">
        <v>297</v>
      </c>
    </row>
    <row r="1884" spans="1:14" ht="15" customHeight="1" x14ac:dyDescent="0.25">
      <c r="A1884" s="2"/>
      <c r="N1884" t="s">
        <v>283</v>
      </c>
    </row>
    <row r="1885" spans="1:14" ht="15" customHeight="1" x14ac:dyDescent="0.25">
      <c r="A1885" s="2"/>
      <c r="N1885" t="s">
        <v>284</v>
      </c>
    </row>
    <row r="1886" spans="1:14" ht="15" customHeight="1" x14ac:dyDescent="0.25">
      <c r="A1886" s="2"/>
      <c r="N1886" t="s">
        <v>228</v>
      </c>
    </row>
    <row r="1887" spans="1:14" ht="15" customHeight="1" x14ac:dyDescent="0.25">
      <c r="A1887" s="2"/>
      <c r="N1887" t="s">
        <v>228</v>
      </c>
    </row>
    <row r="1888" spans="1:14" ht="15" customHeight="1" x14ac:dyDescent="0.25">
      <c r="A1888" s="2"/>
      <c r="N1888" t="s">
        <v>280</v>
      </c>
    </row>
    <row r="1889" spans="1:14" ht="15" customHeight="1" x14ac:dyDescent="0.25">
      <c r="A1889" s="2"/>
      <c r="N1889" t="s">
        <v>280</v>
      </c>
    </row>
    <row r="1890" spans="1:14" ht="15" customHeight="1" x14ac:dyDescent="0.25">
      <c r="A1890" s="2"/>
      <c r="N1890" t="s">
        <v>284</v>
      </c>
    </row>
    <row r="1891" spans="1:14" ht="15" customHeight="1" x14ac:dyDescent="0.25">
      <c r="A1891" s="2"/>
      <c r="N1891" t="s">
        <v>284</v>
      </c>
    </row>
    <row r="1892" spans="1:14" ht="15" customHeight="1" x14ac:dyDescent="0.25">
      <c r="A1892" s="2"/>
      <c r="N1892" t="s">
        <v>228</v>
      </c>
    </row>
    <row r="1893" spans="1:14" ht="15" customHeight="1" x14ac:dyDescent="0.25">
      <c r="A1893" s="2"/>
      <c r="N1893" t="s">
        <v>305</v>
      </c>
    </row>
    <row r="1894" spans="1:14" ht="15" customHeight="1" x14ac:dyDescent="0.25">
      <c r="A1894" s="2"/>
      <c r="N1894" t="s">
        <v>296</v>
      </c>
    </row>
    <row r="1895" spans="1:14" ht="15" customHeight="1" x14ac:dyDescent="0.25">
      <c r="A1895" s="2"/>
      <c r="N1895" t="s">
        <v>247</v>
      </c>
    </row>
    <row r="1896" spans="1:14" ht="15" customHeight="1" x14ac:dyDescent="0.25">
      <c r="A1896" s="2"/>
      <c r="N1896" t="s">
        <v>228</v>
      </c>
    </row>
    <row r="1897" spans="1:14" ht="15" customHeight="1" x14ac:dyDescent="0.25">
      <c r="A1897" s="2"/>
      <c r="N1897" t="s">
        <v>305</v>
      </c>
    </row>
    <row r="1898" spans="1:14" ht="15" customHeight="1" x14ac:dyDescent="0.25">
      <c r="A1898" s="2"/>
      <c r="N1898" t="s">
        <v>272</v>
      </c>
    </row>
    <row r="1899" spans="1:14" ht="15" customHeight="1" x14ac:dyDescent="0.25">
      <c r="A1899" s="2"/>
      <c r="N1899" t="s">
        <v>305</v>
      </c>
    </row>
    <row r="1900" spans="1:14" ht="15" customHeight="1" x14ac:dyDescent="0.25">
      <c r="A1900" s="2"/>
      <c r="N1900" t="s">
        <v>310</v>
      </c>
    </row>
    <row r="1901" spans="1:14" ht="15" customHeight="1" x14ac:dyDescent="0.25">
      <c r="A1901" s="2"/>
      <c r="N1901" t="s">
        <v>305</v>
      </c>
    </row>
    <row r="1902" spans="1:14" ht="15" customHeight="1" x14ac:dyDescent="0.25">
      <c r="A1902" s="2"/>
      <c r="N1902" t="s">
        <v>302</v>
      </c>
    </row>
    <row r="1903" spans="1:14" ht="15" customHeight="1" x14ac:dyDescent="0.25">
      <c r="A1903" s="2"/>
      <c r="N1903" t="s">
        <v>247</v>
      </c>
    </row>
    <row r="1904" spans="1:14" ht="15" customHeight="1" x14ac:dyDescent="0.25">
      <c r="A1904" s="2"/>
      <c r="N1904" t="s">
        <v>228</v>
      </c>
    </row>
    <row r="1905" spans="1:14" ht="15" customHeight="1" x14ac:dyDescent="0.25">
      <c r="A1905" s="2"/>
      <c r="N1905" t="s">
        <v>305</v>
      </c>
    </row>
    <row r="1906" spans="1:14" ht="15" customHeight="1" x14ac:dyDescent="0.25">
      <c r="A1906" s="2"/>
      <c r="N1906" t="s">
        <v>273</v>
      </c>
    </row>
    <row r="1907" spans="1:14" ht="15" customHeight="1" x14ac:dyDescent="0.25">
      <c r="A1907" s="2"/>
      <c r="N1907" t="s">
        <v>235</v>
      </c>
    </row>
    <row r="1908" spans="1:14" ht="15" customHeight="1" x14ac:dyDescent="0.25">
      <c r="A1908" s="2"/>
      <c r="N1908" t="s">
        <v>305</v>
      </c>
    </row>
    <row r="1909" spans="1:14" ht="15" customHeight="1" x14ac:dyDescent="0.25">
      <c r="A1909" s="2"/>
      <c r="N1909" t="s">
        <v>305</v>
      </c>
    </row>
    <row r="1910" spans="1:14" ht="15" customHeight="1" x14ac:dyDescent="0.25">
      <c r="A1910" s="2"/>
      <c r="N1910" t="s">
        <v>302</v>
      </c>
    </row>
    <row r="1911" spans="1:14" ht="15" customHeight="1" x14ac:dyDescent="0.25">
      <c r="A1911" s="2"/>
      <c r="N1911" t="s">
        <v>256</v>
      </c>
    </row>
    <row r="1912" spans="1:14" ht="15" customHeight="1" x14ac:dyDescent="0.25">
      <c r="A1912" s="2"/>
      <c r="N1912" t="s">
        <v>228</v>
      </c>
    </row>
    <row r="1913" spans="1:14" ht="15" customHeight="1" x14ac:dyDescent="0.25">
      <c r="A1913" s="2"/>
      <c r="N1913" t="s">
        <v>305</v>
      </c>
    </row>
    <row r="1914" spans="1:14" ht="15" customHeight="1" x14ac:dyDescent="0.25">
      <c r="A1914" s="2"/>
      <c r="N1914" t="s">
        <v>296</v>
      </c>
    </row>
    <row r="1915" spans="1:14" ht="15" customHeight="1" x14ac:dyDescent="0.25">
      <c r="A1915" s="2"/>
      <c r="N1915" t="s">
        <v>305</v>
      </c>
    </row>
    <row r="1916" spans="1:14" ht="15" customHeight="1" x14ac:dyDescent="0.25">
      <c r="A1916" s="2"/>
      <c r="N1916" t="s">
        <v>247</v>
      </c>
    </row>
    <row r="1917" spans="1:14" ht="15" customHeight="1" x14ac:dyDescent="0.25">
      <c r="A1917" s="2"/>
      <c r="N1917" t="s">
        <v>207</v>
      </c>
    </row>
    <row r="1918" spans="1:14" ht="15" customHeight="1" x14ac:dyDescent="0.25">
      <c r="A1918" s="2"/>
      <c r="N1918" t="s">
        <v>269</v>
      </c>
    </row>
    <row r="1919" spans="1:14" ht="15" customHeight="1" x14ac:dyDescent="0.25">
      <c r="A1919" s="2"/>
      <c r="N1919" t="s">
        <v>305</v>
      </c>
    </row>
    <row r="1920" spans="1:14" ht="15" customHeight="1" x14ac:dyDescent="0.25">
      <c r="A1920" s="2"/>
      <c r="N1920" t="s">
        <v>228</v>
      </c>
    </row>
    <row r="1921" spans="1:14" ht="15" customHeight="1" x14ac:dyDescent="0.25">
      <c r="A1921" s="2"/>
      <c r="N1921" t="s">
        <v>207</v>
      </c>
    </row>
    <row r="1922" spans="1:14" ht="15" customHeight="1" x14ac:dyDescent="0.25">
      <c r="A1922" s="2"/>
      <c r="N1922" t="s">
        <v>293</v>
      </c>
    </row>
    <row r="1923" spans="1:14" ht="15" customHeight="1" x14ac:dyDescent="0.25">
      <c r="A1923" s="2"/>
      <c r="N1923" t="s">
        <v>305</v>
      </c>
    </row>
    <row r="1924" spans="1:14" ht="15" customHeight="1" x14ac:dyDescent="0.25">
      <c r="A1924" s="2"/>
      <c r="N1924" t="s">
        <v>305</v>
      </c>
    </row>
    <row r="1925" spans="1:14" ht="15" customHeight="1" x14ac:dyDescent="0.25">
      <c r="A1925" s="2"/>
      <c r="N1925" t="s">
        <v>293</v>
      </c>
    </row>
    <row r="1926" spans="1:14" ht="15" customHeight="1" x14ac:dyDescent="0.25">
      <c r="A1926" s="2"/>
      <c r="N1926" t="s">
        <v>293</v>
      </c>
    </row>
    <row r="1927" spans="1:14" ht="15" customHeight="1" x14ac:dyDescent="0.25">
      <c r="A1927" s="2"/>
      <c r="N1927" t="s">
        <v>305</v>
      </c>
    </row>
    <row r="1928" spans="1:14" ht="15" customHeight="1" x14ac:dyDescent="0.25">
      <c r="A1928" s="2"/>
      <c r="N1928" t="s">
        <v>305</v>
      </c>
    </row>
    <row r="1929" spans="1:14" ht="15" customHeight="1" x14ac:dyDescent="0.25">
      <c r="A1929" s="2"/>
      <c r="N1929" t="s">
        <v>297</v>
      </c>
    </row>
    <row r="1930" spans="1:14" ht="15" customHeight="1" x14ac:dyDescent="0.25">
      <c r="A1930" s="2"/>
      <c r="N1930" t="s">
        <v>228</v>
      </c>
    </row>
    <row r="1931" spans="1:14" ht="15" customHeight="1" x14ac:dyDescent="0.25">
      <c r="A1931" s="2"/>
      <c r="N1931" t="s">
        <v>297</v>
      </c>
    </row>
    <row r="1932" spans="1:14" ht="15" customHeight="1" x14ac:dyDescent="0.25">
      <c r="A1932" s="2"/>
      <c r="N1932" t="s">
        <v>305</v>
      </c>
    </row>
    <row r="1933" spans="1:14" ht="15" customHeight="1" x14ac:dyDescent="0.25">
      <c r="A1933" s="2"/>
      <c r="N1933" t="s">
        <v>301</v>
      </c>
    </row>
    <row r="1934" spans="1:14" ht="15" customHeight="1" x14ac:dyDescent="0.25">
      <c r="A1934" s="2"/>
      <c r="N1934" t="s">
        <v>254</v>
      </c>
    </row>
    <row r="1935" spans="1:14" ht="15" customHeight="1" x14ac:dyDescent="0.25">
      <c r="A1935" s="2"/>
      <c r="N1935" t="s">
        <v>254</v>
      </c>
    </row>
    <row r="1936" spans="1:14" ht="15" customHeight="1" x14ac:dyDescent="0.25">
      <c r="A1936" s="2"/>
      <c r="N1936" t="s">
        <v>308</v>
      </c>
    </row>
    <row r="1937" spans="1:14" ht="15" customHeight="1" x14ac:dyDescent="0.25">
      <c r="A1937" s="2"/>
      <c r="N1937" t="s">
        <v>249</v>
      </c>
    </row>
    <row r="1938" spans="1:14" ht="15" customHeight="1" x14ac:dyDescent="0.25">
      <c r="A1938" s="2"/>
      <c r="N1938" t="s">
        <v>254</v>
      </c>
    </row>
    <row r="1939" spans="1:14" ht="15" customHeight="1" x14ac:dyDescent="0.25">
      <c r="A1939" s="2"/>
      <c r="N1939" t="s">
        <v>229</v>
      </c>
    </row>
    <row r="1940" spans="1:14" ht="15" customHeight="1" x14ac:dyDescent="0.25">
      <c r="A1940" s="2"/>
      <c r="N1940" t="s">
        <v>229</v>
      </c>
    </row>
    <row r="1941" spans="1:14" ht="15" customHeight="1" x14ac:dyDescent="0.25">
      <c r="A1941" s="2"/>
      <c r="N1941" t="s">
        <v>229</v>
      </c>
    </row>
    <row r="1942" spans="1:14" ht="15" customHeight="1" x14ac:dyDescent="0.25">
      <c r="A1942" s="2"/>
      <c r="N1942" t="s">
        <v>229</v>
      </c>
    </row>
    <row r="1943" spans="1:14" ht="15" customHeight="1" x14ac:dyDescent="0.25">
      <c r="A1943" s="2"/>
      <c r="N1943" t="s">
        <v>229</v>
      </c>
    </row>
    <row r="1944" spans="1:14" ht="15" customHeight="1" x14ac:dyDescent="0.25">
      <c r="A1944" s="2"/>
      <c r="N1944" t="s">
        <v>209</v>
      </c>
    </row>
    <row r="1945" spans="1:14" ht="15" customHeight="1" x14ac:dyDescent="0.25">
      <c r="A1945" s="2"/>
      <c r="N1945" t="s">
        <v>254</v>
      </c>
    </row>
    <row r="1946" spans="1:14" ht="15" customHeight="1" x14ac:dyDescent="0.25">
      <c r="A1946" s="2"/>
      <c r="N1946" t="s">
        <v>254</v>
      </c>
    </row>
    <row r="1947" spans="1:14" ht="15" customHeight="1" x14ac:dyDescent="0.25">
      <c r="A1947" s="2"/>
      <c r="N1947" t="s">
        <v>254</v>
      </c>
    </row>
    <row r="1948" spans="1:14" ht="15" customHeight="1" x14ac:dyDescent="0.25">
      <c r="A1948" s="2"/>
      <c r="N1948" t="s">
        <v>209</v>
      </c>
    </row>
    <row r="1949" spans="1:14" ht="15" customHeight="1" x14ac:dyDescent="0.25">
      <c r="A1949" s="2"/>
      <c r="N1949" t="s">
        <v>207</v>
      </c>
    </row>
    <row r="1950" spans="1:14" ht="15" customHeight="1" x14ac:dyDescent="0.25">
      <c r="A1950" s="2"/>
      <c r="N1950" t="s">
        <v>254</v>
      </c>
    </row>
    <row r="1951" spans="1:14" ht="15" customHeight="1" x14ac:dyDescent="0.25">
      <c r="A1951" s="2"/>
      <c r="N1951" t="s">
        <v>254</v>
      </c>
    </row>
    <row r="1952" spans="1:14" ht="15" customHeight="1" x14ac:dyDescent="0.25">
      <c r="A1952" s="2"/>
      <c r="N1952" t="s">
        <v>254</v>
      </c>
    </row>
    <row r="1953" spans="1:14" ht="15" customHeight="1" x14ac:dyDescent="0.25">
      <c r="A1953" s="2"/>
      <c r="N1953" t="s">
        <v>311</v>
      </c>
    </row>
    <row r="1954" spans="1:14" ht="15" customHeight="1" x14ac:dyDescent="0.25">
      <c r="A1954" s="2"/>
      <c r="N1954" t="s">
        <v>254</v>
      </c>
    </row>
    <row r="1955" spans="1:14" ht="15" customHeight="1" x14ac:dyDescent="0.25">
      <c r="A1955" s="2"/>
      <c r="N1955" t="s">
        <v>254</v>
      </c>
    </row>
    <row r="1956" spans="1:14" ht="15" customHeight="1" x14ac:dyDescent="0.25">
      <c r="A1956" s="2"/>
      <c r="N1956" t="s">
        <v>254</v>
      </c>
    </row>
    <row r="1957" spans="1:14" ht="15" customHeight="1" x14ac:dyDescent="0.25">
      <c r="A1957" s="2"/>
      <c r="N1957" t="s">
        <v>217</v>
      </c>
    </row>
    <row r="1958" spans="1:14" ht="15" customHeight="1" x14ac:dyDescent="0.25">
      <c r="A1958" s="2"/>
      <c r="N1958" t="s">
        <v>254</v>
      </c>
    </row>
    <row r="1959" spans="1:14" ht="15" customHeight="1" x14ac:dyDescent="0.25">
      <c r="A1959" s="2"/>
      <c r="N1959" t="s">
        <v>258</v>
      </c>
    </row>
    <row r="1960" spans="1:14" ht="15" customHeight="1" x14ac:dyDescent="0.25">
      <c r="A1960" s="2"/>
      <c r="N1960" t="s">
        <v>216</v>
      </c>
    </row>
    <row r="1961" spans="1:14" ht="15" customHeight="1" x14ac:dyDescent="0.25">
      <c r="A1961" s="2"/>
      <c r="N1961" t="s">
        <v>257</v>
      </c>
    </row>
    <row r="1962" spans="1:14" ht="15" customHeight="1" x14ac:dyDescent="0.25">
      <c r="A1962" s="2"/>
      <c r="N1962" t="s">
        <v>264</v>
      </c>
    </row>
    <row r="1963" spans="1:14" ht="15" customHeight="1" x14ac:dyDescent="0.25">
      <c r="A1963" s="2"/>
      <c r="N1963" t="s">
        <v>296</v>
      </c>
    </row>
    <row r="1964" spans="1:14" ht="15" customHeight="1" x14ac:dyDescent="0.25">
      <c r="A1964" s="2"/>
      <c r="N1964" t="s">
        <v>222</v>
      </c>
    </row>
    <row r="1965" spans="1:14" ht="15" customHeight="1" x14ac:dyDescent="0.25">
      <c r="A1965" s="2"/>
      <c r="N1965" t="s">
        <v>221</v>
      </c>
    </row>
    <row r="1966" spans="1:14" ht="15" customHeight="1" x14ac:dyDescent="0.25">
      <c r="A1966" s="2"/>
      <c r="N1966" t="s">
        <v>267</v>
      </c>
    </row>
    <row r="1967" spans="1:14" ht="15" customHeight="1" x14ac:dyDescent="0.25">
      <c r="A1967" s="2"/>
      <c r="N1967" t="s">
        <v>228</v>
      </c>
    </row>
    <row r="1968" spans="1:14" ht="15" customHeight="1" x14ac:dyDescent="0.25">
      <c r="A1968" s="2"/>
      <c r="N1968" t="s">
        <v>308</v>
      </c>
    </row>
    <row r="1969" spans="1:14" ht="15" customHeight="1" x14ac:dyDescent="0.25">
      <c r="A1969" s="2"/>
      <c r="N1969" t="s">
        <v>218</v>
      </c>
    </row>
    <row r="1970" spans="1:14" ht="15" customHeight="1" x14ac:dyDescent="0.25">
      <c r="A1970" s="2"/>
      <c r="N1970" t="s">
        <v>280</v>
      </c>
    </row>
    <row r="1971" spans="1:14" ht="15" customHeight="1" x14ac:dyDescent="0.25">
      <c r="A1971" s="2"/>
      <c r="N1971" t="s">
        <v>312</v>
      </c>
    </row>
    <row r="1972" spans="1:14" ht="15" customHeight="1" x14ac:dyDescent="0.25">
      <c r="A1972" s="2"/>
      <c r="N1972" t="s">
        <v>265</v>
      </c>
    </row>
    <row r="1973" spans="1:14" ht="15" customHeight="1" x14ac:dyDescent="0.25">
      <c r="A1973" s="2"/>
      <c r="N1973" t="s">
        <v>308</v>
      </c>
    </row>
    <row r="1974" spans="1:14" ht="15" customHeight="1" x14ac:dyDescent="0.25">
      <c r="A1974" s="2"/>
      <c r="N1974" t="s">
        <v>254</v>
      </c>
    </row>
    <row r="1975" spans="1:14" ht="15" customHeight="1" x14ac:dyDescent="0.25">
      <c r="A1975" s="2"/>
      <c r="N1975" t="s">
        <v>289</v>
      </c>
    </row>
    <row r="1976" spans="1:14" ht="15" customHeight="1" x14ac:dyDescent="0.25">
      <c r="A1976" s="2"/>
      <c r="N1976" t="s">
        <v>273</v>
      </c>
    </row>
    <row r="1977" spans="1:14" ht="15" customHeight="1" x14ac:dyDescent="0.25">
      <c r="A1977" s="2"/>
      <c r="N1977" t="s">
        <v>249</v>
      </c>
    </row>
    <row r="1978" spans="1:14" ht="15" customHeight="1" x14ac:dyDescent="0.25">
      <c r="A1978" s="2"/>
      <c r="N1978" t="s">
        <v>226</v>
      </c>
    </row>
    <row r="1979" spans="1:14" ht="15" customHeight="1" x14ac:dyDescent="0.25">
      <c r="A1979" s="2"/>
      <c r="N1979" t="s">
        <v>228</v>
      </c>
    </row>
    <row r="1980" spans="1:14" ht="15" customHeight="1" x14ac:dyDescent="0.25">
      <c r="A1980" s="2"/>
      <c r="N1980" t="s">
        <v>288</v>
      </c>
    </row>
    <row r="1981" spans="1:14" ht="15" customHeight="1" x14ac:dyDescent="0.25">
      <c r="A1981" s="2"/>
      <c r="N1981" t="s">
        <v>228</v>
      </c>
    </row>
    <row r="1982" spans="1:14" ht="15" customHeight="1" x14ac:dyDescent="0.25">
      <c r="A1982" s="2"/>
      <c r="N1982" t="s">
        <v>228</v>
      </c>
    </row>
    <row r="1983" spans="1:14" ht="15" customHeight="1" x14ac:dyDescent="0.25">
      <c r="A1983" s="2"/>
      <c r="N1983" t="s">
        <v>228</v>
      </c>
    </row>
    <row r="1984" spans="1:14" ht="15" customHeight="1" x14ac:dyDescent="0.25">
      <c r="A1984" s="2"/>
      <c r="N1984" t="s">
        <v>254</v>
      </c>
    </row>
    <row r="1985" spans="1:14" ht="15" customHeight="1" x14ac:dyDescent="0.25">
      <c r="A1985" s="2"/>
      <c r="N1985" t="s">
        <v>295</v>
      </c>
    </row>
    <row r="1986" spans="1:14" ht="15" customHeight="1" x14ac:dyDescent="0.25">
      <c r="A1986" s="2"/>
      <c r="N1986" t="s">
        <v>295</v>
      </c>
    </row>
    <row r="1987" spans="1:14" ht="15" customHeight="1" x14ac:dyDescent="0.25">
      <c r="A1987" s="2"/>
      <c r="N1987" t="s">
        <v>254</v>
      </c>
    </row>
    <row r="1988" spans="1:14" ht="15" customHeight="1" x14ac:dyDescent="0.25">
      <c r="A1988" s="2"/>
      <c r="N1988" t="s">
        <v>295</v>
      </c>
    </row>
    <row r="1989" spans="1:14" ht="15" customHeight="1" x14ac:dyDescent="0.25">
      <c r="A1989" s="2"/>
      <c r="N1989" t="s">
        <v>295</v>
      </c>
    </row>
    <row r="1990" spans="1:14" ht="15" customHeight="1" x14ac:dyDescent="0.25">
      <c r="A1990" s="2"/>
      <c r="N1990" t="s">
        <v>262</v>
      </c>
    </row>
    <row r="1991" spans="1:14" ht="15" customHeight="1" x14ac:dyDescent="0.25">
      <c r="A1991" s="2"/>
      <c r="N1991" t="s">
        <v>295</v>
      </c>
    </row>
    <row r="1992" spans="1:14" ht="15" customHeight="1" x14ac:dyDescent="0.25">
      <c r="A1992" s="2"/>
      <c r="N1992" t="s">
        <v>295</v>
      </c>
    </row>
    <row r="1993" spans="1:14" ht="15" customHeight="1" x14ac:dyDescent="0.25">
      <c r="A1993" s="2"/>
      <c r="N1993" t="s">
        <v>279</v>
      </c>
    </row>
    <row r="1994" spans="1:14" ht="15" customHeight="1" x14ac:dyDescent="0.25">
      <c r="A1994" s="2"/>
      <c r="N1994" t="s">
        <v>268</v>
      </c>
    </row>
    <row r="1995" spans="1:14" ht="15" customHeight="1" x14ac:dyDescent="0.25">
      <c r="A1995" s="2"/>
      <c r="N1995" t="s">
        <v>300</v>
      </c>
    </row>
    <row r="1996" spans="1:14" ht="15" customHeight="1" x14ac:dyDescent="0.25">
      <c r="A1996" s="2"/>
      <c r="N1996" t="s">
        <v>286</v>
      </c>
    </row>
    <row r="1997" spans="1:14" ht="15" customHeight="1" x14ac:dyDescent="0.25">
      <c r="A1997" s="2"/>
      <c r="N1997" t="s">
        <v>295</v>
      </c>
    </row>
    <row r="1998" spans="1:14" ht="15" customHeight="1" x14ac:dyDescent="0.25">
      <c r="A1998" s="2"/>
      <c r="N1998" t="s">
        <v>254</v>
      </c>
    </row>
    <row r="1999" spans="1:14" ht="15" customHeight="1" x14ac:dyDescent="0.25">
      <c r="A1999" s="2"/>
      <c r="N1999" t="s">
        <v>302</v>
      </c>
    </row>
    <row r="2000" spans="1:14" ht="15" customHeight="1" x14ac:dyDescent="0.25">
      <c r="A2000" s="2"/>
      <c r="N2000" t="s">
        <v>302</v>
      </c>
    </row>
    <row r="2001" spans="14:14" ht="15" customHeight="1" x14ac:dyDescent="0.25">
      <c r="N2001" t="s">
        <v>254</v>
      </c>
    </row>
    <row r="2002" spans="14:14" ht="15" customHeight="1" x14ac:dyDescent="0.25">
      <c r="N2002" t="s">
        <v>301</v>
      </c>
    </row>
    <row r="2003" spans="14:14" ht="15" customHeight="1" x14ac:dyDescent="0.25">
      <c r="N2003" t="s">
        <v>210</v>
      </c>
    </row>
    <row r="2004" spans="14:14" ht="15" customHeight="1" x14ac:dyDescent="0.25">
      <c r="N2004" t="s">
        <v>254</v>
      </c>
    </row>
    <row r="2005" spans="14:14" ht="15" customHeight="1" x14ac:dyDescent="0.25">
      <c r="N2005" t="s">
        <v>313</v>
      </c>
    </row>
    <row r="2006" spans="14:14" ht="15" customHeight="1" x14ac:dyDescent="0.25">
      <c r="N2006" t="s">
        <v>313</v>
      </c>
    </row>
    <row r="2007" spans="14:14" ht="15" customHeight="1" x14ac:dyDescent="0.25">
      <c r="N2007" t="s">
        <v>313</v>
      </c>
    </row>
    <row r="2008" spans="14:14" ht="15" customHeight="1" x14ac:dyDescent="0.25">
      <c r="N2008" t="s">
        <v>313</v>
      </c>
    </row>
    <row r="2009" spans="14:14" ht="15" customHeight="1" x14ac:dyDescent="0.25">
      <c r="N2009" t="s">
        <v>313</v>
      </c>
    </row>
    <row r="2010" spans="14:14" ht="15" customHeight="1" x14ac:dyDescent="0.25">
      <c r="N2010" t="s">
        <v>209</v>
      </c>
    </row>
    <row r="2011" spans="14:14" ht="15" customHeight="1" x14ac:dyDescent="0.25">
      <c r="N2011" t="s">
        <v>254</v>
      </c>
    </row>
    <row r="2012" spans="14:14" ht="15" customHeight="1" x14ac:dyDescent="0.25">
      <c r="N2012" t="s">
        <v>254</v>
      </c>
    </row>
    <row r="2013" spans="14:14" ht="15" customHeight="1" x14ac:dyDescent="0.25">
      <c r="N2013" t="s">
        <v>211</v>
      </c>
    </row>
    <row r="2014" spans="14:14" ht="15" customHeight="1" x14ac:dyDescent="0.25">
      <c r="N2014" t="s">
        <v>251</v>
      </c>
    </row>
    <row r="2015" spans="14:14" ht="15" customHeight="1" x14ac:dyDescent="0.25">
      <c r="N2015" t="s">
        <v>254</v>
      </c>
    </row>
    <row r="2016" spans="14:14" ht="15" customHeight="1" x14ac:dyDescent="0.25">
      <c r="N2016" t="s">
        <v>254</v>
      </c>
    </row>
    <row r="2017" spans="14:14" ht="15" customHeight="1" x14ac:dyDescent="0.25">
      <c r="N2017" t="s">
        <v>228</v>
      </c>
    </row>
    <row r="2018" spans="14:14" ht="15" customHeight="1" x14ac:dyDescent="0.25">
      <c r="N2018" t="s">
        <v>303</v>
      </c>
    </row>
    <row r="2019" spans="14:14" ht="15" customHeight="1" x14ac:dyDescent="0.25">
      <c r="N2019" t="s">
        <v>228</v>
      </c>
    </row>
    <row r="2020" spans="14:14" ht="15" customHeight="1" x14ac:dyDescent="0.25">
      <c r="N2020" t="s">
        <v>264</v>
      </c>
    </row>
    <row r="2021" spans="14:14" ht="15" customHeight="1" x14ac:dyDescent="0.25">
      <c r="N2021" t="s">
        <v>291</v>
      </c>
    </row>
    <row r="2022" spans="14:14" ht="15" customHeight="1" x14ac:dyDescent="0.25">
      <c r="N2022" t="s">
        <v>239</v>
      </c>
    </row>
    <row r="2023" spans="14:14" ht="15" customHeight="1" x14ac:dyDescent="0.25">
      <c r="N2023" t="s">
        <v>228</v>
      </c>
    </row>
    <row r="2024" spans="14:14" ht="15" customHeight="1" x14ac:dyDescent="0.25">
      <c r="N2024" t="s">
        <v>304</v>
      </c>
    </row>
    <row r="2025" spans="14:14" ht="15" customHeight="1" x14ac:dyDescent="0.25">
      <c r="N2025" t="s">
        <v>228</v>
      </c>
    </row>
    <row r="2026" spans="14:14" ht="15" customHeight="1" x14ac:dyDescent="0.25">
      <c r="N2026" t="s">
        <v>276</v>
      </c>
    </row>
    <row r="2027" spans="14:14" ht="15" customHeight="1" x14ac:dyDescent="0.25">
      <c r="N2027" t="s">
        <v>254</v>
      </c>
    </row>
    <row r="2028" spans="14:14" ht="15" customHeight="1" x14ac:dyDescent="0.25">
      <c r="N2028" t="s">
        <v>254</v>
      </c>
    </row>
    <row r="2029" spans="14:14" ht="15" customHeight="1" x14ac:dyDescent="0.25">
      <c r="N2029" t="s">
        <v>289</v>
      </c>
    </row>
    <row r="2030" spans="14:14" ht="15" customHeight="1" x14ac:dyDescent="0.25">
      <c r="N2030" t="s">
        <v>254</v>
      </c>
    </row>
    <row r="2031" spans="14:14" ht="15" customHeight="1" x14ac:dyDescent="0.25">
      <c r="N2031" t="s">
        <v>269</v>
      </c>
    </row>
    <row r="2032" spans="14:14" ht="15" customHeight="1" x14ac:dyDescent="0.25">
      <c r="N2032" t="s">
        <v>228</v>
      </c>
    </row>
    <row r="2033" spans="14:14" ht="15" customHeight="1" x14ac:dyDescent="0.25">
      <c r="N2033" t="s">
        <v>288</v>
      </c>
    </row>
    <row r="2034" spans="14:14" ht="15" customHeight="1" x14ac:dyDescent="0.25">
      <c r="N2034" t="s">
        <v>253</v>
      </c>
    </row>
    <row r="2035" spans="14:14" ht="15" customHeight="1" x14ac:dyDescent="0.25">
      <c r="N2035" t="s">
        <v>254</v>
      </c>
    </row>
    <row r="2036" spans="14:14" ht="15" customHeight="1" x14ac:dyDescent="0.25">
      <c r="N2036" t="s">
        <v>295</v>
      </c>
    </row>
    <row r="2037" spans="14:14" ht="15" customHeight="1" x14ac:dyDescent="0.25">
      <c r="N2037" t="s">
        <v>254</v>
      </c>
    </row>
    <row r="2038" spans="14:14" ht="15" customHeight="1" x14ac:dyDescent="0.25">
      <c r="N2038" t="s">
        <v>279</v>
      </c>
    </row>
    <row r="2039" spans="14:14" ht="15" customHeight="1" x14ac:dyDescent="0.25">
      <c r="N2039" t="s">
        <v>262</v>
      </c>
    </row>
    <row r="2040" spans="14:14" ht="15" customHeight="1" x14ac:dyDescent="0.25">
      <c r="N2040" t="s">
        <v>295</v>
      </c>
    </row>
    <row r="2041" spans="14:14" ht="15" customHeight="1" x14ac:dyDescent="0.25">
      <c r="N2041" t="s">
        <v>295</v>
      </c>
    </row>
    <row r="2042" spans="14:14" ht="15" customHeight="1" x14ac:dyDescent="0.25">
      <c r="N2042" t="s">
        <v>295</v>
      </c>
    </row>
    <row r="2043" spans="14:14" ht="15" customHeight="1" x14ac:dyDescent="0.25">
      <c r="N2043" t="s">
        <v>295</v>
      </c>
    </row>
    <row r="2044" spans="14:14" ht="15" customHeight="1" x14ac:dyDescent="0.25">
      <c r="N2044" t="s">
        <v>300</v>
      </c>
    </row>
    <row r="2045" spans="14:14" ht="15" customHeight="1" x14ac:dyDescent="0.25">
      <c r="N2045" t="s">
        <v>286</v>
      </c>
    </row>
    <row r="2046" spans="14:14" ht="15" customHeight="1" x14ac:dyDescent="0.25">
      <c r="N2046" t="s">
        <v>295</v>
      </c>
    </row>
    <row r="2047" spans="14:14" ht="15" customHeight="1" x14ac:dyDescent="0.25">
      <c r="N2047" t="s">
        <v>254</v>
      </c>
    </row>
    <row r="2048" spans="14:14" ht="15" customHeight="1" x14ac:dyDescent="0.25">
      <c r="N2048" t="s">
        <v>275</v>
      </c>
    </row>
    <row r="2049" spans="14:14" ht="15" customHeight="1" x14ac:dyDescent="0.25">
      <c r="N2049" t="s">
        <v>248</v>
      </c>
    </row>
    <row r="2050" spans="14:14" ht="15" customHeight="1" x14ac:dyDescent="0.25">
      <c r="N2050" t="s">
        <v>254</v>
      </c>
    </row>
    <row r="2051" spans="14:14" ht="15" customHeight="1" x14ac:dyDescent="0.25">
      <c r="N2051" t="s">
        <v>302</v>
      </c>
    </row>
    <row r="2052" spans="14:14" ht="15" customHeight="1" x14ac:dyDescent="0.25">
      <c r="N2052" t="s">
        <v>302</v>
      </c>
    </row>
    <row r="2053" spans="14:14" ht="15" customHeight="1" x14ac:dyDescent="0.25">
      <c r="N2053" t="s">
        <v>254</v>
      </c>
    </row>
    <row r="2054" spans="14:14" ht="15" customHeight="1" x14ac:dyDescent="0.25">
      <c r="N2054" t="s">
        <v>302</v>
      </c>
    </row>
    <row r="2055" spans="14:14" ht="15" customHeight="1" x14ac:dyDescent="0.25">
      <c r="N2055" t="s">
        <v>301</v>
      </c>
    </row>
    <row r="2056" spans="14:14" ht="15" customHeight="1" x14ac:dyDescent="0.25">
      <c r="N2056" t="s">
        <v>228</v>
      </c>
    </row>
    <row r="2057" spans="14:14" ht="15" customHeight="1" x14ac:dyDescent="0.25">
      <c r="N2057" t="s">
        <v>209</v>
      </c>
    </row>
    <row r="2058" spans="14:14" ht="15" customHeight="1" x14ac:dyDescent="0.25">
      <c r="N2058" t="s">
        <v>254</v>
      </c>
    </row>
    <row r="2059" spans="14:14" ht="15" customHeight="1" x14ac:dyDescent="0.25">
      <c r="N2059" t="s">
        <v>263</v>
      </c>
    </row>
    <row r="2060" spans="14:14" ht="15" customHeight="1" x14ac:dyDescent="0.25">
      <c r="N2060" t="s">
        <v>228</v>
      </c>
    </row>
    <row r="2061" spans="14:14" ht="15" customHeight="1" x14ac:dyDescent="0.25">
      <c r="N2061" t="s">
        <v>303</v>
      </c>
    </row>
    <row r="2062" spans="14:14" ht="15" customHeight="1" x14ac:dyDescent="0.25">
      <c r="N2062" t="s">
        <v>228</v>
      </c>
    </row>
    <row r="2063" spans="14:14" ht="15" customHeight="1" x14ac:dyDescent="0.25">
      <c r="N2063" t="s">
        <v>291</v>
      </c>
    </row>
    <row r="2064" spans="14:14" ht="15" customHeight="1" x14ac:dyDescent="0.25">
      <c r="N2064" t="s">
        <v>261</v>
      </c>
    </row>
    <row r="2065" spans="14:14" ht="15" customHeight="1" x14ac:dyDescent="0.25">
      <c r="N2065" t="s">
        <v>289</v>
      </c>
    </row>
    <row r="2066" spans="14:14" ht="15" customHeight="1" x14ac:dyDescent="0.25">
      <c r="N2066" t="s">
        <v>243</v>
      </c>
    </row>
    <row r="2067" spans="14:14" ht="15" customHeight="1" x14ac:dyDescent="0.25">
      <c r="N2067" t="s">
        <v>255</v>
      </c>
    </row>
    <row r="2068" spans="14:14" ht="15" customHeight="1" x14ac:dyDescent="0.25">
      <c r="N2068" t="s">
        <v>254</v>
      </c>
    </row>
    <row r="2069" spans="14:14" ht="15" customHeight="1" x14ac:dyDescent="0.25">
      <c r="N2069" t="s">
        <v>295</v>
      </c>
    </row>
    <row r="2070" spans="14:14" ht="15" customHeight="1" x14ac:dyDescent="0.25">
      <c r="N2070" t="s">
        <v>254</v>
      </c>
    </row>
    <row r="2071" spans="14:14" ht="15" customHeight="1" x14ac:dyDescent="0.25">
      <c r="N2071" t="s">
        <v>279</v>
      </c>
    </row>
    <row r="2072" spans="14:14" ht="15" customHeight="1" x14ac:dyDescent="0.25">
      <c r="N2072" t="s">
        <v>295</v>
      </c>
    </row>
    <row r="2073" spans="14:14" ht="15" customHeight="1" x14ac:dyDescent="0.25">
      <c r="N2073" t="s">
        <v>295</v>
      </c>
    </row>
    <row r="2074" spans="14:14" ht="15" customHeight="1" x14ac:dyDescent="0.25">
      <c r="N2074" t="s">
        <v>300</v>
      </c>
    </row>
    <row r="2075" spans="14:14" ht="15" customHeight="1" x14ac:dyDescent="0.25">
      <c r="N2075" t="s">
        <v>237</v>
      </c>
    </row>
    <row r="2076" spans="14:14" ht="15" customHeight="1" x14ac:dyDescent="0.25">
      <c r="N2076" t="s">
        <v>271</v>
      </c>
    </row>
    <row r="2077" spans="14:14" ht="15" customHeight="1" x14ac:dyDescent="0.25">
      <c r="N2077" t="s">
        <v>254</v>
      </c>
    </row>
    <row r="2078" spans="14:14" ht="15" customHeight="1" x14ac:dyDescent="0.25">
      <c r="N2078" t="s">
        <v>254</v>
      </c>
    </row>
    <row r="2079" spans="14:14" ht="15" customHeight="1" x14ac:dyDescent="0.25">
      <c r="N2079" t="s">
        <v>307</v>
      </c>
    </row>
    <row r="2080" spans="14:14" ht="15" customHeight="1" x14ac:dyDescent="0.25">
      <c r="N2080" t="s">
        <v>229</v>
      </c>
    </row>
    <row r="2081" spans="14:14" ht="15" customHeight="1" x14ac:dyDescent="0.25">
      <c r="N2081" t="s">
        <v>254</v>
      </c>
    </row>
    <row r="2082" spans="14:14" ht="15" customHeight="1" x14ac:dyDescent="0.25">
      <c r="N2082" t="s">
        <v>303</v>
      </c>
    </row>
    <row r="2083" spans="14:14" ht="15" customHeight="1" x14ac:dyDescent="0.25">
      <c r="N2083" t="s">
        <v>267</v>
      </c>
    </row>
    <row r="2084" spans="14:14" ht="15" customHeight="1" x14ac:dyDescent="0.25">
      <c r="N2084" t="s">
        <v>254</v>
      </c>
    </row>
    <row r="2085" spans="14:14" ht="15" customHeight="1" x14ac:dyDescent="0.25">
      <c r="N2085" t="s">
        <v>289</v>
      </c>
    </row>
    <row r="2086" spans="14:14" ht="15" customHeight="1" x14ac:dyDescent="0.25">
      <c r="N2086" t="s">
        <v>228</v>
      </c>
    </row>
    <row r="2087" spans="14:14" ht="15" customHeight="1" x14ac:dyDescent="0.25">
      <c r="N2087" t="s">
        <v>254</v>
      </c>
    </row>
    <row r="2088" spans="14:14" ht="15" customHeight="1" x14ac:dyDescent="0.25">
      <c r="N2088" t="s">
        <v>295</v>
      </c>
    </row>
    <row r="2089" spans="14:14" ht="15" customHeight="1" x14ac:dyDescent="0.25">
      <c r="N2089" t="s">
        <v>236</v>
      </c>
    </row>
    <row r="2090" spans="14:14" ht="15" customHeight="1" x14ac:dyDescent="0.25">
      <c r="N2090" t="s">
        <v>246</v>
      </c>
    </row>
    <row r="2091" spans="14:14" ht="15" customHeight="1" x14ac:dyDescent="0.25">
      <c r="N2091" t="s">
        <v>297</v>
      </c>
    </row>
    <row r="2092" spans="14:14" ht="15" customHeight="1" x14ac:dyDescent="0.25">
      <c r="N2092" t="s">
        <v>302</v>
      </c>
    </row>
    <row r="2093" spans="14:14" ht="15" customHeight="1" x14ac:dyDescent="0.25">
      <c r="N2093" t="s">
        <v>234</v>
      </c>
    </row>
    <row r="2094" spans="14:14" ht="15" customHeight="1" x14ac:dyDescent="0.25">
      <c r="N2094" t="s">
        <v>294</v>
      </c>
    </row>
    <row r="2095" spans="14:14" ht="15" customHeight="1" x14ac:dyDescent="0.25">
      <c r="N2095" t="s">
        <v>291</v>
      </c>
    </row>
    <row r="2096" spans="14:14" ht="15" customHeight="1" x14ac:dyDescent="0.25">
      <c r="N2096" t="s">
        <v>270</v>
      </c>
    </row>
    <row r="2097" spans="14:14" ht="15" customHeight="1" x14ac:dyDescent="0.25">
      <c r="N2097" t="s">
        <v>257</v>
      </c>
    </row>
    <row r="2098" spans="14:14" ht="15" customHeight="1" x14ac:dyDescent="0.25">
      <c r="N2098" t="s">
        <v>288</v>
      </c>
    </row>
    <row r="2099" spans="14:14" ht="15" customHeight="1" x14ac:dyDescent="0.25">
      <c r="N2099" t="s">
        <v>300</v>
      </c>
    </row>
    <row r="2100" spans="14:14" ht="15" customHeight="1" x14ac:dyDescent="0.25">
      <c r="N2100" t="s">
        <v>233</v>
      </c>
    </row>
    <row r="2101" spans="14:14" ht="15" customHeight="1" x14ac:dyDescent="0.25">
      <c r="N2101" t="s">
        <v>297</v>
      </c>
    </row>
    <row r="2102" spans="14:14" ht="15" customHeight="1" x14ac:dyDescent="0.25">
      <c r="N2102" t="s">
        <v>254</v>
      </c>
    </row>
    <row r="2103" spans="14:14" ht="15" customHeight="1" x14ac:dyDescent="0.25">
      <c r="N2103" t="s">
        <v>301</v>
      </c>
    </row>
    <row r="2104" spans="14:14" ht="15" customHeight="1" x14ac:dyDescent="0.25">
      <c r="N2104" t="s">
        <v>273</v>
      </c>
    </row>
    <row r="2105" spans="14:14" ht="15" customHeight="1" x14ac:dyDescent="0.25">
      <c r="N2105" t="s">
        <v>207</v>
      </c>
    </row>
    <row r="2106" spans="14:14" ht="15" customHeight="1" x14ac:dyDescent="0.25">
      <c r="N2106" t="s">
        <v>299</v>
      </c>
    </row>
    <row r="2107" spans="14:14" ht="15" customHeight="1" x14ac:dyDescent="0.25">
      <c r="N2107" t="s">
        <v>291</v>
      </c>
    </row>
    <row r="2108" spans="14:14" ht="15" customHeight="1" x14ac:dyDescent="0.25">
      <c r="N2108" t="s">
        <v>276</v>
      </c>
    </row>
    <row r="2109" spans="14:14" ht="15" customHeight="1" x14ac:dyDescent="0.25">
      <c r="N2109" t="s">
        <v>282</v>
      </c>
    </row>
    <row r="2110" spans="14:14" ht="15" customHeight="1" x14ac:dyDescent="0.25">
      <c r="N2110" t="s">
        <v>203</v>
      </c>
    </row>
    <row r="2111" spans="14:14" ht="15" customHeight="1" x14ac:dyDescent="0.25">
      <c r="N2111" t="s">
        <v>288</v>
      </c>
    </row>
    <row r="2112" spans="14:14" ht="15" customHeight="1" x14ac:dyDescent="0.25">
      <c r="N2112" t="s">
        <v>300</v>
      </c>
    </row>
    <row r="2113" spans="14:14" ht="15" customHeight="1" x14ac:dyDescent="0.25">
      <c r="N2113" t="s">
        <v>300</v>
      </c>
    </row>
    <row r="2114" spans="14:14" ht="15" customHeight="1" x14ac:dyDescent="0.25">
      <c r="N2114" t="s">
        <v>203</v>
      </c>
    </row>
    <row r="2115" spans="14:14" ht="15" customHeight="1" x14ac:dyDescent="0.25">
      <c r="N2115" t="s">
        <v>207</v>
      </c>
    </row>
    <row r="2116" spans="14:14" ht="15" customHeight="1" x14ac:dyDescent="0.25">
      <c r="N2116" t="s">
        <v>301</v>
      </c>
    </row>
    <row r="2117" spans="14:14" ht="15" customHeight="1" x14ac:dyDescent="0.25">
      <c r="N2117" t="s">
        <v>231</v>
      </c>
    </row>
    <row r="2118" spans="14:14" ht="15" customHeight="1" x14ac:dyDescent="0.25">
      <c r="N2118" t="s">
        <v>228</v>
      </c>
    </row>
    <row r="2119" spans="14:14" ht="15" customHeight="1" x14ac:dyDescent="0.25">
      <c r="N2119" t="s">
        <v>299</v>
      </c>
    </row>
    <row r="2120" spans="14:14" ht="15" customHeight="1" x14ac:dyDescent="0.25">
      <c r="N2120" t="s">
        <v>303</v>
      </c>
    </row>
    <row r="2121" spans="14:14" ht="15" customHeight="1" x14ac:dyDescent="0.25">
      <c r="N2121" t="s">
        <v>282</v>
      </c>
    </row>
    <row r="2122" spans="14:14" ht="15" customHeight="1" x14ac:dyDescent="0.25">
      <c r="N2122" t="s">
        <v>273</v>
      </c>
    </row>
    <row r="2123" spans="14:14" ht="15" customHeight="1" x14ac:dyDescent="0.25">
      <c r="N2123" t="s">
        <v>254</v>
      </c>
    </row>
    <row r="2124" spans="14:14" ht="15" customHeight="1" x14ac:dyDescent="0.25">
      <c r="N2124" t="s">
        <v>228</v>
      </c>
    </row>
    <row r="2125" spans="14:14" ht="15" customHeight="1" x14ac:dyDescent="0.25">
      <c r="N2125" t="s">
        <v>268</v>
      </c>
    </row>
    <row r="2126" spans="14:14" ht="15" customHeight="1" x14ac:dyDescent="0.25">
      <c r="N2126" t="s">
        <v>275</v>
      </c>
    </row>
    <row r="2127" spans="14:14" ht="15" customHeight="1" x14ac:dyDescent="0.25">
      <c r="N2127" t="s">
        <v>203</v>
      </c>
    </row>
    <row r="2128" spans="14:14" ht="15" customHeight="1" x14ac:dyDescent="0.25">
      <c r="N2128" t="s">
        <v>273</v>
      </c>
    </row>
    <row r="2129" spans="14:14" ht="15" customHeight="1" x14ac:dyDescent="0.25">
      <c r="N2129" t="s">
        <v>278</v>
      </c>
    </row>
    <row r="2130" spans="14:14" ht="15" customHeight="1" x14ac:dyDescent="0.25">
      <c r="N2130" t="s">
        <v>303</v>
      </c>
    </row>
    <row r="2131" spans="14:14" ht="15" customHeight="1" x14ac:dyDescent="0.25">
      <c r="N2131" t="s">
        <v>244</v>
      </c>
    </row>
    <row r="2132" spans="14:14" ht="15" customHeight="1" x14ac:dyDescent="0.25">
      <c r="N2132" t="s">
        <v>254</v>
      </c>
    </row>
    <row r="2133" spans="14:14" ht="15" customHeight="1" x14ac:dyDescent="0.25">
      <c r="N2133" t="s">
        <v>231</v>
      </c>
    </row>
    <row r="2134" spans="14:14" ht="15" customHeight="1" x14ac:dyDescent="0.25">
      <c r="N2134" t="s">
        <v>299</v>
      </c>
    </row>
    <row r="2135" spans="14:14" ht="15" customHeight="1" x14ac:dyDescent="0.25">
      <c r="N2135" t="s">
        <v>303</v>
      </c>
    </row>
    <row r="2136" spans="14:14" ht="15" customHeight="1" x14ac:dyDescent="0.25">
      <c r="N2136" t="s">
        <v>260</v>
      </c>
    </row>
    <row r="2137" spans="14:14" ht="15" customHeight="1" x14ac:dyDescent="0.25">
      <c r="N2137" t="s">
        <v>254</v>
      </c>
    </row>
    <row r="2138" spans="14:14" ht="15" customHeight="1" x14ac:dyDescent="0.25">
      <c r="N2138" t="s">
        <v>301</v>
      </c>
    </row>
    <row r="2139" spans="14:14" ht="15" customHeight="1" x14ac:dyDescent="0.25">
      <c r="N2139" t="s">
        <v>273</v>
      </c>
    </row>
    <row r="2140" spans="14:14" ht="15" customHeight="1" x14ac:dyDescent="0.25">
      <c r="N2140" t="s">
        <v>294</v>
      </c>
    </row>
    <row r="2141" spans="14:14" ht="15" customHeight="1" x14ac:dyDescent="0.25">
      <c r="N2141" t="s">
        <v>299</v>
      </c>
    </row>
    <row r="2142" spans="14:14" ht="15" customHeight="1" x14ac:dyDescent="0.25">
      <c r="N2142" t="s">
        <v>303</v>
      </c>
    </row>
    <row r="2143" spans="14:14" ht="15" customHeight="1" x14ac:dyDescent="0.25">
      <c r="N2143" t="s">
        <v>228</v>
      </c>
    </row>
    <row r="2144" spans="14:14" ht="15" customHeight="1" x14ac:dyDescent="0.25">
      <c r="N2144" t="s">
        <v>303</v>
      </c>
    </row>
    <row r="2145" spans="14:14" ht="15" customHeight="1" x14ac:dyDescent="0.25">
      <c r="N2145" t="s">
        <v>228</v>
      </c>
    </row>
    <row r="2146" spans="14:14" ht="15" customHeight="1" x14ac:dyDescent="0.25">
      <c r="N2146" t="s">
        <v>232</v>
      </c>
    </row>
    <row r="2147" spans="14:14" ht="15" customHeight="1" x14ac:dyDescent="0.25">
      <c r="N2147" t="s">
        <v>207</v>
      </c>
    </row>
    <row r="2148" spans="14:14" ht="15" customHeight="1" x14ac:dyDescent="0.25">
      <c r="N2148" t="s">
        <v>299</v>
      </c>
    </row>
    <row r="2149" spans="14:14" ht="15" customHeight="1" x14ac:dyDescent="0.25">
      <c r="N2149" t="s">
        <v>270</v>
      </c>
    </row>
    <row r="2150" spans="14:14" ht="15" customHeight="1" x14ac:dyDescent="0.25">
      <c r="N2150" t="s">
        <v>230</v>
      </c>
    </row>
    <row r="2151" spans="14:14" ht="15" customHeight="1" x14ac:dyDescent="0.25">
      <c r="N2151" t="s">
        <v>257</v>
      </c>
    </row>
    <row r="2152" spans="14:14" ht="15" customHeight="1" x14ac:dyDescent="0.25">
      <c r="N2152" t="s">
        <v>301</v>
      </c>
    </row>
    <row r="2153" spans="14:14" ht="15" customHeight="1" x14ac:dyDescent="0.25">
      <c r="N2153" t="s">
        <v>207</v>
      </c>
    </row>
    <row r="2154" spans="14:14" ht="15" customHeight="1" x14ac:dyDescent="0.25">
      <c r="N2154" t="s">
        <v>231</v>
      </c>
    </row>
    <row r="2155" spans="14:14" ht="15" customHeight="1" x14ac:dyDescent="0.25">
      <c r="N2155" t="s">
        <v>299</v>
      </c>
    </row>
    <row r="2156" spans="14:14" ht="15" customHeight="1" x14ac:dyDescent="0.25">
      <c r="N2156" t="s">
        <v>240</v>
      </c>
    </row>
    <row r="2157" spans="14:14" ht="15" customHeight="1" x14ac:dyDescent="0.25">
      <c r="N2157" t="s">
        <v>294</v>
      </c>
    </row>
    <row r="2158" spans="14:14" ht="15" customHeight="1" x14ac:dyDescent="0.25">
      <c r="N2158" t="s">
        <v>277</v>
      </c>
    </row>
    <row r="2159" spans="14:14" ht="15" customHeight="1" x14ac:dyDescent="0.25">
      <c r="N2159" t="s">
        <v>273</v>
      </c>
    </row>
    <row r="2160" spans="14:14" ht="15" customHeight="1" x14ac:dyDescent="0.25">
      <c r="N2160" t="s">
        <v>207</v>
      </c>
    </row>
    <row r="2161" spans="14:14" ht="15" customHeight="1" x14ac:dyDescent="0.25">
      <c r="N2161" t="s">
        <v>265</v>
      </c>
    </row>
    <row r="2162" spans="14:14" ht="15" customHeight="1" x14ac:dyDescent="0.25">
      <c r="N2162" t="s">
        <v>273</v>
      </c>
    </row>
    <row r="2163" spans="14:14" ht="15" customHeight="1" x14ac:dyDescent="0.25">
      <c r="N2163" t="s">
        <v>207</v>
      </c>
    </row>
    <row r="2164" spans="14:14" ht="15" customHeight="1" x14ac:dyDescent="0.25">
      <c r="N2164" t="s">
        <v>287</v>
      </c>
    </row>
    <row r="2165" spans="14:14" ht="15" customHeight="1" x14ac:dyDescent="0.25">
      <c r="N2165" t="s">
        <v>292</v>
      </c>
    </row>
    <row r="2166" spans="14:14" ht="15" customHeight="1" x14ac:dyDescent="0.25">
      <c r="N2166" t="s">
        <v>207</v>
      </c>
    </row>
    <row r="2167" spans="14:14" ht="15" customHeight="1" x14ac:dyDescent="0.25">
      <c r="N2167" t="s">
        <v>295</v>
      </c>
    </row>
    <row r="2168" spans="14:14" ht="15" customHeight="1" x14ac:dyDescent="0.25">
      <c r="N2168" t="s">
        <v>207</v>
      </c>
    </row>
    <row r="2169" spans="14:14" ht="15" customHeight="1" x14ac:dyDescent="0.25">
      <c r="N2169" t="s">
        <v>294</v>
      </c>
    </row>
    <row r="2170" spans="14:14" ht="15" customHeight="1" x14ac:dyDescent="0.25">
      <c r="N2170" t="s">
        <v>277</v>
      </c>
    </row>
    <row r="2171" spans="14:14" ht="15" customHeight="1" x14ac:dyDescent="0.25">
      <c r="N2171" t="s">
        <v>241</v>
      </c>
    </row>
    <row r="2172" spans="14:14" ht="15" customHeight="1" x14ac:dyDescent="0.25">
      <c r="N2172" t="s">
        <v>207</v>
      </c>
    </row>
    <row r="2173" spans="14:14" ht="15" customHeight="1" x14ac:dyDescent="0.25">
      <c r="N2173" t="s">
        <v>273</v>
      </c>
    </row>
    <row r="2174" spans="14:14" ht="15" customHeight="1" x14ac:dyDescent="0.25">
      <c r="N2174" t="s">
        <v>238</v>
      </c>
    </row>
    <row r="2175" spans="14:14" ht="15" customHeight="1" x14ac:dyDescent="0.25">
      <c r="N2175" t="s">
        <v>273</v>
      </c>
    </row>
    <row r="2176" spans="14:14" ht="15" customHeight="1" x14ac:dyDescent="0.25">
      <c r="N2176" t="s">
        <v>245</v>
      </c>
    </row>
    <row r="2177" spans="14:14" ht="15" customHeight="1" x14ac:dyDescent="0.25">
      <c r="N2177" t="s">
        <v>287</v>
      </c>
    </row>
    <row r="2178" spans="14:14" ht="15" customHeight="1" x14ac:dyDescent="0.25">
      <c r="N2178" t="s">
        <v>250</v>
      </c>
    </row>
    <row r="2179" spans="14:14" ht="15" customHeight="1" x14ac:dyDescent="0.25">
      <c r="N2179" t="s">
        <v>213</v>
      </c>
    </row>
    <row r="2180" spans="14:14" ht="15" customHeight="1" x14ac:dyDescent="0.25">
      <c r="N2180" t="s">
        <v>273</v>
      </c>
    </row>
    <row r="2181" spans="14:14" ht="15" customHeight="1" x14ac:dyDescent="0.25">
      <c r="N2181" t="s">
        <v>273</v>
      </c>
    </row>
    <row r="2182" spans="14:14" ht="15" customHeight="1" x14ac:dyDescent="0.25">
      <c r="N2182" t="s">
        <v>205</v>
      </c>
    </row>
    <row r="2183" spans="14:14" ht="15" customHeight="1" x14ac:dyDescent="0.25">
      <c r="N2183" t="s">
        <v>308</v>
      </c>
    </row>
    <row r="2184" spans="14:14" ht="15" customHeight="1" x14ac:dyDescent="0.25">
      <c r="N2184" t="s">
        <v>207</v>
      </c>
    </row>
    <row r="2185" spans="14:14" ht="15" customHeight="1" x14ac:dyDescent="0.25">
      <c r="N2185" t="s">
        <v>207</v>
      </c>
    </row>
    <row r="2186" spans="14:14" ht="15" customHeight="1" x14ac:dyDescent="0.25">
      <c r="N2186" t="s">
        <v>292</v>
      </c>
    </row>
    <row r="2187" spans="14:14" ht="15" customHeight="1" x14ac:dyDescent="0.25">
      <c r="N2187" t="s">
        <v>228</v>
      </c>
    </row>
    <row r="2188" spans="14:14" ht="15" customHeight="1" x14ac:dyDescent="0.25">
      <c r="N2188" t="s">
        <v>273</v>
      </c>
    </row>
    <row r="2189" spans="14:14" ht="15" customHeight="1" x14ac:dyDescent="0.25">
      <c r="N2189" t="s">
        <v>273</v>
      </c>
    </row>
    <row r="2190" spans="14:14" ht="15" customHeight="1" x14ac:dyDescent="0.25">
      <c r="N2190" t="s">
        <v>207</v>
      </c>
    </row>
    <row r="2191" spans="14:14" ht="15" customHeight="1" x14ac:dyDescent="0.25">
      <c r="N2191" t="s">
        <v>207</v>
      </c>
    </row>
    <row r="2192" spans="14:14" ht="15" customHeight="1" x14ac:dyDescent="0.25">
      <c r="N2192" t="s">
        <v>254</v>
      </c>
    </row>
    <row r="2193" spans="14:14" ht="15" customHeight="1" x14ac:dyDescent="0.25">
      <c r="N2193" t="s">
        <v>303</v>
      </c>
    </row>
    <row r="2194" spans="14:14" ht="15" customHeight="1" x14ac:dyDescent="0.25">
      <c r="N2194" t="s">
        <v>228</v>
      </c>
    </row>
    <row r="2195" spans="14:14" ht="15" customHeight="1" x14ac:dyDescent="0.25">
      <c r="N2195" t="s">
        <v>308</v>
      </c>
    </row>
    <row r="2196" spans="14:14" ht="15" customHeight="1" x14ac:dyDescent="0.25">
      <c r="N2196" t="s">
        <v>228</v>
      </c>
    </row>
    <row r="2197" spans="14:14" ht="15" customHeight="1" x14ac:dyDescent="0.25">
      <c r="N2197" t="s">
        <v>228</v>
      </c>
    </row>
    <row r="2198" spans="14:14" ht="15" customHeight="1" x14ac:dyDescent="0.25">
      <c r="N2198" t="s">
        <v>305</v>
      </c>
    </row>
    <row r="2199" spans="14:14" ht="15" customHeight="1" x14ac:dyDescent="0.25">
      <c r="N2199" t="s">
        <v>298</v>
      </c>
    </row>
    <row r="2200" spans="14:14" ht="15" customHeight="1" x14ac:dyDescent="0.25">
      <c r="N2200" t="s">
        <v>309</v>
      </c>
    </row>
    <row r="2201" spans="14:14" ht="15" customHeight="1" x14ac:dyDescent="0.25">
      <c r="N2201" t="s">
        <v>254</v>
      </c>
    </row>
    <row r="2202" spans="14:14" ht="15" customHeight="1" x14ac:dyDescent="0.25">
      <c r="N2202" t="s">
        <v>273</v>
      </c>
    </row>
    <row r="2203" spans="14:14" ht="15" customHeight="1" x14ac:dyDescent="0.25">
      <c r="N2203" t="s">
        <v>256</v>
      </c>
    </row>
    <row r="2204" spans="14:14" ht="15" customHeight="1" x14ac:dyDescent="0.25">
      <c r="N2204" t="s">
        <v>273</v>
      </c>
    </row>
    <row r="2205" spans="14:14" ht="15" customHeight="1" x14ac:dyDescent="0.25">
      <c r="N2205" t="s">
        <v>228</v>
      </c>
    </row>
    <row r="2206" spans="14:14" ht="15" customHeight="1" x14ac:dyDescent="0.25">
      <c r="N2206" t="s">
        <v>305</v>
      </c>
    </row>
    <row r="2207" spans="14:14" ht="15" customHeight="1" x14ac:dyDescent="0.25">
      <c r="N2207" t="s">
        <v>228</v>
      </c>
    </row>
    <row r="2208" spans="14:14" ht="15" customHeight="1" x14ac:dyDescent="0.25">
      <c r="N2208" t="s">
        <v>305</v>
      </c>
    </row>
    <row r="2209" spans="14:14" ht="15" customHeight="1" x14ac:dyDescent="0.25">
      <c r="N2209" t="s">
        <v>305</v>
      </c>
    </row>
    <row r="2210" spans="14:14" ht="15" customHeight="1" x14ac:dyDescent="0.25">
      <c r="N2210" t="s">
        <v>228</v>
      </c>
    </row>
    <row r="2211" spans="14:14" ht="15" customHeight="1" x14ac:dyDescent="0.25">
      <c r="N2211" t="s">
        <v>295</v>
      </c>
    </row>
    <row r="2212" spans="14:14" ht="15" customHeight="1" x14ac:dyDescent="0.25">
      <c r="N2212" t="s">
        <v>295</v>
      </c>
    </row>
    <row r="2213" spans="14:14" ht="15" customHeight="1" x14ac:dyDescent="0.25">
      <c r="N2213" t="s">
        <v>295</v>
      </c>
    </row>
    <row r="2214" spans="14:14" ht="15" customHeight="1" x14ac:dyDescent="0.25">
      <c r="N2214" t="s">
        <v>298</v>
      </c>
    </row>
    <row r="2215" spans="14:14" ht="15" customHeight="1" x14ac:dyDescent="0.25">
      <c r="N2215" t="s">
        <v>273</v>
      </c>
    </row>
    <row r="2216" spans="14:14" ht="15" customHeight="1" x14ac:dyDescent="0.25">
      <c r="N2216" t="s">
        <v>297</v>
      </c>
    </row>
    <row r="2217" spans="14:14" ht="15" customHeight="1" x14ac:dyDescent="0.25">
      <c r="N2217" t="s">
        <v>207</v>
      </c>
    </row>
    <row r="2218" spans="14:14" ht="15" customHeight="1" x14ac:dyDescent="0.25">
      <c r="N2218" t="s">
        <v>285</v>
      </c>
    </row>
    <row r="2219" spans="14:14" ht="15" customHeight="1" x14ac:dyDescent="0.25">
      <c r="N2219" t="s">
        <v>282</v>
      </c>
    </row>
    <row r="2220" spans="14:14" ht="15" customHeight="1" x14ac:dyDescent="0.25">
      <c r="N2220" t="s">
        <v>205</v>
      </c>
    </row>
    <row r="2221" spans="14:14" ht="15" customHeight="1" x14ac:dyDescent="0.25">
      <c r="N2221" t="s">
        <v>304</v>
      </c>
    </row>
    <row r="2222" spans="14:14" ht="15" customHeight="1" x14ac:dyDescent="0.25">
      <c r="N2222" t="s">
        <v>304</v>
      </c>
    </row>
    <row r="2223" spans="14:14" ht="15" customHeight="1" x14ac:dyDescent="0.25">
      <c r="N2223" t="s">
        <v>304</v>
      </c>
    </row>
    <row r="2224" spans="14:14" ht="15" customHeight="1" x14ac:dyDescent="0.25">
      <c r="N2224" t="s">
        <v>304</v>
      </c>
    </row>
    <row r="2225" spans="14:14" ht="15" customHeight="1" x14ac:dyDescent="0.25">
      <c r="N2225" t="s">
        <v>304</v>
      </c>
    </row>
    <row r="2226" spans="14:14" ht="15" customHeight="1" x14ac:dyDescent="0.25">
      <c r="N2226" t="s">
        <v>207</v>
      </c>
    </row>
    <row r="2227" spans="14:14" ht="15" customHeight="1" x14ac:dyDescent="0.25">
      <c r="N2227" t="s">
        <v>292</v>
      </c>
    </row>
    <row r="2228" spans="14:14" ht="15" customHeight="1" x14ac:dyDescent="0.25">
      <c r="N2228" t="s">
        <v>273</v>
      </c>
    </row>
    <row r="2229" spans="14:14" ht="15" customHeight="1" x14ac:dyDescent="0.25">
      <c r="N2229" t="s">
        <v>207</v>
      </c>
    </row>
    <row r="2230" spans="14:14" ht="15" customHeight="1" x14ac:dyDescent="0.25">
      <c r="N2230" t="s">
        <v>305</v>
      </c>
    </row>
    <row r="2231" spans="14:14" ht="15" customHeight="1" x14ac:dyDescent="0.25">
      <c r="N2231" t="s">
        <v>296</v>
      </c>
    </row>
    <row r="2232" spans="14:14" ht="15" customHeight="1" x14ac:dyDescent="0.25">
      <c r="N2232" t="s">
        <v>259</v>
      </c>
    </row>
    <row r="2233" spans="14:14" ht="15" customHeight="1" x14ac:dyDescent="0.25">
      <c r="N2233" t="s">
        <v>305</v>
      </c>
    </row>
    <row r="2234" spans="14:14" ht="15" customHeight="1" x14ac:dyDescent="0.25">
      <c r="N2234" t="s">
        <v>273</v>
      </c>
    </row>
    <row r="2235" spans="14:14" ht="15" customHeight="1" x14ac:dyDescent="0.25">
      <c r="N2235" t="s">
        <v>256</v>
      </c>
    </row>
    <row r="2236" spans="14:14" ht="15" customHeight="1" x14ac:dyDescent="0.25">
      <c r="N2236" t="s">
        <v>305</v>
      </c>
    </row>
    <row r="2237" spans="14:14" ht="15" customHeight="1" x14ac:dyDescent="0.25">
      <c r="N2237" t="s">
        <v>274</v>
      </c>
    </row>
    <row r="2238" spans="14:14" ht="15" customHeight="1" x14ac:dyDescent="0.25">
      <c r="N2238" t="s">
        <v>305</v>
      </c>
    </row>
    <row r="2239" spans="14:14" ht="15" customHeight="1" x14ac:dyDescent="0.25">
      <c r="N2239" t="s">
        <v>228</v>
      </c>
    </row>
    <row r="2240" spans="14:14" ht="15" customHeight="1" x14ac:dyDescent="0.25">
      <c r="N2240" t="s">
        <v>295</v>
      </c>
    </row>
    <row r="2241" spans="14:14" ht="15" customHeight="1" x14ac:dyDescent="0.25">
      <c r="N2241" t="s">
        <v>273</v>
      </c>
    </row>
    <row r="2242" spans="14:14" ht="15" customHeight="1" x14ac:dyDescent="0.25">
      <c r="N2242" t="s">
        <v>271</v>
      </c>
    </row>
    <row r="2243" spans="14:14" ht="15" customHeight="1" x14ac:dyDescent="0.25">
      <c r="N2243" t="s">
        <v>287</v>
      </c>
    </row>
    <row r="2244" spans="14:14" ht="15" customHeight="1" x14ac:dyDescent="0.25">
      <c r="N2244" t="s">
        <v>298</v>
      </c>
    </row>
    <row r="2245" spans="14:14" ht="15" customHeight="1" x14ac:dyDescent="0.25">
      <c r="N2245" t="s">
        <v>207</v>
      </c>
    </row>
    <row r="2246" spans="14:14" ht="15" customHeight="1" x14ac:dyDescent="0.25">
      <c r="N2246" t="s">
        <v>298</v>
      </c>
    </row>
    <row r="2247" spans="14:14" ht="15" customHeight="1" x14ac:dyDescent="0.25">
      <c r="N2247" t="s">
        <v>308</v>
      </c>
    </row>
    <row r="2248" spans="14:14" ht="15" customHeight="1" x14ac:dyDescent="0.25">
      <c r="N2248" t="s">
        <v>207</v>
      </c>
    </row>
    <row r="2249" spans="14:14" ht="15" customHeight="1" x14ac:dyDescent="0.25">
      <c r="N2249" t="s">
        <v>296</v>
      </c>
    </row>
    <row r="2250" spans="14:14" ht="15" customHeight="1" x14ac:dyDescent="0.25">
      <c r="N2250" t="s">
        <v>228</v>
      </c>
    </row>
    <row r="2251" spans="14:14" ht="15" customHeight="1" x14ac:dyDescent="0.25">
      <c r="N2251" t="s">
        <v>228</v>
      </c>
    </row>
    <row r="2252" spans="14:14" ht="15" customHeight="1" x14ac:dyDescent="0.25">
      <c r="N2252" t="s">
        <v>295</v>
      </c>
    </row>
    <row r="2253" spans="14:14" ht="15" customHeight="1" x14ac:dyDescent="0.25">
      <c r="N2253" t="s">
        <v>286</v>
      </c>
    </row>
    <row r="2254" spans="14:14" ht="15" customHeight="1" x14ac:dyDescent="0.25">
      <c r="N2254" t="s">
        <v>273</v>
      </c>
    </row>
    <row r="2255" spans="14:14" ht="15" customHeight="1" x14ac:dyDescent="0.25">
      <c r="N2255" t="s">
        <v>285</v>
      </c>
    </row>
    <row r="2256" spans="14:14" ht="15" customHeight="1" x14ac:dyDescent="0.25">
      <c r="N2256" t="s">
        <v>285</v>
      </c>
    </row>
    <row r="2257" spans="14:14" ht="15" customHeight="1" x14ac:dyDescent="0.25">
      <c r="N2257" t="s">
        <v>213</v>
      </c>
    </row>
    <row r="2258" spans="14:14" ht="15" customHeight="1" x14ac:dyDescent="0.25">
      <c r="N2258" t="s">
        <v>280</v>
      </c>
    </row>
    <row r="2259" spans="14:14" ht="15" customHeight="1" x14ac:dyDescent="0.25">
      <c r="N2259" t="s">
        <v>298</v>
      </c>
    </row>
    <row r="2260" spans="14:14" ht="15" customHeight="1" x14ac:dyDescent="0.25">
      <c r="N2260" t="s">
        <v>228</v>
      </c>
    </row>
    <row r="2261" spans="14:14" ht="15" customHeight="1" x14ac:dyDescent="0.25">
      <c r="N2261" t="s">
        <v>300</v>
      </c>
    </row>
    <row r="2262" spans="14:14" ht="15" customHeight="1" x14ac:dyDescent="0.25">
      <c r="N2262" t="s">
        <v>285</v>
      </c>
    </row>
    <row r="2263" spans="14:14" ht="15" customHeight="1" x14ac:dyDescent="0.25">
      <c r="N2263" t="s">
        <v>205</v>
      </c>
    </row>
    <row r="2264" spans="14:14" ht="15" customHeight="1" x14ac:dyDescent="0.25">
      <c r="N2264" t="s">
        <v>258</v>
      </c>
    </row>
    <row r="2265" spans="14:14" ht="15" customHeight="1" x14ac:dyDescent="0.25">
      <c r="N2265" t="s">
        <v>274</v>
      </c>
    </row>
    <row r="2266" spans="14:14" ht="15" customHeight="1" x14ac:dyDescent="0.25">
      <c r="N2266" t="s">
        <v>228</v>
      </c>
    </row>
    <row r="2267" spans="14:14" ht="15" customHeight="1" x14ac:dyDescent="0.25">
      <c r="N2267" t="s">
        <v>254</v>
      </c>
    </row>
    <row r="2268" spans="14:14" ht="15" customHeight="1" x14ac:dyDescent="0.25">
      <c r="N2268" t="s">
        <v>280</v>
      </c>
    </row>
    <row r="2269" spans="14:14" ht="15" customHeight="1" x14ac:dyDescent="0.25">
      <c r="N2269" t="s">
        <v>283</v>
      </c>
    </row>
    <row r="2270" spans="14:14" ht="15" customHeight="1" x14ac:dyDescent="0.25">
      <c r="N2270" t="s">
        <v>301</v>
      </c>
    </row>
    <row r="2271" spans="14:14" ht="15" customHeight="1" x14ac:dyDescent="0.25">
      <c r="N2271" t="s">
        <v>228</v>
      </c>
    </row>
    <row r="2272" spans="14:14" ht="15" customHeight="1" x14ac:dyDescent="0.25">
      <c r="N2272" t="s">
        <v>278</v>
      </c>
    </row>
    <row r="2273" spans="14:14" ht="15" customHeight="1" x14ac:dyDescent="0.25">
      <c r="N2273" t="s">
        <v>273</v>
      </c>
    </row>
    <row r="2274" spans="14:14" ht="15" customHeight="1" x14ac:dyDescent="0.25">
      <c r="N2274" t="s">
        <v>280</v>
      </c>
    </row>
    <row r="2275" spans="14:14" ht="15" customHeight="1" x14ac:dyDescent="0.25">
      <c r="N2275" t="s">
        <v>205</v>
      </c>
    </row>
    <row r="2276" spans="14:14" ht="15" customHeight="1" x14ac:dyDescent="0.25">
      <c r="N2276" t="s">
        <v>283</v>
      </c>
    </row>
    <row r="2277" spans="14:14" ht="15" customHeight="1" x14ac:dyDescent="0.25">
      <c r="N2277" t="s">
        <v>280</v>
      </c>
    </row>
    <row r="2278" spans="14:14" ht="15" customHeight="1" x14ac:dyDescent="0.25">
      <c r="N2278" t="s">
        <v>242</v>
      </c>
    </row>
    <row r="2279" spans="14:14" ht="15" customHeight="1" x14ac:dyDescent="0.25">
      <c r="N2279" t="s">
        <v>252</v>
      </c>
    </row>
    <row r="2280" spans="14:14" ht="15" customHeight="1" x14ac:dyDescent="0.25">
      <c r="N2280" t="s">
        <v>228</v>
      </c>
    </row>
    <row r="2281" spans="14:14" ht="15" customHeight="1" x14ac:dyDescent="0.25">
      <c r="N2281" t="s">
        <v>256</v>
      </c>
    </row>
    <row r="2282" spans="14:14" ht="15" customHeight="1" x14ac:dyDescent="0.25">
      <c r="N2282" t="s">
        <v>298</v>
      </c>
    </row>
    <row r="2283" spans="14:14" ht="15" customHeight="1" x14ac:dyDescent="0.25">
      <c r="N2283" t="s">
        <v>207</v>
      </c>
    </row>
    <row r="2284" spans="14:14" ht="15" customHeight="1" x14ac:dyDescent="0.25">
      <c r="N2284" t="s">
        <v>280</v>
      </c>
    </row>
    <row r="2285" spans="14:14" ht="15" customHeight="1" x14ac:dyDescent="0.25">
      <c r="N2285" t="s">
        <v>297</v>
      </c>
    </row>
    <row r="2286" spans="14:14" ht="15" customHeight="1" x14ac:dyDescent="0.25">
      <c r="N2286" t="s">
        <v>283</v>
      </c>
    </row>
    <row r="2287" spans="14:14" ht="15" customHeight="1" x14ac:dyDescent="0.25">
      <c r="N2287" t="s">
        <v>284</v>
      </c>
    </row>
    <row r="2288" spans="14:14" ht="15" customHeight="1" x14ac:dyDescent="0.25">
      <c r="N2288" t="s">
        <v>228</v>
      </c>
    </row>
    <row r="2289" spans="14:14" ht="15" customHeight="1" x14ac:dyDescent="0.25">
      <c r="N2289" t="s">
        <v>228</v>
      </c>
    </row>
    <row r="2290" spans="14:14" ht="15" customHeight="1" x14ac:dyDescent="0.25">
      <c r="N2290" t="s">
        <v>280</v>
      </c>
    </row>
    <row r="2291" spans="14:14" ht="15" customHeight="1" x14ac:dyDescent="0.25">
      <c r="N2291" t="s">
        <v>280</v>
      </c>
    </row>
    <row r="2292" spans="14:14" ht="15" customHeight="1" x14ac:dyDescent="0.25">
      <c r="N2292" t="s">
        <v>284</v>
      </c>
    </row>
    <row r="2293" spans="14:14" ht="15" customHeight="1" x14ac:dyDescent="0.25">
      <c r="N2293" t="s">
        <v>284</v>
      </c>
    </row>
    <row r="2294" spans="14:14" ht="15" customHeight="1" x14ac:dyDescent="0.25">
      <c r="N2294" t="s">
        <v>228</v>
      </c>
    </row>
    <row r="2295" spans="14:14" ht="15" customHeight="1" x14ac:dyDescent="0.25">
      <c r="N2295" t="s">
        <v>305</v>
      </c>
    </row>
    <row r="2296" spans="14:14" ht="15" customHeight="1" x14ac:dyDescent="0.25">
      <c r="N2296" t="s">
        <v>296</v>
      </c>
    </row>
    <row r="2297" spans="14:14" ht="15" customHeight="1" x14ac:dyDescent="0.25">
      <c r="N2297" t="s">
        <v>247</v>
      </c>
    </row>
    <row r="2298" spans="14:14" ht="15" customHeight="1" x14ac:dyDescent="0.25">
      <c r="N2298" t="s">
        <v>228</v>
      </c>
    </row>
    <row r="2299" spans="14:14" ht="15" customHeight="1" x14ac:dyDescent="0.25">
      <c r="N2299" t="s">
        <v>305</v>
      </c>
    </row>
    <row r="2300" spans="14:14" ht="15" customHeight="1" x14ac:dyDescent="0.25">
      <c r="N2300" t="s">
        <v>272</v>
      </c>
    </row>
    <row r="2301" spans="14:14" ht="15" customHeight="1" x14ac:dyDescent="0.25">
      <c r="N2301" t="s">
        <v>305</v>
      </c>
    </row>
    <row r="2302" spans="14:14" ht="15" customHeight="1" x14ac:dyDescent="0.25">
      <c r="N2302" t="s">
        <v>310</v>
      </c>
    </row>
    <row r="2303" spans="14:14" ht="15" customHeight="1" x14ac:dyDescent="0.25">
      <c r="N2303" t="s">
        <v>305</v>
      </c>
    </row>
    <row r="2304" spans="14:14" ht="15" customHeight="1" x14ac:dyDescent="0.25">
      <c r="N2304" t="s">
        <v>302</v>
      </c>
    </row>
    <row r="2305" spans="14:14" ht="15" customHeight="1" x14ac:dyDescent="0.25">
      <c r="N2305" t="s">
        <v>247</v>
      </c>
    </row>
    <row r="2306" spans="14:14" ht="15" customHeight="1" x14ac:dyDescent="0.25">
      <c r="N2306" t="s">
        <v>228</v>
      </c>
    </row>
    <row r="2307" spans="14:14" ht="15" customHeight="1" x14ac:dyDescent="0.25">
      <c r="N2307" t="s">
        <v>305</v>
      </c>
    </row>
    <row r="2308" spans="14:14" ht="15" customHeight="1" x14ac:dyDescent="0.25">
      <c r="N2308" t="s">
        <v>273</v>
      </c>
    </row>
    <row r="2309" spans="14:14" ht="15" customHeight="1" x14ac:dyDescent="0.25">
      <c r="N2309" t="s">
        <v>235</v>
      </c>
    </row>
    <row r="2310" spans="14:14" ht="15" customHeight="1" x14ac:dyDescent="0.25">
      <c r="N2310" t="s">
        <v>305</v>
      </c>
    </row>
    <row r="2311" spans="14:14" ht="15" customHeight="1" x14ac:dyDescent="0.25">
      <c r="N2311" t="s">
        <v>305</v>
      </c>
    </row>
    <row r="2312" spans="14:14" ht="15" customHeight="1" x14ac:dyDescent="0.25">
      <c r="N2312" t="s">
        <v>302</v>
      </c>
    </row>
    <row r="2313" spans="14:14" ht="15" customHeight="1" x14ac:dyDescent="0.25">
      <c r="N2313" t="s">
        <v>256</v>
      </c>
    </row>
    <row r="2314" spans="14:14" ht="15" customHeight="1" x14ac:dyDescent="0.25">
      <c r="N2314" t="s">
        <v>228</v>
      </c>
    </row>
    <row r="2315" spans="14:14" ht="15" customHeight="1" x14ac:dyDescent="0.25">
      <c r="N2315" t="s">
        <v>305</v>
      </c>
    </row>
    <row r="2316" spans="14:14" ht="15" customHeight="1" x14ac:dyDescent="0.25">
      <c r="N2316" t="s">
        <v>296</v>
      </c>
    </row>
    <row r="2317" spans="14:14" ht="15" customHeight="1" x14ac:dyDescent="0.25">
      <c r="N2317" t="s">
        <v>305</v>
      </c>
    </row>
    <row r="2318" spans="14:14" ht="15" customHeight="1" x14ac:dyDescent="0.25">
      <c r="N2318" t="s">
        <v>247</v>
      </c>
    </row>
    <row r="2319" spans="14:14" ht="15" customHeight="1" x14ac:dyDescent="0.25">
      <c r="N2319" t="s">
        <v>207</v>
      </c>
    </row>
    <row r="2320" spans="14:14" ht="15" customHeight="1" x14ac:dyDescent="0.25">
      <c r="N2320" t="s">
        <v>269</v>
      </c>
    </row>
    <row r="2321" spans="14:14" ht="15" customHeight="1" x14ac:dyDescent="0.25">
      <c r="N2321" t="s">
        <v>305</v>
      </c>
    </row>
    <row r="2322" spans="14:14" ht="15" customHeight="1" x14ac:dyDescent="0.25">
      <c r="N2322" t="s">
        <v>228</v>
      </c>
    </row>
    <row r="2323" spans="14:14" ht="15" customHeight="1" x14ac:dyDescent="0.25">
      <c r="N2323" t="s">
        <v>207</v>
      </c>
    </row>
    <row r="2324" spans="14:14" ht="15" customHeight="1" x14ac:dyDescent="0.25">
      <c r="N2324" t="s">
        <v>293</v>
      </c>
    </row>
    <row r="2325" spans="14:14" ht="15" customHeight="1" x14ac:dyDescent="0.25">
      <c r="N2325" t="s">
        <v>305</v>
      </c>
    </row>
    <row r="2326" spans="14:14" ht="15" customHeight="1" x14ac:dyDescent="0.25">
      <c r="N2326" t="s">
        <v>305</v>
      </c>
    </row>
    <row r="2327" spans="14:14" ht="15" customHeight="1" x14ac:dyDescent="0.25">
      <c r="N2327" t="s">
        <v>293</v>
      </c>
    </row>
    <row r="2328" spans="14:14" ht="15" customHeight="1" x14ac:dyDescent="0.25">
      <c r="N2328" t="s">
        <v>293</v>
      </c>
    </row>
    <row r="2329" spans="14:14" ht="15" customHeight="1" x14ac:dyDescent="0.25">
      <c r="N2329" t="s">
        <v>305</v>
      </c>
    </row>
    <row r="2330" spans="14:14" ht="15" customHeight="1" x14ac:dyDescent="0.25">
      <c r="N2330" t="s">
        <v>305</v>
      </c>
    </row>
    <row r="2331" spans="14:14" ht="15" customHeight="1" x14ac:dyDescent="0.25">
      <c r="N2331" t="s">
        <v>297</v>
      </c>
    </row>
    <row r="2332" spans="14:14" ht="15" customHeight="1" x14ac:dyDescent="0.25">
      <c r="N2332" t="s">
        <v>228</v>
      </c>
    </row>
    <row r="2333" spans="14:14" ht="15" customHeight="1" x14ac:dyDescent="0.25">
      <c r="N2333" t="s">
        <v>297</v>
      </c>
    </row>
    <row r="2334" spans="14:14" ht="15" customHeight="1" x14ac:dyDescent="0.25">
      <c r="N2334" t="s">
        <v>305</v>
      </c>
    </row>
    <row r="2335" spans="14:14" ht="15" customHeight="1" x14ac:dyDescent="0.25">
      <c r="N2335" t="s">
        <v>301</v>
      </c>
    </row>
    <row r="2336" spans="14:14" ht="15" customHeight="1" x14ac:dyDescent="0.25">
      <c r="N2336" t="s">
        <v>254</v>
      </c>
    </row>
    <row r="2337" spans="14:14" ht="15" customHeight="1" x14ac:dyDescent="0.25">
      <c r="N2337" t="s">
        <v>254</v>
      </c>
    </row>
    <row r="2338" spans="14:14" ht="15" customHeight="1" x14ac:dyDescent="0.25">
      <c r="N2338" t="s">
        <v>308</v>
      </c>
    </row>
    <row r="2339" spans="14:14" ht="15" customHeight="1" x14ac:dyDescent="0.25">
      <c r="N2339" t="s">
        <v>249</v>
      </c>
    </row>
    <row r="2340" spans="14:14" ht="15" customHeight="1" x14ac:dyDescent="0.25">
      <c r="N2340" t="s">
        <v>254</v>
      </c>
    </row>
    <row r="2341" spans="14:14" ht="15" customHeight="1" x14ac:dyDescent="0.25">
      <c r="N2341" t="s">
        <v>229</v>
      </c>
    </row>
    <row r="2342" spans="14:14" ht="15" customHeight="1" x14ac:dyDescent="0.25">
      <c r="N2342" t="s">
        <v>229</v>
      </c>
    </row>
    <row r="2343" spans="14:14" ht="15" customHeight="1" x14ac:dyDescent="0.25">
      <c r="N2343" t="s">
        <v>229</v>
      </c>
    </row>
    <row r="2344" spans="14:14" ht="15" customHeight="1" x14ac:dyDescent="0.25">
      <c r="N2344" t="s">
        <v>229</v>
      </c>
    </row>
    <row r="2345" spans="14:14" ht="15" customHeight="1" x14ac:dyDescent="0.25">
      <c r="N2345" t="s">
        <v>229</v>
      </c>
    </row>
    <row r="2346" spans="14:14" ht="15" customHeight="1" x14ac:dyDescent="0.25">
      <c r="N2346" t="s">
        <v>209</v>
      </c>
    </row>
    <row r="2347" spans="14:14" ht="15" customHeight="1" x14ac:dyDescent="0.25">
      <c r="N2347" t="s">
        <v>254</v>
      </c>
    </row>
    <row r="2348" spans="14:14" ht="15" customHeight="1" x14ac:dyDescent="0.25">
      <c r="N2348" t="s">
        <v>254</v>
      </c>
    </row>
    <row r="2349" spans="14:14" ht="15" customHeight="1" x14ac:dyDescent="0.25">
      <c r="N2349" t="s">
        <v>254</v>
      </c>
    </row>
    <row r="2350" spans="14:14" ht="15" customHeight="1" x14ac:dyDescent="0.25">
      <c r="N2350" t="s">
        <v>209</v>
      </c>
    </row>
    <row r="2351" spans="14:14" ht="15" customHeight="1" x14ac:dyDescent="0.25">
      <c r="N2351" t="s">
        <v>207</v>
      </c>
    </row>
    <row r="2352" spans="14:14" ht="15" customHeight="1" x14ac:dyDescent="0.25">
      <c r="N2352" t="s">
        <v>254</v>
      </c>
    </row>
    <row r="2353" spans="14:14" ht="15" customHeight="1" x14ac:dyDescent="0.25">
      <c r="N2353" t="s">
        <v>254</v>
      </c>
    </row>
    <row r="2354" spans="14:14" ht="15" customHeight="1" x14ac:dyDescent="0.25">
      <c r="N2354" t="s">
        <v>254</v>
      </c>
    </row>
    <row r="2355" spans="14:14" ht="15" customHeight="1" x14ac:dyDescent="0.25">
      <c r="N2355" t="s">
        <v>311</v>
      </c>
    </row>
    <row r="2356" spans="14:14" ht="15" customHeight="1" x14ac:dyDescent="0.25">
      <c r="N2356" t="s">
        <v>254</v>
      </c>
    </row>
    <row r="2357" spans="14:14" ht="15" customHeight="1" x14ac:dyDescent="0.25">
      <c r="N2357" t="s">
        <v>254</v>
      </c>
    </row>
    <row r="2358" spans="14:14" ht="15" customHeight="1" x14ac:dyDescent="0.25">
      <c r="N2358" t="s">
        <v>254</v>
      </c>
    </row>
    <row r="2359" spans="14:14" ht="15" customHeight="1" x14ac:dyDescent="0.25">
      <c r="N2359" t="s">
        <v>217</v>
      </c>
    </row>
    <row r="2360" spans="14:14" ht="15" customHeight="1" x14ac:dyDescent="0.25">
      <c r="N2360" t="s">
        <v>254</v>
      </c>
    </row>
    <row r="2361" spans="14:14" ht="15" customHeight="1" x14ac:dyDescent="0.25">
      <c r="N2361" t="s">
        <v>258</v>
      </c>
    </row>
    <row r="2362" spans="14:14" ht="15" customHeight="1" x14ac:dyDescent="0.25">
      <c r="N2362" t="s">
        <v>216</v>
      </c>
    </row>
    <row r="2363" spans="14:14" ht="15" customHeight="1" x14ac:dyDescent="0.25">
      <c r="N2363" t="s">
        <v>257</v>
      </c>
    </row>
    <row r="2364" spans="14:14" ht="15" customHeight="1" x14ac:dyDescent="0.25">
      <c r="N2364" t="s">
        <v>264</v>
      </c>
    </row>
    <row r="2365" spans="14:14" ht="15" customHeight="1" x14ac:dyDescent="0.25">
      <c r="N2365" t="s">
        <v>296</v>
      </c>
    </row>
    <row r="2366" spans="14:14" ht="15" customHeight="1" x14ac:dyDescent="0.25">
      <c r="N2366" t="s">
        <v>222</v>
      </c>
    </row>
    <row r="2367" spans="14:14" ht="15" customHeight="1" x14ac:dyDescent="0.25">
      <c r="N2367" t="s">
        <v>221</v>
      </c>
    </row>
    <row r="2368" spans="14:14" ht="15" customHeight="1" x14ac:dyDescent="0.25">
      <c r="N2368" t="s">
        <v>267</v>
      </c>
    </row>
    <row r="2369" spans="14:14" ht="15" customHeight="1" x14ac:dyDescent="0.25">
      <c r="N2369" t="s">
        <v>228</v>
      </c>
    </row>
    <row r="2370" spans="14:14" ht="15" customHeight="1" x14ac:dyDescent="0.25">
      <c r="N2370" t="s">
        <v>308</v>
      </c>
    </row>
    <row r="2371" spans="14:14" ht="15" customHeight="1" x14ac:dyDescent="0.25">
      <c r="N2371" t="s">
        <v>218</v>
      </c>
    </row>
    <row r="2372" spans="14:14" ht="15" customHeight="1" x14ac:dyDescent="0.25">
      <c r="N2372" t="s">
        <v>280</v>
      </c>
    </row>
    <row r="2373" spans="14:14" ht="15" customHeight="1" x14ac:dyDescent="0.25">
      <c r="N2373" t="s">
        <v>312</v>
      </c>
    </row>
    <row r="2374" spans="14:14" ht="15" customHeight="1" x14ac:dyDescent="0.25">
      <c r="N2374" t="s">
        <v>265</v>
      </c>
    </row>
    <row r="2375" spans="14:14" ht="15" customHeight="1" x14ac:dyDescent="0.25">
      <c r="N2375" t="s">
        <v>308</v>
      </c>
    </row>
    <row r="2376" spans="14:14" ht="15" customHeight="1" x14ac:dyDescent="0.25">
      <c r="N2376" t="s">
        <v>254</v>
      </c>
    </row>
    <row r="2377" spans="14:14" ht="15" customHeight="1" x14ac:dyDescent="0.25">
      <c r="N2377" t="s">
        <v>289</v>
      </c>
    </row>
    <row r="2378" spans="14:14" ht="15" customHeight="1" x14ac:dyDescent="0.25">
      <c r="N2378" t="s">
        <v>273</v>
      </c>
    </row>
    <row r="2379" spans="14:14" ht="15" customHeight="1" x14ac:dyDescent="0.25">
      <c r="N2379" t="s">
        <v>249</v>
      </c>
    </row>
    <row r="2380" spans="14:14" ht="15" customHeight="1" x14ac:dyDescent="0.25">
      <c r="N2380" t="s">
        <v>226</v>
      </c>
    </row>
    <row r="2381" spans="14:14" ht="15" customHeight="1" x14ac:dyDescent="0.25">
      <c r="N2381" t="s">
        <v>228</v>
      </c>
    </row>
    <row r="2382" spans="14:14" ht="15" customHeight="1" x14ac:dyDescent="0.25">
      <c r="N2382" t="s">
        <v>288</v>
      </c>
    </row>
    <row r="2383" spans="14:14" ht="15" customHeight="1" x14ac:dyDescent="0.25">
      <c r="N2383" t="s">
        <v>228</v>
      </c>
    </row>
    <row r="2384" spans="14:14" ht="15" customHeight="1" x14ac:dyDescent="0.25">
      <c r="N2384" t="s">
        <v>228</v>
      </c>
    </row>
    <row r="2385" spans="14:14" ht="15" customHeight="1" x14ac:dyDescent="0.25">
      <c r="N2385" t="s">
        <v>228</v>
      </c>
    </row>
    <row r="2386" spans="14:14" ht="15" customHeight="1" x14ac:dyDescent="0.25">
      <c r="N2386" t="s">
        <v>254</v>
      </c>
    </row>
    <row r="2387" spans="14:14" ht="15" customHeight="1" x14ac:dyDescent="0.25">
      <c r="N2387" t="s">
        <v>295</v>
      </c>
    </row>
    <row r="2388" spans="14:14" ht="15" customHeight="1" x14ac:dyDescent="0.25">
      <c r="N2388" t="s">
        <v>295</v>
      </c>
    </row>
    <row r="2389" spans="14:14" ht="15" customHeight="1" x14ac:dyDescent="0.25">
      <c r="N2389" t="s">
        <v>254</v>
      </c>
    </row>
    <row r="2390" spans="14:14" ht="15" customHeight="1" x14ac:dyDescent="0.25">
      <c r="N2390" t="s">
        <v>295</v>
      </c>
    </row>
    <row r="2391" spans="14:14" ht="15" customHeight="1" x14ac:dyDescent="0.25">
      <c r="N2391" t="s">
        <v>295</v>
      </c>
    </row>
    <row r="2392" spans="14:14" ht="15" customHeight="1" x14ac:dyDescent="0.25">
      <c r="N2392" t="s">
        <v>262</v>
      </c>
    </row>
    <row r="2393" spans="14:14" ht="15" customHeight="1" x14ac:dyDescent="0.25">
      <c r="N2393" t="s">
        <v>295</v>
      </c>
    </row>
    <row r="2394" spans="14:14" ht="15" customHeight="1" x14ac:dyDescent="0.25">
      <c r="N2394" t="s">
        <v>295</v>
      </c>
    </row>
    <row r="2395" spans="14:14" ht="15" customHeight="1" x14ac:dyDescent="0.25">
      <c r="N2395" t="s">
        <v>279</v>
      </c>
    </row>
    <row r="2396" spans="14:14" ht="15" customHeight="1" x14ac:dyDescent="0.25">
      <c r="N2396" t="s">
        <v>268</v>
      </c>
    </row>
    <row r="2397" spans="14:14" ht="15" customHeight="1" x14ac:dyDescent="0.25">
      <c r="N2397" t="s">
        <v>300</v>
      </c>
    </row>
    <row r="2398" spans="14:14" ht="15" customHeight="1" x14ac:dyDescent="0.25">
      <c r="N2398" t="s">
        <v>286</v>
      </c>
    </row>
    <row r="2399" spans="14:14" ht="15" customHeight="1" x14ac:dyDescent="0.25">
      <c r="N2399" t="s">
        <v>295</v>
      </c>
    </row>
    <row r="2400" spans="14:14" ht="15" customHeight="1" x14ac:dyDescent="0.25">
      <c r="N2400" t="s">
        <v>254</v>
      </c>
    </row>
    <row r="2401" spans="14:14" ht="15" customHeight="1" x14ac:dyDescent="0.25">
      <c r="N2401" t="s">
        <v>302</v>
      </c>
    </row>
    <row r="2402" spans="14:14" ht="15" customHeight="1" x14ac:dyDescent="0.25">
      <c r="N2402" t="s">
        <v>302</v>
      </c>
    </row>
    <row r="2403" spans="14:14" ht="15" customHeight="1" x14ac:dyDescent="0.25">
      <c r="N2403" t="s">
        <v>254</v>
      </c>
    </row>
    <row r="2404" spans="14:14" ht="15" customHeight="1" x14ac:dyDescent="0.25">
      <c r="N2404" t="s">
        <v>301</v>
      </c>
    </row>
    <row r="2405" spans="14:14" ht="15" customHeight="1" x14ac:dyDescent="0.25">
      <c r="N2405" t="s">
        <v>210</v>
      </c>
    </row>
    <row r="2406" spans="14:14" ht="15" customHeight="1" x14ac:dyDescent="0.25">
      <c r="N2406" t="s">
        <v>254</v>
      </c>
    </row>
    <row r="2407" spans="14:14" ht="15" customHeight="1" x14ac:dyDescent="0.25">
      <c r="N2407" t="s">
        <v>313</v>
      </c>
    </row>
    <row r="2408" spans="14:14" ht="15" customHeight="1" x14ac:dyDescent="0.25">
      <c r="N2408" t="s">
        <v>313</v>
      </c>
    </row>
    <row r="2409" spans="14:14" ht="15" customHeight="1" x14ac:dyDescent="0.25">
      <c r="N2409" t="s">
        <v>313</v>
      </c>
    </row>
    <row r="2410" spans="14:14" ht="15" customHeight="1" x14ac:dyDescent="0.25">
      <c r="N2410" t="s">
        <v>313</v>
      </c>
    </row>
    <row r="2411" spans="14:14" ht="15" customHeight="1" x14ac:dyDescent="0.25">
      <c r="N2411" t="s">
        <v>313</v>
      </c>
    </row>
    <row r="2412" spans="14:14" ht="15" customHeight="1" x14ac:dyDescent="0.25">
      <c r="N2412" t="s">
        <v>209</v>
      </c>
    </row>
    <row r="2413" spans="14:14" ht="15" customHeight="1" x14ac:dyDescent="0.25">
      <c r="N2413" t="s">
        <v>254</v>
      </c>
    </row>
    <row r="2414" spans="14:14" ht="15" customHeight="1" x14ac:dyDescent="0.25">
      <c r="N2414" t="s">
        <v>254</v>
      </c>
    </row>
    <row r="2415" spans="14:14" ht="15" customHeight="1" x14ac:dyDescent="0.25">
      <c r="N2415" t="s">
        <v>211</v>
      </c>
    </row>
    <row r="2416" spans="14:14" ht="15" customHeight="1" x14ac:dyDescent="0.25">
      <c r="N2416" t="s">
        <v>251</v>
      </c>
    </row>
    <row r="2417" spans="14:14" ht="15" customHeight="1" x14ac:dyDescent="0.25">
      <c r="N2417" t="s">
        <v>254</v>
      </c>
    </row>
    <row r="2418" spans="14:14" ht="15" customHeight="1" x14ac:dyDescent="0.25">
      <c r="N2418" t="s">
        <v>254</v>
      </c>
    </row>
    <row r="2419" spans="14:14" ht="15" customHeight="1" x14ac:dyDescent="0.25">
      <c r="N2419" t="s">
        <v>228</v>
      </c>
    </row>
    <row r="2420" spans="14:14" ht="15" customHeight="1" x14ac:dyDescent="0.25">
      <c r="N2420" t="s">
        <v>303</v>
      </c>
    </row>
    <row r="2421" spans="14:14" ht="15" customHeight="1" x14ac:dyDescent="0.25">
      <c r="N2421" t="s">
        <v>228</v>
      </c>
    </row>
    <row r="2422" spans="14:14" ht="15" customHeight="1" x14ac:dyDescent="0.25">
      <c r="N2422" t="s">
        <v>264</v>
      </c>
    </row>
    <row r="2423" spans="14:14" ht="15" customHeight="1" x14ac:dyDescent="0.25">
      <c r="N2423" t="s">
        <v>291</v>
      </c>
    </row>
    <row r="2424" spans="14:14" ht="15" customHeight="1" x14ac:dyDescent="0.25">
      <c r="N2424" t="s">
        <v>239</v>
      </c>
    </row>
    <row r="2425" spans="14:14" ht="15" customHeight="1" x14ac:dyDescent="0.25">
      <c r="N2425" t="s">
        <v>228</v>
      </c>
    </row>
    <row r="2426" spans="14:14" ht="15" customHeight="1" x14ac:dyDescent="0.25">
      <c r="N2426" t="s">
        <v>304</v>
      </c>
    </row>
    <row r="2427" spans="14:14" ht="15" customHeight="1" x14ac:dyDescent="0.25">
      <c r="N2427" t="s">
        <v>228</v>
      </c>
    </row>
    <row r="2428" spans="14:14" ht="15" customHeight="1" x14ac:dyDescent="0.25">
      <c r="N2428" t="s">
        <v>276</v>
      </c>
    </row>
    <row r="2429" spans="14:14" ht="15" customHeight="1" x14ac:dyDescent="0.25">
      <c r="N2429" t="s">
        <v>254</v>
      </c>
    </row>
    <row r="2430" spans="14:14" ht="15" customHeight="1" x14ac:dyDescent="0.25">
      <c r="N2430" t="s">
        <v>254</v>
      </c>
    </row>
    <row r="2431" spans="14:14" ht="15" customHeight="1" x14ac:dyDescent="0.25">
      <c r="N2431" t="s">
        <v>289</v>
      </c>
    </row>
    <row r="2432" spans="14:14" ht="15" customHeight="1" x14ac:dyDescent="0.25">
      <c r="N2432" t="s">
        <v>254</v>
      </c>
    </row>
    <row r="2433" spans="14:14" ht="15" customHeight="1" x14ac:dyDescent="0.25">
      <c r="N2433" t="s">
        <v>269</v>
      </c>
    </row>
    <row r="2434" spans="14:14" ht="15" customHeight="1" x14ac:dyDescent="0.25">
      <c r="N2434" t="s">
        <v>228</v>
      </c>
    </row>
    <row r="2435" spans="14:14" ht="15" customHeight="1" x14ac:dyDescent="0.25">
      <c r="N2435" t="s">
        <v>288</v>
      </c>
    </row>
    <row r="2436" spans="14:14" ht="15" customHeight="1" x14ac:dyDescent="0.25">
      <c r="N2436" t="s">
        <v>253</v>
      </c>
    </row>
    <row r="2437" spans="14:14" ht="15" customHeight="1" x14ac:dyDescent="0.25">
      <c r="N2437" t="s">
        <v>254</v>
      </c>
    </row>
    <row r="2438" spans="14:14" ht="15" customHeight="1" x14ac:dyDescent="0.25">
      <c r="N2438" t="s">
        <v>295</v>
      </c>
    </row>
    <row r="2439" spans="14:14" ht="15" customHeight="1" x14ac:dyDescent="0.25">
      <c r="N2439" t="s">
        <v>254</v>
      </c>
    </row>
    <row r="2440" spans="14:14" ht="15" customHeight="1" x14ac:dyDescent="0.25">
      <c r="N2440" t="s">
        <v>279</v>
      </c>
    </row>
    <row r="2441" spans="14:14" ht="15" customHeight="1" x14ac:dyDescent="0.25">
      <c r="N2441" t="s">
        <v>262</v>
      </c>
    </row>
    <row r="2442" spans="14:14" ht="15" customHeight="1" x14ac:dyDescent="0.25">
      <c r="N2442" t="s">
        <v>295</v>
      </c>
    </row>
    <row r="2443" spans="14:14" ht="15" customHeight="1" x14ac:dyDescent="0.25">
      <c r="N2443" t="s">
        <v>295</v>
      </c>
    </row>
    <row r="2444" spans="14:14" ht="15" customHeight="1" x14ac:dyDescent="0.25">
      <c r="N2444" t="s">
        <v>295</v>
      </c>
    </row>
    <row r="2445" spans="14:14" ht="15" customHeight="1" x14ac:dyDescent="0.25">
      <c r="N2445" t="s">
        <v>295</v>
      </c>
    </row>
    <row r="2446" spans="14:14" ht="15" customHeight="1" x14ac:dyDescent="0.25">
      <c r="N2446" t="s">
        <v>300</v>
      </c>
    </row>
    <row r="2447" spans="14:14" ht="15" customHeight="1" x14ac:dyDescent="0.25">
      <c r="N2447" t="s">
        <v>286</v>
      </c>
    </row>
    <row r="2448" spans="14:14" ht="15" customHeight="1" x14ac:dyDescent="0.25">
      <c r="N2448" t="s">
        <v>295</v>
      </c>
    </row>
    <row r="2449" spans="14:14" ht="15" customHeight="1" x14ac:dyDescent="0.25">
      <c r="N2449" t="s">
        <v>254</v>
      </c>
    </row>
    <row r="2450" spans="14:14" ht="15" customHeight="1" x14ac:dyDescent="0.25">
      <c r="N2450" t="s">
        <v>275</v>
      </c>
    </row>
    <row r="2451" spans="14:14" ht="15" customHeight="1" x14ac:dyDescent="0.25">
      <c r="N2451" t="s">
        <v>248</v>
      </c>
    </row>
    <row r="2452" spans="14:14" ht="15" customHeight="1" x14ac:dyDescent="0.25">
      <c r="N2452" t="s">
        <v>254</v>
      </c>
    </row>
    <row r="2453" spans="14:14" ht="15" customHeight="1" x14ac:dyDescent="0.25">
      <c r="N2453" t="s">
        <v>302</v>
      </c>
    </row>
    <row r="2454" spans="14:14" ht="15" customHeight="1" x14ac:dyDescent="0.25">
      <c r="N2454" t="s">
        <v>302</v>
      </c>
    </row>
    <row r="2455" spans="14:14" ht="15" customHeight="1" x14ac:dyDescent="0.25">
      <c r="N2455" t="s">
        <v>254</v>
      </c>
    </row>
    <row r="2456" spans="14:14" ht="15" customHeight="1" x14ac:dyDescent="0.25">
      <c r="N2456" t="s">
        <v>302</v>
      </c>
    </row>
    <row r="2457" spans="14:14" ht="15" customHeight="1" x14ac:dyDescent="0.25">
      <c r="N2457" t="s">
        <v>301</v>
      </c>
    </row>
    <row r="2458" spans="14:14" ht="15" customHeight="1" x14ac:dyDescent="0.25">
      <c r="N2458" t="s">
        <v>228</v>
      </c>
    </row>
    <row r="2459" spans="14:14" ht="15" customHeight="1" x14ac:dyDescent="0.25">
      <c r="N2459" t="s">
        <v>209</v>
      </c>
    </row>
    <row r="2460" spans="14:14" ht="15" customHeight="1" x14ac:dyDescent="0.25">
      <c r="N2460" t="s">
        <v>254</v>
      </c>
    </row>
    <row r="2461" spans="14:14" ht="15" customHeight="1" x14ac:dyDescent="0.25">
      <c r="N2461" t="s">
        <v>263</v>
      </c>
    </row>
    <row r="2462" spans="14:14" ht="15" customHeight="1" x14ac:dyDescent="0.25">
      <c r="N2462" t="s">
        <v>228</v>
      </c>
    </row>
    <row r="2463" spans="14:14" ht="15" customHeight="1" x14ac:dyDescent="0.25">
      <c r="N2463" t="s">
        <v>303</v>
      </c>
    </row>
    <row r="2464" spans="14:14" ht="15" customHeight="1" x14ac:dyDescent="0.25">
      <c r="N2464" t="s">
        <v>228</v>
      </c>
    </row>
    <row r="2465" spans="14:14" ht="15" customHeight="1" x14ac:dyDescent="0.25">
      <c r="N2465" t="s">
        <v>291</v>
      </c>
    </row>
    <row r="2466" spans="14:14" ht="15" customHeight="1" x14ac:dyDescent="0.25">
      <c r="N2466" t="s">
        <v>261</v>
      </c>
    </row>
    <row r="2467" spans="14:14" ht="15" customHeight="1" x14ac:dyDescent="0.25">
      <c r="N2467" t="s">
        <v>289</v>
      </c>
    </row>
    <row r="2468" spans="14:14" ht="15" customHeight="1" x14ac:dyDescent="0.25">
      <c r="N2468" t="s">
        <v>243</v>
      </c>
    </row>
    <row r="2469" spans="14:14" ht="15" customHeight="1" x14ac:dyDescent="0.25">
      <c r="N2469" t="s">
        <v>255</v>
      </c>
    </row>
    <row r="2470" spans="14:14" ht="15" customHeight="1" x14ac:dyDescent="0.25">
      <c r="N2470" t="s">
        <v>254</v>
      </c>
    </row>
    <row r="2471" spans="14:14" ht="15" customHeight="1" x14ac:dyDescent="0.25">
      <c r="N2471" t="s">
        <v>295</v>
      </c>
    </row>
    <row r="2472" spans="14:14" ht="15" customHeight="1" x14ac:dyDescent="0.25">
      <c r="N2472" t="s">
        <v>254</v>
      </c>
    </row>
    <row r="2473" spans="14:14" ht="15" customHeight="1" x14ac:dyDescent="0.25">
      <c r="N2473" t="s">
        <v>279</v>
      </c>
    </row>
    <row r="2474" spans="14:14" ht="15" customHeight="1" x14ac:dyDescent="0.25">
      <c r="N2474" t="s">
        <v>295</v>
      </c>
    </row>
    <row r="2475" spans="14:14" ht="15" customHeight="1" x14ac:dyDescent="0.25">
      <c r="N2475" t="s">
        <v>295</v>
      </c>
    </row>
    <row r="2476" spans="14:14" ht="15" customHeight="1" x14ac:dyDescent="0.25">
      <c r="N2476" t="s">
        <v>300</v>
      </c>
    </row>
    <row r="2477" spans="14:14" ht="15" customHeight="1" x14ac:dyDescent="0.25">
      <c r="N2477" t="s">
        <v>237</v>
      </c>
    </row>
    <row r="2478" spans="14:14" ht="15" customHeight="1" x14ac:dyDescent="0.25">
      <c r="N2478" t="s">
        <v>271</v>
      </c>
    </row>
    <row r="2479" spans="14:14" ht="15" customHeight="1" x14ac:dyDescent="0.25">
      <c r="N2479" t="s">
        <v>254</v>
      </c>
    </row>
    <row r="2480" spans="14:14" ht="15" customHeight="1" x14ac:dyDescent="0.25">
      <c r="N2480" t="s">
        <v>254</v>
      </c>
    </row>
    <row r="2481" spans="14:14" ht="15" customHeight="1" x14ac:dyDescent="0.25">
      <c r="N2481" t="s">
        <v>307</v>
      </c>
    </row>
    <row r="2482" spans="14:14" ht="15" customHeight="1" x14ac:dyDescent="0.25">
      <c r="N2482" t="s">
        <v>229</v>
      </c>
    </row>
    <row r="2483" spans="14:14" ht="15" customHeight="1" x14ac:dyDescent="0.25">
      <c r="N2483" t="s">
        <v>254</v>
      </c>
    </row>
    <row r="2484" spans="14:14" ht="15" customHeight="1" x14ac:dyDescent="0.25">
      <c r="N2484" t="s">
        <v>303</v>
      </c>
    </row>
    <row r="2485" spans="14:14" ht="15" customHeight="1" x14ac:dyDescent="0.25">
      <c r="N2485" t="s">
        <v>267</v>
      </c>
    </row>
    <row r="2486" spans="14:14" ht="15" customHeight="1" x14ac:dyDescent="0.25">
      <c r="N2486" t="s">
        <v>254</v>
      </c>
    </row>
    <row r="2487" spans="14:14" ht="15" customHeight="1" x14ac:dyDescent="0.25">
      <c r="N2487" t="s">
        <v>289</v>
      </c>
    </row>
    <row r="2488" spans="14:14" ht="15" customHeight="1" x14ac:dyDescent="0.25">
      <c r="N2488" t="s">
        <v>228</v>
      </c>
    </row>
    <row r="2489" spans="14:14" ht="15" customHeight="1" x14ac:dyDescent="0.25">
      <c r="N2489" t="s">
        <v>254</v>
      </c>
    </row>
    <row r="2490" spans="14:14" ht="15" customHeight="1" x14ac:dyDescent="0.25">
      <c r="N2490" t="s">
        <v>295</v>
      </c>
    </row>
    <row r="2491" spans="14:14" ht="15" customHeight="1" x14ac:dyDescent="0.25">
      <c r="N2491" t="s">
        <v>236</v>
      </c>
    </row>
    <row r="2492" spans="14:14" ht="15" customHeight="1" x14ac:dyDescent="0.25">
      <c r="N2492" t="s">
        <v>246</v>
      </c>
    </row>
    <row r="2493" spans="14:14" ht="15" customHeight="1" x14ac:dyDescent="0.25">
      <c r="N2493" t="s">
        <v>297</v>
      </c>
    </row>
    <row r="2494" spans="14:14" ht="15" customHeight="1" x14ac:dyDescent="0.25">
      <c r="N2494" t="s">
        <v>302</v>
      </c>
    </row>
    <row r="2495" spans="14:14" ht="15" customHeight="1" x14ac:dyDescent="0.25">
      <c r="N2495" t="s">
        <v>234</v>
      </c>
    </row>
    <row r="2496" spans="14:14" ht="15" customHeight="1" x14ac:dyDescent="0.25">
      <c r="N2496" t="s">
        <v>294</v>
      </c>
    </row>
    <row r="2497" spans="14:14" ht="15" customHeight="1" x14ac:dyDescent="0.25">
      <c r="N2497" t="s">
        <v>291</v>
      </c>
    </row>
    <row r="2498" spans="14:14" ht="15" customHeight="1" x14ac:dyDescent="0.25">
      <c r="N2498" t="s">
        <v>270</v>
      </c>
    </row>
    <row r="2499" spans="14:14" ht="15" customHeight="1" x14ac:dyDescent="0.25">
      <c r="N2499" t="s">
        <v>257</v>
      </c>
    </row>
    <row r="2500" spans="14:14" ht="15" customHeight="1" x14ac:dyDescent="0.25">
      <c r="N2500" t="s">
        <v>288</v>
      </c>
    </row>
    <row r="2501" spans="14:14" ht="15" customHeight="1" x14ac:dyDescent="0.25">
      <c r="N2501" t="s">
        <v>300</v>
      </c>
    </row>
    <row r="2502" spans="14:14" ht="15" customHeight="1" x14ac:dyDescent="0.25">
      <c r="N2502" t="s">
        <v>233</v>
      </c>
    </row>
    <row r="2503" spans="14:14" ht="15" customHeight="1" x14ac:dyDescent="0.25">
      <c r="N2503" t="s">
        <v>297</v>
      </c>
    </row>
    <row r="2504" spans="14:14" ht="15" customHeight="1" x14ac:dyDescent="0.25">
      <c r="N2504" t="s">
        <v>254</v>
      </c>
    </row>
    <row r="2505" spans="14:14" ht="15" customHeight="1" x14ac:dyDescent="0.25">
      <c r="N2505" t="s">
        <v>301</v>
      </c>
    </row>
    <row r="2506" spans="14:14" ht="15" customHeight="1" x14ac:dyDescent="0.25">
      <c r="N2506" t="s">
        <v>273</v>
      </c>
    </row>
    <row r="2507" spans="14:14" ht="15" customHeight="1" x14ac:dyDescent="0.25">
      <c r="N2507" t="s">
        <v>207</v>
      </c>
    </row>
    <row r="2508" spans="14:14" ht="15" customHeight="1" x14ac:dyDescent="0.25">
      <c r="N2508" t="s">
        <v>299</v>
      </c>
    </row>
    <row r="2509" spans="14:14" ht="15" customHeight="1" x14ac:dyDescent="0.25">
      <c r="N2509" t="s">
        <v>291</v>
      </c>
    </row>
    <row r="2510" spans="14:14" ht="15" customHeight="1" x14ac:dyDescent="0.25">
      <c r="N2510" t="s">
        <v>276</v>
      </c>
    </row>
    <row r="2511" spans="14:14" ht="15" customHeight="1" x14ac:dyDescent="0.25">
      <c r="N2511" t="s">
        <v>282</v>
      </c>
    </row>
    <row r="2512" spans="14:14" ht="15" customHeight="1" x14ac:dyDescent="0.25">
      <c r="N2512" t="s">
        <v>203</v>
      </c>
    </row>
    <row r="2513" spans="14:14" ht="15" customHeight="1" x14ac:dyDescent="0.25">
      <c r="N2513" t="s">
        <v>288</v>
      </c>
    </row>
    <row r="2514" spans="14:14" ht="15" customHeight="1" x14ac:dyDescent="0.25">
      <c r="N2514" t="s">
        <v>300</v>
      </c>
    </row>
    <row r="2515" spans="14:14" ht="15" customHeight="1" x14ac:dyDescent="0.25">
      <c r="N2515" t="s">
        <v>300</v>
      </c>
    </row>
    <row r="2516" spans="14:14" ht="15" customHeight="1" x14ac:dyDescent="0.25">
      <c r="N2516" t="s">
        <v>203</v>
      </c>
    </row>
    <row r="2517" spans="14:14" ht="15" customHeight="1" x14ac:dyDescent="0.25">
      <c r="N2517" t="s">
        <v>207</v>
      </c>
    </row>
    <row r="2518" spans="14:14" ht="15" customHeight="1" x14ac:dyDescent="0.25">
      <c r="N2518" t="s">
        <v>301</v>
      </c>
    </row>
    <row r="2519" spans="14:14" ht="15" customHeight="1" x14ac:dyDescent="0.25">
      <c r="N2519" t="s">
        <v>231</v>
      </c>
    </row>
    <row r="2520" spans="14:14" ht="15" customHeight="1" x14ac:dyDescent="0.25">
      <c r="N2520" t="s">
        <v>228</v>
      </c>
    </row>
    <row r="2521" spans="14:14" ht="15" customHeight="1" x14ac:dyDescent="0.25">
      <c r="N2521" t="s">
        <v>299</v>
      </c>
    </row>
    <row r="2522" spans="14:14" ht="15" customHeight="1" x14ac:dyDescent="0.25">
      <c r="N2522" t="s">
        <v>303</v>
      </c>
    </row>
    <row r="2523" spans="14:14" ht="15" customHeight="1" x14ac:dyDescent="0.25">
      <c r="N2523" t="s">
        <v>282</v>
      </c>
    </row>
    <row r="2524" spans="14:14" ht="15" customHeight="1" x14ac:dyDescent="0.25">
      <c r="N2524" t="s">
        <v>273</v>
      </c>
    </row>
    <row r="2525" spans="14:14" ht="15" customHeight="1" x14ac:dyDescent="0.25">
      <c r="N2525" t="s">
        <v>254</v>
      </c>
    </row>
    <row r="2526" spans="14:14" ht="15" customHeight="1" x14ac:dyDescent="0.25">
      <c r="N2526" t="s">
        <v>228</v>
      </c>
    </row>
    <row r="2527" spans="14:14" ht="15" customHeight="1" x14ac:dyDescent="0.25">
      <c r="N2527" t="s">
        <v>268</v>
      </c>
    </row>
    <row r="2528" spans="14:14" ht="15" customHeight="1" x14ac:dyDescent="0.25">
      <c r="N2528" t="s">
        <v>275</v>
      </c>
    </row>
    <row r="2529" spans="14:14" ht="15" customHeight="1" x14ac:dyDescent="0.25">
      <c r="N2529" t="s">
        <v>203</v>
      </c>
    </row>
    <row r="2530" spans="14:14" ht="15" customHeight="1" x14ac:dyDescent="0.25">
      <c r="N2530" t="s">
        <v>273</v>
      </c>
    </row>
    <row r="2531" spans="14:14" ht="15" customHeight="1" x14ac:dyDescent="0.25">
      <c r="N2531" t="s">
        <v>278</v>
      </c>
    </row>
    <row r="2532" spans="14:14" ht="15" customHeight="1" x14ac:dyDescent="0.25">
      <c r="N2532" t="s">
        <v>303</v>
      </c>
    </row>
    <row r="2533" spans="14:14" ht="15" customHeight="1" x14ac:dyDescent="0.25">
      <c r="N2533" t="s">
        <v>244</v>
      </c>
    </row>
    <row r="2534" spans="14:14" ht="15" customHeight="1" x14ac:dyDescent="0.25">
      <c r="N2534" t="s">
        <v>254</v>
      </c>
    </row>
    <row r="2535" spans="14:14" ht="15" customHeight="1" x14ac:dyDescent="0.25">
      <c r="N2535" t="s">
        <v>231</v>
      </c>
    </row>
    <row r="2536" spans="14:14" ht="15" customHeight="1" x14ac:dyDescent="0.25">
      <c r="N2536" t="s">
        <v>299</v>
      </c>
    </row>
    <row r="2537" spans="14:14" ht="15" customHeight="1" x14ac:dyDescent="0.25">
      <c r="N2537" t="s">
        <v>303</v>
      </c>
    </row>
    <row r="2538" spans="14:14" ht="15" customHeight="1" x14ac:dyDescent="0.25">
      <c r="N2538" t="s">
        <v>260</v>
      </c>
    </row>
    <row r="2539" spans="14:14" ht="15" customHeight="1" x14ac:dyDescent="0.25">
      <c r="N2539" t="s">
        <v>254</v>
      </c>
    </row>
    <row r="2540" spans="14:14" ht="15" customHeight="1" x14ac:dyDescent="0.25">
      <c r="N2540" t="s">
        <v>301</v>
      </c>
    </row>
    <row r="2541" spans="14:14" ht="15" customHeight="1" x14ac:dyDescent="0.25">
      <c r="N2541" t="s">
        <v>273</v>
      </c>
    </row>
    <row r="2542" spans="14:14" ht="15" customHeight="1" x14ac:dyDescent="0.25">
      <c r="N2542" t="s">
        <v>294</v>
      </c>
    </row>
    <row r="2543" spans="14:14" ht="15" customHeight="1" x14ac:dyDescent="0.25">
      <c r="N2543" t="s">
        <v>299</v>
      </c>
    </row>
    <row r="2544" spans="14:14" ht="15" customHeight="1" x14ac:dyDescent="0.25">
      <c r="N2544" t="s">
        <v>303</v>
      </c>
    </row>
    <row r="2545" spans="14:14" ht="15" customHeight="1" x14ac:dyDescent="0.25">
      <c r="N2545" t="s">
        <v>228</v>
      </c>
    </row>
    <row r="2546" spans="14:14" ht="15" customHeight="1" x14ac:dyDescent="0.25">
      <c r="N2546" t="s">
        <v>303</v>
      </c>
    </row>
    <row r="2547" spans="14:14" ht="15" customHeight="1" x14ac:dyDescent="0.25">
      <c r="N2547" t="s">
        <v>228</v>
      </c>
    </row>
    <row r="2548" spans="14:14" ht="15" customHeight="1" x14ac:dyDescent="0.25">
      <c r="N2548" t="s">
        <v>232</v>
      </c>
    </row>
    <row r="2549" spans="14:14" ht="15" customHeight="1" x14ac:dyDescent="0.25">
      <c r="N2549" t="s">
        <v>207</v>
      </c>
    </row>
    <row r="2550" spans="14:14" ht="15" customHeight="1" x14ac:dyDescent="0.25">
      <c r="N2550" t="s">
        <v>299</v>
      </c>
    </row>
    <row r="2551" spans="14:14" ht="15" customHeight="1" x14ac:dyDescent="0.25">
      <c r="N2551" t="s">
        <v>270</v>
      </c>
    </row>
    <row r="2552" spans="14:14" ht="15" customHeight="1" x14ac:dyDescent="0.25">
      <c r="N2552" t="s">
        <v>230</v>
      </c>
    </row>
    <row r="2553" spans="14:14" ht="15" customHeight="1" x14ac:dyDescent="0.25">
      <c r="N2553" t="s">
        <v>257</v>
      </c>
    </row>
    <row r="2554" spans="14:14" ht="15" customHeight="1" x14ac:dyDescent="0.25">
      <c r="N2554" t="s">
        <v>301</v>
      </c>
    </row>
    <row r="2555" spans="14:14" ht="15" customHeight="1" x14ac:dyDescent="0.25">
      <c r="N2555" t="s">
        <v>207</v>
      </c>
    </row>
    <row r="2556" spans="14:14" ht="15" customHeight="1" x14ac:dyDescent="0.25">
      <c r="N2556" t="s">
        <v>231</v>
      </c>
    </row>
    <row r="2557" spans="14:14" ht="15" customHeight="1" x14ac:dyDescent="0.25">
      <c r="N2557" t="s">
        <v>299</v>
      </c>
    </row>
    <row r="2558" spans="14:14" ht="15" customHeight="1" x14ac:dyDescent="0.25">
      <c r="N2558" t="s">
        <v>240</v>
      </c>
    </row>
    <row r="2559" spans="14:14" ht="15" customHeight="1" x14ac:dyDescent="0.25">
      <c r="N2559" t="s">
        <v>294</v>
      </c>
    </row>
    <row r="2560" spans="14:14" ht="15" customHeight="1" x14ac:dyDescent="0.25">
      <c r="N2560" t="s">
        <v>277</v>
      </c>
    </row>
    <row r="2561" spans="14:14" ht="15" customHeight="1" x14ac:dyDescent="0.25">
      <c r="N2561" t="s">
        <v>273</v>
      </c>
    </row>
    <row r="2562" spans="14:14" ht="15" customHeight="1" x14ac:dyDescent="0.25">
      <c r="N2562" t="s">
        <v>207</v>
      </c>
    </row>
    <row r="2563" spans="14:14" ht="15" customHeight="1" x14ac:dyDescent="0.25">
      <c r="N2563" t="s">
        <v>265</v>
      </c>
    </row>
    <row r="2564" spans="14:14" ht="15" customHeight="1" x14ac:dyDescent="0.25">
      <c r="N2564" t="s">
        <v>273</v>
      </c>
    </row>
    <row r="2565" spans="14:14" ht="15" customHeight="1" x14ac:dyDescent="0.25">
      <c r="N2565" t="s">
        <v>207</v>
      </c>
    </row>
    <row r="2566" spans="14:14" ht="15" customHeight="1" x14ac:dyDescent="0.25">
      <c r="N2566" t="s">
        <v>287</v>
      </c>
    </row>
    <row r="2567" spans="14:14" ht="15" customHeight="1" x14ac:dyDescent="0.25">
      <c r="N2567" t="s">
        <v>292</v>
      </c>
    </row>
    <row r="2568" spans="14:14" ht="15" customHeight="1" x14ac:dyDescent="0.25">
      <c r="N2568" t="s">
        <v>207</v>
      </c>
    </row>
    <row r="2569" spans="14:14" ht="15" customHeight="1" x14ac:dyDescent="0.25">
      <c r="N2569" t="s">
        <v>295</v>
      </c>
    </row>
    <row r="2570" spans="14:14" ht="15" customHeight="1" x14ac:dyDescent="0.25">
      <c r="N2570" t="s">
        <v>207</v>
      </c>
    </row>
    <row r="2571" spans="14:14" ht="15" customHeight="1" x14ac:dyDescent="0.25">
      <c r="N2571" t="s">
        <v>294</v>
      </c>
    </row>
    <row r="2572" spans="14:14" ht="15" customHeight="1" x14ac:dyDescent="0.25">
      <c r="N2572" t="s">
        <v>277</v>
      </c>
    </row>
    <row r="2573" spans="14:14" ht="15" customHeight="1" x14ac:dyDescent="0.25">
      <c r="N2573" t="s">
        <v>241</v>
      </c>
    </row>
    <row r="2574" spans="14:14" ht="15" customHeight="1" x14ac:dyDescent="0.25">
      <c r="N2574" t="s">
        <v>207</v>
      </c>
    </row>
    <row r="2575" spans="14:14" ht="15" customHeight="1" x14ac:dyDescent="0.25">
      <c r="N2575" t="s">
        <v>273</v>
      </c>
    </row>
    <row r="2576" spans="14:14" ht="15" customHeight="1" x14ac:dyDescent="0.25">
      <c r="N2576" t="s">
        <v>238</v>
      </c>
    </row>
    <row r="2577" spans="14:14" ht="15" customHeight="1" x14ac:dyDescent="0.25">
      <c r="N2577" t="s">
        <v>273</v>
      </c>
    </row>
    <row r="2578" spans="14:14" ht="15" customHeight="1" x14ac:dyDescent="0.25">
      <c r="N2578" t="s">
        <v>245</v>
      </c>
    </row>
    <row r="2579" spans="14:14" ht="15" customHeight="1" x14ac:dyDescent="0.25">
      <c r="N2579" t="s">
        <v>287</v>
      </c>
    </row>
    <row r="2580" spans="14:14" ht="15" customHeight="1" x14ac:dyDescent="0.25">
      <c r="N2580" t="s">
        <v>250</v>
      </c>
    </row>
    <row r="2581" spans="14:14" ht="15" customHeight="1" x14ac:dyDescent="0.25">
      <c r="N2581" t="s">
        <v>213</v>
      </c>
    </row>
    <row r="2582" spans="14:14" ht="15" customHeight="1" x14ac:dyDescent="0.25">
      <c r="N2582" t="s">
        <v>273</v>
      </c>
    </row>
    <row r="2583" spans="14:14" ht="15" customHeight="1" x14ac:dyDescent="0.25">
      <c r="N2583" t="s">
        <v>273</v>
      </c>
    </row>
    <row r="2584" spans="14:14" ht="15" customHeight="1" x14ac:dyDescent="0.25">
      <c r="N2584" t="s">
        <v>205</v>
      </c>
    </row>
    <row r="2585" spans="14:14" ht="15" customHeight="1" x14ac:dyDescent="0.25">
      <c r="N2585" t="s">
        <v>308</v>
      </c>
    </row>
    <row r="2586" spans="14:14" ht="15" customHeight="1" x14ac:dyDescent="0.25">
      <c r="N2586" t="s">
        <v>207</v>
      </c>
    </row>
    <row r="2587" spans="14:14" ht="15" customHeight="1" x14ac:dyDescent="0.25">
      <c r="N2587" t="s">
        <v>207</v>
      </c>
    </row>
    <row r="2588" spans="14:14" ht="15" customHeight="1" x14ac:dyDescent="0.25">
      <c r="N2588" t="s">
        <v>292</v>
      </c>
    </row>
    <row r="2589" spans="14:14" ht="15" customHeight="1" x14ac:dyDescent="0.25">
      <c r="N2589" t="s">
        <v>228</v>
      </c>
    </row>
    <row r="2590" spans="14:14" ht="15" customHeight="1" x14ac:dyDescent="0.25">
      <c r="N2590" t="s">
        <v>273</v>
      </c>
    </row>
    <row r="2591" spans="14:14" ht="15" customHeight="1" x14ac:dyDescent="0.25">
      <c r="N2591" t="s">
        <v>273</v>
      </c>
    </row>
    <row r="2592" spans="14:14" ht="15" customHeight="1" x14ac:dyDescent="0.25">
      <c r="N2592" t="s">
        <v>207</v>
      </c>
    </row>
    <row r="2593" spans="14:14" ht="15" customHeight="1" x14ac:dyDescent="0.25">
      <c r="N2593" t="s">
        <v>207</v>
      </c>
    </row>
    <row r="2594" spans="14:14" ht="15" customHeight="1" x14ac:dyDescent="0.25">
      <c r="N2594" t="s">
        <v>254</v>
      </c>
    </row>
    <row r="2595" spans="14:14" ht="15" customHeight="1" x14ac:dyDescent="0.25">
      <c r="N2595" t="s">
        <v>303</v>
      </c>
    </row>
    <row r="2596" spans="14:14" ht="15" customHeight="1" x14ac:dyDescent="0.25">
      <c r="N2596" t="s">
        <v>228</v>
      </c>
    </row>
    <row r="2597" spans="14:14" ht="15" customHeight="1" x14ac:dyDescent="0.25">
      <c r="N2597" t="s">
        <v>308</v>
      </c>
    </row>
    <row r="2598" spans="14:14" ht="15" customHeight="1" x14ac:dyDescent="0.25">
      <c r="N2598" t="s">
        <v>228</v>
      </c>
    </row>
    <row r="2599" spans="14:14" ht="15" customHeight="1" x14ac:dyDescent="0.25">
      <c r="N2599" t="s">
        <v>228</v>
      </c>
    </row>
    <row r="2600" spans="14:14" ht="15" customHeight="1" x14ac:dyDescent="0.25">
      <c r="N2600" t="s">
        <v>305</v>
      </c>
    </row>
    <row r="2601" spans="14:14" ht="15" customHeight="1" x14ac:dyDescent="0.25">
      <c r="N2601" t="s">
        <v>298</v>
      </c>
    </row>
    <row r="2602" spans="14:14" ht="15" customHeight="1" x14ac:dyDescent="0.25">
      <c r="N2602" t="s">
        <v>309</v>
      </c>
    </row>
    <row r="2603" spans="14:14" ht="15" customHeight="1" x14ac:dyDescent="0.25">
      <c r="N2603" t="s">
        <v>254</v>
      </c>
    </row>
    <row r="2604" spans="14:14" ht="15" customHeight="1" x14ac:dyDescent="0.25">
      <c r="N2604" t="s">
        <v>273</v>
      </c>
    </row>
    <row r="2605" spans="14:14" ht="15" customHeight="1" x14ac:dyDescent="0.25">
      <c r="N2605" t="s">
        <v>256</v>
      </c>
    </row>
    <row r="2606" spans="14:14" ht="15" customHeight="1" x14ac:dyDescent="0.25">
      <c r="N2606" t="s">
        <v>273</v>
      </c>
    </row>
    <row r="2607" spans="14:14" ht="15" customHeight="1" x14ac:dyDescent="0.25">
      <c r="N2607" t="s">
        <v>228</v>
      </c>
    </row>
    <row r="2608" spans="14:14" ht="15" customHeight="1" x14ac:dyDescent="0.25">
      <c r="N2608" t="s">
        <v>305</v>
      </c>
    </row>
    <row r="2609" spans="14:14" ht="15" customHeight="1" x14ac:dyDescent="0.25">
      <c r="N2609" t="s">
        <v>228</v>
      </c>
    </row>
    <row r="2610" spans="14:14" ht="15" customHeight="1" x14ac:dyDescent="0.25">
      <c r="N2610" t="s">
        <v>305</v>
      </c>
    </row>
    <row r="2611" spans="14:14" ht="15" customHeight="1" x14ac:dyDescent="0.25">
      <c r="N2611" t="s">
        <v>305</v>
      </c>
    </row>
    <row r="2612" spans="14:14" ht="15" customHeight="1" x14ac:dyDescent="0.25">
      <c r="N2612" t="s">
        <v>228</v>
      </c>
    </row>
    <row r="2613" spans="14:14" ht="15" customHeight="1" x14ac:dyDescent="0.25">
      <c r="N2613" t="s">
        <v>295</v>
      </c>
    </row>
    <row r="2614" spans="14:14" ht="15" customHeight="1" x14ac:dyDescent="0.25">
      <c r="N2614" t="s">
        <v>295</v>
      </c>
    </row>
    <row r="2615" spans="14:14" ht="15" customHeight="1" x14ac:dyDescent="0.25">
      <c r="N2615" t="s">
        <v>295</v>
      </c>
    </row>
    <row r="2616" spans="14:14" ht="15" customHeight="1" x14ac:dyDescent="0.25">
      <c r="N2616" t="s">
        <v>298</v>
      </c>
    </row>
    <row r="2617" spans="14:14" ht="15" customHeight="1" x14ac:dyDescent="0.25">
      <c r="N2617" t="s">
        <v>273</v>
      </c>
    </row>
    <row r="2618" spans="14:14" ht="15" customHeight="1" x14ac:dyDescent="0.25">
      <c r="N2618" t="s">
        <v>297</v>
      </c>
    </row>
    <row r="2619" spans="14:14" ht="15" customHeight="1" x14ac:dyDescent="0.25">
      <c r="N2619" t="s">
        <v>207</v>
      </c>
    </row>
    <row r="2620" spans="14:14" ht="15" customHeight="1" x14ac:dyDescent="0.25">
      <c r="N2620" t="s">
        <v>285</v>
      </c>
    </row>
    <row r="2621" spans="14:14" ht="15" customHeight="1" x14ac:dyDescent="0.25">
      <c r="N2621" t="s">
        <v>282</v>
      </c>
    </row>
    <row r="2622" spans="14:14" ht="15" customHeight="1" x14ac:dyDescent="0.25">
      <c r="N2622" t="s">
        <v>205</v>
      </c>
    </row>
    <row r="2623" spans="14:14" ht="15" customHeight="1" x14ac:dyDescent="0.25">
      <c r="N2623" t="s">
        <v>304</v>
      </c>
    </row>
    <row r="2624" spans="14:14" ht="15" customHeight="1" x14ac:dyDescent="0.25">
      <c r="N2624" t="s">
        <v>304</v>
      </c>
    </row>
    <row r="2625" spans="14:14" ht="15" customHeight="1" x14ac:dyDescent="0.25">
      <c r="N2625" t="s">
        <v>304</v>
      </c>
    </row>
    <row r="2626" spans="14:14" ht="15" customHeight="1" x14ac:dyDescent="0.25">
      <c r="N2626" t="s">
        <v>304</v>
      </c>
    </row>
    <row r="2627" spans="14:14" ht="15" customHeight="1" x14ac:dyDescent="0.25">
      <c r="N2627" t="s">
        <v>304</v>
      </c>
    </row>
    <row r="2628" spans="14:14" ht="15" customHeight="1" x14ac:dyDescent="0.25">
      <c r="N2628" t="s">
        <v>207</v>
      </c>
    </row>
    <row r="2629" spans="14:14" ht="15" customHeight="1" x14ac:dyDescent="0.25">
      <c r="N2629" t="s">
        <v>292</v>
      </c>
    </row>
    <row r="2630" spans="14:14" ht="15" customHeight="1" x14ac:dyDescent="0.25">
      <c r="N2630" t="s">
        <v>273</v>
      </c>
    </row>
    <row r="2631" spans="14:14" ht="15" customHeight="1" x14ac:dyDescent="0.25">
      <c r="N2631" t="s">
        <v>207</v>
      </c>
    </row>
    <row r="2632" spans="14:14" ht="15" customHeight="1" x14ac:dyDescent="0.25">
      <c r="N2632" t="s">
        <v>305</v>
      </c>
    </row>
    <row r="2633" spans="14:14" ht="15" customHeight="1" x14ac:dyDescent="0.25">
      <c r="N2633" t="s">
        <v>296</v>
      </c>
    </row>
    <row r="2634" spans="14:14" ht="15" customHeight="1" x14ac:dyDescent="0.25">
      <c r="N2634" t="s">
        <v>259</v>
      </c>
    </row>
    <row r="2635" spans="14:14" ht="15" customHeight="1" x14ac:dyDescent="0.25">
      <c r="N2635" t="s">
        <v>305</v>
      </c>
    </row>
    <row r="2636" spans="14:14" ht="15" customHeight="1" x14ac:dyDescent="0.25">
      <c r="N2636" t="s">
        <v>273</v>
      </c>
    </row>
    <row r="2637" spans="14:14" ht="15" customHeight="1" x14ac:dyDescent="0.25">
      <c r="N2637" t="s">
        <v>256</v>
      </c>
    </row>
    <row r="2638" spans="14:14" ht="15" customHeight="1" x14ac:dyDescent="0.25">
      <c r="N2638" t="s">
        <v>305</v>
      </c>
    </row>
    <row r="2639" spans="14:14" ht="15" customHeight="1" x14ac:dyDescent="0.25">
      <c r="N2639" t="s">
        <v>274</v>
      </c>
    </row>
    <row r="2640" spans="14:14" ht="15" customHeight="1" x14ac:dyDescent="0.25">
      <c r="N2640" t="s">
        <v>305</v>
      </c>
    </row>
    <row r="2641" spans="14:14" ht="15" customHeight="1" x14ac:dyDescent="0.25">
      <c r="N2641" t="s">
        <v>228</v>
      </c>
    </row>
    <row r="2642" spans="14:14" ht="15" customHeight="1" x14ac:dyDescent="0.25">
      <c r="N2642" t="s">
        <v>295</v>
      </c>
    </row>
    <row r="2643" spans="14:14" ht="15" customHeight="1" x14ac:dyDescent="0.25">
      <c r="N2643" t="s">
        <v>273</v>
      </c>
    </row>
    <row r="2644" spans="14:14" ht="15" customHeight="1" x14ac:dyDescent="0.25">
      <c r="N2644" t="s">
        <v>271</v>
      </c>
    </row>
    <row r="2645" spans="14:14" ht="15" customHeight="1" x14ac:dyDescent="0.25">
      <c r="N2645" t="s">
        <v>287</v>
      </c>
    </row>
    <row r="2646" spans="14:14" ht="15" customHeight="1" x14ac:dyDescent="0.25">
      <c r="N2646" t="s">
        <v>298</v>
      </c>
    </row>
    <row r="2647" spans="14:14" ht="15" customHeight="1" x14ac:dyDescent="0.25">
      <c r="N2647" t="s">
        <v>207</v>
      </c>
    </row>
    <row r="2648" spans="14:14" ht="15" customHeight="1" x14ac:dyDescent="0.25">
      <c r="N2648" t="s">
        <v>298</v>
      </c>
    </row>
    <row r="2649" spans="14:14" ht="15" customHeight="1" x14ac:dyDescent="0.25">
      <c r="N2649" t="s">
        <v>308</v>
      </c>
    </row>
    <row r="2650" spans="14:14" ht="15" customHeight="1" x14ac:dyDescent="0.25">
      <c r="N2650" t="s">
        <v>207</v>
      </c>
    </row>
    <row r="2651" spans="14:14" ht="15" customHeight="1" x14ac:dyDescent="0.25">
      <c r="N2651" t="s">
        <v>296</v>
      </c>
    </row>
    <row r="2652" spans="14:14" ht="15" customHeight="1" x14ac:dyDescent="0.25">
      <c r="N2652" t="s">
        <v>228</v>
      </c>
    </row>
    <row r="2653" spans="14:14" ht="15" customHeight="1" x14ac:dyDescent="0.25">
      <c r="N2653" t="s">
        <v>228</v>
      </c>
    </row>
    <row r="2654" spans="14:14" ht="15" customHeight="1" x14ac:dyDescent="0.25">
      <c r="N2654" t="s">
        <v>295</v>
      </c>
    </row>
    <row r="2655" spans="14:14" ht="15" customHeight="1" x14ac:dyDescent="0.25">
      <c r="N2655" t="s">
        <v>286</v>
      </c>
    </row>
    <row r="2656" spans="14:14" ht="15" customHeight="1" x14ac:dyDescent="0.25">
      <c r="N2656" t="s">
        <v>273</v>
      </c>
    </row>
    <row r="2657" spans="14:14" ht="15" customHeight="1" x14ac:dyDescent="0.25">
      <c r="N2657" t="s">
        <v>285</v>
      </c>
    </row>
    <row r="2658" spans="14:14" ht="15" customHeight="1" x14ac:dyDescent="0.25">
      <c r="N2658" t="s">
        <v>285</v>
      </c>
    </row>
    <row r="2659" spans="14:14" ht="15" customHeight="1" x14ac:dyDescent="0.25">
      <c r="N2659" t="s">
        <v>213</v>
      </c>
    </row>
    <row r="2660" spans="14:14" ht="15" customHeight="1" x14ac:dyDescent="0.25">
      <c r="N2660" t="s">
        <v>280</v>
      </c>
    </row>
    <row r="2661" spans="14:14" ht="15" customHeight="1" x14ac:dyDescent="0.25">
      <c r="N2661" t="s">
        <v>298</v>
      </c>
    </row>
    <row r="2662" spans="14:14" ht="15" customHeight="1" x14ac:dyDescent="0.25">
      <c r="N2662" t="s">
        <v>228</v>
      </c>
    </row>
    <row r="2663" spans="14:14" ht="15" customHeight="1" x14ac:dyDescent="0.25">
      <c r="N2663" t="s">
        <v>300</v>
      </c>
    </row>
    <row r="2664" spans="14:14" ht="15" customHeight="1" x14ac:dyDescent="0.25">
      <c r="N2664" t="s">
        <v>285</v>
      </c>
    </row>
    <row r="2665" spans="14:14" ht="15" customHeight="1" x14ac:dyDescent="0.25">
      <c r="N2665" t="s">
        <v>205</v>
      </c>
    </row>
    <row r="2666" spans="14:14" ht="15" customHeight="1" x14ac:dyDescent="0.25">
      <c r="N2666" t="s">
        <v>258</v>
      </c>
    </row>
    <row r="2667" spans="14:14" ht="15" customHeight="1" x14ac:dyDescent="0.25">
      <c r="N2667" t="s">
        <v>274</v>
      </c>
    </row>
    <row r="2668" spans="14:14" ht="15" customHeight="1" x14ac:dyDescent="0.25">
      <c r="N2668" t="s">
        <v>228</v>
      </c>
    </row>
    <row r="2669" spans="14:14" ht="15" customHeight="1" x14ac:dyDescent="0.25">
      <c r="N2669" t="s">
        <v>254</v>
      </c>
    </row>
    <row r="2670" spans="14:14" ht="15" customHeight="1" x14ac:dyDescent="0.25">
      <c r="N2670" t="s">
        <v>280</v>
      </c>
    </row>
    <row r="2671" spans="14:14" ht="15" customHeight="1" x14ac:dyDescent="0.25">
      <c r="N2671" t="s">
        <v>283</v>
      </c>
    </row>
    <row r="2672" spans="14:14" ht="15" customHeight="1" x14ac:dyDescent="0.25">
      <c r="N2672" t="s">
        <v>301</v>
      </c>
    </row>
    <row r="2673" spans="14:14" ht="15" customHeight="1" x14ac:dyDescent="0.25">
      <c r="N2673" t="s">
        <v>228</v>
      </c>
    </row>
    <row r="2674" spans="14:14" ht="15" customHeight="1" x14ac:dyDescent="0.25">
      <c r="N2674" t="s">
        <v>278</v>
      </c>
    </row>
    <row r="2675" spans="14:14" ht="15" customHeight="1" x14ac:dyDescent="0.25">
      <c r="N2675" t="s">
        <v>273</v>
      </c>
    </row>
    <row r="2676" spans="14:14" ht="15" customHeight="1" x14ac:dyDescent="0.25">
      <c r="N2676" t="s">
        <v>280</v>
      </c>
    </row>
    <row r="2677" spans="14:14" ht="15" customHeight="1" x14ac:dyDescent="0.25">
      <c r="N2677" t="s">
        <v>205</v>
      </c>
    </row>
    <row r="2678" spans="14:14" ht="15" customHeight="1" x14ac:dyDescent="0.25">
      <c r="N2678" t="s">
        <v>283</v>
      </c>
    </row>
    <row r="2679" spans="14:14" ht="15" customHeight="1" x14ac:dyDescent="0.25">
      <c r="N2679" t="s">
        <v>280</v>
      </c>
    </row>
    <row r="2680" spans="14:14" ht="15" customHeight="1" x14ac:dyDescent="0.25">
      <c r="N2680" t="s">
        <v>242</v>
      </c>
    </row>
    <row r="2681" spans="14:14" ht="15" customHeight="1" x14ac:dyDescent="0.25">
      <c r="N2681" t="s">
        <v>252</v>
      </c>
    </row>
    <row r="2682" spans="14:14" ht="15" customHeight="1" x14ac:dyDescent="0.25">
      <c r="N2682" t="s">
        <v>228</v>
      </c>
    </row>
    <row r="2683" spans="14:14" ht="15" customHeight="1" x14ac:dyDescent="0.25">
      <c r="N2683" t="s">
        <v>256</v>
      </c>
    </row>
    <row r="2684" spans="14:14" ht="15" customHeight="1" x14ac:dyDescent="0.25">
      <c r="N2684" t="s">
        <v>298</v>
      </c>
    </row>
    <row r="2685" spans="14:14" ht="15" customHeight="1" x14ac:dyDescent="0.25">
      <c r="N2685" t="s">
        <v>207</v>
      </c>
    </row>
    <row r="2686" spans="14:14" ht="15" customHeight="1" x14ac:dyDescent="0.25">
      <c r="N2686" t="s">
        <v>280</v>
      </c>
    </row>
    <row r="2687" spans="14:14" ht="15" customHeight="1" x14ac:dyDescent="0.25">
      <c r="N2687" t="s">
        <v>297</v>
      </c>
    </row>
    <row r="2688" spans="14:14" ht="15" customHeight="1" x14ac:dyDescent="0.25">
      <c r="N2688" t="s">
        <v>283</v>
      </c>
    </row>
    <row r="2689" spans="14:14" ht="15" customHeight="1" x14ac:dyDescent="0.25">
      <c r="N2689" t="s">
        <v>284</v>
      </c>
    </row>
    <row r="2690" spans="14:14" ht="15" customHeight="1" x14ac:dyDescent="0.25">
      <c r="N2690" t="s">
        <v>228</v>
      </c>
    </row>
    <row r="2691" spans="14:14" ht="15" customHeight="1" x14ac:dyDescent="0.25">
      <c r="N2691" t="s">
        <v>228</v>
      </c>
    </row>
    <row r="2692" spans="14:14" ht="15" customHeight="1" x14ac:dyDescent="0.25">
      <c r="N2692" t="s">
        <v>280</v>
      </c>
    </row>
    <row r="2693" spans="14:14" ht="15" customHeight="1" x14ac:dyDescent="0.25">
      <c r="N2693" t="s">
        <v>280</v>
      </c>
    </row>
    <row r="2694" spans="14:14" ht="15" customHeight="1" x14ac:dyDescent="0.25">
      <c r="N2694" t="s">
        <v>284</v>
      </c>
    </row>
    <row r="2695" spans="14:14" ht="15" customHeight="1" x14ac:dyDescent="0.25">
      <c r="N2695" t="s">
        <v>284</v>
      </c>
    </row>
    <row r="2696" spans="14:14" ht="15" customHeight="1" x14ac:dyDescent="0.25">
      <c r="N2696" t="s">
        <v>228</v>
      </c>
    </row>
    <row r="2697" spans="14:14" ht="15" customHeight="1" x14ac:dyDescent="0.25">
      <c r="N2697" t="s">
        <v>305</v>
      </c>
    </row>
    <row r="2698" spans="14:14" ht="15" customHeight="1" x14ac:dyDescent="0.25">
      <c r="N2698" t="s">
        <v>296</v>
      </c>
    </row>
    <row r="2699" spans="14:14" ht="15" customHeight="1" x14ac:dyDescent="0.25">
      <c r="N2699" t="s">
        <v>247</v>
      </c>
    </row>
    <row r="2700" spans="14:14" ht="15" customHeight="1" x14ac:dyDescent="0.25">
      <c r="N2700" t="s">
        <v>228</v>
      </c>
    </row>
    <row r="2701" spans="14:14" ht="15" customHeight="1" x14ac:dyDescent="0.25">
      <c r="N2701" t="s">
        <v>305</v>
      </c>
    </row>
    <row r="2702" spans="14:14" ht="15" customHeight="1" x14ac:dyDescent="0.25">
      <c r="N2702" t="s">
        <v>272</v>
      </c>
    </row>
    <row r="2703" spans="14:14" ht="15" customHeight="1" x14ac:dyDescent="0.25">
      <c r="N2703" t="s">
        <v>305</v>
      </c>
    </row>
    <row r="2704" spans="14:14" ht="15" customHeight="1" x14ac:dyDescent="0.25">
      <c r="N2704" t="s">
        <v>310</v>
      </c>
    </row>
    <row r="2705" spans="14:14" ht="15" customHeight="1" x14ac:dyDescent="0.25">
      <c r="N2705" t="s">
        <v>305</v>
      </c>
    </row>
    <row r="2706" spans="14:14" ht="15" customHeight="1" x14ac:dyDescent="0.25">
      <c r="N2706" t="s">
        <v>302</v>
      </c>
    </row>
    <row r="2707" spans="14:14" ht="15" customHeight="1" x14ac:dyDescent="0.25">
      <c r="N2707" t="s">
        <v>247</v>
      </c>
    </row>
    <row r="2708" spans="14:14" ht="15" customHeight="1" x14ac:dyDescent="0.25">
      <c r="N2708" t="s">
        <v>228</v>
      </c>
    </row>
    <row r="2709" spans="14:14" ht="15" customHeight="1" x14ac:dyDescent="0.25">
      <c r="N2709" t="s">
        <v>305</v>
      </c>
    </row>
    <row r="2710" spans="14:14" ht="15" customHeight="1" x14ac:dyDescent="0.25">
      <c r="N2710" t="s">
        <v>273</v>
      </c>
    </row>
    <row r="2711" spans="14:14" ht="15" customHeight="1" x14ac:dyDescent="0.25">
      <c r="N2711" t="s">
        <v>235</v>
      </c>
    </row>
    <row r="2712" spans="14:14" ht="15" customHeight="1" x14ac:dyDescent="0.25">
      <c r="N2712" t="s">
        <v>305</v>
      </c>
    </row>
    <row r="2713" spans="14:14" ht="15" customHeight="1" x14ac:dyDescent="0.25">
      <c r="N2713" t="s">
        <v>305</v>
      </c>
    </row>
    <row r="2714" spans="14:14" ht="15" customHeight="1" x14ac:dyDescent="0.25">
      <c r="N2714" t="s">
        <v>302</v>
      </c>
    </row>
    <row r="2715" spans="14:14" ht="15" customHeight="1" x14ac:dyDescent="0.25">
      <c r="N2715" t="s">
        <v>256</v>
      </c>
    </row>
    <row r="2716" spans="14:14" ht="15" customHeight="1" x14ac:dyDescent="0.25">
      <c r="N2716" t="s">
        <v>228</v>
      </c>
    </row>
    <row r="2717" spans="14:14" ht="15" customHeight="1" x14ac:dyDescent="0.25">
      <c r="N2717" t="s">
        <v>305</v>
      </c>
    </row>
    <row r="2718" spans="14:14" ht="15" customHeight="1" x14ac:dyDescent="0.25">
      <c r="N2718" t="s">
        <v>296</v>
      </c>
    </row>
    <row r="2719" spans="14:14" ht="15" customHeight="1" x14ac:dyDescent="0.25">
      <c r="N2719" t="s">
        <v>305</v>
      </c>
    </row>
    <row r="2720" spans="14:14" ht="15" customHeight="1" x14ac:dyDescent="0.25">
      <c r="N2720" t="s">
        <v>247</v>
      </c>
    </row>
    <row r="2721" spans="14:14" ht="15" customHeight="1" x14ac:dyDescent="0.25">
      <c r="N2721" t="s">
        <v>207</v>
      </c>
    </row>
    <row r="2722" spans="14:14" ht="15" customHeight="1" x14ac:dyDescent="0.25">
      <c r="N2722" t="s">
        <v>269</v>
      </c>
    </row>
    <row r="2723" spans="14:14" ht="15" customHeight="1" x14ac:dyDescent="0.25">
      <c r="N2723" t="s">
        <v>305</v>
      </c>
    </row>
    <row r="2724" spans="14:14" ht="15" customHeight="1" x14ac:dyDescent="0.25">
      <c r="N2724" t="s">
        <v>228</v>
      </c>
    </row>
    <row r="2725" spans="14:14" ht="15" customHeight="1" x14ac:dyDescent="0.25">
      <c r="N2725" t="s">
        <v>207</v>
      </c>
    </row>
    <row r="2726" spans="14:14" ht="15" customHeight="1" x14ac:dyDescent="0.25">
      <c r="N2726" t="s">
        <v>293</v>
      </c>
    </row>
    <row r="2727" spans="14:14" ht="15" customHeight="1" x14ac:dyDescent="0.25">
      <c r="N2727" t="s">
        <v>305</v>
      </c>
    </row>
    <row r="2728" spans="14:14" ht="15" customHeight="1" x14ac:dyDescent="0.25">
      <c r="N2728" t="s">
        <v>305</v>
      </c>
    </row>
    <row r="2729" spans="14:14" ht="15" customHeight="1" x14ac:dyDescent="0.25">
      <c r="N2729" t="s">
        <v>293</v>
      </c>
    </row>
    <row r="2730" spans="14:14" ht="15" customHeight="1" x14ac:dyDescent="0.25">
      <c r="N2730" t="s">
        <v>293</v>
      </c>
    </row>
    <row r="2731" spans="14:14" ht="15" customHeight="1" x14ac:dyDescent="0.25">
      <c r="N2731" t="s">
        <v>305</v>
      </c>
    </row>
    <row r="2732" spans="14:14" ht="15" customHeight="1" x14ac:dyDescent="0.25">
      <c r="N2732" t="s">
        <v>305</v>
      </c>
    </row>
    <row r="2733" spans="14:14" ht="15" customHeight="1" x14ac:dyDescent="0.25">
      <c r="N2733" t="s">
        <v>297</v>
      </c>
    </row>
    <row r="2734" spans="14:14" ht="15" customHeight="1" x14ac:dyDescent="0.25">
      <c r="N2734" t="s">
        <v>228</v>
      </c>
    </row>
    <row r="2735" spans="14:14" ht="15" customHeight="1" x14ac:dyDescent="0.25">
      <c r="N2735" t="s">
        <v>297</v>
      </c>
    </row>
    <row r="2736" spans="14:14" ht="15" customHeight="1" x14ac:dyDescent="0.25">
      <c r="N2736" t="s">
        <v>305</v>
      </c>
    </row>
    <row r="2737" spans="14:14" ht="15" customHeight="1" x14ac:dyDescent="0.25">
      <c r="N2737" t="s">
        <v>301</v>
      </c>
    </row>
    <row r="2738" spans="14:14" ht="15" customHeight="1" x14ac:dyDescent="0.25">
      <c r="N2738" t="s">
        <v>254</v>
      </c>
    </row>
    <row r="2739" spans="14:14" ht="15" customHeight="1" x14ac:dyDescent="0.25">
      <c r="N2739" t="s">
        <v>254</v>
      </c>
    </row>
    <row r="2740" spans="14:14" ht="15" customHeight="1" x14ac:dyDescent="0.25">
      <c r="N2740" t="s">
        <v>308</v>
      </c>
    </row>
    <row r="2741" spans="14:14" ht="15" customHeight="1" x14ac:dyDescent="0.25">
      <c r="N2741" t="s">
        <v>249</v>
      </c>
    </row>
    <row r="2742" spans="14:14" ht="15" customHeight="1" x14ac:dyDescent="0.25">
      <c r="N2742" t="s">
        <v>254</v>
      </c>
    </row>
    <row r="2743" spans="14:14" ht="15" customHeight="1" x14ac:dyDescent="0.25">
      <c r="N2743" t="s">
        <v>229</v>
      </c>
    </row>
    <row r="2744" spans="14:14" ht="15" customHeight="1" x14ac:dyDescent="0.25">
      <c r="N2744" t="s">
        <v>229</v>
      </c>
    </row>
    <row r="2745" spans="14:14" ht="15" customHeight="1" x14ac:dyDescent="0.25">
      <c r="N2745" t="s">
        <v>229</v>
      </c>
    </row>
    <row r="2746" spans="14:14" ht="15" customHeight="1" x14ac:dyDescent="0.25">
      <c r="N2746" t="s">
        <v>229</v>
      </c>
    </row>
    <row r="2747" spans="14:14" ht="15" customHeight="1" x14ac:dyDescent="0.25">
      <c r="N2747" t="s">
        <v>229</v>
      </c>
    </row>
    <row r="2748" spans="14:14" ht="15" customHeight="1" x14ac:dyDescent="0.25">
      <c r="N2748" t="s">
        <v>209</v>
      </c>
    </row>
    <row r="2749" spans="14:14" ht="15" customHeight="1" x14ac:dyDescent="0.25">
      <c r="N2749" t="s">
        <v>254</v>
      </c>
    </row>
    <row r="2750" spans="14:14" ht="15" customHeight="1" x14ac:dyDescent="0.25">
      <c r="N2750" t="s">
        <v>254</v>
      </c>
    </row>
    <row r="2751" spans="14:14" ht="15" customHeight="1" x14ac:dyDescent="0.25">
      <c r="N2751" t="s">
        <v>254</v>
      </c>
    </row>
    <row r="2752" spans="14:14" ht="15" customHeight="1" x14ac:dyDescent="0.25">
      <c r="N2752" t="s">
        <v>209</v>
      </c>
    </row>
    <row r="2753" spans="14:14" ht="15" customHeight="1" x14ac:dyDescent="0.25">
      <c r="N2753" t="s">
        <v>207</v>
      </c>
    </row>
    <row r="2754" spans="14:14" ht="15" customHeight="1" x14ac:dyDescent="0.25">
      <c r="N2754" t="s">
        <v>254</v>
      </c>
    </row>
    <row r="2755" spans="14:14" ht="15" customHeight="1" x14ac:dyDescent="0.25">
      <c r="N2755" t="s">
        <v>254</v>
      </c>
    </row>
    <row r="2756" spans="14:14" ht="15" customHeight="1" x14ac:dyDescent="0.25">
      <c r="N2756" t="s">
        <v>254</v>
      </c>
    </row>
    <row r="2757" spans="14:14" ht="15" customHeight="1" x14ac:dyDescent="0.25">
      <c r="N2757" t="s">
        <v>311</v>
      </c>
    </row>
    <row r="2758" spans="14:14" ht="15" customHeight="1" x14ac:dyDescent="0.25">
      <c r="N2758" t="s">
        <v>254</v>
      </c>
    </row>
    <row r="2759" spans="14:14" ht="15" customHeight="1" x14ac:dyDescent="0.25">
      <c r="N2759" t="s">
        <v>254</v>
      </c>
    </row>
    <row r="2760" spans="14:14" ht="15" customHeight="1" x14ac:dyDescent="0.25">
      <c r="N2760" t="s">
        <v>254</v>
      </c>
    </row>
    <row r="2761" spans="14:14" ht="15" customHeight="1" x14ac:dyDescent="0.25">
      <c r="N2761" t="s">
        <v>217</v>
      </c>
    </row>
    <row r="2762" spans="14:14" ht="15" customHeight="1" x14ac:dyDescent="0.25">
      <c r="N2762" t="s">
        <v>254</v>
      </c>
    </row>
    <row r="2763" spans="14:14" ht="15" customHeight="1" x14ac:dyDescent="0.25">
      <c r="N2763" t="s">
        <v>258</v>
      </c>
    </row>
    <row r="2764" spans="14:14" ht="15" customHeight="1" x14ac:dyDescent="0.25">
      <c r="N2764" t="s">
        <v>216</v>
      </c>
    </row>
    <row r="2765" spans="14:14" ht="15" customHeight="1" x14ac:dyDescent="0.25">
      <c r="N2765" t="s">
        <v>257</v>
      </c>
    </row>
    <row r="2766" spans="14:14" ht="15" customHeight="1" x14ac:dyDescent="0.25">
      <c r="N2766" t="s">
        <v>264</v>
      </c>
    </row>
    <row r="2767" spans="14:14" ht="15" customHeight="1" x14ac:dyDescent="0.25">
      <c r="N2767" t="s">
        <v>296</v>
      </c>
    </row>
    <row r="2768" spans="14:14" ht="15" customHeight="1" x14ac:dyDescent="0.25">
      <c r="N2768" t="s">
        <v>222</v>
      </c>
    </row>
    <row r="2769" spans="14:14" ht="15" customHeight="1" x14ac:dyDescent="0.25">
      <c r="N2769" t="s">
        <v>221</v>
      </c>
    </row>
    <row r="2770" spans="14:14" ht="15" customHeight="1" x14ac:dyDescent="0.25">
      <c r="N2770" t="s">
        <v>267</v>
      </c>
    </row>
    <row r="2771" spans="14:14" ht="15" customHeight="1" x14ac:dyDescent="0.25">
      <c r="N2771" t="s">
        <v>228</v>
      </c>
    </row>
    <row r="2772" spans="14:14" ht="15" customHeight="1" x14ac:dyDescent="0.25">
      <c r="N2772" t="s">
        <v>308</v>
      </c>
    </row>
    <row r="2773" spans="14:14" ht="15" customHeight="1" x14ac:dyDescent="0.25">
      <c r="N2773" t="s">
        <v>218</v>
      </c>
    </row>
    <row r="2774" spans="14:14" ht="15" customHeight="1" x14ac:dyDescent="0.25">
      <c r="N2774" t="s">
        <v>280</v>
      </c>
    </row>
    <row r="2775" spans="14:14" ht="15" customHeight="1" x14ac:dyDescent="0.25">
      <c r="N2775" t="s">
        <v>312</v>
      </c>
    </row>
    <row r="2776" spans="14:14" ht="15" customHeight="1" x14ac:dyDescent="0.25">
      <c r="N2776" t="s">
        <v>265</v>
      </c>
    </row>
    <row r="2777" spans="14:14" ht="15" customHeight="1" x14ac:dyDescent="0.25">
      <c r="N2777" t="s">
        <v>308</v>
      </c>
    </row>
    <row r="2778" spans="14:14" ht="15" customHeight="1" x14ac:dyDescent="0.25">
      <c r="N2778" t="s">
        <v>254</v>
      </c>
    </row>
    <row r="2779" spans="14:14" ht="15" customHeight="1" x14ac:dyDescent="0.25">
      <c r="N2779" t="s">
        <v>289</v>
      </c>
    </row>
    <row r="2780" spans="14:14" ht="15" customHeight="1" x14ac:dyDescent="0.25">
      <c r="N2780" t="s">
        <v>273</v>
      </c>
    </row>
    <row r="2781" spans="14:14" ht="15" customHeight="1" x14ac:dyDescent="0.25">
      <c r="N2781" t="s">
        <v>249</v>
      </c>
    </row>
    <row r="2782" spans="14:14" ht="15" customHeight="1" x14ac:dyDescent="0.25">
      <c r="N2782" t="s">
        <v>226</v>
      </c>
    </row>
    <row r="2783" spans="14:14" ht="15" customHeight="1" x14ac:dyDescent="0.25">
      <c r="N2783" t="s">
        <v>228</v>
      </c>
    </row>
    <row r="2784" spans="14:14" ht="15" customHeight="1" x14ac:dyDescent="0.25">
      <c r="N2784" t="s">
        <v>288</v>
      </c>
    </row>
    <row r="2785" spans="14:14" ht="15" customHeight="1" x14ac:dyDescent="0.25">
      <c r="N2785" t="s">
        <v>228</v>
      </c>
    </row>
    <row r="2786" spans="14:14" ht="15" customHeight="1" x14ac:dyDescent="0.25">
      <c r="N2786" t="s">
        <v>228</v>
      </c>
    </row>
    <row r="2787" spans="14:14" ht="15" customHeight="1" x14ac:dyDescent="0.25">
      <c r="N2787" t="s">
        <v>228</v>
      </c>
    </row>
    <row r="2788" spans="14:14" ht="15" customHeight="1" x14ac:dyDescent="0.25">
      <c r="N2788" t="s">
        <v>254</v>
      </c>
    </row>
    <row r="2789" spans="14:14" ht="15" customHeight="1" x14ac:dyDescent="0.25">
      <c r="N2789" t="s">
        <v>295</v>
      </c>
    </row>
    <row r="2790" spans="14:14" ht="15" customHeight="1" x14ac:dyDescent="0.25">
      <c r="N2790" t="s">
        <v>295</v>
      </c>
    </row>
    <row r="2791" spans="14:14" ht="15" customHeight="1" x14ac:dyDescent="0.25">
      <c r="N2791" t="s">
        <v>254</v>
      </c>
    </row>
    <row r="2792" spans="14:14" ht="15" customHeight="1" x14ac:dyDescent="0.25">
      <c r="N2792" t="s">
        <v>295</v>
      </c>
    </row>
    <row r="2793" spans="14:14" ht="15" customHeight="1" x14ac:dyDescent="0.25">
      <c r="N2793" t="s">
        <v>295</v>
      </c>
    </row>
    <row r="2794" spans="14:14" ht="15" customHeight="1" x14ac:dyDescent="0.25">
      <c r="N2794" t="s">
        <v>262</v>
      </c>
    </row>
    <row r="2795" spans="14:14" ht="15" customHeight="1" x14ac:dyDescent="0.25">
      <c r="N2795" t="s">
        <v>295</v>
      </c>
    </row>
    <row r="2796" spans="14:14" ht="15" customHeight="1" x14ac:dyDescent="0.25">
      <c r="N2796" t="s">
        <v>295</v>
      </c>
    </row>
    <row r="2797" spans="14:14" ht="15" customHeight="1" x14ac:dyDescent="0.25">
      <c r="N2797" t="s">
        <v>279</v>
      </c>
    </row>
    <row r="2798" spans="14:14" ht="15" customHeight="1" x14ac:dyDescent="0.25">
      <c r="N2798" t="s">
        <v>268</v>
      </c>
    </row>
    <row r="2799" spans="14:14" ht="15" customHeight="1" x14ac:dyDescent="0.25">
      <c r="N2799" t="s">
        <v>300</v>
      </c>
    </row>
    <row r="2800" spans="14:14" ht="15" customHeight="1" x14ac:dyDescent="0.25">
      <c r="N2800" t="s">
        <v>286</v>
      </c>
    </row>
    <row r="2801" spans="14:14" ht="15" customHeight="1" x14ac:dyDescent="0.25">
      <c r="N2801" t="s">
        <v>295</v>
      </c>
    </row>
    <row r="2802" spans="14:14" ht="15" customHeight="1" x14ac:dyDescent="0.25">
      <c r="N2802" t="s">
        <v>254</v>
      </c>
    </row>
    <row r="2803" spans="14:14" ht="15" customHeight="1" x14ac:dyDescent="0.25">
      <c r="N2803" t="s">
        <v>302</v>
      </c>
    </row>
    <row r="2804" spans="14:14" ht="15" customHeight="1" x14ac:dyDescent="0.25">
      <c r="N2804" t="s">
        <v>302</v>
      </c>
    </row>
    <row r="2805" spans="14:14" ht="15" customHeight="1" x14ac:dyDescent="0.25">
      <c r="N2805" t="s">
        <v>254</v>
      </c>
    </row>
    <row r="2806" spans="14:14" ht="15" customHeight="1" x14ac:dyDescent="0.25">
      <c r="N2806" t="s">
        <v>301</v>
      </c>
    </row>
    <row r="2807" spans="14:14" ht="15" customHeight="1" x14ac:dyDescent="0.25">
      <c r="N2807" t="s">
        <v>210</v>
      </c>
    </row>
    <row r="2808" spans="14:14" ht="15" customHeight="1" x14ac:dyDescent="0.25">
      <c r="N2808" t="s">
        <v>254</v>
      </c>
    </row>
    <row r="2809" spans="14:14" ht="15" customHeight="1" x14ac:dyDescent="0.25">
      <c r="N2809" t="s">
        <v>313</v>
      </c>
    </row>
    <row r="2810" spans="14:14" ht="15" customHeight="1" x14ac:dyDescent="0.25">
      <c r="N2810" t="s">
        <v>313</v>
      </c>
    </row>
    <row r="2811" spans="14:14" ht="15" customHeight="1" x14ac:dyDescent="0.25">
      <c r="N2811" t="s">
        <v>313</v>
      </c>
    </row>
    <row r="2812" spans="14:14" ht="15" customHeight="1" x14ac:dyDescent="0.25">
      <c r="N2812" t="s">
        <v>313</v>
      </c>
    </row>
    <row r="2813" spans="14:14" ht="15" customHeight="1" x14ac:dyDescent="0.25">
      <c r="N2813" t="s">
        <v>313</v>
      </c>
    </row>
    <row r="2814" spans="14:14" ht="15" customHeight="1" x14ac:dyDescent="0.25">
      <c r="N2814" t="s">
        <v>209</v>
      </c>
    </row>
    <row r="2815" spans="14:14" ht="15" customHeight="1" x14ac:dyDescent="0.25">
      <c r="N2815" t="s">
        <v>254</v>
      </c>
    </row>
    <row r="2816" spans="14:14" ht="15" customHeight="1" x14ac:dyDescent="0.25">
      <c r="N2816" t="s">
        <v>254</v>
      </c>
    </row>
    <row r="2817" spans="14:14" ht="15" customHeight="1" x14ac:dyDescent="0.25">
      <c r="N2817" t="s">
        <v>211</v>
      </c>
    </row>
    <row r="2818" spans="14:14" ht="15" customHeight="1" x14ac:dyDescent="0.25">
      <c r="N2818" t="s">
        <v>251</v>
      </c>
    </row>
    <row r="2819" spans="14:14" ht="15" customHeight="1" x14ac:dyDescent="0.25">
      <c r="N2819" t="s">
        <v>254</v>
      </c>
    </row>
    <row r="2820" spans="14:14" ht="15" customHeight="1" x14ac:dyDescent="0.25">
      <c r="N2820" t="s">
        <v>254</v>
      </c>
    </row>
    <row r="2821" spans="14:14" ht="15" customHeight="1" x14ac:dyDescent="0.25">
      <c r="N2821" t="s">
        <v>228</v>
      </c>
    </row>
    <row r="2822" spans="14:14" ht="15" customHeight="1" x14ac:dyDescent="0.25">
      <c r="N2822" t="s">
        <v>303</v>
      </c>
    </row>
    <row r="2823" spans="14:14" ht="15" customHeight="1" x14ac:dyDescent="0.25">
      <c r="N2823" t="s">
        <v>228</v>
      </c>
    </row>
    <row r="2824" spans="14:14" ht="15" customHeight="1" x14ac:dyDescent="0.25">
      <c r="N2824" t="s">
        <v>264</v>
      </c>
    </row>
    <row r="2825" spans="14:14" ht="15" customHeight="1" x14ac:dyDescent="0.25">
      <c r="N2825" t="s">
        <v>291</v>
      </c>
    </row>
    <row r="2826" spans="14:14" ht="15" customHeight="1" x14ac:dyDescent="0.25">
      <c r="N2826" t="s">
        <v>239</v>
      </c>
    </row>
    <row r="2827" spans="14:14" ht="15" customHeight="1" x14ac:dyDescent="0.25">
      <c r="N2827" t="s">
        <v>228</v>
      </c>
    </row>
    <row r="2828" spans="14:14" ht="15" customHeight="1" x14ac:dyDescent="0.25">
      <c r="N2828" t="s">
        <v>304</v>
      </c>
    </row>
    <row r="2829" spans="14:14" ht="15" customHeight="1" x14ac:dyDescent="0.25">
      <c r="N2829" t="s">
        <v>228</v>
      </c>
    </row>
    <row r="2830" spans="14:14" ht="15" customHeight="1" x14ac:dyDescent="0.25">
      <c r="N2830" t="s">
        <v>276</v>
      </c>
    </row>
    <row r="2831" spans="14:14" ht="15" customHeight="1" x14ac:dyDescent="0.25">
      <c r="N2831" t="s">
        <v>254</v>
      </c>
    </row>
    <row r="2832" spans="14:14" ht="15" customHeight="1" x14ac:dyDescent="0.25">
      <c r="N2832" t="s">
        <v>254</v>
      </c>
    </row>
    <row r="2833" spans="14:14" ht="15" customHeight="1" x14ac:dyDescent="0.25">
      <c r="N2833" t="s">
        <v>289</v>
      </c>
    </row>
    <row r="2834" spans="14:14" ht="15" customHeight="1" x14ac:dyDescent="0.25">
      <c r="N2834" t="s">
        <v>254</v>
      </c>
    </row>
    <row r="2835" spans="14:14" ht="15" customHeight="1" x14ac:dyDescent="0.25">
      <c r="N2835" t="s">
        <v>269</v>
      </c>
    </row>
    <row r="2836" spans="14:14" ht="15" customHeight="1" x14ac:dyDescent="0.25">
      <c r="N2836" t="s">
        <v>228</v>
      </c>
    </row>
    <row r="2837" spans="14:14" ht="15" customHeight="1" x14ac:dyDescent="0.25">
      <c r="N2837" t="s">
        <v>288</v>
      </c>
    </row>
    <row r="2838" spans="14:14" ht="15" customHeight="1" x14ac:dyDescent="0.25">
      <c r="N2838" t="s">
        <v>253</v>
      </c>
    </row>
    <row r="2839" spans="14:14" ht="15" customHeight="1" x14ac:dyDescent="0.25">
      <c r="N2839" t="s">
        <v>254</v>
      </c>
    </row>
    <row r="2840" spans="14:14" ht="15" customHeight="1" x14ac:dyDescent="0.25">
      <c r="N2840" t="s">
        <v>295</v>
      </c>
    </row>
    <row r="2841" spans="14:14" ht="15" customHeight="1" x14ac:dyDescent="0.25">
      <c r="N2841" t="s">
        <v>254</v>
      </c>
    </row>
    <row r="2842" spans="14:14" ht="15" customHeight="1" x14ac:dyDescent="0.25">
      <c r="N2842" t="s">
        <v>279</v>
      </c>
    </row>
    <row r="2843" spans="14:14" ht="15" customHeight="1" x14ac:dyDescent="0.25">
      <c r="N2843" t="s">
        <v>262</v>
      </c>
    </row>
    <row r="2844" spans="14:14" ht="15" customHeight="1" x14ac:dyDescent="0.25">
      <c r="N2844" t="s">
        <v>295</v>
      </c>
    </row>
    <row r="2845" spans="14:14" ht="15" customHeight="1" x14ac:dyDescent="0.25">
      <c r="N2845" t="s">
        <v>295</v>
      </c>
    </row>
    <row r="2846" spans="14:14" ht="15" customHeight="1" x14ac:dyDescent="0.25">
      <c r="N2846" t="s">
        <v>295</v>
      </c>
    </row>
    <row r="2847" spans="14:14" ht="15" customHeight="1" x14ac:dyDescent="0.25">
      <c r="N2847" t="s">
        <v>295</v>
      </c>
    </row>
    <row r="2848" spans="14:14" ht="15" customHeight="1" x14ac:dyDescent="0.25">
      <c r="N2848" t="s">
        <v>300</v>
      </c>
    </row>
    <row r="2849" spans="14:14" ht="15" customHeight="1" x14ac:dyDescent="0.25">
      <c r="N2849" t="s">
        <v>286</v>
      </c>
    </row>
    <row r="2850" spans="14:14" ht="15" customHeight="1" x14ac:dyDescent="0.25">
      <c r="N2850" t="s">
        <v>295</v>
      </c>
    </row>
    <row r="2851" spans="14:14" ht="15" customHeight="1" x14ac:dyDescent="0.25">
      <c r="N2851" t="s">
        <v>254</v>
      </c>
    </row>
    <row r="2852" spans="14:14" ht="15" customHeight="1" x14ac:dyDescent="0.25">
      <c r="N2852" t="s">
        <v>275</v>
      </c>
    </row>
    <row r="2853" spans="14:14" ht="15" customHeight="1" x14ac:dyDescent="0.25">
      <c r="N2853" t="s">
        <v>248</v>
      </c>
    </row>
    <row r="2854" spans="14:14" ht="15" customHeight="1" x14ac:dyDescent="0.25">
      <c r="N2854" t="s">
        <v>254</v>
      </c>
    </row>
    <row r="2855" spans="14:14" ht="15" customHeight="1" x14ac:dyDescent="0.25">
      <c r="N2855" t="s">
        <v>302</v>
      </c>
    </row>
    <row r="2856" spans="14:14" ht="15" customHeight="1" x14ac:dyDescent="0.25">
      <c r="N2856" t="s">
        <v>302</v>
      </c>
    </row>
    <row r="2857" spans="14:14" ht="15" customHeight="1" x14ac:dyDescent="0.25">
      <c r="N2857" t="s">
        <v>254</v>
      </c>
    </row>
    <row r="2858" spans="14:14" ht="15" customHeight="1" x14ac:dyDescent="0.25">
      <c r="N2858" t="s">
        <v>302</v>
      </c>
    </row>
    <row r="2859" spans="14:14" ht="15" customHeight="1" x14ac:dyDescent="0.25">
      <c r="N2859" t="s">
        <v>301</v>
      </c>
    </row>
    <row r="2860" spans="14:14" ht="15" customHeight="1" x14ac:dyDescent="0.25">
      <c r="N2860" t="s">
        <v>228</v>
      </c>
    </row>
    <row r="2861" spans="14:14" ht="15" customHeight="1" x14ac:dyDescent="0.25">
      <c r="N2861" t="s">
        <v>209</v>
      </c>
    </row>
    <row r="2862" spans="14:14" ht="15" customHeight="1" x14ac:dyDescent="0.25">
      <c r="N2862" t="s">
        <v>254</v>
      </c>
    </row>
    <row r="2863" spans="14:14" ht="15" customHeight="1" x14ac:dyDescent="0.25">
      <c r="N2863" t="s">
        <v>263</v>
      </c>
    </row>
    <row r="2864" spans="14:14" ht="15" customHeight="1" x14ac:dyDescent="0.25">
      <c r="N2864" t="s">
        <v>228</v>
      </c>
    </row>
    <row r="2865" spans="14:14" ht="15" customHeight="1" x14ac:dyDescent="0.25">
      <c r="N2865" t="s">
        <v>303</v>
      </c>
    </row>
    <row r="2866" spans="14:14" ht="15" customHeight="1" x14ac:dyDescent="0.25">
      <c r="N2866" t="s">
        <v>228</v>
      </c>
    </row>
    <row r="2867" spans="14:14" ht="15" customHeight="1" x14ac:dyDescent="0.25">
      <c r="N2867" t="s">
        <v>291</v>
      </c>
    </row>
    <row r="2868" spans="14:14" ht="15" customHeight="1" x14ac:dyDescent="0.25">
      <c r="N2868" t="s">
        <v>261</v>
      </c>
    </row>
    <row r="2869" spans="14:14" ht="15" customHeight="1" x14ac:dyDescent="0.25">
      <c r="N2869" t="s">
        <v>289</v>
      </c>
    </row>
    <row r="2870" spans="14:14" ht="15" customHeight="1" x14ac:dyDescent="0.25">
      <c r="N2870" t="s">
        <v>243</v>
      </c>
    </row>
    <row r="2871" spans="14:14" ht="15" customHeight="1" x14ac:dyDescent="0.25">
      <c r="N2871" t="s">
        <v>255</v>
      </c>
    </row>
    <row r="2872" spans="14:14" ht="15" customHeight="1" x14ac:dyDescent="0.25">
      <c r="N2872" t="s">
        <v>254</v>
      </c>
    </row>
    <row r="2873" spans="14:14" ht="15" customHeight="1" x14ac:dyDescent="0.25">
      <c r="N2873" t="s">
        <v>295</v>
      </c>
    </row>
    <row r="2874" spans="14:14" ht="15" customHeight="1" x14ac:dyDescent="0.25">
      <c r="N2874" t="s">
        <v>254</v>
      </c>
    </row>
    <row r="2875" spans="14:14" ht="15" customHeight="1" x14ac:dyDescent="0.25">
      <c r="N2875" t="s">
        <v>279</v>
      </c>
    </row>
    <row r="2876" spans="14:14" ht="15" customHeight="1" x14ac:dyDescent="0.25">
      <c r="N2876" t="s">
        <v>295</v>
      </c>
    </row>
    <row r="2877" spans="14:14" ht="15" customHeight="1" x14ac:dyDescent="0.25">
      <c r="N2877" t="s">
        <v>295</v>
      </c>
    </row>
    <row r="2878" spans="14:14" ht="15" customHeight="1" x14ac:dyDescent="0.25">
      <c r="N2878" t="s">
        <v>300</v>
      </c>
    </row>
    <row r="2879" spans="14:14" ht="15" customHeight="1" x14ac:dyDescent="0.25">
      <c r="N2879" t="s">
        <v>237</v>
      </c>
    </row>
    <row r="2880" spans="14:14" ht="15" customHeight="1" x14ac:dyDescent="0.25">
      <c r="N2880" t="s">
        <v>271</v>
      </c>
    </row>
    <row r="2881" spans="14:14" ht="15" customHeight="1" x14ac:dyDescent="0.25">
      <c r="N2881" t="s">
        <v>254</v>
      </c>
    </row>
    <row r="2882" spans="14:14" ht="15" customHeight="1" x14ac:dyDescent="0.25">
      <c r="N2882" t="s">
        <v>254</v>
      </c>
    </row>
    <row r="2883" spans="14:14" ht="15" customHeight="1" x14ac:dyDescent="0.25">
      <c r="N2883" t="s">
        <v>307</v>
      </c>
    </row>
    <row r="2884" spans="14:14" ht="15" customHeight="1" x14ac:dyDescent="0.25">
      <c r="N2884" t="s">
        <v>229</v>
      </c>
    </row>
    <row r="2885" spans="14:14" ht="15" customHeight="1" x14ac:dyDescent="0.25">
      <c r="N2885" t="s">
        <v>254</v>
      </c>
    </row>
    <row r="2886" spans="14:14" ht="15" customHeight="1" x14ac:dyDescent="0.25">
      <c r="N2886" t="s">
        <v>303</v>
      </c>
    </row>
    <row r="2887" spans="14:14" ht="15" customHeight="1" x14ac:dyDescent="0.25">
      <c r="N2887" t="s">
        <v>267</v>
      </c>
    </row>
    <row r="2888" spans="14:14" ht="15" customHeight="1" x14ac:dyDescent="0.25">
      <c r="N2888" t="s">
        <v>254</v>
      </c>
    </row>
    <row r="2889" spans="14:14" ht="15" customHeight="1" x14ac:dyDescent="0.25">
      <c r="N2889" t="s">
        <v>289</v>
      </c>
    </row>
    <row r="2890" spans="14:14" ht="15" customHeight="1" x14ac:dyDescent="0.25">
      <c r="N2890" t="s">
        <v>228</v>
      </c>
    </row>
    <row r="2891" spans="14:14" ht="15" customHeight="1" x14ac:dyDescent="0.25">
      <c r="N2891" t="s">
        <v>254</v>
      </c>
    </row>
    <row r="2892" spans="14:14" ht="15" customHeight="1" x14ac:dyDescent="0.25">
      <c r="N2892" t="s">
        <v>295</v>
      </c>
    </row>
    <row r="2893" spans="14:14" ht="15" customHeight="1" x14ac:dyDescent="0.25">
      <c r="N2893" t="s">
        <v>236</v>
      </c>
    </row>
    <row r="2894" spans="14:14" ht="15" customHeight="1" x14ac:dyDescent="0.25">
      <c r="N2894" t="s">
        <v>246</v>
      </c>
    </row>
    <row r="2895" spans="14:14" ht="15" customHeight="1" x14ac:dyDescent="0.25">
      <c r="N2895" t="s">
        <v>297</v>
      </c>
    </row>
    <row r="2896" spans="14:14" ht="15" customHeight="1" x14ac:dyDescent="0.25">
      <c r="N2896" t="s">
        <v>302</v>
      </c>
    </row>
    <row r="2897" spans="14:14" ht="15" customHeight="1" x14ac:dyDescent="0.25">
      <c r="N2897" t="s">
        <v>234</v>
      </c>
    </row>
    <row r="2898" spans="14:14" ht="15" customHeight="1" x14ac:dyDescent="0.25">
      <c r="N2898" t="s">
        <v>294</v>
      </c>
    </row>
    <row r="2899" spans="14:14" ht="15" customHeight="1" x14ac:dyDescent="0.25">
      <c r="N2899" t="s">
        <v>291</v>
      </c>
    </row>
    <row r="2900" spans="14:14" ht="15" customHeight="1" x14ac:dyDescent="0.25">
      <c r="N2900" t="s">
        <v>270</v>
      </c>
    </row>
    <row r="2901" spans="14:14" ht="15" customHeight="1" x14ac:dyDescent="0.25">
      <c r="N2901" t="s">
        <v>257</v>
      </c>
    </row>
    <row r="2902" spans="14:14" ht="15" customHeight="1" x14ac:dyDescent="0.25">
      <c r="N2902" t="s">
        <v>288</v>
      </c>
    </row>
    <row r="2903" spans="14:14" ht="15" customHeight="1" x14ac:dyDescent="0.25">
      <c r="N2903" t="s">
        <v>300</v>
      </c>
    </row>
    <row r="2904" spans="14:14" ht="15" customHeight="1" x14ac:dyDescent="0.25">
      <c r="N2904" t="s">
        <v>233</v>
      </c>
    </row>
    <row r="2905" spans="14:14" ht="15" customHeight="1" x14ac:dyDescent="0.25">
      <c r="N2905" t="s">
        <v>297</v>
      </c>
    </row>
    <row r="2906" spans="14:14" ht="15" customHeight="1" x14ac:dyDescent="0.25">
      <c r="N2906" t="s">
        <v>254</v>
      </c>
    </row>
    <row r="2907" spans="14:14" ht="15" customHeight="1" x14ac:dyDescent="0.25">
      <c r="N2907" t="s">
        <v>301</v>
      </c>
    </row>
    <row r="2908" spans="14:14" ht="15" customHeight="1" x14ac:dyDescent="0.25">
      <c r="N2908" t="s">
        <v>273</v>
      </c>
    </row>
    <row r="2909" spans="14:14" ht="15" customHeight="1" x14ac:dyDescent="0.25">
      <c r="N2909" t="s">
        <v>207</v>
      </c>
    </row>
    <row r="2910" spans="14:14" ht="15" customHeight="1" x14ac:dyDescent="0.25">
      <c r="N2910" t="s">
        <v>299</v>
      </c>
    </row>
    <row r="2911" spans="14:14" ht="15" customHeight="1" x14ac:dyDescent="0.25">
      <c r="N2911" t="s">
        <v>291</v>
      </c>
    </row>
    <row r="2912" spans="14:14" ht="15" customHeight="1" x14ac:dyDescent="0.25">
      <c r="N2912" t="s">
        <v>276</v>
      </c>
    </row>
    <row r="2913" spans="14:14" ht="15" customHeight="1" x14ac:dyDescent="0.25">
      <c r="N2913" t="s">
        <v>282</v>
      </c>
    </row>
    <row r="2914" spans="14:14" ht="15" customHeight="1" x14ac:dyDescent="0.25">
      <c r="N2914" t="s">
        <v>203</v>
      </c>
    </row>
    <row r="2915" spans="14:14" ht="15" customHeight="1" x14ac:dyDescent="0.25">
      <c r="N2915" t="s">
        <v>288</v>
      </c>
    </row>
    <row r="2916" spans="14:14" ht="15" customHeight="1" x14ac:dyDescent="0.25">
      <c r="N2916" t="s">
        <v>300</v>
      </c>
    </row>
    <row r="2917" spans="14:14" ht="15" customHeight="1" x14ac:dyDescent="0.25">
      <c r="N2917" t="s">
        <v>300</v>
      </c>
    </row>
    <row r="2918" spans="14:14" ht="15" customHeight="1" x14ac:dyDescent="0.25">
      <c r="N2918" t="s">
        <v>203</v>
      </c>
    </row>
    <row r="2919" spans="14:14" ht="15" customHeight="1" x14ac:dyDescent="0.25">
      <c r="N2919" t="s">
        <v>207</v>
      </c>
    </row>
    <row r="2920" spans="14:14" ht="15" customHeight="1" x14ac:dyDescent="0.25">
      <c r="N2920" t="s">
        <v>301</v>
      </c>
    </row>
    <row r="2921" spans="14:14" ht="15" customHeight="1" x14ac:dyDescent="0.25">
      <c r="N2921" t="s">
        <v>231</v>
      </c>
    </row>
    <row r="2922" spans="14:14" ht="15" customHeight="1" x14ac:dyDescent="0.25">
      <c r="N2922" t="s">
        <v>228</v>
      </c>
    </row>
    <row r="2923" spans="14:14" ht="15" customHeight="1" x14ac:dyDescent="0.25">
      <c r="N2923" t="s">
        <v>299</v>
      </c>
    </row>
    <row r="2924" spans="14:14" ht="15" customHeight="1" x14ac:dyDescent="0.25">
      <c r="N2924" t="s">
        <v>303</v>
      </c>
    </row>
    <row r="2925" spans="14:14" ht="15" customHeight="1" x14ac:dyDescent="0.25">
      <c r="N2925" t="s">
        <v>282</v>
      </c>
    </row>
    <row r="2926" spans="14:14" ht="15" customHeight="1" x14ac:dyDescent="0.25">
      <c r="N2926" t="s">
        <v>273</v>
      </c>
    </row>
    <row r="2927" spans="14:14" ht="15" customHeight="1" x14ac:dyDescent="0.25">
      <c r="N2927" t="s">
        <v>254</v>
      </c>
    </row>
    <row r="2928" spans="14:14" ht="15" customHeight="1" x14ac:dyDescent="0.25">
      <c r="N2928" t="s">
        <v>228</v>
      </c>
    </row>
    <row r="2929" spans="14:14" ht="15" customHeight="1" x14ac:dyDescent="0.25">
      <c r="N2929" t="s">
        <v>268</v>
      </c>
    </row>
    <row r="2930" spans="14:14" ht="15" customHeight="1" x14ac:dyDescent="0.25">
      <c r="N2930" t="s">
        <v>275</v>
      </c>
    </row>
    <row r="2931" spans="14:14" ht="15" customHeight="1" x14ac:dyDescent="0.25">
      <c r="N2931" t="s">
        <v>203</v>
      </c>
    </row>
    <row r="2932" spans="14:14" ht="15" customHeight="1" x14ac:dyDescent="0.25">
      <c r="N2932" t="s">
        <v>273</v>
      </c>
    </row>
    <row r="2933" spans="14:14" ht="15" customHeight="1" x14ac:dyDescent="0.25">
      <c r="N2933" t="s">
        <v>278</v>
      </c>
    </row>
    <row r="2934" spans="14:14" ht="15" customHeight="1" x14ac:dyDescent="0.25">
      <c r="N2934" t="s">
        <v>303</v>
      </c>
    </row>
    <row r="2935" spans="14:14" ht="15" customHeight="1" x14ac:dyDescent="0.25">
      <c r="N2935" t="s">
        <v>244</v>
      </c>
    </row>
    <row r="2936" spans="14:14" ht="15" customHeight="1" x14ac:dyDescent="0.25">
      <c r="N2936" t="s">
        <v>254</v>
      </c>
    </row>
    <row r="2937" spans="14:14" ht="15" customHeight="1" x14ac:dyDescent="0.25">
      <c r="N2937" t="s">
        <v>231</v>
      </c>
    </row>
    <row r="2938" spans="14:14" ht="15" customHeight="1" x14ac:dyDescent="0.25">
      <c r="N2938" t="s">
        <v>299</v>
      </c>
    </row>
    <row r="2939" spans="14:14" ht="15" customHeight="1" x14ac:dyDescent="0.25">
      <c r="N2939" t="s">
        <v>303</v>
      </c>
    </row>
    <row r="2940" spans="14:14" ht="15" customHeight="1" x14ac:dyDescent="0.25">
      <c r="N2940" t="s">
        <v>260</v>
      </c>
    </row>
    <row r="2941" spans="14:14" ht="15" customHeight="1" x14ac:dyDescent="0.25">
      <c r="N2941" t="s">
        <v>254</v>
      </c>
    </row>
    <row r="2942" spans="14:14" ht="15" customHeight="1" x14ac:dyDescent="0.25">
      <c r="N2942" t="s">
        <v>301</v>
      </c>
    </row>
    <row r="2943" spans="14:14" ht="15" customHeight="1" x14ac:dyDescent="0.25">
      <c r="N2943" t="s">
        <v>273</v>
      </c>
    </row>
    <row r="2944" spans="14:14" ht="15" customHeight="1" x14ac:dyDescent="0.25">
      <c r="N2944" t="s">
        <v>294</v>
      </c>
    </row>
    <row r="2945" spans="14:14" ht="15" customHeight="1" x14ac:dyDescent="0.25">
      <c r="N2945" t="s">
        <v>299</v>
      </c>
    </row>
    <row r="2946" spans="14:14" ht="15" customHeight="1" x14ac:dyDescent="0.25">
      <c r="N2946" t="s">
        <v>303</v>
      </c>
    </row>
    <row r="2947" spans="14:14" ht="15" customHeight="1" x14ac:dyDescent="0.25">
      <c r="N2947" t="s">
        <v>228</v>
      </c>
    </row>
    <row r="2948" spans="14:14" ht="15" customHeight="1" x14ac:dyDescent="0.25">
      <c r="N2948" t="s">
        <v>303</v>
      </c>
    </row>
    <row r="2949" spans="14:14" ht="15" customHeight="1" x14ac:dyDescent="0.25">
      <c r="N2949" t="s">
        <v>228</v>
      </c>
    </row>
    <row r="2950" spans="14:14" ht="15" customHeight="1" x14ac:dyDescent="0.25">
      <c r="N2950" t="s">
        <v>232</v>
      </c>
    </row>
    <row r="2951" spans="14:14" ht="15" customHeight="1" x14ac:dyDescent="0.25">
      <c r="N2951" t="s">
        <v>207</v>
      </c>
    </row>
    <row r="2952" spans="14:14" ht="15" customHeight="1" x14ac:dyDescent="0.25">
      <c r="N2952" t="s">
        <v>299</v>
      </c>
    </row>
    <row r="2953" spans="14:14" ht="15" customHeight="1" x14ac:dyDescent="0.25">
      <c r="N2953" t="s">
        <v>270</v>
      </c>
    </row>
    <row r="2954" spans="14:14" ht="15" customHeight="1" x14ac:dyDescent="0.25">
      <c r="N2954" t="s">
        <v>230</v>
      </c>
    </row>
    <row r="2955" spans="14:14" ht="15" customHeight="1" x14ac:dyDescent="0.25">
      <c r="N2955" t="s">
        <v>257</v>
      </c>
    </row>
    <row r="2956" spans="14:14" ht="15" customHeight="1" x14ac:dyDescent="0.25">
      <c r="N2956" t="s">
        <v>301</v>
      </c>
    </row>
    <row r="2957" spans="14:14" ht="15" customHeight="1" x14ac:dyDescent="0.25">
      <c r="N2957" t="s">
        <v>207</v>
      </c>
    </row>
    <row r="2958" spans="14:14" ht="15" customHeight="1" x14ac:dyDescent="0.25">
      <c r="N2958" t="s">
        <v>231</v>
      </c>
    </row>
    <row r="2959" spans="14:14" ht="15" customHeight="1" x14ac:dyDescent="0.25">
      <c r="N2959" t="s">
        <v>299</v>
      </c>
    </row>
    <row r="2960" spans="14:14" ht="15" customHeight="1" x14ac:dyDescent="0.25">
      <c r="N2960" t="s">
        <v>240</v>
      </c>
    </row>
    <row r="2961" spans="14:14" ht="15" customHeight="1" x14ac:dyDescent="0.25">
      <c r="N2961" t="s">
        <v>294</v>
      </c>
    </row>
    <row r="2962" spans="14:14" ht="15" customHeight="1" x14ac:dyDescent="0.25">
      <c r="N2962" t="s">
        <v>277</v>
      </c>
    </row>
    <row r="2963" spans="14:14" ht="15" customHeight="1" x14ac:dyDescent="0.25">
      <c r="N2963" t="s">
        <v>273</v>
      </c>
    </row>
    <row r="2964" spans="14:14" ht="15" customHeight="1" x14ac:dyDescent="0.25">
      <c r="N2964" t="s">
        <v>207</v>
      </c>
    </row>
    <row r="2965" spans="14:14" ht="15" customHeight="1" x14ac:dyDescent="0.25">
      <c r="N2965" t="s">
        <v>265</v>
      </c>
    </row>
    <row r="2966" spans="14:14" ht="15" customHeight="1" x14ac:dyDescent="0.25">
      <c r="N2966" t="s">
        <v>273</v>
      </c>
    </row>
    <row r="2967" spans="14:14" ht="15" customHeight="1" x14ac:dyDescent="0.25">
      <c r="N2967" t="s">
        <v>207</v>
      </c>
    </row>
    <row r="2968" spans="14:14" ht="15" customHeight="1" x14ac:dyDescent="0.25">
      <c r="N2968" t="s">
        <v>287</v>
      </c>
    </row>
    <row r="2969" spans="14:14" ht="15" customHeight="1" x14ac:dyDescent="0.25">
      <c r="N2969" t="s">
        <v>292</v>
      </c>
    </row>
    <row r="2970" spans="14:14" ht="15" customHeight="1" x14ac:dyDescent="0.25">
      <c r="N2970" t="s">
        <v>207</v>
      </c>
    </row>
    <row r="2971" spans="14:14" ht="15" customHeight="1" x14ac:dyDescent="0.25">
      <c r="N2971" t="s">
        <v>295</v>
      </c>
    </row>
    <row r="2972" spans="14:14" ht="15" customHeight="1" x14ac:dyDescent="0.25">
      <c r="N2972" t="s">
        <v>207</v>
      </c>
    </row>
    <row r="2973" spans="14:14" ht="15" customHeight="1" x14ac:dyDescent="0.25">
      <c r="N2973" t="s">
        <v>294</v>
      </c>
    </row>
    <row r="2974" spans="14:14" ht="15" customHeight="1" x14ac:dyDescent="0.25">
      <c r="N2974" t="s">
        <v>277</v>
      </c>
    </row>
    <row r="2975" spans="14:14" ht="15" customHeight="1" x14ac:dyDescent="0.25">
      <c r="N2975" t="s">
        <v>241</v>
      </c>
    </row>
    <row r="2976" spans="14:14" ht="15" customHeight="1" x14ac:dyDescent="0.25">
      <c r="N2976" t="s">
        <v>207</v>
      </c>
    </row>
    <row r="2977" spans="14:14" ht="15" customHeight="1" x14ac:dyDescent="0.25">
      <c r="N2977" t="s">
        <v>273</v>
      </c>
    </row>
    <row r="2978" spans="14:14" ht="15" customHeight="1" x14ac:dyDescent="0.25">
      <c r="N2978" t="s">
        <v>238</v>
      </c>
    </row>
    <row r="2979" spans="14:14" ht="15" customHeight="1" x14ac:dyDescent="0.25">
      <c r="N2979" t="s">
        <v>273</v>
      </c>
    </row>
    <row r="2980" spans="14:14" ht="15" customHeight="1" x14ac:dyDescent="0.25">
      <c r="N2980" t="s">
        <v>245</v>
      </c>
    </row>
    <row r="2981" spans="14:14" ht="15" customHeight="1" x14ac:dyDescent="0.25">
      <c r="N2981" t="s">
        <v>287</v>
      </c>
    </row>
    <row r="2982" spans="14:14" ht="15" customHeight="1" x14ac:dyDescent="0.25">
      <c r="N2982" t="s">
        <v>250</v>
      </c>
    </row>
    <row r="2983" spans="14:14" ht="15" customHeight="1" x14ac:dyDescent="0.25">
      <c r="N2983" t="s">
        <v>213</v>
      </c>
    </row>
    <row r="2984" spans="14:14" ht="15" customHeight="1" x14ac:dyDescent="0.25">
      <c r="N2984" t="s">
        <v>273</v>
      </c>
    </row>
    <row r="2985" spans="14:14" ht="15" customHeight="1" x14ac:dyDescent="0.25">
      <c r="N2985" t="s">
        <v>273</v>
      </c>
    </row>
    <row r="2986" spans="14:14" ht="15" customHeight="1" x14ac:dyDescent="0.25">
      <c r="N2986" t="s">
        <v>205</v>
      </c>
    </row>
    <row r="2987" spans="14:14" ht="15" customHeight="1" x14ac:dyDescent="0.25">
      <c r="N2987" t="s">
        <v>308</v>
      </c>
    </row>
    <row r="2988" spans="14:14" ht="15" customHeight="1" x14ac:dyDescent="0.25">
      <c r="N2988" t="s">
        <v>207</v>
      </c>
    </row>
    <row r="2989" spans="14:14" ht="15" customHeight="1" x14ac:dyDescent="0.25">
      <c r="N2989" t="s">
        <v>207</v>
      </c>
    </row>
    <row r="2990" spans="14:14" ht="15" customHeight="1" x14ac:dyDescent="0.25">
      <c r="N2990" t="s">
        <v>292</v>
      </c>
    </row>
    <row r="2991" spans="14:14" ht="15" customHeight="1" x14ac:dyDescent="0.25">
      <c r="N2991" t="s">
        <v>228</v>
      </c>
    </row>
    <row r="2992" spans="14:14" ht="15" customHeight="1" x14ac:dyDescent="0.25">
      <c r="N2992" t="s">
        <v>273</v>
      </c>
    </row>
    <row r="2993" spans="14:14" ht="15" customHeight="1" x14ac:dyDescent="0.25">
      <c r="N2993" t="s">
        <v>273</v>
      </c>
    </row>
    <row r="2994" spans="14:14" ht="15" customHeight="1" x14ac:dyDescent="0.25">
      <c r="N2994" t="s">
        <v>207</v>
      </c>
    </row>
    <row r="2995" spans="14:14" ht="15" customHeight="1" x14ac:dyDescent="0.25">
      <c r="N2995" t="s">
        <v>207</v>
      </c>
    </row>
    <row r="2996" spans="14:14" ht="15" customHeight="1" x14ac:dyDescent="0.25">
      <c r="N2996" t="s">
        <v>254</v>
      </c>
    </row>
    <row r="2997" spans="14:14" ht="15" customHeight="1" x14ac:dyDescent="0.25">
      <c r="N2997" t="s">
        <v>303</v>
      </c>
    </row>
    <row r="2998" spans="14:14" ht="15" customHeight="1" x14ac:dyDescent="0.25">
      <c r="N2998" t="s">
        <v>228</v>
      </c>
    </row>
    <row r="2999" spans="14:14" ht="15" customHeight="1" x14ac:dyDescent="0.25">
      <c r="N2999" t="s">
        <v>308</v>
      </c>
    </row>
    <row r="3000" spans="14:14" ht="15" customHeight="1" x14ac:dyDescent="0.25">
      <c r="N3000" t="s">
        <v>228</v>
      </c>
    </row>
    <row r="3001" spans="14:14" ht="15" customHeight="1" x14ac:dyDescent="0.25">
      <c r="N3001" t="s">
        <v>228</v>
      </c>
    </row>
    <row r="3002" spans="14:14" ht="15" customHeight="1" x14ac:dyDescent="0.25">
      <c r="N3002" t="s">
        <v>305</v>
      </c>
    </row>
    <row r="3003" spans="14:14" ht="15" customHeight="1" x14ac:dyDescent="0.25">
      <c r="N3003" t="s">
        <v>298</v>
      </c>
    </row>
    <row r="3004" spans="14:14" ht="15" customHeight="1" x14ac:dyDescent="0.25">
      <c r="N3004" t="s">
        <v>309</v>
      </c>
    </row>
    <row r="3005" spans="14:14" ht="15" customHeight="1" x14ac:dyDescent="0.25">
      <c r="N3005" t="s">
        <v>254</v>
      </c>
    </row>
    <row r="3006" spans="14:14" ht="15" customHeight="1" x14ac:dyDescent="0.25">
      <c r="N3006" t="s">
        <v>273</v>
      </c>
    </row>
    <row r="3007" spans="14:14" ht="15" customHeight="1" x14ac:dyDescent="0.25">
      <c r="N3007" t="s">
        <v>256</v>
      </c>
    </row>
    <row r="3008" spans="14:14" ht="15" customHeight="1" x14ac:dyDescent="0.25">
      <c r="N3008" t="s">
        <v>273</v>
      </c>
    </row>
    <row r="3009" spans="14:14" ht="15" customHeight="1" x14ac:dyDescent="0.25">
      <c r="N3009" t="s">
        <v>228</v>
      </c>
    </row>
    <row r="3010" spans="14:14" ht="15" customHeight="1" x14ac:dyDescent="0.25">
      <c r="N3010" t="s">
        <v>305</v>
      </c>
    </row>
    <row r="3011" spans="14:14" ht="15" customHeight="1" x14ac:dyDescent="0.25">
      <c r="N3011" t="s">
        <v>228</v>
      </c>
    </row>
    <row r="3012" spans="14:14" ht="15" customHeight="1" x14ac:dyDescent="0.25">
      <c r="N3012" t="s">
        <v>305</v>
      </c>
    </row>
    <row r="3013" spans="14:14" ht="15" customHeight="1" x14ac:dyDescent="0.25">
      <c r="N3013" t="s">
        <v>305</v>
      </c>
    </row>
    <row r="3014" spans="14:14" ht="15" customHeight="1" x14ac:dyDescent="0.25">
      <c r="N3014" t="s">
        <v>228</v>
      </c>
    </row>
    <row r="3015" spans="14:14" ht="15" customHeight="1" x14ac:dyDescent="0.25">
      <c r="N3015" t="s">
        <v>295</v>
      </c>
    </row>
    <row r="3016" spans="14:14" ht="15" customHeight="1" x14ac:dyDescent="0.25">
      <c r="N3016" t="s">
        <v>295</v>
      </c>
    </row>
    <row r="3017" spans="14:14" ht="15" customHeight="1" x14ac:dyDescent="0.25">
      <c r="N3017" t="s">
        <v>295</v>
      </c>
    </row>
    <row r="3018" spans="14:14" ht="15" customHeight="1" x14ac:dyDescent="0.25">
      <c r="N3018" t="s">
        <v>298</v>
      </c>
    </row>
    <row r="3019" spans="14:14" ht="15" customHeight="1" x14ac:dyDescent="0.25">
      <c r="N3019" t="s">
        <v>273</v>
      </c>
    </row>
    <row r="3020" spans="14:14" ht="15" customHeight="1" x14ac:dyDescent="0.25">
      <c r="N3020" t="s">
        <v>297</v>
      </c>
    </row>
    <row r="3021" spans="14:14" ht="15" customHeight="1" x14ac:dyDescent="0.25">
      <c r="N3021" t="s">
        <v>207</v>
      </c>
    </row>
    <row r="3022" spans="14:14" ht="15" customHeight="1" x14ac:dyDescent="0.25">
      <c r="N3022" t="s">
        <v>285</v>
      </c>
    </row>
    <row r="3023" spans="14:14" ht="15" customHeight="1" x14ac:dyDescent="0.25">
      <c r="N3023" t="s">
        <v>282</v>
      </c>
    </row>
    <row r="3024" spans="14:14" ht="15" customHeight="1" x14ac:dyDescent="0.25">
      <c r="N3024" t="s">
        <v>205</v>
      </c>
    </row>
    <row r="3025" spans="14:14" ht="15" customHeight="1" x14ac:dyDescent="0.25">
      <c r="N3025" t="s">
        <v>304</v>
      </c>
    </row>
    <row r="3026" spans="14:14" ht="15" customHeight="1" x14ac:dyDescent="0.25">
      <c r="N3026" t="s">
        <v>304</v>
      </c>
    </row>
    <row r="3027" spans="14:14" ht="15" customHeight="1" x14ac:dyDescent="0.25">
      <c r="N3027" t="s">
        <v>304</v>
      </c>
    </row>
    <row r="3028" spans="14:14" ht="15" customHeight="1" x14ac:dyDescent="0.25">
      <c r="N3028" t="s">
        <v>304</v>
      </c>
    </row>
    <row r="3029" spans="14:14" ht="15" customHeight="1" x14ac:dyDescent="0.25">
      <c r="N3029" t="s">
        <v>304</v>
      </c>
    </row>
    <row r="3030" spans="14:14" ht="15" customHeight="1" x14ac:dyDescent="0.25">
      <c r="N3030" t="s">
        <v>207</v>
      </c>
    </row>
    <row r="3031" spans="14:14" ht="15" customHeight="1" x14ac:dyDescent="0.25">
      <c r="N3031" t="s">
        <v>292</v>
      </c>
    </row>
    <row r="3032" spans="14:14" ht="15" customHeight="1" x14ac:dyDescent="0.25">
      <c r="N3032" t="s">
        <v>273</v>
      </c>
    </row>
    <row r="3033" spans="14:14" ht="15" customHeight="1" x14ac:dyDescent="0.25">
      <c r="N3033" t="s">
        <v>207</v>
      </c>
    </row>
    <row r="3034" spans="14:14" ht="15" customHeight="1" x14ac:dyDescent="0.25">
      <c r="N3034" t="s">
        <v>305</v>
      </c>
    </row>
    <row r="3035" spans="14:14" ht="15" customHeight="1" x14ac:dyDescent="0.25">
      <c r="N3035" t="s">
        <v>296</v>
      </c>
    </row>
    <row r="3036" spans="14:14" ht="15" customHeight="1" x14ac:dyDescent="0.25">
      <c r="N3036" t="s">
        <v>259</v>
      </c>
    </row>
    <row r="3037" spans="14:14" ht="15" customHeight="1" x14ac:dyDescent="0.25">
      <c r="N3037" t="s">
        <v>305</v>
      </c>
    </row>
    <row r="3038" spans="14:14" ht="15" customHeight="1" x14ac:dyDescent="0.25">
      <c r="N3038" t="s">
        <v>273</v>
      </c>
    </row>
    <row r="3039" spans="14:14" ht="15" customHeight="1" x14ac:dyDescent="0.25">
      <c r="N3039" t="s">
        <v>256</v>
      </c>
    </row>
    <row r="3040" spans="14:14" ht="15" customHeight="1" x14ac:dyDescent="0.25">
      <c r="N3040" t="s">
        <v>305</v>
      </c>
    </row>
    <row r="3041" spans="14:14" ht="15" customHeight="1" x14ac:dyDescent="0.25">
      <c r="N3041" t="s">
        <v>274</v>
      </c>
    </row>
    <row r="3042" spans="14:14" ht="15" customHeight="1" x14ac:dyDescent="0.25">
      <c r="N3042" t="s">
        <v>305</v>
      </c>
    </row>
    <row r="3043" spans="14:14" ht="15" customHeight="1" x14ac:dyDescent="0.25">
      <c r="N3043" t="s">
        <v>228</v>
      </c>
    </row>
    <row r="3044" spans="14:14" ht="15" customHeight="1" x14ac:dyDescent="0.25">
      <c r="N3044" t="s">
        <v>295</v>
      </c>
    </row>
    <row r="3045" spans="14:14" ht="15" customHeight="1" x14ac:dyDescent="0.25">
      <c r="N3045" t="s">
        <v>273</v>
      </c>
    </row>
    <row r="3046" spans="14:14" ht="15" customHeight="1" x14ac:dyDescent="0.25">
      <c r="N3046" t="s">
        <v>271</v>
      </c>
    </row>
    <row r="3047" spans="14:14" ht="15" customHeight="1" x14ac:dyDescent="0.25">
      <c r="N3047" t="s">
        <v>287</v>
      </c>
    </row>
    <row r="3048" spans="14:14" ht="15" customHeight="1" x14ac:dyDescent="0.25">
      <c r="N3048" t="s">
        <v>298</v>
      </c>
    </row>
    <row r="3049" spans="14:14" ht="15" customHeight="1" x14ac:dyDescent="0.25">
      <c r="N3049" t="s">
        <v>207</v>
      </c>
    </row>
    <row r="3050" spans="14:14" ht="15" customHeight="1" x14ac:dyDescent="0.25">
      <c r="N3050" t="s">
        <v>298</v>
      </c>
    </row>
    <row r="3051" spans="14:14" ht="15" customHeight="1" x14ac:dyDescent="0.25">
      <c r="N3051" t="s">
        <v>308</v>
      </c>
    </row>
    <row r="3052" spans="14:14" ht="15" customHeight="1" x14ac:dyDescent="0.25">
      <c r="N3052" t="s">
        <v>207</v>
      </c>
    </row>
    <row r="3053" spans="14:14" ht="15" customHeight="1" x14ac:dyDescent="0.25">
      <c r="N3053" t="s">
        <v>296</v>
      </c>
    </row>
    <row r="3054" spans="14:14" ht="15" customHeight="1" x14ac:dyDescent="0.25">
      <c r="N3054" t="s">
        <v>228</v>
      </c>
    </row>
    <row r="3055" spans="14:14" ht="15" customHeight="1" x14ac:dyDescent="0.25">
      <c r="N3055" t="s">
        <v>228</v>
      </c>
    </row>
    <row r="3056" spans="14:14" ht="15" customHeight="1" x14ac:dyDescent="0.25">
      <c r="N3056" t="s">
        <v>295</v>
      </c>
    </row>
    <row r="3057" spans="14:14" ht="15" customHeight="1" x14ac:dyDescent="0.25">
      <c r="N3057" t="s">
        <v>286</v>
      </c>
    </row>
    <row r="3058" spans="14:14" ht="15" customHeight="1" x14ac:dyDescent="0.25">
      <c r="N3058" t="s">
        <v>273</v>
      </c>
    </row>
    <row r="3059" spans="14:14" ht="15" customHeight="1" x14ac:dyDescent="0.25">
      <c r="N3059" t="s">
        <v>285</v>
      </c>
    </row>
    <row r="3060" spans="14:14" ht="15" customHeight="1" x14ac:dyDescent="0.25">
      <c r="N3060" t="s">
        <v>285</v>
      </c>
    </row>
    <row r="3061" spans="14:14" ht="15" customHeight="1" x14ac:dyDescent="0.25">
      <c r="N3061" t="s">
        <v>213</v>
      </c>
    </row>
    <row r="3062" spans="14:14" ht="15" customHeight="1" x14ac:dyDescent="0.25">
      <c r="N3062" t="s">
        <v>280</v>
      </c>
    </row>
    <row r="3063" spans="14:14" ht="15" customHeight="1" x14ac:dyDescent="0.25">
      <c r="N3063" t="s">
        <v>298</v>
      </c>
    </row>
    <row r="3064" spans="14:14" ht="15" customHeight="1" x14ac:dyDescent="0.25">
      <c r="N3064" t="s">
        <v>228</v>
      </c>
    </row>
    <row r="3065" spans="14:14" ht="15" customHeight="1" x14ac:dyDescent="0.25">
      <c r="N3065" t="s">
        <v>300</v>
      </c>
    </row>
    <row r="3066" spans="14:14" ht="15" customHeight="1" x14ac:dyDescent="0.25">
      <c r="N3066" t="s">
        <v>285</v>
      </c>
    </row>
    <row r="3067" spans="14:14" ht="15" customHeight="1" x14ac:dyDescent="0.25">
      <c r="N3067" t="s">
        <v>205</v>
      </c>
    </row>
    <row r="3068" spans="14:14" ht="15" customHeight="1" x14ac:dyDescent="0.25">
      <c r="N3068" t="s">
        <v>258</v>
      </c>
    </row>
    <row r="3069" spans="14:14" ht="15" customHeight="1" x14ac:dyDescent="0.25">
      <c r="N3069" t="s">
        <v>274</v>
      </c>
    </row>
    <row r="3070" spans="14:14" ht="15" customHeight="1" x14ac:dyDescent="0.25">
      <c r="N3070" t="s">
        <v>228</v>
      </c>
    </row>
    <row r="3071" spans="14:14" ht="15" customHeight="1" x14ac:dyDescent="0.25">
      <c r="N3071" t="s">
        <v>254</v>
      </c>
    </row>
    <row r="3072" spans="14:14" ht="15" customHeight="1" x14ac:dyDescent="0.25">
      <c r="N3072" t="s">
        <v>280</v>
      </c>
    </row>
    <row r="3073" spans="14:14" ht="15" customHeight="1" x14ac:dyDescent="0.25">
      <c r="N3073" t="s">
        <v>283</v>
      </c>
    </row>
    <row r="3074" spans="14:14" ht="15" customHeight="1" x14ac:dyDescent="0.25">
      <c r="N3074" t="s">
        <v>301</v>
      </c>
    </row>
    <row r="3075" spans="14:14" ht="15" customHeight="1" x14ac:dyDescent="0.25">
      <c r="N3075" t="s">
        <v>228</v>
      </c>
    </row>
    <row r="3076" spans="14:14" ht="15" customHeight="1" x14ac:dyDescent="0.25">
      <c r="N3076" t="s">
        <v>278</v>
      </c>
    </row>
    <row r="3077" spans="14:14" ht="15" customHeight="1" x14ac:dyDescent="0.25">
      <c r="N3077" t="s">
        <v>273</v>
      </c>
    </row>
    <row r="3078" spans="14:14" ht="15" customHeight="1" x14ac:dyDescent="0.25">
      <c r="N3078" t="s">
        <v>280</v>
      </c>
    </row>
    <row r="3079" spans="14:14" ht="15" customHeight="1" x14ac:dyDescent="0.25">
      <c r="N3079" t="s">
        <v>205</v>
      </c>
    </row>
    <row r="3080" spans="14:14" ht="15" customHeight="1" x14ac:dyDescent="0.25">
      <c r="N3080" t="s">
        <v>283</v>
      </c>
    </row>
    <row r="3081" spans="14:14" ht="15" customHeight="1" x14ac:dyDescent="0.25">
      <c r="N3081" t="s">
        <v>280</v>
      </c>
    </row>
    <row r="3082" spans="14:14" ht="15" customHeight="1" x14ac:dyDescent="0.25">
      <c r="N3082" t="s">
        <v>242</v>
      </c>
    </row>
    <row r="3083" spans="14:14" ht="15" customHeight="1" x14ac:dyDescent="0.25">
      <c r="N3083" t="s">
        <v>252</v>
      </c>
    </row>
    <row r="3084" spans="14:14" ht="15" customHeight="1" x14ac:dyDescent="0.25">
      <c r="N3084" t="s">
        <v>228</v>
      </c>
    </row>
    <row r="3085" spans="14:14" ht="15" customHeight="1" x14ac:dyDescent="0.25">
      <c r="N3085" t="s">
        <v>256</v>
      </c>
    </row>
    <row r="3086" spans="14:14" ht="15" customHeight="1" x14ac:dyDescent="0.25">
      <c r="N3086" t="s">
        <v>298</v>
      </c>
    </row>
    <row r="3087" spans="14:14" ht="15" customHeight="1" x14ac:dyDescent="0.25">
      <c r="N3087" t="s">
        <v>207</v>
      </c>
    </row>
    <row r="3088" spans="14:14" ht="15" customHeight="1" x14ac:dyDescent="0.25">
      <c r="N3088" t="s">
        <v>280</v>
      </c>
    </row>
    <row r="3089" spans="14:14" ht="15" customHeight="1" x14ac:dyDescent="0.25">
      <c r="N3089" t="s">
        <v>297</v>
      </c>
    </row>
    <row r="3090" spans="14:14" ht="15" customHeight="1" x14ac:dyDescent="0.25">
      <c r="N3090" t="s">
        <v>283</v>
      </c>
    </row>
    <row r="3091" spans="14:14" ht="15" customHeight="1" x14ac:dyDescent="0.25">
      <c r="N3091" t="s">
        <v>284</v>
      </c>
    </row>
    <row r="3092" spans="14:14" ht="15" customHeight="1" x14ac:dyDescent="0.25">
      <c r="N3092" t="s">
        <v>228</v>
      </c>
    </row>
    <row r="3093" spans="14:14" ht="15" customHeight="1" x14ac:dyDescent="0.25">
      <c r="N3093" t="s">
        <v>228</v>
      </c>
    </row>
    <row r="3094" spans="14:14" ht="15" customHeight="1" x14ac:dyDescent="0.25">
      <c r="N3094" t="s">
        <v>280</v>
      </c>
    </row>
    <row r="3095" spans="14:14" ht="15" customHeight="1" x14ac:dyDescent="0.25">
      <c r="N3095" t="s">
        <v>280</v>
      </c>
    </row>
    <row r="3096" spans="14:14" ht="15" customHeight="1" x14ac:dyDescent="0.25">
      <c r="N3096" t="s">
        <v>284</v>
      </c>
    </row>
    <row r="3097" spans="14:14" ht="15" customHeight="1" x14ac:dyDescent="0.25">
      <c r="N3097" t="s">
        <v>284</v>
      </c>
    </row>
    <row r="3098" spans="14:14" ht="15" customHeight="1" x14ac:dyDescent="0.25">
      <c r="N3098" t="s">
        <v>228</v>
      </c>
    </row>
    <row r="3099" spans="14:14" ht="15" customHeight="1" x14ac:dyDescent="0.25">
      <c r="N3099" t="s">
        <v>305</v>
      </c>
    </row>
    <row r="3100" spans="14:14" ht="15" customHeight="1" x14ac:dyDescent="0.25">
      <c r="N3100" t="s">
        <v>296</v>
      </c>
    </row>
    <row r="3101" spans="14:14" ht="15" customHeight="1" x14ac:dyDescent="0.25">
      <c r="N3101" t="s">
        <v>247</v>
      </c>
    </row>
    <row r="3102" spans="14:14" ht="15" customHeight="1" x14ac:dyDescent="0.25">
      <c r="N3102" t="s">
        <v>228</v>
      </c>
    </row>
    <row r="3103" spans="14:14" ht="15" customHeight="1" x14ac:dyDescent="0.25">
      <c r="N3103" t="s">
        <v>305</v>
      </c>
    </row>
    <row r="3104" spans="14:14" ht="15" customHeight="1" x14ac:dyDescent="0.25">
      <c r="N3104" t="s">
        <v>272</v>
      </c>
    </row>
    <row r="3105" spans="14:14" ht="15" customHeight="1" x14ac:dyDescent="0.25">
      <c r="N3105" t="s">
        <v>305</v>
      </c>
    </row>
    <row r="3106" spans="14:14" ht="15" customHeight="1" x14ac:dyDescent="0.25">
      <c r="N3106" t="s">
        <v>310</v>
      </c>
    </row>
    <row r="3107" spans="14:14" ht="15" customHeight="1" x14ac:dyDescent="0.25">
      <c r="N3107" t="s">
        <v>305</v>
      </c>
    </row>
    <row r="3108" spans="14:14" ht="15" customHeight="1" x14ac:dyDescent="0.25">
      <c r="N3108" t="s">
        <v>302</v>
      </c>
    </row>
    <row r="3109" spans="14:14" ht="15" customHeight="1" x14ac:dyDescent="0.25">
      <c r="N3109" t="s">
        <v>247</v>
      </c>
    </row>
    <row r="3110" spans="14:14" ht="15" customHeight="1" x14ac:dyDescent="0.25">
      <c r="N3110" t="s">
        <v>228</v>
      </c>
    </row>
    <row r="3111" spans="14:14" ht="15" customHeight="1" x14ac:dyDescent="0.25">
      <c r="N3111" t="s">
        <v>305</v>
      </c>
    </row>
    <row r="3112" spans="14:14" ht="15" customHeight="1" x14ac:dyDescent="0.25">
      <c r="N3112" t="s">
        <v>273</v>
      </c>
    </row>
    <row r="3113" spans="14:14" ht="15" customHeight="1" x14ac:dyDescent="0.25">
      <c r="N3113" t="s">
        <v>235</v>
      </c>
    </row>
    <row r="3114" spans="14:14" ht="15" customHeight="1" x14ac:dyDescent="0.25">
      <c r="N3114" t="s">
        <v>305</v>
      </c>
    </row>
    <row r="3115" spans="14:14" ht="15" customHeight="1" x14ac:dyDescent="0.25">
      <c r="N3115" t="s">
        <v>305</v>
      </c>
    </row>
    <row r="3116" spans="14:14" ht="15" customHeight="1" x14ac:dyDescent="0.25">
      <c r="N3116" t="s">
        <v>302</v>
      </c>
    </row>
    <row r="3117" spans="14:14" ht="15" customHeight="1" x14ac:dyDescent="0.25">
      <c r="N3117" t="s">
        <v>256</v>
      </c>
    </row>
    <row r="3118" spans="14:14" ht="15" customHeight="1" x14ac:dyDescent="0.25">
      <c r="N3118" t="s">
        <v>228</v>
      </c>
    </row>
    <row r="3119" spans="14:14" ht="15" customHeight="1" x14ac:dyDescent="0.25">
      <c r="N3119" t="s">
        <v>305</v>
      </c>
    </row>
    <row r="3120" spans="14:14" ht="15" customHeight="1" x14ac:dyDescent="0.25">
      <c r="N3120" t="s">
        <v>296</v>
      </c>
    </row>
    <row r="3121" spans="14:14" ht="15" customHeight="1" x14ac:dyDescent="0.25">
      <c r="N3121" t="s">
        <v>305</v>
      </c>
    </row>
    <row r="3122" spans="14:14" ht="15" customHeight="1" x14ac:dyDescent="0.25">
      <c r="N3122" t="s">
        <v>247</v>
      </c>
    </row>
    <row r="3123" spans="14:14" ht="15" customHeight="1" x14ac:dyDescent="0.25">
      <c r="N3123" t="s">
        <v>207</v>
      </c>
    </row>
    <row r="3124" spans="14:14" ht="15" customHeight="1" x14ac:dyDescent="0.25">
      <c r="N3124" t="s">
        <v>269</v>
      </c>
    </row>
    <row r="3125" spans="14:14" ht="15" customHeight="1" x14ac:dyDescent="0.25">
      <c r="N3125" t="s">
        <v>305</v>
      </c>
    </row>
    <row r="3126" spans="14:14" ht="15" customHeight="1" x14ac:dyDescent="0.25">
      <c r="N3126" t="s">
        <v>228</v>
      </c>
    </row>
    <row r="3127" spans="14:14" ht="15" customHeight="1" x14ac:dyDescent="0.25">
      <c r="N3127" t="s">
        <v>207</v>
      </c>
    </row>
    <row r="3128" spans="14:14" ht="15" customHeight="1" x14ac:dyDescent="0.25">
      <c r="N3128" t="s">
        <v>293</v>
      </c>
    </row>
    <row r="3129" spans="14:14" ht="15" customHeight="1" x14ac:dyDescent="0.25">
      <c r="N3129" t="s">
        <v>305</v>
      </c>
    </row>
    <row r="3130" spans="14:14" ht="15" customHeight="1" x14ac:dyDescent="0.25">
      <c r="N3130" t="s">
        <v>305</v>
      </c>
    </row>
    <row r="3131" spans="14:14" ht="15" customHeight="1" x14ac:dyDescent="0.25">
      <c r="N3131" t="s">
        <v>293</v>
      </c>
    </row>
    <row r="3132" spans="14:14" ht="15" customHeight="1" x14ac:dyDescent="0.25">
      <c r="N3132" t="s">
        <v>293</v>
      </c>
    </row>
    <row r="3133" spans="14:14" ht="15" customHeight="1" x14ac:dyDescent="0.25">
      <c r="N3133" t="s">
        <v>305</v>
      </c>
    </row>
    <row r="3134" spans="14:14" ht="15" customHeight="1" x14ac:dyDescent="0.25">
      <c r="N3134" t="s">
        <v>305</v>
      </c>
    </row>
    <row r="3135" spans="14:14" ht="15" customHeight="1" x14ac:dyDescent="0.25">
      <c r="N3135" t="s">
        <v>297</v>
      </c>
    </row>
    <row r="3136" spans="14:14" ht="15" customHeight="1" x14ac:dyDescent="0.25">
      <c r="N3136" t="s">
        <v>228</v>
      </c>
    </row>
    <row r="3137" spans="14:14" ht="15" customHeight="1" x14ac:dyDescent="0.25">
      <c r="N3137" t="s">
        <v>297</v>
      </c>
    </row>
    <row r="3138" spans="14:14" ht="15" customHeight="1" x14ac:dyDescent="0.25">
      <c r="N3138" t="s">
        <v>305</v>
      </c>
    </row>
    <row r="3139" spans="14:14" ht="15" customHeight="1" x14ac:dyDescent="0.25">
      <c r="N3139" t="s">
        <v>301</v>
      </c>
    </row>
    <row r="3140" spans="14:14" ht="15" customHeight="1" x14ac:dyDescent="0.25">
      <c r="N3140" t="s">
        <v>254</v>
      </c>
    </row>
    <row r="3141" spans="14:14" ht="15" customHeight="1" x14ac:dyDescent="0.25">
      <c r="N3141" t="s">
        <v>254</v>
      </c>
    </row>
    <row r="3142" spans="14:14" ht="15" customHeight="1" x14ac:dyDescent="0.25">
      <c r="N3142" t="s">
        <v>308</v>
      </c>
    </row>
    <row r="3143" spans="14:14" ht="15" customHeight="1" x14ac:dyDescent="0.25">
      <c r="N3143" t="s">
        <v>249</v>
      </c>
    </row>
    <row r="3144" spans="14:14" ht="15" customHeight="1" x14ac:dyDescent="0.25">
      <c r="N3144" t="s">
        <v>254</v>
      </c>
    </row>
    <row r="3145" spans="14:14" ht="15" customHeight="1" x14ac:dyDescent="0.25">
      <c r="N3145" t="s">
        <v>229</v>
      </c>
    </row>
    <row r="3146" spans="14:14" ht="15" customHeight="1" x14ac:dyDescent="0.25">
      <c r="N3146" t="s">
        <v>229</v>
      </c>
    </row>
    <row r="3147" spans="14:14" ht="15" customHeight="1" x14ac:dyDescent="0.25">
      <c r="N3147" t="s">
        <v>229</v>
      </c>
    </row>
    <row r="3148" spans="14:14" ht="15" customHeight="1" x14ac:dyDescent="0.25">
      <c r="N3148" t="s">
        <v>229</v>
      </c>
    </row>
    <row r="3149" spans="14:14" ht="15" customHeight="1" x14ac:dyDescent="0.25">
      <c r="N3149" t="s">
        <v>229</v>
      </c>
    </row>
    <row r="3150" spans="14:14" ht="15" customHeight="1" x14ac:dyDescent="0.25">
      <c r="N3150" t="s">
        <v>209</v>
      </c>
    </row>
    <row r="3151" spans="14:14" ht="15" customHeight="1" x14ac:dyDescent="0.25">
      <c r="N3151" t="s">
        <v>254</v>
      </c>
    </row>
    <row r="3152" spans="14:14" ht="15" customHeight="1" x14ac:dyDescent="0.25">
      <c r="N3152" t="s">
        <v>254</v>
      </c>
    </row>
    <row r="3153" spans="14:14" ht="15" customHeight="1" x14ac:dyDescent="0.25">
      <c r="N3153" t="s">
        <v>254</v>
      </c>
    </row>
    <row r="3154" spans="14:14" ht="15" customHeight="1" x14ac:dyDescent="0.25">
      <c r="N3154" t="s">
        <v>209</v>
      </c>
    </row>
    <row r="3155" spans="14:14" ht="15" customHeight="1" x14ac:dyDescent="0.25">
      <c r="N3155" t="s">
        <v>207</v>
      </c>
    </row>
    <row r="3156" spans="14:14" ht="15" customHeight="1" x14ac:dyDescent="0.25">
      <c r="N3156" t="s">
        <v>254</v>
      </c>
    </row>
    <row r="3157" spans="14:14" ht="15" customHeight="1" x14ac:dyDescent="0.25">
      <c r="N3157" t="s">
        <v>254</v>
      </c>
    </row>
    <row r="3158" spans="14:14" ht="15" customHeight="1" x14ac:dyDescent="0.25">
      <c r="N3158" t="s">
        <v>254</v>
      </c>
    </row>
    <row r="3159" spans="14:14" ht="15" customHeight="1" x14ac:dyDescent="0.25">
      <c r="N3159" t="s">
        <v>311</v>
      </c>
    </row>
    <row r="3160" spans="14:14" ht="15" customHeight="1" x14ac:dyDescent="0.25">
      <c r="N3160" t="s">
        <v>254</v>
      </c>
    </row>
    <row r="3161" spans="14:14" ht="15" customHeight="1" x14ac:dyDescent="0.25">
      <c r="N3161" t="s">
        <v>254</v>
      </c>
    </row>
    <row r="3162" spans="14:14" ht="15" customHeight="1" x14ac:dyDescent="0.25">
      <c r="N3162" t="s">
        <v>254</v>
      </c>
    </row>
    <row r="3163" spans="14:14" ht="15" customHeight="1" x14ac:dyDescent="0.25">
      <c r="N3163" t="s">
        <v>217</v>
      </c>
    </row>
    <row r="3164" spans="14:14" ht="15" customHeight="1" x14ac:dyDescent="0.25">
      <c r="N3164" t="s">
        <v>254</v>
      </c>
    </row>
    <row r="3165" spans="14:14" ht="15" customHeight="1" x14ac:dyDescent="0.25">
      <c r="N3165" t="s">
        <v>258</v>
      </c>
    </row>
    <row r="3166" spans="14:14" ht="15" customHeight="1" x14ac:dyDescent="0.25">
      <c r="N3166" t="s">
        <v>216</v>
      </c>
    </row>
    <row r="3167" spans="14:14" ht="15" customHeight="1" x14ac:dyDescent="0.25">
      <c r="N3167" t="s">
        <v>257</v>
      </c>
    </row>
    <row r="3168" spans="14:14" ht="15" customHeight="1" x14ac:dyDescent="0.25">
      <c r="N3168" t="s">
        <v>264</v>
      </c>
    </row>
    <row r="3169" spans="14:14" ht="15" customHeight="1" x14ac:dyDescent="0.25">
      <c r="N3169" t="s">
        <v>296</v>
      </c>
    </row>
    <row r="3170" spans="14:14" ht="15" customHeight="1" x14ac:dyDescent="0.25">
      <c r="N3170" t="s">
        <v>222</v>
      </c>
    </row>
    <row r="3171" spans="14:14" ht="15" customHeight="1" x14ac:dyDescent="0.25">
      <c r="N3171" t="s">
        <v>221</v>
      </c>
    </row>
    <row r="3172" spans="14:14" ht="15" customHeight="1" x14ac:dyDescent="0.25">
      <c r="N3172" t="s">
        <v>267</v>
      </c>
    </row>
    <row r="3173" spans="14:14" ht="15" customHeight="1" x14ac:dyDescent="0.25">
      <c r="N3173" t="s">
        <v>228</v>
      </c>
    </row>
    <row r="3174" spans="14:14" ht="15" customHeight="1" x14ac:dyDescent="0.25">
      <c r="N3174" t="s">
        <v>308</v>
      </c>
    </row>
    <row r="3175" spans="14:14" ht="15" customHeight="1" x14ac:dyDescent="0.25">
      <c r="N3175" t="s">
        <v>218</v>
      </c>
    </row>
    <row r="3176" spans="14:14" ht="15" customHeight="1" x14ac:dyDescent="0.25">
      <c r="N3176" t="s">
        <v>280</v>
      </c>
    </row>
    <row r="3177" spans="14:14" ht="15" customHeight="1" x14ac:dyDescent="0.25">
      <c r="N3177" t="s">
        <v>312</v>
      </c>
    </row>
    <row r="3178" spans="14:14" ht="15" customHeight="1" x14ac:dyDescent="0.25">
      <c r="N3178" t="s">
        <v>265</v>
      </c>
    </row>
    <row r="3179" spans="14:14" ht="15" customHeight="1" x14ac:dyDescent="0.25">
      <c r="N3179" t="s">
        <v>308</v>
      </c>
    </row>
    <row r="3180" spans="14:14" ht="15" customHeight="1" x14ac:dyDescent="0.25">
      <c r="N3180" t="s">
        <v>254</v>
      </c>
    </row>
    <row r="3181" spans="14:14" ht="15" customHeight="1" x14ac:dyDescent="0.25">
      <c r="N3181" t="s">
        <v>289</v>
      </c>
    </row>
    <row r="3182" spans="14:14" ht="15" customHeight="1" x14ac:dyDescent="0.25">
      <c r="N3182" t="s">
        <v>273</v>
      </c>
    </row>
    <row r="3183" spans="14:14" ht="15" customHeight="1" x14ac:dyDescent="0.25">
      <c r="N3183" t="s">
        <v>249</v>
      </c>
    </row>
    <row r="3184" spans="14:14" ht="15" customHeight="1" x14ac:dyDescent="0.25">
      <c r="N3184" t="s">
        <v>226</v>
      </c>
    </row>
    <row r="3185" spans="14:14" ht="15" customHeight="1" x14ac:dyDescent="0.25">
      <c r="N3185" t="s">
        <v>228</v>
      </c>
    </row>
    <row r="3186" spans="14:14" ht="15" customHeight="1" x14ac:dyDescent="0.25">
      <c r="N3186" t="s">
        <v>288</v>
      </c>
    </row>
    <row r="3187" spans="14:14" ht="15" customHeight="1" x14ac:dyDescent="0.25">
      <c r="N3187" t="s">
        <v>228</v>
      </c>
    </row>
    <row r="3188" spans="14:14" ht="15" customHeight="1" x14ac:dyDescent="0.25">
      <c r="N3188" t="s">
        <v>228</v>
      </c>
    </row>
    <row r="3189" spans="14:14" ht="15" customHeight="1" x14ac:dyDescent="0.25">
      <c r="N3189" t="s">
        <v>228</v>
      </c>
    </row>
    <row r="3190" spans="14:14" ht="15" customHeight="1" x14ac:dyDescent="0.25">
      <c r="N3190" t="s">
        <v>254</v>
      </c>
    </row>
    <row r="3191" spans="14:14" ht="15" customHeight="1" x14ac:dyDescent="0.25">
      <c r="N3191" t="s">
        <v>295</v>
      </c>
    </row>
    <row r="3192" spans="14:14" ht="15" customHeight="1" x14ac:dyDescent="0.25">
      <c r="N3192" t="s">
        <v>295</v>
      </c>
    </row>
    <row r="3193" spans="14:14" ht="15" customHeight="1" x14ac:dyDescent="0.25">
      <c r="N3193" t="s">
        <v>254</v>
      </c>
    </row>
    <row r="3194" spans="14:14" ht="15" customHeight="1" x14ac:dyDescent="0.25">
      <c r="N3194" t="s">
        <v>295</v>
      </c>
    </row>
    <row r="3195" spans="14:14" ht="15" customHeight="1" x14ac:dyDescent="0.25">
      <c r="N3195" t="s">
        <v>295</v>
      </c>
    </row>
    <row r="3196" spans="14:14" ht="15" customHeight="1" x14ac:dyDescent="0.25">
      <c r="N3196" t="s">
        <v>262</v>
      </c>
    </row>
    <row r="3197" spans="14:14" ht="15" customHeight="1" x14ac:dyDescent="0.25">
      <c r="N3197" t="s">
        <v>295</v>
      </c>
    </row>
    <row r="3198" spans="14:14" ht="15" customHeight="1" x14ac:dyDescent="0.25">
      <c r="N3198" t="s">
        <v>295</v>
      </c>
    </row>
    <row r="3199" spans="14:14" ht="15" customHeight="1" x14ac:dyDescent="0.25">
      <c r="N3199" t="s">
        <v>279</v>
      </c>
    </row>
    <row r="3200" spans="14:14" ht="15" customHeight="1" x14ac:dyDescent="0.25">
      <c r="N3200" t="s">
        <v>268</v>
      </c>
    </row>
    <row r="3201" spans="14:14" ht="15" customHeight="1" x14ac:dyDescent="0.25">
      <c r="N3201" t="s">
        <v>300</v>
      </c>
    </row>
    <row r="3202" spans="14:14" ht="15" customHeight="1" x14ac:dyDescent="0.25">
      <c r="N3202" t="s">
        <v>286</v>
      </c>
    </row>
    <row r="3203" spans="14:14" ht="15" customHeight="1" x14ac:dyDescent="0.25">
      <c r="N3203" t="s">
        <v>295</v>
      </c>
    </row>
    <row r="3204" spans="14:14" ht="15" customHeight="1" x14ac:dyDescent="0.25">
      <c r="N3204" t="s">
        <v>254</v>
      </c>
    </row>
    <row r="3205" spans="14:14" ht="15" customHeight="1" x14ac:dyDescent="0.25">
      <c r="N3205" t="s">
        <v>302</v>
      </c>
    </row>
    <row r="3206" spans="14:14" ht="15" customHeight="1" x14ac:dyDescent="0.25">
      <c r="N3206" t="s">
        <v>302</v>
      </c>
    </row>
    <row r="3207" spans="14:14" ht="15" customHeight="1" x14ac:dyDescent="0.25">
      <c r="N3207" t="s">
        <v>254</v>
      </c>
    </row>
    <row r="3208" spans="14:14" ht="15" customHeight="1" x14ac:dyDescent="0.25">
      <c r="N3208" t="s">
        <v>301</v>
      </c>
    </row>
    <row r="3209" spans="14:14" ht="15" customHeight="1" x14ac:dyDescent="0.25">
      <c r="N3209" t="s">
        <v>210</v>
      </c>
    </row>
    <row r="3210" spans="14:14" ht="15" customHeight="1" x14ac:dyDescent="0.25">
      <c r="N3210" t="s">
        <v>254</v>
      </c>
    </row>
    <row r="3211" spans="14:14" ht="15" customHeight="1" x14ac:dyDescent="0.25">
      <c r="N3211" t="s">
        <v>313</v>
      </c>
    </row>
    <row r="3212" spans="14:14" ht="15" customHeight="1" x14ac:dyDescent="0.25">
      <c r="N3212" t="s">
        <v>313</v>
      </c>
    </row>
    <row r="3213" spans="14:14" ht="15" customHeight="1" x14ac:dyDescent="0.25">
      <c r="N3213" t="s">
        <v>313</v>
      </c>
    </row>
    <row r="3214" spans="14:14" ht="15" customHeight="1" x14ac:dyDescent="0.25">
      <c r="N3214" t="s">
        <v>313</v>
      </c>
    </row>
    <row r="3215" spans="14:14" ht="15" customHeight="1" x14ac:dyDescent="0.25">
      <c r="N3215" t="s">
        <v>313</v>
      </c>
    </row>
    <row r="3216" spans="14:14" ht="15" customHeight="1" x14ac:dyDescent="0.25">
      <c r="N3216" t="s">
        <v>209</v>
      </c>
    </row>
    <row r="3217" spans="14:14" ht="15" customHeight="1" x14ac:dyDescent="0.25">
      <c r="N3217" t="s">
        <v>254</v>
      </c>
    </row>
    <row r="3218" spans="14:14" ht="15" customHeight="1" x14ac:dyDescent="0.25">
      <c r="N3218" t="s">
        <v>254</v>
      </c>
    </row>
    <row r="3219" spans="14:14" ht="15" customHeight="1" x14ac:dyDescent="0.25">
      <c r="N3219" t="s">
        <v>211</v>
      </c>
    </row>
    <row r="3220" spans="14:14" ht="15" customHeight="1" x14ac:dyDescent="0.25">
      <c r="N3220" t="s">
        <v>251</v>
      </c>
    </row>
    <row r="3221" spans="14:14" ht="15" customHeight="1" x14ac:dyDescent="0.25">
      <c r="N3221" t="s">
        <v>254</v>
      </c>
    </row>
    <row r="3222" spans="14:14" ht="15" customHeight="1" x14ac:dyDescent="0.25">
      <c r="N3222" t="s">
        <v>254</v>
      </c>
    </row>
    <row r="3223" spans="14:14" ht="15" customHeight="1" x14ac:dyDescent="0.25">
      <c r="N3223" t="s">
        <v>228</v>
      </c>
    </row>
    <row r="3224" spans="14:14" ht="15" customHeight="1" x14ac:dyDescent="0.25">
      <c r="N3224" t="s">
        <v>303</v>
      </c>
    </row>
    <row r="3225" spans="14:14" ht="15" customHeight="1" x14ac:dyDescent="0.25">
      <c r="N3225" t="s">
        <v>228</v>
      </c>
    </row>
    <row r="3226" spans="14:14" ht="15" customHeight="1" x14ac:dyDescent="0.25">
      <c r="N3226" t="s">
        <v>264</v>
      </c>
    </row>
    <row r="3227" spans="14:14" ht="15" customHeight="1" x14ac:dyDescent="0.25">
      <c r="N3227" t="s">
        <v>291</v>
      </c>
    </row>
    <row r="3228" spans="14:14" ht="15" customHeight="1" x14ac:dyDescent="0.25">
      <c r="N3228" t="s">
        <v>239</v>
      </c>
    </row>
    <row r="3229" spans="14:14" ht="15" customHeight="1" x14ac:dyDescent="0.25">
      <c r="N3229" t="s">
        <v>228</v>
      </c>
    </row>
    <row r="3230" spans="14:14" ht="15" customHeight="1" x14ac:dyDescent="0.25">
      <c r="N3230" t="s">
        <v>304</v>
      </c>
    </row>
    <row r="3231" spans="14:14" ht="15" customHeight="1" x14ac:dyDescent="0.25">
      <c r="N3231" t="s">
        <v>228</v>
      </c>
    </row>
    <row r="3232" spans="14:14" ht="15" customHeight="1" x14ac:dyDescent="0.25">
      <c r="N3232" t="s">
        <v>276</v>
      </c>
    </row>
    <row r="3233" spans="14:14" ht="15" customHeight="1" x14ac:dyDescent="0.25">
      <c r="N3233" t="s">
        <v>254</v>
      </c>
    </row>
    <row r="3234" spans="14:14" ht="15" customHeight="1" x14ac:dyDescent="0.25">
      <c r="N3234" t="s">
        <v>254</v>
      </c>
    </row>
    <row r="3235" spans="14:14" ht="15" customHeight="1" x14ac:dyDescent="0.25">
      <c r="N3235" t="s">
        <v>289</v>
      </c>
    </row>
    <row r="3236" spans="14:14" ht="15" customHeight="1" x14ac:dyDescent="0.25">
      <c r="N3236" t="s">
        <v>254</v>
      </c>
    </row>
    <row r="3237" spans="14:14" ht="15" customHeight="1" x14ac:dyDescent="0.25">
      <c r="N3237" t="s">
        <v>269</v>
      </c>
    </row>
    <row r="3238" spans="14:14" ht="15" customHeight="1" x14ac:dyDescent="0.25">
      <c r="N3238" t="s">
        <v>228</v>
      </c>
    </row>
    <row r="3239" spans="14:14" ht="15" customHeight="1" x14ac:dyDescent="0.25">
      <c r="N3239" t="s">
        <v>288</v>
      </c>
    </row>
    <row r="3240" spans="14:14" ht="15" customHeight="1" x14ac:dyDescent="0.25">
      <c r="N3240" t="s">
        <v>253</v>
      </c>
    </row>
    <row r="3241" spans="14:14" ht="15" customHeight="1" x14ac:dyDescent="0.25">
      <c r="N3241" t="s">
        <v>254</v>
      </c>
    </row>
    <row r="3242" spans="14:14" ht="15" customHeight="1" x14ac:dyDescent="0.25">
      <c r="N3242" t="s">
        <v>295</v>
      </c>
    </row>
    <row r="3243" spans="14:14" ht="15" customHeight="1" x14ac:dyDescent="0.25">
      <c r="N3243" t="s">
        <v>254</v>
      </c>
    </row>
    <row r="3244" spans="14:14" ht="15" customHeight="1" x14ac:dyDescent="0.25">
      <c r="N3244" t="s">
        <v>279</v>
      </c>
    </row>
    <row r="3245" spans="14:14" ht="15" customHeight="1" x14ac:dyDescent="0.25">
      <c r="N3245" t="s">
        <v>262</v>
      </c>
    </row>
    <row r="3246" spans="14:14" ht="15" customHeight="1" x14ac:dyDescent="0.25">
      <c r="N3246" t="s">
        <v>295</v>
      </c>
    </row>
    <row r="3247" spans="14:14" ht="15" customHeight="1" x14ac:dyDescent="0.25">
      <c r="N3247" t="s">
        <v>295</v>
      </c>
    </row>
    <row r="3248" spans="14:14" ht="15" customHeight="1" x14ac:dyDescent="0.25">
      <c r="N3248" t="s">
        <v>295</v>
      </c>
    </row>
    <row r="3249" spans="14:14" ht="15" customHeight="1" x14ac:dyDescent="0.25">
      <c r="N3249" t="s">
        <v>295</v>
      </c>
    </row>
    <row r="3250" spans="14:14" ht="15" customHeight="1" x14ac:dyDescent="0.25">
      <c r="N3250" t="s">
        <v>300</v>
      </c>
    </row>
    <row r="3251" spans="14:14" ht="15" customHeight="1" x14ac:dyDescent="0.25">
      <c r="N3251" t="s">
        <v>286</v>
      </c>
    </row>
    <row r="3252" spans="14:14" ht="15" customHeight="1" x14ac:dyDescent="0.25">
      <c r="N3252" t="s">
        <v>295</v>
      </c>
    </row>
    <row r="3253" spans="14:14" ht="15" customHeight="1" x14ac:dyDescent="0.25">
      <c r="N3253" t="s">
        <v>254</v>
      </c>
    </row>
    <row r="3254" spans="14:14" ht="15" customHeight="1" x14ac:dyDescent="0.25">
      <c r="N3254" t="s">
        <v>275</v>
      </c>
    </row>
    <row r="3255" spans="14:14" ht="15" customHeight="1" x14ac:dyDescent="0.25">
      <c r="N3255" t="s">
        <v>248</v>
      </c>
    </row>
    <row r="3256" spans="14:14" ht="15" customHeight="1" x14ac:dyDescent="0.25">
      <c r="N3256" t="s">
        <v>254</v>
      </c>
    </row>
    <row r="3257" spans="14:14" ht="15" customHeight="1" x14ac:dyDescent="0.25">
      <c r="N3257" t="s">
        <v>302</v>
      </c>
    </row>
    <row r="3258" spans="14:14" ht="15" customHeight="1" x14ac:dyDescent="0.25">
      <c r="N3258" t="s">
        <v>302</v>
      </c>
    </row>
    <row r="3259" spans="14:14" ht="15" customHeight="1" x14ac:dyDescent="0.25">
      <c r="N3259" t="s">
        <v>254</v>
      </c>
    </row>
    <row r="3260" spans="14:14" ht="15" customHeight="1" x14ac:dyDescent="0.25">
      <c r="N3260" t="s">
        <v>302</v>
      </c>
    </row>
    <row r="3261" spans="14:14" ht="15" customHeight="1" x14ac:dyDescent="0.25">
      <c r="N3261" t="s">
        <v>301</v>
      </c>
    </row>
    <row r="3262" spans="14:14" ht="15" customHeight="1" x14ac:dyDescent="0.25">
      <c r="N3262" t="s">
        <v>228</v>
      </c>
    </row>
    <row r="3263" spans="14:14" ht="15" customHeight="1" x14ac:dyDescent="0.25">
      <c r="N3263" t="s">
        <v>209</v>
      </c>
    </row>
    <row r="3264" spans="14:14" ht="15" customHeight="1" x14ac:dyDescent="0.25">
      <c r="N3264" t="s">
        <v>254</v>
      </c>
    </row>
    <row r="3265" spans="14:14" ht="15" customHeight="1" x14ac:dyDescent="0.25">
      <c r="N3265" t="s">
        <v>263</v>
      </c>
    </row>
    <row r="3266" spans="14:14" ht="15" customHeight="1" x14ac:dyDescent="0.25">
      <c r="N3266" t="s">
        <v>228</v>
      </c>
    </row>
    <row r="3267" spans="14:14" ht="15" customHeight="1" x14ac:dyDescent="0.25">
      <c r="N3267" t="s">
        <v>303</v>
      </c>
    </row>
    <row r="3268" spans="14:14" ht="15" customHeight="1" x14ac:dyDescent="0.25">
      <c r="N3268" t="s">
        <v>228</v>
      </c>
    </row>
    <row r="3269" spans="14:14" ht="15" customHeight="1" x14ac:dyDescent="0.25">
      <c r="N3269" t="s">
        <v>291</v>
      </c>
    </row>
    <row r="3270" spans="14:14" ht="15" customHeight="1" x14ac:dyDescent="0.25">
      <c r="N3270" t="s">
        <v>261</v>
      </c>
    </row>
    <row r="3271" spans="14:14" ht="15" customHeight="1" x14ac:dyDescent="0.25">
      <c r="N3271" t="s">
        <v>289</v>
      </c>
    </row>
    <row r="3272" spans="14:14" ht="15" customHeight="1" x14ac:dyDescent="0.25">
      <c r="N3272" t="s">
        <v>243</v>
      </c>
    </row>
    <row r="3273" spans="14:14" ht="15" customHeight="1" x14ac:dyDescent="0.25">
      <c r="N3273" t="s">
        <v>255</v>
      </c>
    </row>
    <row r="3274" spans="14:14" ht="15" customHeight="1" x14ac:dyDescent="0.25">
      <c r="N3274" t="s">
        <v>254</v>
      </c>
    </row>
    <row r="3275" spans="14:14" ht="15" customHeight="1" x14ac:dyDescent="0.25">
      <c r="N3275" t="s">
        <v>295</v>
      </c>
    </row>
    <row r="3276" spans="14:14" ht="15" customHeight="1" x14ac:dyDescent="0.25">
      <c r="N3276" t="s">
        <v>254</v>
      </c>
    </row>
    <row r="3277" spans="14:14" ht="15" customHeight="1" x14ac:dyDescent="0.25">
      <c r="N3277" t="s">
        <v>279</v>
      </c>
    </row>
    <row r="3278" spans="14:14" ht="15" customHeight="1" x14ac:dyDescent="0.25">
      <c r="N3278" t="s">
        <v>295</v>
      </c>
    </row>
    <row r="3279" spans="14:14" ht="15" customHeight="1" x14ac:dyDescent="0.25">
      <c r="N3279" t="s">
        <v>295</v>
      </c>
    </row>
    <row r="3280" spans="14:14" ht="15" customHeight="1" x14ac:dyDescent="0.25">
      <c r="N3280" t="s">
        <v>300</v>
      </c>
    </row>
    <row r="3281" spans="14:14" ht="15" customHeight="1" x14ac:dyDescent="0.25">
      <c r="N3281" t="s">
        <v>237</v>
      </c>
    </row>
    <row r="3282" spans="14:14" ht="15" customHeight="1" x14ac:dyDescent="0.25">
      <c r="N3282" t="s">
        <v>271</v>
      </c>
    </row>
    <row r="3283" spans="14:14" ht="15" customHeight="1" x14ac:dyDescent="0.25">
      <c r="N3283" t="s">
        <v>254</v>
      </c>
    </row>
    <row r="3284" spans="14:14" ht="15" customHeight="1" x14ac:dyDescent="0.25">
      <c r="N3284" t="s">
        <v>254</v>
      </c>
    </row>
    <row r="3285" spans="14:14" ht="15" customHeight="1" x14ac:dyDescent="0.25">
      <c r="N3285" t="s">
        <v>307</v>
      </c>
    </row>
    <row r="3286" spans="14:14" ht="15" customHeight="1" x14ac:dyDescent="0.25">
      <c r="N3286" t="s">
        <v>229</v>
      </c>
    </row>
    <row r="3287" spans="14:14" ht="15" customHeight="1" x14ac:dyDescent="0.25">
      <c r="N3287" t="s">
        <v>254</v>
      </c>
    </row>
    <row r="3288" spans="14:14" ht="15" customHeight="1" x14ac:dyDescent="0.25">
      <c r="N3288" t="s">
        <v>303</v>
      </c>
    </row>
    <row r="3289" spans="14:14" ht="15" customHeight="1" x14ac:dyDescent="0.25">
      <c r="N3289" t="s">
        <v>267</v>
      </c>
    </row>
    <row r="3290" spans="14:14" ht="15" customHeight="1" x14ac:dyDescent="0.25">
      <c r="N3290" t="s">
        <v>254</v>
      </c>
    </row>
    <row r="3291" spans="14:14" ht="15" customHeight="1" x14ac:dyDescent="0.25">
      <c r="N3291" t="s">
        <v>289</v>
      </c>
    </row>
    <row r="3292" spans="14:14" ht="15" customHeight="1" x14ac:dyDescent="0.25">
      <c r="N3292" t="s">
        <v>228</v>
      </c>
    </row>
    <row r="3293" spans="14:14" ht="15" customHeight="1" x14ac:dyDescent="0.25">
      <c r="N3293" t="s">
        <v>254</v>
      </c>
    </row>
    <row r="3294" spans="14:14" ht="15" customHeight="1" x14ac:dyDescent="0.25">
      <c r="N3294" t="s">
        <v>295</v>
      </c>
    </row>
    <row r="3295" spans="14:14" ht="15" customHeight="1" x14ac:dyDescent="0.25">
      <c r="N3295" t="s">
        <v>236</v>
      </c>
    </row>
    <row r="3296" spans="14:14" ht="15" customHeight="1" x14ac:dyDescent="0.25">
      <c r="N3296" t="s">
        <v>246</v>
      </c>
    </row>
    <row r="3297" spans="14:14" ht="15" customHeight="1" x14ac:dyDescent="0.25">
      <c r="N3297" t="s">
        <v>297</v>
      </c>
    </row>
    <row r="3298" spans="14:14" ht="15" customHeight="1" x14ac:dyDescent="0.25">
      <c r="N3298" t="s">
        <v>302</v>
      </c>
    </row>
    <row r="3299" spans="14:14" ht="15" customHeight="1" x14ac:dyDescent="0.25">
      <c r="N3299" t="s">
        <v>234</v>
      </c>
    </row>
    <row r="3300" spans="14:14" ht="15" customHeight="1" x14ac:dyDescent="0.25">
      <c r="N3300" t="s">
        <v>294</v>
      </c>
    </row>
    <row r="3301" spans="14:14" ht="15" customHeight="1" x14ac:dyDescent="0.25">
      <c r="N3301" t="s">
        <v>291</v>
      </c>
    </row>
    <row r="3302" spans="14:14" ht="15" customHeight="1" x14ac:dyDescent="0.25">
      <c r="N3302" t="s">
        <v>270</v>
      </c>
    </row>
    <row r="3303" spans="14:14" ht="15" customHeight="1" x14ac:dyDescent="0.25">
      <c r="N3303" t="s">
        <v>257</v>
      </c>
    </row>
    <row r="3304" spans="14:14" ht="15" customHeight="1" x14ac:dyDescent="0.25">
      <c r="N3304" t="s">
        <v>288</v>
      </c>
    </row>
    <row r="3305" spans="14:14" ht="15" customHeight="1" x14ac:dyDescent="0.25">
      <c r="N3305" t="s">
        <v>300</v>
      </c>
    </row>
    <row r="3306" spans="14:14" ht="15" customHeight="1" x14ac:dyDescent="0.25">
      <c r="N3306" t="s">
        <v>233</v>
      </c>
    </row>
    <row r="3307" spans="14:14" ht="15" customHeight="1" x14ac:dyDescent="0.25">
      <c r="N3307" t="s">
        <v>297</v>
      </c>
    </row>
    <row r="3308" spans="14:14" ht="15" customHeight="1" x14ac:dyDescent="0.25">
      <c r="N3308" t="s">
        <v>254</v>
      </c>
    </row>
    <row r="3309" spans="14:14" ht="15" customHeight="1" x14ac:dyDescent="0.25">
      <c r="N3309" t="s">
        <v>301</v>
      </c>
    </row>
    <row r="3310" spans="14:14" ht="15" customHeight="1" x14ac:dyDescent="0.25">
      <c r="N3310" t="s">
        <v>273</v>
      </c>
    </row>
    <row r="3311" spans="14:14" ht="15" customHeight="1" x14ac:dyDescent="0.25">
      <c r="N3311" t="s">
        <v>207</v>
      </c>
    </row>
    <row r="3312" spans="14:14" ht="15" customHeight="1" x14ac:dyDescent="0.25">
      <c r="N3312" t="s">
        <v>299</v>
      </c>
    </row>
    <row r="3313" spans="14:14" ht="15" customHeight="1" x14ac:dyDescent="0.25">
      <c r="N3313" t="s">
        <v>291</v>
      </c>
    </row>
    <row r="3314" spans="14:14" ht="15" customHeight="1" x14ac:dyDescent="0.25">
      <c r="N3314" t="s">
        <v>276</v>
      </c>
    </row>
    <row r="3315" spans="14:14" ht="15" customHeight="1" x14ac:dyDescent="0.25">
      <c r="N3315" t="s">
        <v>282</v>
      </c>
    </row>
    <row r="3316" spans="14:14" ht="15" customHeight="1" x14ac:dyDescent="0.25">
      <c r="N3316" t="s">
        <v>203</v>
      </c>
    </row>
    <row r="3317" spans="14:14" ht="15" customHeight="1" x14ac:dyDescent="0.25">
      <c r="N3317" t="s">
        <v>288</v>
      </c>
    </row>
    <row r="3318" spans="14:14" ht="15" customHeight="1" x14ac:dyDescent="0.25">
      <c r="N3318" t="s">
        <v>300</v>
      </c>
    </row>
    <row r="3319" spans="14:14" ht="15" customHeight="1" x14ac:dyDescent="0.25">
      <c r="N3319" t="s">
        <v>300</v>
      </c>
    </row>
    <row r="3320" spans="14:14" ht="15" customHeight="1" x14ac:dyDescent="0.25">
      <c r="N3320" t="s">
        <v>203</v>
      </c>
    </row>
    <row r="3321" spans="14:14" ht="15" customHeight="1" x14ac:dyDescent="0.25">
      <c r="N3321" t="s">
        <v>207</v>
      </c>
    </row>
    <row r="3322" spans="14:14" ht="15" customHeight="1" x14ac:dyDescent="0.25">
      <c r="N3322" t="s">
        <v>301</v>
      </c>
    </row>
    <row r="3323" spans="14:14" ht="15" customHeight="1" x14ac:dyDescent="0.25">
      <c r="N3323" t="s">
        <v>231</v>
      </c>
    </row>
    <row r="3324" spans="14:14" ht="15" customHeight="1" x14ac:dyDescent="0.25">
      <c r="N3324" t="s">
        <v>228</v>
      </c>
    </row>
    <row r="3325" spans="14:14" ht="15" customHeight="1" x14ac:dyDescent="0.25">
      <c r="N3325" t="s">
        <v>299</v>
      </c>
    </row>
    <row r="3326" spans="14:14" ht="15" customHeight="1" x14ac:dyDescent="0.25">
      <c r="N3326" t="s">
        <v>303</v>
      </c>
    </row>
    <row r="3327" spans="14:14" ht="15" customHeight="1" x14ac:dyDescent="0.25">
      <c r="N3327" t="s">
        <v>282</v>
      </c>
    </row>
    <row r="3328" spans="14:14" ht="15" customHeight="1" x14ac:dyDescent="0.25">
      <c r="N3328" t="s">
        <v>273</v>
      </c>
    </row>
    <row r="3329" spans="14:14" ht="15" customHeight="1" x14ac:dyDescent="0.25">
      <c r="N3329" t="s">
        <v>254</v>
      </c>
    </row>
    <row r="3330" spans="14:14" ht="15" customHeight="1" x14ac:dyDescent="0.25">
      <c r="N3330" t="s">
        <v>228</v>
      </c>
    </row>
    <row r="3331" spans="14:14" ht="15" customHeight="1" x14ac:dyDescent="0.25">
      <c r="N3331" t="s">
        <v>268</v>
      </c>
    </row>
    <row r="3332" spans="14:14" ht="15" customHeight="1" x14ac:dyDescent="0.25">
      <c r="N3332" t="s">
        <v>275</v>
      </c>
    </row>
    <row r="3333" spans="14:14" ht="15" customHeight="1" x14ac:dyDescent="0.25">
      <c r="N3333" t="s">
        <v>203</v>
      </c>
    </row>
    <row r="3334" spans="14:14" ht="15" customHeight="1" x14ac:dyDescent="0.25">
      <c r="N3334" t="s">
        <v>273</v>
      </c>
    </row>
    <row r="3335" spans="14:14" ht="15" customHeight="1" x14ac:dyDescent="0.25">
      <c r="N3335" t="s">
        <v>278</v>
      </c>
    </row>
    <row r="3336" spans="14:14" ht="15" customHeight="1" x14ac:dyDescent="0.25">
      <c r="N3336" t="s">
        <v>303</v>
      </c>
    </row>
    <row r="3337" spans="14:14" ht="15" customHeight="1" x14ac:dyDescent="0.25">
      <c r="N3337" t="s">
        <v>244</v>
      </c>
    </row>
    <row r="3338" spans="14:14" ht="15" customHeight="1" x14ac:dyDescent="0.25">
      <c r="N3338" t="s">
        <v>254</v>
      </c>
    </row>
    <row r="3339" spans="14:14" ht="15" customHeight="1" x14ac:dyDescent="0.25">
      <c r="N3339" t="s">
        <v>231</v>
      </c>
    </row>
    <row r="3340" spans="14:14" ht="15" customHeight="1" x14ac:dyDescent="0.25">
      <c r="N3340" t="s">
        <v>299</v>
      </c>
    </row>
    <row r="3341" spans="14:14" ht="15" customHeight="1" x14ac:dyDescent="0.25">
      <c r="N3341" t="s">
        <v>303</v>
      </c>
    </row>
    <row r="3342" spans="14:14" ht="15" customHeight="1" x14ac:dyDescent="0.25">
      <c r="N3342" t="s">
        <v>260</v>
      </c>
    </row>
    <row r="3343" spans="14:14" ht="15" customHeight="1" x14ac:dyDescent="0.25">
      <c r="N3343" t="s">
        <v>254</v>
      </c>
    </row>
    <row r="3344" spans="14:14" ht="15" customHeight="1" x14ac:dyDescent="0.25">
      <c r="N3344" t="s">
        <v>301</v>
      </c>
    </row>
    <row r="3345" spans="14:14" ht="15" customHeight="1" x14ac:dyDescent="0.25">
      <c r="N3345" t="s">
        <v>273</v>
      </c>
    </row>
    <row r="3346" spans="14:14" ht="15" customHeight="1" x14ac:dyDescent="0.25">
      <c r="N3346" t="s">
        <v>294</v>
      </c>
    </row>
    <row r="3347" spans="14:14" ht="15" customHeight="1" x14ac:dyDescent="0.25">
      <c r="N3347" t="s">
        <v>299</v>
      </c>
    </row>
    <row r="3348" spans="14:14" ht="15" customHeight="1" x14ac:dyDescent="0.25">
      <c r="N3348" t="s">
        <v>303</v>
      </c>
    </row>
    <row r="3349" spans="14:14" ht="15" customHeight="1" x14ac:dyDescent="0.25">
      <c r="N3349" t="s">
        <v>228</v>
      </c>
    </row>
    <row r="3350" spans="14:14" ht="15" customHeight="1" x14ac:dyDescent="0.25">
      <c r="N3350" t="s">
        <v>303</v>
      </c>
    </row>
    <row r="3351" spans="14:14" ht="15" customHeight="1" x14ac:dyDescent="0.25">
      <c r="N3351" t="s">
        <v>228</v>
      </c>
    </row>
    <row r="3352" spans="14:14" ht="15" customHeight="1" x14ac:dyDescent="0.25">
      <c r="N3352" t="s">
        <v>232</v>
      </c>
    </row>
    <row r="3353" spans="14:14" ht="15" customHeight="1" x14ac:dyDescent="0.25">
      <c r="N3353" t="s">
        <v>207</v>
      </c>
    </row>
    <row r="3354" spans="14:14" ht="15" customHeight="1" x14ac:dyDescent="0.25">
      <c r="N3354" t="s">
        <v>299</v>
      </c>
    </row>
    <row r="3355" spans="14:14" ht="15" customHeight="1" x14ac:dyDescent="0.25">
      <c r="N3355" t="s">
        <v>270</v>
      </c>
    </row>
    <row r="3356" spans="14:14" ht="15" customHeight="1" x14ac:dyDescent="0.25">
      <c r="N3356" t="s">
        <v>230</v>
      </c>
    </row>
    <row r="3357" spans="14:14" ht="15" customHeight="1" x14ac:dyDescent="0.25">
      <c r="N3357" t="s">
        <v>257</v>
      </c>
    </row>
    <row r="3358" spans="14:14" ht="15" customHeight="1" x14ac:dyDescent="0.25">
      <c r="N3358" t="s">
        <v>301</v>
      </c>
    </row>
    <row r="3359" spans="14:14" ht="15" customHeight="1" x14ac:dyDescent="0.25">
      <c r="N3359" t="s">
        <v>207</v>
      </c>
    </row>
    <row r="3360" spans="14:14" ht="15" customHeight="1" x14ac:dyDescent="0.25">
      <c r="N3360" t="s">
        <v>231</v>
      </c>
    </row>
    <row r="3361" spans="14:14" ht="15" customHeight="1" x14ac:dyDescent="0.25">
      <c r="N3361" t="s">
        <v>299</v>
      </c>
    </row>
    <row r="3362" spans="14:14" ht="15" customHeight="1" x14ac:dyDescent="0.25">
      <c r="N3362" t="s">
        <v>240</v>
      </c>
    </row>
    <row r="3363" spans="14:14" ht="15" customHeight="1" x14ac:dyDescent="0.25">
      <c r="N3363" t="s">
        <v>294</v>
      </c>
    </row>
    <row r="3364" spans="14:14" ht="15" customHeight="1" x14ac:dyDescent="0.25">
      <c r="N3364" t="s">
        <v>277</v>
      </c>
    </row>
    <row r="3365" spans="14:14" ht="15" customHeight="1" x14ac:dyDescent="0.25">
      <c r="N3365" t="s">
        <v>273</v>
      </c>
    </row>
    <row r="3366" spans="14:14" ht="15" customHeight="1" x14ac:dyDescent="0.25">
      <c r="N3366" t="s">
        <v>207</v>
      </c>
    </row>
    <row r="3367" spans="14:14" ht="15" customHeight="1" x14ac:dyDescent="0.25">
      <c r="N3367" t="s">
        <v>265</v>
      </c>
    </row>
    <row r="3368" spans="14:14" ht="15" customHeight="1" x14ac:dyDescent="0.25">
      <c r="N3368" t="s">
        <v>273</v>
      </c>
    </row>
    <row r="3369" spans="14:14" ht="15" customHeight="1" x14ac:dyDescent="0.25">
      <c r="N3369" t="s">
        <v>207</v>
      </c>
    </row>
    <row r="3370" spans="14:14" ht="15" customHeight="1" x14ac:dyDescent="0.25">
      <c r="N3370" t="s">
        <v>287</v>
      </c>
    </row>
    <row r="3371" spans="14:14" ht="15" customHeight="1" x14ac:dyDescent="0.25">
      <c r="N3371" t="s">
        <v>292</v>
      </c>
    </row>
    <row r="3372" spans="14:14" ht="15" customHeight="1" x14ac:dyDescent="0.25">
      <c r="N3372" t="s">
        <v>207</v>
      </c>
    </row>
    <row r="3373" spans="14:14" ht="15" customHeight="1" x14ac:dyDescent="0.25">
      <c r="N3373" t="s">
        <v>295</v>
      </c>
    </row>
    <row r="3374" spans="14:14" ht="15" customHeight="1" x14ac:dyDescent="0.25">
      <c r="N3374" t="s">
        <v>207</v>
      </c>
    </row>
    <row r="3375" spans="14:14" ht="15" customHeight="1" x14ac:dyDescent="0.25">
      <c r="N3375" t="s">
        <v>294</v>
      </c>
    </row>
    <row r="3376" spans="14:14" ht="15" customHeight="1" x14ac:dyDescent="0.25">
      <c r="N3376" t="s">
        <v>277</v>
      </c>
    </row>
    <row r="3377" spans="14:14" ht="15" customHeight="1" x14ac:dyDescent="0.25">
      <c r="N3377" t="s">
        <v>241</v>
      </c>
    </row>
    <row r="3378" spans="14:14" ht="15" customHeight="1" x14ac:dyDescent="0.25">
      <c r="N3378" t="s">
        <v>207</v>
      </c>
    </row>
    <row r="3379" spans="14:14" ht="15" customHeight="1" x14ac:dyDescent="0.25">
      <c r="N3379" t="s">
        <v>273</v>
      </c>
    </row>
    <row r="3380" spans="14:14" ht="15" customHeight="1" x14ac:dyDescent="0.25">
      <c r="N3380" t="s">
        <v>238</v>
      </c>
    </row>
    <row r="3381" spans="14:14" ht="15" customHeight="1" x14ac:dyDescent="0.25">
      <c r="N3381" t="s">
        <v>273</v>
      </c>
    </row>
    <row r="3382" spans="14:14" ht="15" customHeight="1" x14ac:dyDescent="0.25">
      <c r="N3382" t="s">
        <v>245</v>
      </c>
    </row>
    <row r="3383" spans="14:14" ht="15" customHeight="1" x14ac:dyDescent="0.25">
      <c r="N3383" t="s">
        <v>287</v>
      </c>
    </row>
    <row r="3384" spans="14:14" ht="15" customHeight="1" x14ac:dyDescent="0.25">
      <c r="N3384" t="s">
        <v>250</v>
      </c>
    </row>
    <row r="3385" spans="14:14" ht="15" customHeight="1" x14ac:dyDescent="0.25">
      <c r="N3385" t="s">
        <v>213</v>
      </c>
    </row>
    <row r="3386" spans="14:14" ht="15" customHeight="1" x14ac:dyDescent="0.25">
      <c r="N3386" t="s">
        <v>273</v>
      </c>
    </row>
    <row r="3387" spans="14:14" ht="15" customHeight="1" x14ac:dyDescent="0.25">
      <c r="N3387" t="s">
        <v>273</v>
      </c>
    </row>
    <row r="3388" spans="14:14" ht="15" customHeight="1" x14ac:dyDescent="0.25">
      <c r="N3388" t="s">
        <v>205</v>
      </c>
    </row>
    <row r="3389" spans="14:14" ht="15" customHeight="1" x14ac:dyDescent="0.25">
      <c r="N3389" t="s">
        <v>308</v>
      </c>
    </row>
    <row r="3390" spans="14:14" ht="15" customHeight="1" x14ac:dyDescent="0.25">
      <c r="N3390" t="s">
        <v>207</v>
      </c>
    </row>
    <row r="3391" spans="14:14" ht="15" customHeight="1" x14ac:dyDescent="0.25">
      <c r="N3391" t="s">
        <v>207</v>
      </c>
    </row>
    <row r="3392" spans="14:14" ht="15" customHeight="1" x14ac:dyDescent="0.25">
      <c r="N3392" t="s">
        <v>292</v>
      </c>
    </row>
    <row r="3393" spans="14:14" ht="15" customHeight="1" x14ac:dyDescent="0.25">
      <c r="N3393" t="s">
        <v>228</v>
      </c>
    </row>
    <row r="3394" spans="14:14" ht="15" customHeight="1" x14ac:dyDescent="0.25">
      <c r="N3394" t="s">
        <v>273</v>
      </c>
    </row>
    <row r="3395" spans="14:14" ht="15" customHeight="1" x14ac:dyDescent="0.25">
      <c r="N3395" t="s">
        <v>273</v>
      </c>
    </row>
    <row r="3396" spans="14:14" ht="15" customHeight="1" x14ac:dyDescent="0.25">
      <c r="N3396" t="s">
        <v>207</v>
      </c>
    </row>
    <row r="3397" spans="14:14" ht="15" customHeight="1" x14ac:dyDescent="0.25">
      <c r="N3397" t="s">
        <v>207</v>
      </c>
    </row>
    <row r="3398" spans="14:14" ht="15" customHeight="1" x14ac:dyDescent="0.25">
      <c r="N3398" t="s">
        <v>254</v>
      </c>
    </row>
    <row r="3399" spans="14:14" ht="15" customHeight="1" x14ac:dyDescent="0.25">
      <c r="N3399" t="s">
        <v>303</v>
      </c>
    </row>
    <row r="3400" spans="14:14" ht="15" customHeight="1" x14ac:dyDescent="0.25">
      <c r="N3400" t="s">
        <v>228</v>
      </c>
    </row>
    <row r="3401" spans="14:14" ht="15" customHeight="1" x14ac:dyDescent="0.25">
      <c r="N3401" t="s">
        <v>308</v>
      </c>
    </row>
    <row r="3402" spans="14:14" ht="15" customHeight="1" x14ac:dyDescent="0.25">
      <c r="N3402" t="s">
        <v>228</v>
      </c>
    </row>
    <row r="3403" spans="14:14" ht="15" customHeight="1" x14ac:dyDescent="0.25">
      <c r="N3403" t="s">
        <v>228</v>
      </c>
    </row>
    <row r="3404" spans="14:14" ht="15" customHeight="1" x14ac:dyDescent="0.25">
      <c r="N3404" t="s">
        <v>305</v>
      </c>
    </row>
    <row r="3405" spans="14:14" ht="15" customHeight="1" x14ac:dyDescent="0.25">
      <c r="N3405" t="s">
        <v>298</v>
      </c>
    </row>
    <row r="3406" spans="14:14" ht="15" customHeight="1" x14ac:dyDescent="0.25">
      <c r="N3406" t="s">
        <v>309</v>
      </c>
    </row>
    <row r="3407" spans="14:14" ht="15" customHeight="1" x14ac:dyDescent="0.25">
      <c r="N3407" t="s">
        <v>254</v>
      </c>
    </row>
    <row r="3408" spans="14:14" ht="15" customHeight="1" x14ac:dyDescent="0.25">
      <c r="N3408" t="s">
        <v>273</v>
      </c>
    </row>
    <row r="3409" spans="14:14" ht="15" customHeight="1" x14ac:dyDescent="0.25">
      <c r="N3409" t="s">
        <v>256</v>
      </c>
    </row>
    <row r="3410" spans="14:14" ht="15" customHeight="1" x14ac:dyDescent="0.25">
      <c r="N3410" t="s">
        <v>273</v>
      </c>
    </row>
    <row r="3411" spans="14:14" ht="15" customHeight="1" x14ac:dyDescent="0.25">
      <c r="N3411" t="s">
        <v>228</v>
      </c>
    </row>
    <row r="3412" spans="14:14" ht="15" customHeight="1" x14ac:dyDescent="0.25">
      <c r="N3412" t="s">
        <v>305</v>
      </c>
    </row>
    <row r="3413" spans="14:14" ht="15" customHeight="1" x14ac:dyDescent="0.25">
      <c r="N3413" t="s">
        <v>228</v>
      </c>
    </row>
    <row r="3414" spans="14:14" ht="15" customHeight="1" x14ac:dyDescent="0.25">
      <c r="N3414" t="s">
        <v>305</v>
      </c>
    </row>
    <row r="3415" spans="14:14" ht="15" customHeight="1" x14ac:dyDescent="0.25">
      <c r="N3415" t="s">
        <v>305</v>
      </c>
    </row>
    <row r="3416" spans="14:14" ht="15" customHeight="1" x14ac:dyDescent="0.25">
      <c r="N3416" t="s">
        <v>228</v>
      </c>
    </row>
    <row r="3417" spans="14:14" ht="15" customHeight="1" x14ac:dyDescent="0.25">
      <c r="N3417" t="s">
        <v>295</v>
      </c>
    </row>
    <row r="3418" spans="14:14" ht="15" customHeight="1" x14ac:dyDescent="0.25">
      <c r="N3418" t="s">
        <v>295</v>
      </c>
    </row>
    <row r="3419" spans="14:14" ht="15" customHeight="1" x14ac:dyDescent="0.25">
      <c r="N3419" t="s">
        <v>295</v>
      </c>
    </row>
    <row r="3420" spans="14:14" ht="15" customHeight="1" x14ac:dyDescent="0.25">
      <c r="N3420" t="s">
        <v>298</v>
      </c>
    </row>
    <row r="3421" spans="14:14" ht="15" customHeight="1" x14ac:dyDescent="0.25">
      <c r="N3421" t="s">
        <v>273</v>
      </c>
    </row>
    <row r="3422" spans="14:14" ht="15" customHeight="1" x14ac:dyDescent="0.25">
      <c r="N3422" t="s">
        <v>297</v>
      </c>
    </row>
    <row r="3423" spans="14:14" ht="15" customHeight="1" x14ac:dyDescent="0.25">
      <c r="N3423" t="s">
        <v>207</v>
      </c>
    </row>
    <row r="3424" spans="14:14" ht="15" customHeight="1" x14ac:dyDescent="0.25">
      <c r="N3424" t="s">
        <v>285</v>
      </c>
    </row>
    <row r="3425" spans="14:14" ht="15" customHeight="1" x14ac:dyDescent="0.25">
      <c r="N3425" t="s">
        <v>282</v>
      </c>
    </row>
    <row r="3426" spans="14:14" ht="15" customHeight="1" x14ac:dyDescent="0.25">
      <c r="N3426" t="s">
        <v>205</v>
      </c>
    </row>
    <row r="3427" spans="14:14" ht="15" customHeight="1" x14ac:dyDescent="0.25">
      <c r="N3427" t="s">
        <v>304</v>
      </c>
    </row>
    <row r="3428" spans="14:14" ht="15" customHeight="1" x14ac:dyDescent="0.25">
      <c r="N3428" t="s">
        <v>304</v>
      </c>
    </row>
    <row r="3429" spans="14:14" ht="15" customHeight="1" x14ac:dyDescent="0.25">
      <c r="N3429" t="s">
        <v>304</v>
      </c>
    </row>
    <row r="3430" spans="14:14" ht="15" customHeight="1" x14ac:dyDescent="0.25">
      <c r="N3430" t="s">
        <v>304</v>
      </c>
    </row>
    <row r="3431" spans="14:14" ht="15" customHeight="1" x14ac:dyDescent="0.25">
      <c r="N3431" t="s">
        <v>304</v>
      </c>
    </row>
    <row r="3432" spans="14:14" ht="15" customHeight="1" x14ac:dyDescent="0.25">
      <c r="N3432" t="s">
        <v>207</v>
      </c>
    </row>
    <row r="3433" spans="14:14" ht="15" customHeight="1" x14ac:dyDescent="0.25">
      <c r="N3433" t="s">
        <v>292</v>
      </c>
    </row>
    <row r="3434" spans="14:14" ht="15" customHeight="1" x14ac:dyDescent="0.25">
      <c r="N3434" t="s">
        <v>273</v>
      </c>
    </row>
    <row r="3435" spans="14:14" ht="15" customHeight="1" x14ac:dyDescent="0.25">
      <c r="N3435" t="s">
        <v>207</v>
      </c>
    </row>
    <row r="3436" spans="14:14" ht="15" customHeight="1" x14ac:dyDescent="0.25">
      <c r="N3436" t="s">
        <v>305</v>
      </c>
    </row>
    <row r="3437" spans="14:14" ht="15" customHeight="1" x14ac:dyDescent="0.25">
      <c r="N3437" t="s">
        <v>296</v>
      </c>
    </row>
    <row r="3438" spans="14:14" ht="15" customHeight="1" x14ac:dyDescent="0.25">
      <c r="N3438" t="s">
        <v>259</v>
      </c>
    </row>
    <row r="3439" spans="14:14" ht="15" customHeight="1" x14ac:dyDescent="0.25">
      <c r="N3439" t="s">
        <v>305</v>
      </c>
    </row>
    <row r="3440" spans="14:14" ht="15" customHeight="1" x14ac:dyDescent="0.25">
      <c r="N3440" t="s">
        <v>273</v>
      </c>
    </row>
    <row r="3441" spans="14:14" ht="15" customHeight="1" x14ac:dyDescent="0.25">
      <c r="N3441" t="s">
        <v>256</v>
      </c>
    </row>
    <row r="3442" spans="14:14" ht="15" customHeight="1" x14ac:dyDescent="0.25">
      <c r="N3442" t="s">
        <v>305</v>
      </c>
    </row>
    <row r="3443" spans="14:14" ht="15" customHeight="1" x14ac:dyDescent="0.25">
      <c r="N3443" t="s">
        <v>274</v>
      </c>
    </row>
    <row r="3444" spans="14:14" ht="15" customHeight="1" x14ac:dyDescent="0.25">
      <c r="N3444" t="s">
        <v>305</v>
      </c>
    </row>
    <row r="3445" spans="14:14" ht="15" customHeight="1" x14ac:dyDescent="0.25">
      <c r="N3445" t="s">
        <v>228</v>
      </c>
    </row>
    <row r="3446" spans="14:14" ht="15" customHeight="1" x14ac:dyDescent="0.25">
      <c r="N3446" t="s">
        <v>295</v>
      </c>
    </row>
    <row r="3447" spans="14:14" ht="15" customHeight="1" x14ac:dyDescent="0.25">
      <c r="N3447" t="s">
        <v>273</v>
      </c>
    </row>
    <row r="3448" spans="14:14" ht="15" customHeight="1" x14ac:dyDescent="0.25">
      <c r="N3448" t="s">
        <v>271</v>
      </c>
    </row>
    <row r="3449" spans="14:14" ht="15" customHeight="1" x14ac:dyDescent="0.25">
      <c r="N3449" t="s">
        <v>287</v>
      </c>
    </row>
    <row r="3450" spans="14:14" ht="15" customHeight="1" x14ac:dyDescent="0.25">
      <c r="N3450" t="s">
        <v>298</v>
      </c>
    </row>
    <row r="3451" spans="14:14" ht="15" customHeight="1" x14ac:dyDescent="0.25">
      <c r="N3451" t="s">
        <v>207</v>
      </c>
    </row>
    <row r="3452" spans="14:14" ht="15" customHeight="1" x14ac:dyDescent="0.25">
      <c r="N3452" t="s">
        <v>298</v>
      </c>
    </row>
    <row r="3453" spans="14:14" ht="15" customHeight="1" x14ac:dyDescent="0.25">
      <c r="N3453" t="s">
        <v>308</v>
      </c>
    </row>
    <row r="3454" spans="14:14" ht="15" customHeight="1" x14ac:dyDescent="0.25">
      <c r="N3454" t="s">
        <v>207</v>
      </c>
    </row>
    <row r="3455" spans="14:14" ht="15" customHeight="1" x14ac:dyDescent="0.25">
      <c r="N3455" t="s">
        <v>296</v>
      </c>
    </row>
    <row r="3456" spans="14:14" ht="15" customHeight="1" x14ac:dyDescent="0.25">
      <c r="N3456" t="s">
        <v>228</v>
      </c>
    </row>
    <row r="3457" spans="14:14" ht="15" customHeight="1" x14ac:dyDescent="0.25">
      <c r="N3457" t="s">
        <v>228</v>
      </c>
    </row>
    <row r="3458" spans="14:14" ht="15" customHeight="1" x14ac:dyDescent="0.25">
      <c r="N3458" t="s">
        <v>295</v>
      </c>
    </row>
    <row r="3459" spans="14:14" ht="15" customHeight="1" x14ac:dyDescent="0.25">
      <c r="N3459" t="s">
        <v>286</v>
      </c>
    </row>
    <row r="3460" spans="14:14" ht="15" customHeight="1" x14ac:dyDescent="0.25">
      <c r="N3460" t="s">
        <v>273</v>
      </c>
    </row>
    <row r="3461" spans="14:14" ht="15" customHeight="1" x14ac:dyDescent="0.25">
      <c r="N3461" t="s">
        <v>285</v>
      </c>
    </row>
    <row r="3462" spans="14:14" ht="15" customHeight="1" x14ac:dyDescent="0.25">
      <c r="N3462" t="s">
        <v>285</v>
      </c>
    </row>
    <row r="3463" spans="14:14" ht="15" customHeight="1" x14ac:dyDescent="0.25">
      <c r="N3463" t="s">
        <v>213</v>
      </c>
    </row>
    <row r="3464" spans="14:14" ht="15" customHeight="1" x14ac:dyDescent="0.25">
      <c r="N3464" t="s">
        <v>280</v>
      </c>
    </row>
    <row r="3465" spans="14:14" ht="15" customHeight="1" x14ac:dyDescent="0.25">
      <c r="N3465" t="s">
        <v>298</v>
      </c>
    </row>
    <row r="3466" spans="14:14" ht="15" customHeight="1" x14ac:dyDescent="0.25">
      <c r="N3466" t="s">
        <v>228</v>
      </c>
    </row>
    <row r="3467" spans="14:14" ht="15" customHeight="1" x14ac:dyDescent="0.25">
      <c r="N3467" t="s">
        <v>300</v>
      </c>
    </row>
    <row r="3468" spans="14:14" ht="15" customHeight="1" x14ac:dyDescent="0.25">
      <c r="N3468" t="s">
        <v>285</v>
      </c>
    </row>
    <row r="3469" spans="14:14" ht="15" customHeight="1" x14ac:dyDescent="0.25">
      <c r="N3469" t="s">
        <v>205</v>
      </c>
    </row>
    <row r="3470" spans="14:14" ht="15" customHeight="1" x14ac:dyDescent="0.25">
      <c r="N3470" t="s">
        <v>258</v>
      </c>
    </row>
    <row r="3471" spans="14:14" ht="15" customHeight="1" x14ac:dyDescent="0.25">
      <c r="N3471" t="s">
        <v>274</v>
      </c>
    </row>
    <row r="3472" spans="14:14" ht="15" customHeight="1" x14ac:dyDescent="0.25">
      <c r="N3472" t="s">
        <v>228</v>
      </c>
    </row>
    <row r="3473" spans="14:14" ht="15" customHeight="1" x14ac:dyDescent="0.25">
      <c r="N3473" t="s">
        <v>254</v>
      </c>
    </row>
    <row r="3474" spans="14:14" ht="15" customHeight="1" x14ac:dyDescent="0.25">
      <c r="N3474" t="s">
        <v>280</v>
      </c>
    </row>
    <row r="3475" spans="14:14" ht="15" customHeight="1" x14ac:dyDescent="0.25">
      <c r="N3475" t="s">
        <v>283</v>
      </c>
    </row>
    <row r="3476" spans="14:14" ht="15" customHeight="1" x14ac:dyDescent="0.25">
      <c r="N3476" t="s">
        <v>301</v>
      </c>
    </row>
    <row r="3477" spans="14:14" ht="15" customHeight="1" x14ac:dyDescent="0.25">
      <c r="N3477" t="s">
        <v>228</v>
      </c>
    </row>
    <row r="3478" spans="14:14" ht="15" customHeight="1" x14ac:dyDescent="0.25">
      <c r="N3478" t="s">
        <v>278</v>
      </c>
    </row>
    <row r="3479" spans="14:14" ht="15" customHeight="1" x14ac:dyDescent="0.25">
      <c r="N3479" t="s">
        <v>273</v>
      </c>
    </row>
    <row r="3480" spans="14:14" ht="15" customHeight="1" x14ac:dyDescent="0.25">
      <c r="N3480" t="s">
        <v>280</v>
      </c>
    </row>
    <row r="3481" spans="14:14" ht="15" customHeight="1" x14ac:dyDescent="0.25">
      <c r="N3481" t="s">
        <v>205</v>
      </c>
    </row>
    <row r="3482" spans="14:14" ht="15" customHeight="1" x14ac:dyDescent="0.25">
      <c r="N3482" t="s">
        <v>283</v>
      </c>
    </row>
    <row r="3483" spans="14:14" ht="15" customHeight="1" x14ac:dyDescent="0.25">
      <c r="N3483" t="s">
        <v>280</v>
      </c>
    </row>
    <row r="3484" spans="14:14" ht="15" customHeight="1" x14ac:dyDescent="0.25">
      <c r="N3484" t="s">
        <v>242</v>
      </c>
    </row>
    <row r="3485" spans="14:14" ht="15" customHeight="1" x14ac:dyDescent="0.25">
      <c r="N3485" t="s">
        <v>252</v>
      </c>
    </row>
    <row r="3486" spans="14:14" ht="15" customHeight="1" x14ac:dyDescent="0.25">
      <c r="N3486" t="s">
        <v>228</v>
      </c>
    </row>
    <row r="3487" spans="14:14" ht="15" customHeight="1" x14ac:dyDescent="0.25">
      <c r="N3487" t="s">
        <v>256</v>
      </c>
    </row>
    <row r="3488" spans="14:14" ht="15" customHeight="1" x14ac:dyDescent="0.25">
      <c r="N3488" t="s">
        <v>298</v>
      </c>
    </row>
    <row r="3489" spans="14:14" ht="15" customHeight="1" x14ac:dyDescent="0.25">
      <c r="N3489" t="s">
        <v>207</v>
      </c>
    </row>
    <row r="3490" spans="14:14" ht="15" customHeight="1" x14ac:dyDescent="0.25">
      <c r="N3490" t="s">
        <v>280</v>
      </c>
    </row>
    <row r="3491" spans="14:14" ht="15" customHeight="1" x14ac:dyDescent="0.25">
      <c r="N3491" t="s">
        <v>297</v>
      </c>
    </row>
    <row r="3492" spans="14:14" ht="15" customHeight="1" x14ac:dyDescent="0.25">
      <c r="N3492" t="s">
        <v>283</v>
      </c>
    </row>
    <row r="3493" spans="14:14" ht="15" customHeight="1" x14ac:dyDescent="0.25">
      <c r="N3493" t="s">
        <v>284</v>
      </c>
    </row>
    <row r="3494" spans="14:14" ht="15" customHeight="1" x14ac:dyDescent="0.25">
      <c r="N3494" t="s">
        <v>228</v>
      </c>
    </row>
    <row r="3495" spans="14:14" ht="15" customHeight="1" x14ac:dyDescent="0.25">
      <c r="N3495" t="s">
        <v>228</v>
      </c>
    </row>
    <row r="3496" spans="14:14" ht="15" customHeight="1" x14ac:dyDescent="0.25">
      <c r="N3496" t="s">
        <v>280</v>
      </c>
    </row>
    <row r="3497" spans="14:14" ht="15" customHeight="1" x14ac:dyDescent="0.25">
      <c r="N3497" t="s">
        <v>280</v>
      </c>
    </row>
    <row r="3498" spans="14:14" ht="15" customHeight="1" x14ac:dyDescent="0.25">
      <c r="N3498" t="s">
        <v>284</v>
      </c>
    </row>
    <row r="3499" spans="14:14" ht="15" customHeight="1" x14ac:dyDescent="0.25">
      <c r="N3499" t="s">
        <v>284</v>
      </c>
    </row>
    <row r="3500" spans="14:14" ht="15" customHeight="1" x14ac:dyDescent="0.25">
      <c r="N3500" t="s">
        <v>228</v>
      </c>
    </row>
    <row r="3501" spans="14:14" ht="15" customHeight="1" x14ac:dyDescent="0.25">
      <c r="N3501" t="s">
        <v>305</v>
      </c>
    </row>
    <row r="3502" spans="14:14" ht="15" customHeight="1" x14ac:dyDescent="0.25">
      <c r="N3502" t="s">
        <v>296</v>
      </c>
    </row>
    <row r="3503" spans="14:14" ht="15" customHeight="1" x14ac:dyDescent="0.25">
      <c r="N3503" t="s">
        <v>247</v>
      </c>
    </row>
    <row r="3504" spans="14:14" ht="15" customHeight="1" x14ac:dyDescent="0.25">
      <c r="N3504" t="s">
        <v>228</v>
      </c>
    </row>
    <row r="3505" spans="14:14" ht="15" customHeight="1" x14ac:dyDescent="0.25">
      <c r="N3505" t="s">
        <v>305</v>
      </c>
    </row>
    <row r="3506" spans="14:14" ht="15" customHeight="1" x14ac:dyDescent="0.25">
      <c r="N3506" t="s">
        <v>272</v>
      </c>
    </row>
    <row r="3507" spans="14:14" ht="15" customHeight="1" x14ac:dyDescent="0.25">
      <c r="N3507" t="s">
        <v>305</v>
      </c>
    </row>
    <row r="3508" spans="14:14" ht="15" customHeight="1" x14ac:dyDescent="0.25">
      <c r="N3508" t="s">
        <v>310</v>
      </c>
    </row>
    <row r="3509" spans="14:14" ht="15" customHeight="1" x14ac:dyDescent="0.25">
      <c r="N3509" t="s">
        <v>305</v>
      </c>
    </row>
    <row r="3510" spans="14:14" ht="15" customHeight="1" x14ac:dyDescent="0.25">
      <c r="N3510" t="s">
        <v>302</v>
      </c>
    </row>
    <row r="3511" spans="14:14" ht="15" customHeight="1" x14ac:dyDescent="0.25">
      <c r="N3511" t="s">
        <v>247</v>
      </c>
    </row>
    <row r="3512" spans="14:14" ht="15" customHeight="1" x14ac:dyDescent="0.25">
      <c r="N3512" t="s">
        <v>228</v>
      </c>
    </row>
    <row r="3513" spans="14:14" ht="15" customHeight="1" x14ac:dyDescent="0.25">
      <c r="N3513" t="s">
        <v>305</v>
      </c>
    </row>
    <row r="3514" spans="14:14" ht="15" customHeight="1" x14ac:dyDescent="0.25">
      <c r="N3514" t="s">
        <v>273</v>
      </c>
    </row>
    <row r="3515" spans="14:14" ht="15" customHeight="1" x14ac:dyDescent="0.25">
      <c r="N3515" t="s">
        <v>235</v>
      </c>
    </row>
    <row r="3516" spans="14:14" ht="15" customHeight="1" x14ac:dyDescent="0.25">
      <c r="N3516" t="s">
        <v>305</v>
      </c>
    </row>
    <row r="3517" spans="14:14" ht="15" customHeight="1" x14ac:dyDescent="0.25">
      <c r="N3517" t="s">
        <v>305</v>
      </c>
    </row>
    <row r="3518" spans="14:14" ht="15" customHeight="1" x14ac:dyDescent="0.25">
      <c r="N3518" t="s">
        <v>302</v>
      </c>
    </row>
    <row r="3519" spans="14:14" ht="15" customHeight="1" x14ac:dyDescent="0.25">
      <c r="N3519" t="s">
        <v>256</v>
      </c>
    </row>
    <row r="3520" spans="14:14" ht="15" customHeight="1" x14ac:dyDescent="0.25">
      <c r="N3520" t="s">
        <v>228</v>
      </c>
    </row>
    <row r="3521" spans="14:14" ht="15" customHeight="1" x14ac:dyDescent="0.25">
      <c r="N3521" t="s">
        <v>305</v>
      </c>
    </row>
    <row r="3522" spans="14:14" ht="15" customHeight="1" x14ac:dyDescent="0.25">
      <c r="N3522" t="s">
        <v>296</v>
      </c>
    </row>
    <row r="3523" spans="14:14" ht="15" customHeight="1" x14ac:dyDescent="0.25">
      <c r="N3523" t="s">
        <v>305</v>
      </c>
    </row>
    <row r="3524" spans="14:14" ht="15" customHeight="1" x14ac:dyDescent="0.25">
      <c r="N3524" t="s">
        <v>247</v>
      </c>
    </row>
    <row r="3525" spans="14:14" ht="15" customHeight="1" x14ac:dyDescent="0.25">
      <c r="N3525" t="s">
        <v>207</v>
      </c>
    </row>
    <row r="3526" spans="14:14" ht="15" customHeight="1" x14ac:dyDescent="0.25">
      <c r="N3526" t="s">
        <v>269</v>
      </c>
    </row>
    <row r="3527" spans="14:14" ht="15" customHeight="1" x14ac:dyDescent="0.25">
      <c r="N3527" t="s">
        <v>305</v>
      </c>
    </row>
    <row r="3528" spans="14:14" ht="15" customHeight="1" x14ac:dyDescent="0.25">
      <c r="N3528" t="s">
        <v>228</v>
      </c>
    </row>
    <row r="3529" spans="14:14" ht="15" customHeight="1" x14ac:dyDescent="0.25">
      <c r="N3529" t="s">
        <v>207</v>
      </c>
    </row>
    <row r="3530" spans="14:14" ht="15" customHeight="1" x14ac:dyDescent="0.25">
      <c r="N3530" t="s">
        <v>293</v>
      </c>
    </row>
    <row r="3531" spans="14:14" ht="15" customHeight="1" x14ac:dyDescent="0.25">
      <c r="N3531" t="s">
        <v>305</v>
      </c>
    </row>
    <row r="3532" spans="14:14" ht="15" customHeight="1" x14ac:dyDescent="0.25">
      <c r="N3532" t="s">
        <v>305</v>
      </c>
    </row>
    <row r="3533" spans="14:14" ht="15" customHeight="1" x14ac:dyDescent="0.25">
      <c r="N3533" t="s">
        <v>293</v>
      </c>
    </row>
    <row r="3534" spans="14:14" ht="15" customHeight="1" x14ac:dyDescent="0.25">
      <c r="N3534" t="s">
        <v>293</v>
      </c>
    </row>
    <row r="3535" spans="14:14" ht="15" customHeight="1" x14ac:dyDescent="0.25">
      <c r="N3535" t="s">
        <v>305</v>
      </c>
    </row>
    <row r="3536" spans="14:14" ht="15" customHeight="1" x14ac:dyDescent="0.25">
      <c r="N3536" t="s">
        <v>305</v>
      </c>
    </row>
    <row r="3537" spans="14:14" ht="15" customHeight="1" x14ac:dyDescent="0.25">
      <c r="N3537" t="s">
        <v>297</v>
      </c>
    </row>
    <row r="3538" spans="14:14" ht="15" customHeight="1" x14ac:dyDescent="0.25">
      <c r="N3538" t="s">
        <v>228</v>
      </c>
    </row>
    <row r="3539" spans="14:14" ht="15" customHeight="1" x14ac:dyDescent="0.25">
      <c r="N3539" t="s">
        <v>297</v>
      </c>
    </row>
    <row r="3540" spans="14:14" ht="15" customHeight="1" x14ac:dyDescent="0.25">
      <c r="N3540" t="s">
        <v>305</v>
      </c>
    </row>
    <row r="3541" spans="14:14" ht="15" customHeight="1" x14ac:dyDescent="0.25">
      <c r="N3541" t="s">
        <v>301</v>
      </c>
    </row>
    <row r="3542" spans="14:14" ht="15" customHeight="1" x14ac:dyDescent="0.25">
      <c r="N3542" t="s">
        <v>254</v>
      </c>
    </row>
    <row r="3543" spans="14:14" ht="15" customHeight="1" x14ac:dyDescent="0.25">
      <c r="N3543" t="s">
        <v>254</v>
      </c>
    </row>
    <row r="3544" spans="14:14" ht="15" customHeight="1" x14ac:dyDescent="0.25">
      <c r="N3544" t="s">
        <v>308</v>
      </c>
    </row>
    <row r="3545" spans="14:14" ht="15" customHeight="1" x14ac:dyDescent="0.25">
      <c r="N3545" t="s">
        <v>249</v>
      </c>
    </row>
    <row r="3546" spans="14:14" ht="15" customHeight="1" x14ac:dyDescent="0.25">
      <c r="N3546" t="s">
        <v>254</v>
      </c>
    </row>
    <row r="3547" spans="14:14" ht="15" customHeight="1" x14ac:dyDescent="0.25">
      <c r="N3547" t="s">
        <v>229</v>
      </c>
    </row>
    <row r="3548" spans="14:14" ht="15" customHeight="1" x14ac:dyDescent="0.25">
      <c r="N3548" t="s">
        <v>229</v>
      </c>
    </row>
    <row r="3549" spans="14:14" ht="15" customHeight="1" x14ac:dyDescent="0.25">
      <c r="N3549" t="s">
        <v>229</v>
      </c>
    </row>
    <row r="3550" spans="14:14" ht="15" customHeight="1" x14ac:dyDescent="0.25">
      <c r="N3550" t="s">
        <v>229</v>
      </c>
    </row>
    <row r="3551" spans="14:14" ht="15" customHeight="1" x14ac:dyDescent="0.25">
      <c r="N3551" t="s">
        <v>229</v>
      </c>
    </row>
    <row r="3552" spans="14:14" ht="15" customHeight="1" x14ac:dyDescent="0.25">
      <c r="N3552" t="s">
        <v>209</v>
      </c>
    </row>
    <row r="3553" spans="14:14" ht="15" customHeight="1" x14ac:dyDescent="0.25">
      <c r="N3553" t="s">
        <v>254</v>
      </c>
    </row>
    <row r="3554" spans="14:14" ht="15" customHeight="1" x14ac:dyDescent="0.25">
      <c r="N3554" t="s">
        <v>254</v>
      </c>
    </row>
    <row r="3555" spans="14:14" ht="15" customHeight="1" x14ac:dyDescent="0.25">
      <c r="N3555" t="s">
        <v>254</v>
      </c>
    </row>
    <row r="3556" spans="14:14" ht="15" customHeight="1" x14ac:dyDescent="0.25">
      <c r="N3556" t="s">
        <v>209</v>
      </c>
    </row>
    <row r="3557" spans="14:14" ht="15" customHeight="1" x14ac:dyDescent="0.25">
      <c r="N3557" t="s">
        <v>207</v>
      </c>
    </row>
    <row r="3558" spans="14:14" ht="15" customHeight="1" x14ac:dyDescent="0.25">
      <c r="N3558" t="s">
        <v>254</v>
      </c>
    </row>
    <row r="3559" spans="14:14" ht="15" customHeight="1" x14ac:dyDescent="0.25">
      <c r="N3559" t="s">
        <v>254</v>
      </c>
    </row>
    <row r="3560" spans="14:14" ht="15" customHeight="1" x14ac:dyDescent="0.25">
      <c r="N3560" t="s">
        <v>254</v>
      </c>
    </row>
    <row r="3561" spans="14:14" ht="15" customHeight="1" x14ac:dyDescent="0.25">
      <c r="N3561" t="s">
        <v>311</v>
      </c>
    </row>
    <row r="3562" spans="14:14" ht="15" customHeight="1" x14ac:dyDescent="0.25">
      <c r="N3562" t="s">
        <v>254</v>
      </c>
    </row>
    <row r="3563" spans="14:14" ht="15" customHeight="1" x14ac:dyDescent="0.25">
      <c r="N3563" t="s">
        <v>254</v>
      </c>
    </row>
    <row r="3564" spans="14:14" ht="15" customHeight="1" x14ac:dyDescent="0.25">
      <c r="N3564" t="s">
        <v>254</v>
      </c>
    </row>
    <row r="3565" spans="14:14" ht="15" customHeight="1" x14ac:dyDescent="0.25">
      <c r="N3565" t="s">
        <v>217</v>
      </c>
    </row>
    <row r="3566" spans="14:14" ht="15" customHeight="1" x14ac:dyDescent="0.25">
      <c r="N3566" t="s">
        <v>254</v>
      </c>
    </row>
    <row r="3567" spans="14:14" ht="15" customHeight="1" x14ac:dyDescent="0.25">
      <c r="N3567" t="s">
        <v>258</v>
      </c>
    </row>
    <row r="3568" spans="14:14" ht="15" customHeight="1" x14ac:dyDescent="0.25">
      <c r="N3568" t="s">
        <v>216</v>
      </c>
    </row>
    <row r="3569" spans="14:14" ht="15" customHeight="1" x14ac:dyDescent="0.25">
      <c r="N3569" t="s">
        <v>257</v>
      </c>
    </row>
    <row r="3570" spans="14:14" ht="15" customHeight="1" x14ac:dyDescent="0.25">
      <c r="N3570" t="s">
        <v>264</v>
      </c>
    </row>
    <row r="3571" spans="14:14" ht="15" customHeight="1" x14ac:dyDescent="0.25">
      <c r="N3571" t="s">
        <v>296</v>
      </c>
    </row>
    <row r="3572" spans="14:14" ht="15" customHeight="1" x14ac:dyDescent="0.25">
      <c r="N3572" t="s">
        <v>222</v>
      </c>
    </row>
    <row r="3573" spans="14:14" ht="15" customHeight="1" x14ac:dyDescent="0.25">
      <c r="N3573" t="s">
        <v>221</v>
      </c>
    </row>
    <row r="3574" spans="14:14" ht="15" customHeight="1" x14ac:dyDescent="0.25">
      <c r="N3574" t="s">
        <v>267</v>
      </c>
    </row>
    <row r="3575" spans="14:14" ht="15" customHeight="1" x14ac:dyDescent="0.25">
      <c r="N3575" t="s">
        <v>228</v>
      </c>
    </row>
    <row r="3576" spans="14:14" ht="15" customHeight="1" x14ac:dyDescent="0.25">
      <c r="N3576" t="s">
        <v>308</v>
      </c>
    </row>
    <row r="3577" spans="14:14" ht="15" customHeight="1" x14ac:dyDescent="0.25">
      <c r="N3577" t="s">
        <v>218</v>
      </c>
    </row>
    <row r="3578" spans="14:14" ht="15" customHeight="1" x14ac:dyDescent="0.25">
      <c r="N3578" t="s">
        <v>280</v>
      </c>
    </row>
    <row r="3579" spans="14:14" ht="15" customHeight="1" x14ac:dyDescent="0.25">
      <c r="N3579" t="s">
        <v>312</v>
      </c>
    </row>
    <row r="3580" spans="14:14" ht="15" customHeight="1" x14ac:dyDescent="0.25">
      <c r="N3580" t="s">
        <v>265</v>
      </c>
    </row>
    <row r="3581" spans="14:14" ht="15" customHeight="1" x14ac:dyDescent="0.25">
      <c r="N3581" t="s">
        <v>308</v>
      </c>
    </row>
    <row r="3582" spans="14:14" ht="15" customHeight="1" x14ac:dyDescent="0.25">
      <c r="N3582" t="s">
        <v>254</v>
      </c>
    </row>
    <row r="3583" spans="14:14" ht="15" customHeight="1" x14ac:dyDescent="0.25">
      <c r="N3583" t="s">
        <v>289</v>
      </c>
    </row>
    <row r="3584" spans="14:14" ht="15" customHeight="1" x14ac:dyDescent="0.25">
      <c r="N3584" t="s">
        <v>273</v>
      </c>
    </row>
    <row r="3585" spans="14:14" ht="15" customHeight="1" x14ac:dyDescent="0.25">
      <c r="N3585" t="s">
        <v>249</v>
      </c>
    </row>
    <row r="3586" spans="14:14" ht="15" customHeight="1" x14ac:dyDescent="0.25">
      <c r="N3586" t="s">
        <v>226</v>
      </c>
    </row>
    <row r="3587" spans="14:14" ht="15" customHeight="1" x14ac:dyDescent="0.25">
      <c r="N3587" t="s">
        <v>228</v>
      </c>
    </row>
    <row r="3588" spans="14:14" ht="15" customHeight="1" x14ac:dyDescent="0.25">
      <c r="N3588" t="s">
        <v>288</v>
      </c>
    </row>
    <row r="3589" spans="14:14" ht="15" customHeight="1" x14ac:dyDescent="0.25">
      <c r="N3589" t="s">
        <v>228</v>
      </c>
    </row>
    <row r="3590" spans="14:14" ht="15" customHeight="1" x14ac:dyDescent="0.25">
      <c r="N3590" t="s">
        <v>228</v>
      </c>
    </row>
    <row r="3591" spans="14:14" ht="15" customHeight="1" x14ac:dyDescent="0.25">
      <c r="N3591" t="s">
        <v>228</v>
      </c>
    </row>
    <row r="3592" spans="14:14" ht="15" customHeight="1" x14ac:dyDescent="0.25">
      <c r="N3592" t="s">
        <v>254</v>
      </c>
    </row>
    <row r="3593" spans="14:14" ht="15" customHeight="1" x14ac:dyDescent="0.25">
      <c r="N3593" t="s">
        <v>295</v>
      </c>
    </row>
    <row r="3594" spans="14:14" ht="15" customHeight="1" x14ac:dyDescent="0.25">
      <c r="N3594" t="s">
        <v>295</v>
      </c>
    </row>
    <row r="3595" spans="14:14" ht="15" customHeight="1" x14ac:dyDescent="0.25">
      <c r="N3595" t="s">
        <v>254</v>
      </c>
    </row>
    <row r="3596" spans="14:14" ht="15" customHeight="1" x14ac:dyDescent="0.25">
      <c r="N3596" t="s">
        <v>295</v>
      </c>
    </row>
    <row r="3597" spans="14:14" ht="15" customHeight="1" x14ac:dyDescent="0.25">
      <c r="N3597" t="s">
        <v>295</v>
      </c>
    </row>
    <row r="3598" spans="14:14" ht="15" customHeight="1" x14ac:dyDescent="0.25">
      <c r="N3598" t="s">
        <v>262</v>
      </c>
    </row>
    <row r="3599" spans="14:14" ht="15" customHeight="1" x14ac:dyDescent="0.25">
      <c r="N3599" t="s">
        <v>295</v>
      </c>
    </row>
    <row r="3600" spans="14:14" ht="15" customHeight="1" x14ac:dyDescent="0.25">
      <c r="N3600" t="s">
        <v>295</v>
      </c>
    </row>
    <row r="3601" spans="14:14" ht="15" customHeight="1" x14ac:dyDescent="0.25">
      <c r="N3601" t="s">
        <v>279</v>
      </c>
    </row>
    <row r="3602" spans="14:14" ht="15" customHeight="1" x14ac:dyDescent="0.25">
      <c r="N3602" t="s">
        <v>268</v>
      </c>
    </row>
    <row r="3603" spans="14:14" ht="15" customHeight="1" x14ac:dyDescent="0.25">
      <c r="N3603" t="s">
        <v>300</v>
      </c>
    </row>
    <row r="3604" spans="14:14" ht="15" customHeight="1" x14ac:dyDescent="0.25">
      <c r="N3604" t="s">
        <v>286</v>
      </c>
    </row>
    <row r="3605" spans="14:14" ht="15" customHeight="1" x14ac:dyDescent="0.25">
      <c r="N3605" t="s">
        <v>295</v>
      </c>
    </row>
    <row r="3606" spans="14:14" ht="15" customHeight="1" x14ac:dyDescent="0.25">
      <c r="N3606" t="s">
        <v>254</v>
      </c>
    </row>
    <row r="3607" spans="14:14" ht="15" customHeight="1" x14ac:dyDescent="0.25">
      <c r="N3607" t="s">
        <v>302</v>
      </c>
    </row>
    <row r="3608" spans="14:14" ht="15" customHeight="1" x14ac:dyDescent="0.25">
      <c r="N3608" t="s">
        <v>302</v>
      </c>
    </row>
    <row r="3609" spans="14:14" ht="15" customHeight="1" x14ac:dyDescent="0.25">
      <c r="N3609" t="s">
        <v>254</v>
      </c>
    </row>
    <row r="3610" spans="14:14" ht="15" customHeight="1" x14ac:dyDescent="0.25">
      <c r="N3610" t="s">
        <v>301</v>
      </c>
    </row>
    <row r="3611" spans="14:14" ht="15" customHeight="1" x14ac:dyDescent="0.25">
      <c r="N3611" t="s">
        <v>210</v>
      </c>
    </row>
    <row r="3612" spans="14:14" ht="15" customHeight="1" x14ac:dyDescent="0.25">
      <c r="N3612" t="s">
        <v>254</v>
      </c>
    </row>
    <row r="3613" spans="14:14" ht="15" customHeight="1" x14ac:dyDescent="0.25">
      <c r="N3613" t="s">
        <v>313</v>
      </c>
    </row>
    <row r="3614" spans="14:14" ht="15" customHeight="1" x14ac:dyDescent="0.25">
      <c r="N3614" t="s">
        <v>313</v>
      </c>
    </row>
    <row r="3615" spans="14:14" ht="15" customHeight="1" x14ac:dyDescent="0.25">
      <c r="N3615" t="s">
        <v>313</v>
      </c>
    </row>
    <row r="3616" spans="14:14" ht="15" customHeight="1" x14ac:dyDescent="0.25">
      <c r="N3616" t="s">
        <v>313</v>
      </c>
    </row>
    <row r="3617" spans="14:14" ht="15" customHeight="1" x14ac:dyDescent="0.25">
      <c r="N3617" t="s">
        <v>313</v>
      </c>
    </row>
    <row r="3618" spans="14:14" ht="15" customHeight="1" x14ac:dyDescent="0.25">
      <c r="N3618" t="s">
        <v>209</v>
      </c>
    </row>
    <row r="3619" spans="14:14" ht="15" customHeight="1" x14ac:dyDescent="0.25">
      <c r="N3619" t="s">
        <v>254</v>
      </c>
    </row>
    <row r="3620" spans="14:14" ht="15" customHeight="1" x14ac:dyDescent="0.25">
      <c r="N3620" t="s">
        <v>254</v>
      </c>
    </row>
    <row r="3621" spans="14:14" ht="15" customHeight="1" x14ac:dyDescent="0.25">
      <c r="N3621" t="s">
        <v>211</v>
      </c>
    </row>
    <row r="3622" spans="14:14" ht="15" customHeight="1" x14ac:dyDescent="0.25">
      <c r="N3622" t="s">
        <v>251</v>
      </c>
    </row>
    <row r="3623" spans="14:14" ht="15" customHeight="1" x14ac:dyDescent="0.25">
      <c r="N3623" t="s">
        <v>254</v>
      </c>
    </row>
    <row r="3624" spans="14:14" ht="15" customHeight="1" x14ac:dyDescent="0.25">
      <c r="N3624" t="s">
        <v>254</v>
      </c>
    </row>
    <row r="3625" spans="14:14" ht="15" customHeight="1" x14ac:dyDescent="0.25">
      <c r="N3625" t="s">
        <v>228</v>
      </c>
    </row>
    <row r="3626" spans="14:14" ht="15" customHeight="1" x14ac:dyDescent="0.25">
      <c r="N3626" t="s">
        <v>303</v>
      </c>
    </row>
    <row r="3627" spans="14:14" ht="15" customHeight="1" x14ac:dyDescent="0.25">
      <c r="N3627" t="s">
        <v>228</v>
      </c>
    </row>
    <row r="3628" spans="14:14" ht="15" customHeight="1" x14ac:dyDescent="0.25">
      <c r="N3628" t="s">
        <v>264</v>
      </c>
    </row>
    <row r="3629" spans="14:14" ht="15" customHeight="1" x14ac:dyDescent="0.25">
      <c r="N3629" t="s">
        <v>291</v>
      </c>
    </row>
    <row r="3630" spans="14:14" ht="15" customHeight="1" x14ac:dyDescent="0.25">
      <c r="N3630" t="s">
        <v>239</v>
      </c>
    </row>
    <row r="3631" spans="14:14" ht="15" customHeight="1" x14ac:dyDescent="0.25">
      <c r="N3631" t="s">
        <v>228</v>
      </c>
    </row>
    <row r="3632" spans="14:14" ht="15" customHeight="1" x14ac:dyDescent="0.25">
      <c r="N3632" t="s">
        <v>304</v>
      </c>
    </row>
    <row r="3633" spans="14:14" ht="15" customHeight="1" x14ac:dyDescent="0.25">
      <c r="N3633" t="s">
        <v>228</v>
      </c>
    </row>
    <row r="3634" spans="14:14" ht="15" customHeight="1" x14ac:dyDescent="0.25">
      <c r="N3634" t="s">
        <v>276</v>
      </c>
    </row>
    <row r="3635" spans="14:14" ht="15" customHeight="1" x14ac:dyDescent="0.25">
      <c r="N3635" t="s">
        <v>254</v>
      </c>
    </row>
    <row r="3636" spans="14:14" ht="15" customHeight="1" x14ac:dyDescent="0.25">
      <c r="N3636" t="s">
        <v>254</v>
      </c>
    </row>
    <row r="3637" spans="14:14" ht="15" customHeight="1" x14ac:dyDescent="0.25">
      <c r="N3637" t="s">
        <v>289</v>
      </c>
    </row>
    <row r="3638" spans="14:14" ht="15" customHeight="1" x14ac:dyDescent="0.25">
      <c r="N3638" t="s">
        <v>254</v>
      </c>
    </row>
    <row r="3639" spans="14:14" ht="15" customHeight="1" x14ac:dyDescent="0.25">
      <c r="N3639" t="s">
        <v>269</v>
      </c>
    </row>
    <row r="3640" spans="14:14" ht="15" customHeight="1" x14ac:dyDescent="0.25">
      <c r="N3640" t="s">
        <v>228</v>
      </c>
    </row>
    <row r="3641" spans="14:14" ht="15" customHeight="1" x14ac:dyDescent="0.25">
      <c r="N3641" t="s">
        <v>288</v>
      </c>
    </row>
    <row r="3642" spans="14:14" ht="15" customHeight="1" x14ac:dyDescent="0.25">
      <c r="N3642" t="s">
        <v>253</v>
      </c>
    </row>
    <row r="3643" spans="14:14" ht="15" customHeight="1" x14ac:dyDescent="0.25">
      <c r="N3643" t="s">
        <v>254</v>
      </c>
    </row>
    <row r="3644" spans="14:14" ht="15" customHeight="1" x14ac:dyDescent="0.25">
      <c r="N3644" t="s">
        <v>295</v>
      </c>
    </row>
    <row r="3645" spans="14:14" ht="15" customHeight="1" x14ac:dyDescent="0.25">
      <c r="N3645" t="s">
        <v>254</v>
      </c>
    </row>
    <row r="3646" spans="14:14" ht="15" customHeight="1" x14ac:dyDescent="0.25">
      <c r="N3646" t="s">
        <v>279</v>
      </c>
    </row>
    <row r="3647" spans="14:14" ht="15" customHeight="1" x14ac:dyDescent="0.25">
      <c r="N3647" t="s">
        <v>262</v>
      </c>
    </row>
    <row r="3648" spans="14:14" ht="15" customHeight="1" x14ac:dyDescent="0.25">
      <c r="N3648" t="s">
        <v>295</v>
      </c>
    </row>
    <row r="3649" spans="14:14" ht="15" customHeight="1" x14ac:dyDescent="0.25">
      <c r="N3649" t="s">
        <v>295</v>
      </c>
    </row>
    <row r="3650" spans="14:14" ht="15" customHeight="1" x14ac:dyDescent="0.25">
      <c r="N3650" t="s">
        <v>295</v>
      </c>
    </row>
    <row r="3651" spans="14:14" ht="15" customHeight="1" x14ac:dyDescent="0.25">
      <c r="N3651" t="s">
        <v>295</v>
      </c>
    </row>
    <row r="3652" spans="14:14" ht="15" customHeight="1" x14ac:dyDescent="0.25">
      <c r="N3652" t="s">
        <v>300</v>
      </c>
    </row>
    <row r="3653" spans="14:14" ht="15" customHeight="1" x14ac:dyDescent="0.25">
      <c r="N3653" t="s">
        <v>286</v>
      </c>
    </row>
    <row r="3654" spans="14:14" ht="15" customHeight="1" x14ac:dyDescent="0.25">
      <c r="N3654" t="s">
        <v>295</v>
      </c>
    </row>
    <row r="3655" spans="14:14" ht="15" customHeight="1" x14ac:dyDescent="0.25">
      <c r="N3655" t="s">
        <v>254</v>
      </c>
    </row>
    <row r="3656" spans="14:14" ht="15" customHeight="1" x14ac:dyDescent="0.25">
      <c r="N3656" t="s">
        <v>275</v>
      </c>
    </row>
    <row r="3657" spans="14:14" ht="15" customHeight="1" x14ac:dyDescent="0.25">
      <c r="N3657" t="s">
        <v>248</v>
      </c>
    </row>
    <row r="3658" spans="14:14" ht="15" customHeight="1" x14ac:dyDescent="0.25">
      <c r="N3658" t="s">
        <v>254</v>
      </c>
    </row>
    <row r="3659" spans="14:14" ht="15" customHeight="1" x14ac:dyDescent="0.25">
      <c r="N3659" t="s">
        <v>302</v>
      </c>
    </row>
    <row r="3660" spans="14:14" ht="15" customHeight="1" x14ac:dyDescent="0.25">
      <c r="N3660" t="s">
        <v>302</v>
      </c>
    </row>
    <row r="3661" spans="14:14" ht="15" customHeight="1" x14ac:dyDescent="0.25">
      <c r="N3661" t="s">
        <v>254</v>
      </c>
    </row>
    <row r="3662" spans="14:14" ht="15" customHeight="1" x14ac:dyDescent="0.25">
      <c r="N3662" t="s">
        <v>302</v>
      </c>
    </row>
    <row r="3663" spans="14:14" ht="15" customHeight="1" x14ac:dyDescent="0.25">
      <c r="N3663" t="s">
        <v>301</v>
      </c>
    </row>
    <row r="3664" spans="14:14" ht="15" customHeight="1" x14ac:dyDescent="0.25">
      <c r="N3664" t="s">
        <v>228</v>
      </c>
    </row>
    <row r="3665" spans="14:14" ht="15" customHeight="1" x14ac:dyDescent="0.25">
      <c r="N3665" t="s">
        <v>209</v>
      </c>
    </row>
    <row r="3666" spans="14:14" ht="15" customHeight="1" x14ac:dyDescent="0.25">
      <c r="N3666" t="s">
        <v>254</v>
      </c>
    </row>
    <row r="3667" spans="14:14" ht="15" customHeight="1" x14ac:dyDescent="0.25">
      <c r="N3667" t="s">
        <v>263</v>
      </c>
    </row>
    <row r="3668" spans="14:14" ht="15" customHeight="1" x14ac:dyDescent="0.25">
      <c r="N3668" t="s">
        <v>228</v>
      </c>
    </row>
    <row r="3669" spans="14:14" ht="15" customHeight="1" x14ac:dyDescent="0.25">
      <c r="N3669" t="s">
        <v>303</v>
      </c>
    </row>
    <row r="3670" spans="14:14" ht="15" customHeight="1" x14ac:dyDescent="0.25">
      <c r="N3670" t="s">
        <v>228</v>
      </c>
    </row>
    <row r="3671" spans="14:14" ht="15" customHeight="1" x14ac:dyDescent="0.25">
      <c r="N3671" t="s">
        <v>291</v>
      </c>
    </row>
    <row r="3672" spans="14:14" ht="15" customHeight="1" x14ac:dyDescent="0.25">
      <c r="N3672" t="s">
        <v>261</v>
      </c>
    </row>
    <row r="3673" spans="14:14" ht="15" customHeight="1" x14ac:dyDescent="0.25">
      <c r="N3673" t="s">
        <v>289</v>
      </c>
    </row>
    <row r="3674" spans="14:14" ht="15" customHeight="1" x14ac:dyDescent="0.25">
      <c r="N3674" t="s">
        <v>243</v>
      </c>
    </row>
    <row r="3675" spans="14:14" ht="15" customHeight="1" x14ac:dyDescent="0.25">
      <c r="N3675" t="s">
        <v>255</v>
      </c>
    </row>
    <row r="3676" spans="14:14" ht="15" customHeight="1" x14ac:dyDescent="0.25">
      <c r="N3676" t="s">
        <v>254</v>
      </c>
    </row>
    <row r="3677" spans="14:14" ht="15" customHeight="1" x14ac:dyDescent="0.25">
      <c r="N3677" t="s">
        <v>295</v>
      </c>
    </row>
    <row r="3678" spans="14:14" ht="15" customHeight="1" x14ac:dyDescent="0.25">
      <c r="N3678" t="s">
        <v>254</v>
      </c>
    </row>
    <row r="3679" spans="14:14" ht="15" customHeight="1" x14ac:dyDescent="0.25">
      <c r="N3679" t="s">
        <v>279</v>
      </c>
    </row>
    <row r="3680" spans="14:14" ht="15" customHeight="1" x14ac:dyDescent="0.25">
      <c r="N3680" t="s">
        <v>295</v>
      </c>
    </row>
    <row r="3681" spans="14:14" ht="15" customHeight="1" x14ac:dyDescent="0.25">
      <c r="N3681" t="s">
        <v>295</v>
      </c>
    </row>
    <row r="3682" spans="14:14" ht="15" customHeight="1" x14ac:dyDescent="0.25">
      <c r="N3682" t="s">
        <v>300</v>
      </c>
    </row>
    <row r="3683" spans="14:14" ht="15" customHeight="1" x14ac:dyDescent="0.25">
      <c r="N3683" t="s">
        <v>237</v>
      </c>
    </row>
    <row r="3684" spans="14:14" ht="15" customHeight="1" x14ac:dyDescent="0.25">
      <c r="N3684" t="s">
        <v>271</v>
      </c>
    </row>
    <row r="3685" spans="14:14" ht="15" customHeight="1" x14ac:dyDescent="0.25">
      <c r="N3685" t="s">
        <v>254</v>
      </c>
    </row>
    <row r="3686" spans="14:14" ht="15" customHeight="1" x14ac:dyDescent="0.25">
      <c r="N3686" t="s">
        <v>254</v>
      </c>
    </row>
    <row r="3687" spans="14:14" ht="15" customHeight="1" x14ac:dyDescent="0.25">
      <c r="N3687" t="s">
        <v>307</v>
      </c>
    </row>
    <row r="3688" spans="14:14" ht="15" customHeight="1" x14ac:dyDescent="0.25">
      <c r="N3688" t="s">
        <v>229</v>
      </c>
    </row>
    <row r="3689" spans="14:14" ht="15" customHeight="1" x14ac:dyDescent="0.25">
      <c r="N3689" t="s">
        <v>254</v>
      </c>
    </row>
    <row r="3690" spans="14:14" ht="15" customHeight="1" x14ac:dyDescent="0.25">
      <c r="N3690" t="s">
        <v>303</v>
      </c>
    </row>
    <row r="3691" spans="14:14" ht="15" customHeight="1" x14ac:dyDescent="0.25">
      <c r="N3691" t="s">
        <v>267</v>
      </c>
    </row>
    <row r="3692" spans="14:14" ht="15" customHeight="1" x14ac:dyDescent="0.25">
      <c r="N3692" t="s">
        <v>254</v>
      </c>
    </row>
    <row r="3693" spans="14:14" ht="15" customHeight="1" x14ac:dyDescent="0.25">
      <c r="N3693" t="s">
        <v>289</v>
      </c>
    </row>
    <row r="3694" spans="14:14" ht="15" customHeight="1" x14ac:dyDescent="0.25">
      <c r="N3694" t="s">
        <v>228</v>
      </c>
    </row>
    <row r="3695" spans="14:14" ht="15" customHeight="1" x14ac:dyDescent="0.25">
      <c r="N3695" t="s">
        <v>254</v>
      </c>
    </row>
    <row r="3696" spans="14:14" ht="15" customHeight="1" x14ac:dyDescent="0.25">
      <c r="N3696" t="s">
        <v>295</v>
      </c>
    </row>
    <row r="3697" spans="14:14" ht="15" customHeight="1" x14ac:dyDescent="0.25">
      <c r="N3697" t="s">
        <v>236</v>
      </c>
    </row>
    <row r="3698" spans="14:14" ht="15" customHeight="1" x14ac:dyDescent="0.25">
      <c r="N3698" t="s">
        <v>246</v>
      </c>
    </row>
    <row r="3699" spans="14:14" ht="15" customHeight="1" x14ac:dyDescent="0.25">
      <c r="N3699" t="s">
        <v>297</v>
      </c>
    </row>
    <row r="3700" spans="14:14" ht="15" customHeight="1" x14ac:dyDescent="0.25">
      <c r="N3700" t="s">
        <v>302</v>
      </c>
    </row>
    <row r="3701" spans="14:14" ht="15" customHeight="1" x14ac:dyDescent="0.25">
      <c r="N3701" t="s">
        <v>234</v>
      </c>
    </row>
    <row r="3702" spans="14:14" ht="15" customHeight="1" x14ac:dyDescent="0.25">
      <c r="N3702" t="s">
        <v>294</v>
      </c>
    </row>
    <row r="3703" spans="14:14" ht="15" customHeight="1" x14ac:dyDescent="0.25">
      <c r="N3703" t="s">
        <v>291</v>
      </c>
    </row>
    <row r="3704" spans="14:14" ht="15" customHeight="1" x14ac:dyDescent="0.25">
      <c r="N3704" t="s">
        <v>270</v>
      </c>
    </row>
    <row r="3705" spans="14:14" ht="15" customHeight="1" x14ac:dyDescent="0.25">
      <c r="N3705" t="s">
        <v>257</v>
      </c>
    </row>
    <row r="3706" spans="14:14" ht="15" customHeight="1" x14ac:dyDescent="0.25">
      <c r="N3706" t="s">
        <v>288</v>
      </c>
    </row>
    <row r="3707" spans="14:14" ht="15" customHeight="1" x14ac:dyDescent="0.25">
      <c r="N3707" t="s">
        <v>300</v>
      </c>
    </row>
    <row r="3708" spans="14:14" ht="15" customHeight="1" x14ac:dyDescent="0.25">
      <c r="N3708" t="s">
        <v>233</v>
      </c>
    </row>
    <row r="3709" spans="14:14" ht="15" customHeight="1" x14ac:dyDescent="0.25">
      <c r="N3709" t="s">
        <v>297</v>
      </c>
    </row>
    <row r="3710" spans="14:14" ht="15" customHeight="1" x14ac:dyDescent="0.25">
      <c r="N3710" t="s">
        <v>254</v>
      </c>
    </row>
    <row r="3711" spans="14:14" ht="15" customHeight="1" x14ac:dyDescent="0.25">
      <c r="N3711" t="s">
        <v>301</v>
      </c>
    </row>
    <row r="3712" spans="14:14" ht="15" customHeight="1" x14ac:dyDescent="0.25">
      <c r="N3712" t="s">
        <v>273</v>
      </c>
    </row>
    <row r="3713" spans="14:14" ht="15" customHeight="1" x14ac:dyDescent="0.25">
      <c r="N3713" t="s">
        <v>207</v>
      </c>
    </row>
    <row r="3714" spans="14:14" ht="15" customHeight="1" x14ac:dyDescent="0.25">
      <c r="N3714" t="s">
        <v>299</v>
      </c>
    </row>
    <row r="3715" spans="14:14" ht="15" customHeight="1" x14ac:dyDescent="0.25">
      <c r="N3715" t="s">
        <v>291</v>
      </c>
    </row>
    <row r="3716" spans="14:14" ht="15" customHeight="1" x14ac:dyDescent="0.25">
      <c r="N3716" t="s">
        <v>276</v>
      </c>
    </row>
    <row r="3717" spans="14:14" ht="15" customHeight="1" x14ac:dyDescent="0.25">
      <c r="N3717" t="s">
        <v>282</v>
      </c>
    </row>
    <row r="3718" spans="14:14" ht="15" customHeight="1" x14ac:dyDescent="0.25">
      <c r="N3718" t="s">
        <v>203</v>
      </c>
    </row>
    <row r="3719" spans="14:14" ht="15" customHeight="1" x14ac:dyDescent="0.25">
      <c r="N3719" t="s">
        <v>288</v>
      </c>
    </row>
    <row r="3720" spans="14:14" ht="15" customHeight="1" x14ac:dyDescent="0.25">
      <c r="N3720" t="s">
        <v>300</v>
      </c>
    </row>
    <row r="3721" spans="14:14" ht="15" customHeight="1" x14ac:dyDescent="0.25">
      <c r="N3721" t="s">
        <v>300</v>
      </c>
    </row>
    <row r="3722" spans="14:14" ht="15" customHeight="1" x14ac:dyDescent="0.25">
      <c r="N3722" t="s">
        <v>203</v>
      </c>
    </row>
    <row r="3723" spans="14:14" ht="15" customHeight="1" x14ac:dyDescent="0.25">
      <c r="N3723" t="s">
        <v>207</v>
      </c>
    </row>
    <row r="3724" spans="14:14" ht="15" customHeight="1" x14ac:dyDescent="0.25">
      <c r="N3724" t="s">
        <v>301</v>
      </c>
    </row>
    <row r="3725" spans="14:14" ht="15" customHeight="1" x14ac:dyDescent="0.25">
      <c r="N3725" t="s">
        <v>231</v>
      </c>
    </row>
    <row r="3726" spans="14:14" ht="15" customHeight="1" x14ac:dyDescent="0.25">
      <c r="N3726" t="s">
        <v>228</v>
      </c>
    </row>
    <row r="3727" spans="14:14" ht="15" customHeight="1" x14ac:dyDescent="0.25">
      <c r="N3727" t="s">
        <v>299</v>
      </c>
    </row>
    <row r="3728" spans="14:14" ht="15" customHeight="1" x14ac:dyDescent="0.25">
      <c r="N3728" t="s">
        <v>303</v>
      </c>
    </row>
    <row r="3729" spans="14:14" ht="15" customHeight="1" x14ac:dyDescent="0.25">
      <c r="N3729" t="s">
        <v>282</v>
      </c>
    </row>
    <row r="3730" spans="14:14" ht="15" customHeight="1" x14ac:dyDescent="0.25">
      <c r="N3730" t="s">
        <v>273</v>
      </c>
    </row>
    <row r="3731" spans="14:14" ht="15" customHeight="1" x14ac:dyDescent="0.25">
      <c r="N3731" t="s">
        <v>254</v>
      </c>
    </row>
    <row r="3732" spans="14:14" ht="15" customHeight="1" x14ac:dyDescent="0.25">
      <c r="N3732" t="s">
        <v>228</v>
      </c>
    </row>
    <row r="3733" spans="14:14" ht="15" customHeight="1" x14ac:dyDescent="0.25">
      <c r="N3733" t="s">
        <v>268</v>
      </c>
    </row>
    <row r="3734" spans="14:14" ht="15" customHeight="1" x14ac:dyDescent="0.25">
      <c r="N3734" t="s">
        <v>275</v>
      </c>
    </row>
    <row r="3735" spans="14:14" ht="15" customHeight="1" x14ac:dyDescent="0.25">
      <c r="N3735" t="s">
        <v>203</v>
      </c>
    </row>
    <row r="3736" spans="14:14" ht="15" customHeight="1" x14ac:dyDescent="0.25">
      <c r="N3736" t="s">
        <v>273</v>
      </c>
    </row>
    <row r="3737" spans="14:14" ht="15" customHeight="1" x14ac:dyDescent="0.25">
      <c r="N3737" t="s">
        <v>278</v>
      </c>
    </row>
    <row r="3738" spans="14:14" ht="15" customHeight="1" x14ac:dyDescent="0.25">
      <c r="N3738" t="s">
        <v>303</v>
      </c>
    </row>
    <row r="3739" spans="14:14" ht="15" customHeight="1" x14ac:dyDescent="0.25">
      <c r="N3739" t="s">
        <v>244</v>
      </c>
    </row>
    <row r="3740" spans="14:14" ht="15" customHeight="1" x14ac:dyDescent="0.25">
      <c r="N3740" t="s">
        <v>254</v>
      </c>
    </row>
    <row r="3741" spans="14:14" ht="15" customHeight="1" x14ac:dyDescent="0.25">
      <c r="N3741" t="s">
        <v>231</v>
      </c>
    </row>
    <row r="3742" spans="14:14" ht="15" customHeight="1" x14ac:dyDescent="0.25">
      <c r="N3742" t="s">
        <v>299</v>
      </c>
    </row>
    <row r="3743" spans="14:14" ht="15" customHeight="1" x14ac:dyDescent="0.25">
      <c r="N3743" t="s">
        <v>303</v>
      </c>
    </row>
    <row r="3744" spans="14:14" ht="15" customHeight="1" x14ac:dyDescent="0.25">
      <c r="N3744" t="s">
        <v>260</v>
      </c>
    </row>
    <row r="3745" spans="14:14" ht="15" customHeight="1" x14ac:dyDescent="0.25">
      <c r="N3745" t="s">
        <v>254</v>
      </c>
    </row>
    <row r="3746" spans="14:14" ht="15" customHeight="1" x14ac:dyDescent="0.25">
      <c r="N3746" t="s">
        <v>301</v>
      </c>
    </row>
    <row r="3747" spans="14:14" ht="15" customHeight="1" x14ac:dyDescent="0.25">
      <c r="N3747" t="s">
        <v>273</v>
      </c>
    </row>
    <row r="3748" spans="14:14" ht="15" customHeight="1" x14ac:dyDescent="0.25">
      <c r="N3748" t="s">
        <v>294</v>
      </c>
    </row>
    <row r="3749" spans="14:14" ht="15" customHeight="1" x14ac:dyDescent="0.25">
      <c r="N3749" t="s">
        <v>299</v>
      </c>
    </row>
    <row r="3750" spans="14:14" ht="15" customHeight="1" x14ac:dyDescent="0.25">
      <c r="N3750" t="s">
        <v>303</v>
      </c>
    </row>
    <row r="3751" spans="14:14" ht="15" customHeight="1" x14ac:dyDescent="0.25">
      <c r="N3751" t="s">
        <v>228</v>
      </c>
    </row>
    <row r="3752" spans="14:14" ht="15" customHeight="1" x14ac:dyDescent="0.25">
      <c r="N3752" t="s">
        <v>303</v>
      </c>
    </row>
    <row r="3753" spans="14:14" ht="15" customHeight="1" x14ac:dyDescent="0.25">
      <c r="N3753" t="s">
        <v>228</v>
      </c>
    </row>
    <row r="3754" spans="14:14" ht="15" customHeight="1" x14ac:dyDescent="0.25">
      <c r="N3754" t="s">
        <v>232</v>
      </c>
    </row>
    <row r="3755" spans="14:14" ht="15" customHeight="1" x14ac:dyDescent="0.25">
      <c r="N3755" t="s">
        <v>207</v>
      </c>
    </row>
    <row r="3756" spans="14:14" ht="15" customHeight="1" x14ac:dyDescent="0.25">
      <c r="N3756" t="s">
        <v>299</v>
      </c>
    </row>
    <row r="3757" spans="14:14" ht="15" customHeight="1" x14ac:dyDescent="0.25">
      <c r="N3757" t="s">
        <v>270</v>
      </c>
    </row>
    <row r="3758" spans="14:14" ht="15" customHeight="1" x14ac:dyDescent="0.25">
      <c r="N3758" t="s">
        <v>230</v>
      </c>
    </row>
    <row r="3759" spans="14:14" ht="15" customHeight="1" x14ac:dyDescent="0.25">
      <c r="N3759" t="s">
        <v>257</v>
      </c>
    </row>
    <row r="3760" spans="14:14" ht="15" customHeight="1" x14ac:dyDescent="0.25">
      <c r="N3760" t="s">
        <v>301</v>
      </c>
    </row>
    <row r="3761" spans="14:14" ht="15" customHeight="1" x14ac:dyDescent="0.25">
      <c r="N3761" t="s">
        <v>207</v>
      </c>
    </row>
    <row r="3762" spans="14:14" ht="15" customHeight="1" x14ac:dyDescent="0.25">
      <c r="N3762" t="s">
        <v>231</v>
      </c>
    </row>
    <row r="3763" spans="14:14" ht="15" customHeight="1" x14ac:dyDescent="0.25">
      <c r="N3763" t="s">
        <v>299</v>
      </c>
    </row>
    <row r="3764" spans="14:14" ht="15" customHeight="1" x14ac:dyDescent="0.25">
      <c r="N3764" t="s">
        <v>240</v>
      </c>
    </row>
    <row r="3765" spans="14:14" ht="15" customHeight="1" x14ac:dyDescent="0.25">
      <c r="N3765" t="s">
        <v>294</v>
      </c>
    </row>
    <row r="3766" spans="14:14" ht="15" customHeight="1" x14ac:dyDescent="0.25">
      <c r="N3766" t="s">
        <v>277</v>
      </c>
    </row>
    <row r="3767" spans="14:14" ht="15" customHeight="1" x14ac:dyDescent="0.25">
      <c r="N3767" t="s">
        <v>273</v>
      </c>
    </row>
    <row r="3768" spans="14:14" ht="15" customHeight="1" x14ac:dyDescent="0.25">
      <c r="N3768" t="s">
        <v>207</v>
      </c>
    </row>
    <row r="3769" spans="14:14" ht="15" customHeight="1" x14ac:dyDescent="0.25">
      <c r="N3769" t="s">
        <v>265</v>
      </c>
    </row>
    <row r="3770" spans="14:14" ht="15" customHeight="1" x14ac:dyDescent="0.25">
      <c r="N3770" t="s">
        <v>273</v>
      </c>
    </row>
    <row r="3771" spans="14:14" ht="15" customHeight="1" x14ac:dyDescent="0.25">
      <c r="N3771" t="s">
        <v>207</v>
      </c>
    </row>
    <row r="3772" spans="14:14" ht="15" customHeight="1" x14ac:dyDescent="0.25">
      <c r="N3772" t="s">
        <v>287</v>
      </c>
    </row>
    <row r="3773" spans="14:14" ht="15" customHeight="1" x14ac:dyDescent="0.25">
      <c r="N3773" t="s">
        <v>292</v>
      </c>
    </row>
    <row r="3774" spans="14:14" ht="15" customHeight="1" x14ac:dyDescent="0.25">
      <c r="N3774" t="s">
        <v>207</v>
      </c>
    </row>
    <row r="3775" spans="14:14" ht="15" customHeight="1" x14ac:dyDescent="0.25">
      <c r="N3775" t="s">
        <v>295</v>
      </c>
    </row>
    <row r="3776" spans="14:14" ht="15" customHeight="1" x14ac:dyDescent="0.25">
      <c r="N3776" t="s">
        <v>207</v>
      </c>
    </row>
    <row r="3777" spans="14:14" ht="15" customHeight="1" x14ac:dyDescent="0.25">
      <c r="N3777" t="s">
        <v>294</v>
      </c>
    </row>
    <row r="3778" spans="14:14" ht="15" customHeight="1" x14ac:dyDescent="0.25">
      <c r="N3778" t="s">
        <v>277</v>
      </c>
    </row>
    <row r="3779" spans="14:14" ht="15" customHeight="1" x14ac:dyDescent="0.25">
      <c r="N3779" t="s">
        <v>241</v>
      </c>
    </row>
    <row r="3780" spans="14:14" ht="15" customHeight="1" x14ac:dyDescent="0.25">
      <c r="N3780" t="s">
        <v>207</v>
      </c>
    </row>
    <row r="3781" spans="14:14" ht="15" customHeight="1" x14ac:dyDescent="0.25">
      <c r="N3781" t="s">
        <v>273</v>
      </c>
    </row>
    <row r="3782" spans="14:14" ht="15" customHeight="1" x14ac:dyDescent="0.25">
      <c r="N3782" t="s">
        <v>238</v>
      </c>
    </row>
    <row r="3783" spans="14:14" ht="15" customHeight="1" x14ac:dyDescent="0.25">
      <c r="N3783" t="s">
        <v>273</v>
      </c>
    </row>
    <row r="3784" spans="14:14" ht="15" customHeight="1" x14ac:dyDescent="0.25">
      <c r="N3784" t="s">
        <v>245</v>
      </c>
    </row>
    <row r="3785" spans="14:14" ht="15" customHeight="1" x14ac:dyDescent="0.25">
      <c r="N3785" t="s">
        <v>287</v>
      </c>
    </row>
    <row r="3786" spans="14:14" ht="15" customHeight="1" x14ac:dyDescent="0.25">
      <c r="N3786" t="s">
        <v>250</v>
      </c>
    </row>
    <row r="3787" spans="14:14" ht="15" customHeight="1" x14ac:dyDescent="0.25">
      <c r="N3787" t="s">
        <v>213</v>
      </c>
    </row>
    <row r="3788" spans="14:14" ht="15" customHeight="1" x14ac:dyDescent="0.25">
      <c r="N3788" t="s">
        <v>273</v>
      </c>
    </row>
    <row r="3789" spans="14:14" ht="15" customHeight="1" x14ac:dyDescent="0.25">
      <c r="N3789" t="s">
        <v>273</v>
      </c>
    </row>
    <row r="3790" spans="14:14" ht="15" customHeight="1" x14ac:dyDescent="0.25">
      <c r="N3790" t="s">
        <v>205</v>
      </c>
    </row>
    <row r="3791" spans="14:14" ht="15" customHeight="1" x14ac:dyDescent="0.25">
      <c r="N3791" t="s">
        <v>308</v>
      </c>
    </row>
    <row r="3792" spans="14:14" ht="15" customHeight="1" x14ac:dyDescent="0.25">
      <c r="N3792" t="s">
        <v>207</v>
      </c>
    </row>
    <row r="3793" spans="14:14" ht="15" customHeight="1" x14ac:dyDescent="0.25">
      <c r="N3793" t="s">
        <v>207</v>
      </c>
    </row>
    <row r="3794" spans="14:14" ht="15" customHeight="1" x14ac:dyDescent="0.25">
      <c r="N3794" t="s">
        <v>292</v>
      </c>
    </row>
    <row r="3795" spans="14:14" ht="15" customHeight="1" x14ac:dyDescent="0.25">
      <c r="N3795" t="s">
        <v>228</v>
      </c>
    </row>
    <row r="3796" spans="14:14" ht="15" customHeight="1" x14ac:dyDescent="0.25">
      <c r="N3796" t="s">
        <v>273</v>
      </c>
    </row>
    <row r="3797" spans="14:14" ht="15" customHeight="1" x14ac:dyDescent="0.25">
      <c r="N3797" t="s">
        <v>273</v>
      </c>
    </row>
    <row r="3798" spans="14:14" ht="15" customHeight="1" x14ac:dyDescent="0.25">
      <c r="N3798" t="s">
        <v>207</v>
      </c>
    </row>
    <row r="3799" spans="14:14" ht="15" customHeight="1" x14ac:dyDescent="0.25">
      <c r="N3799" t="s">
        <v>207</v>
      </c>
    </row>
    <row r="3800" spans="14:14" ht="15" customHeight="1" x14ac:dyDescent="0.25">
      <c r="N3800" t="s">
        <v>254</v>
      </c>
    </row>
    <row r="3801" spans="14:14" ht="15" customHeight="1" x14ac:dyDescent="0.25">
      <c r="N3801" t="s">
        <v>303</v>
      </c>
    </row>
    <row r="3802" spans="14:14" ht="15" customHeight="1" x14ac:dyDescent="0.25">
      <c r="N3802" t="s">
        <v>228</v>
      </c>
    </row>
    <row r="3803" spans="14:14" ht="15" customHeight="1" x14ac:dyDescent="0.25">
      <c r="N3803" t="s">
        <v>308</v>
      </c>
    </row>
    <row r="3804" spans="14:14" ht="15" customHeight="1" x14ac:dyDescent="0.25">
      <c r="N3804" t="s">
        <v>228</v>
      </c>
    </row>
    <row r="3805" spans="14:14" ht="15" customHeight="1" x14ac:dyDescent="0.25">
      <c r="N3805" t="s">
        <v>228</v>
      </c>
    </row>
    <row r="3806" spans="14:14" ht="15" customHeight="1" x14ac:dyDescent="0.25">
      <c r="N3806" t="s">
        <v>305</v>
      </c>
    </row>
    <row r="3807" spans="14:14" ht="15" customHeight="1" x14ac:dyDescent="0.25">
      <c r="N3807" t="s">
        <v>298</v>
      </c>
    </row>
    <row r="3808" spans="14:14" ht="15" customHeight="1" x14ac:dyDescent="0.25">
      <c r="N3808" t="s">
        <v>309</v>
      </c>
    </row>
    <row r="3809" spans="14:14" ht="15" customHeight="1" x14ac:dyDescent="0.25">
      <c r="N3809" t="s">
        <v>254</v>
      </c>
    </row>
    <row r="3810" spans="14:14" ht="15" customHeight="1" x14ac:dyDescent="0.25">
      <c r="N3810" t="s">
        <v>273</v>
      </c>
    </row>
    <row r="3811" spans="14:14" ht="15" customHeight="1" x14ac:dyDescent="0.25">
      <c r="N3811" t="s">
        <v>256</v>
      </c>
    </row>
    <row r="3812" spans="14:14" ht="15" customHeight="1" x14ac:dyDescent="0.25">
      <c r="N3812" t="s">
        <v>273</v>
      </c>
    </row>
    <row r="3813" spans="14:14" ht="15" customHeight="1" x14ac:dyDescent="0.25">
      <c r="N3813" t="s">
        <v>228</v>
      </c>
    </row>
    <row r="3814" spans="14:14" ht="15" customHeight="1" x14ac:dyDescent="0.25">
      <c r="N3814" t="s">
        <v>305</v>
      </c>
    </row>
    <row r="3815" spans="14:14" ht="15" customHeight="1" x14ac:dyDescent="0.25">
      <c r="N3815" t="s">
        <v>228</v>
      </c>
    </row>
    <row r="3816" spans="14:14" ht="15" customHeight="1" x14ac:dyDescent="0.25">
      <c r="N3816" t="s">
        <v>305</v>
      </c>
    </row>
    <row r="3817" spans="14:14" ht="15" customHeight="1" x14ac:dyDescent="0.25">
      <c r="N3817" t="s">
        <v>305</v>
      </c>
    </row>
    <row r="3818" spans="14:14" ht="15" customHeight="1" x14ac:dyDescent="0.25">
      <c r="N3818" t="s">
        <v>228</v>
      </c>
    </row>
    <row r="3819" spans="14:14" ht="15" customHeight="1" x14ac:dyDescent="0.25">
      <c r="N3819" t="s">
        <v>295</v>
      </c>
    </row>
    <row r="3820" spans="14:14" ht="15" customHeight="1" x14ac:dyDescent="0.25">
      <c r="N3820" t="s">
        <v>295</v>
      </c>
    </row>
    <row r="3821" spans="14:14" ht="15" customHeight="1" x14ac:dyDescent="0.25">
      <c r="N3821" t="s">
        <v>295</v>
      </c>
    </row>
    <row r="3822" spans="14:14" ht="15" customHeight="1" x14ac:dyDescent="0.25">
      <c r="N3822" t="s">
        <v>298</v>
      </c>
    </row>
    <row r="3823" spans="14:14" ht="15" customHeight="1" x14ac:dyDescent="0.25">
      <c r="N3823" t="s">
        <v>273</v>
      </c>
    </row>
    <row r="3824" spans="14:14" ht="15" customHeight="1" x14ac:dyDescent="0.25">
      <c r="N3824" t="s">
        <v>297</v>
      </c>
    </row>
    <row r="3825" spans="14:14" ht="15" customHeight="1" x14ac:dyDescent="0.25">
      <c r="N3825" t="s">
        <v>207</v>
      </c>
    </row>
    <row r="3826" spans="14:14" ht="15" customHeight="1" x14ac:dyDescent="0.25">
      <c r="N3826" t="s">
        <v>285</v>
      </c>
    </row>
    <row r="3827" spans="14:14" ht="15" customHeight="1" x14ac:dyDescent="0.25">
      <c r="N3827" t="s">
        <v>282</v>
      </c>
    </row>
    <row r="3828" spans="14:14" ht="15" customHeight="1" x14ac:dyDescent="0.25">
      <c r="N3828" t="s">
        <v>205</v>
      </c>
    </row>
    <row r="3829" spans="14:14" ht="15" customHeight="1" x14ac:dyDescent="0.25">
      <c r="N3829" t="s">
        <v>304</v>
      </c>
    </row>
    <row r="3830" spans="14:14" ht="15" customHeight="1" x14ac:dyDescent="0.25">
      <c r="N3830" t="s">
        <v>304</v>
      </c>
    </row>
    <row r="3831" spans="14:14" ht="15" customHeight="1" x14ac:dyDescent="0.25">
      <c r="N3831" t="s">
        <v>304</v>
      </c>
    </row>
    <row r="3832" spans="14:14" ht="15" customHeight="1" x14ac:dyDescent="0.25">
      <c r="N3832" t="s">
        <v>304</v>
      </c>
    </row>
    <row r="3833" spans="14:14" ht="15" customHeight="1" x14ac:dyDescent="0.25">
      <c r="N3833" t="s">
        <v>304</v>
      </c>
    </row>
    <row r="3834" spans="14:14" ht="15" customHeight="1" x14ac:dyDescent="0.25">
      <c r="N3834" t="s">
        <v>207</v>
      </c>
    </row>
    <row r="3835" spans="14:14" ht="15" customHeight="1" x14ac:dyDescent="0.25">
      <c r="N3835" t="s">
        <v>292</v>
      </c>
    </row>
    <row r="3836" spans="14:14" ht="15" customHeight="1" x14ac:dyDescent="0.25">
      <c r="N3836" t="s">
        <v>273</v>
      </c>
    </row>
    <row r="3837" spans="14:14" ht="15" customHeight="1" x14ac:dyDescent="0.25">
      <c r="N3837" t="s">
        <v>207</v>
      </c>
    </row>
    <row r="3838" spans="14:14" ht="15" customHeight="1" x14ac:dyDescent="0.25">
      <c r="N3838" t="s">
        <v>305</v>
      </c>
    </row>
    <row r="3839" spans="14:14" ht="15" customHeight="1" x14ac:dyDescent="0.25">
      <c r="N3839" t="s">
        <v>296</v>
      </c>
    </row>
    <row r="3840" spans="14:14" ht="15" customHeight="1" x14ac:dyDescent="0.25">
      <c r="N3840" t="s">
        <v>259</v>
      </c>
    </row>
    <row r="3841" spans="14:14" ht="15" customHeight="1" x14ac:dyDescent="0.25">
      <c r="N3841" t="s">
        <v>305</v>
      </c>
    </row>
    <row r="3842" spans="14:14" ht="15" customHeight="1" x14ac:dyDescent="0.25">
      <c r="N3842" t="s">
        <v>273</v>
      </c>
    </row>
    <row r="3843" spans="14:14" ht="15" customHeight="1" x14ac:dyDescent="0.25">
      <c r="N3843" t="s">
        <v>256</v>
      </c>
    </row>
    <row r="3844" spans="14:14" ht="15" customHeight="1" x14ac:dyDescent="0.25">
      <c r="N3844" t="s">
        <v>305</v>
      </c>
    </row>
    <row r="3845" spans="14:14" ht="15" customHeight="1" x14ac:dyDescent="0.25">
      <c r="N3845" t="s">
        <v>274</v>
      </c>
    </row>
    <row r="3846" spans="14:14" ht="15" customHeight="1" x14ac:dyDescent="0.25">
      <c r="N3846" t="s">
        <v>305</v>
      </c>
    </row>
    <row r="3847" spans="14:14" ht="15" customHeight="1" x14ac:dyDescent="0.25">
      <c r="N3847" t="s">
        <v>228</v>
      </c>
    </row>
    <row r="3848" spans="14:14" ht="15" customHeight="1" x14ac:dyDescent="0.25">
      <c r="N3848" t="s">
        <v>295</v>
      </c>
    </row>
    <row r="3849" spans="14:14" ht="15" customHeight="1" x14ac:dyDescent="0.25">
      <c r="N3849" t="s">
        <v>273</v>
      </c>
    </row>
    <row r="3850" spans="14:14" ht="15" customHeight="1" x14ac:dyDescent="0.25">
      <c r="N3850" t="s">
        <v>271</v>
      </c>
    </row>
    <row r="3851" spans="14:14" ht="15" customHeight="1" x14ac:dyDescent="0.25">
      <c r="N3851" t="s">
        <v>287</v>
      </c>
    </row>
    <row r="3852" spans="14:14" ht="15" customHeight="1" x14ac:dyDescent="0.25">
      <c r="N3852" t="s">
        <v>298</v>
      </c>
    </row>
    <row r="3853" spans="14:14" ht="15" customHeight="1" x14ac:dyDescent="0.25">
      <c r="N3853" t="s">
        <v>207</v>
      </c>
    </row>
    <row r="3854" spans="14:14" ht="15" customHeight="1" x14ac:dyDescent="0.25">
      <c r="N3854" t="s">
        <v>298</v>
      </c>
    </row>
    <row r="3855" spans="14:14" ht="15" customHeight="1" x14ac:dyDescent="0.25">
      <c r="N3855" t="s">
        <v>308</v>
      </c>
    </row>
    <row r="3856" spans="14:14" ht="15" customHeight="1" x14ac:dyDescent="0.25">
      <c r="N3856" t="s">
        <v>207</v>
      </c>
    </row>
    <row r="3857" spans="14:14" ht="15" customHeight="1" x14ac:dyDescent="0.25">
      <c r="N3857" t="s">
        <v>296</v>
      </c>
    </row>
    <row r="3858" spans="14:14" ht="15" customHeight="1" x14ac:dyDescent="0.25">
      <c r="N3858" t="s">
        <v>228</v>
      </c>
    </row>
    <row r="3859" spans="14:14" ht="15" customHeight="1" x14ac:dyDescent="0.25">
      <c r="N3859" t="s">
        <v>228</v>
      </c>
    </row>
    <row r="3860" spans="14:14" ht="15" customHeight="1" x14ac:dyDescent="0.25">
      <c r="N3860" t="s">
        <v>295</v>
      </c>
    </row>
    <row r="3861" spans="14:14" ht="15" customHeight="1" x14ac:dyDescent="0.25">
      <c r="N3861" t="s">
        <v>286</v>
      </c>
    </row>
    <row r="3862" spans="14:14" ht="15" customHeight="1" x14ac:dyDescent="0.25">
      <c r="N3862" t="s">
        <v>273</v>
      </c>
    </row>
    <row r="3863" spans="14:14" ht="15" customHeight="1" x14ac:dyDescent="0.25">
      <c r="N3863" t="s">
        <v>285</v>
      </c>
    </row>
    <row r="3864" spans="14:14" ht="15" customHeight="1" x14ac:dyDescent="0.25">
      <c r="N3864" t="s">
        <v>285</v>
      </c>
    </row>
    <row r="3865" spans="14:14" ht="15" customHeight="1" x14ac:dyDescent="0.25">
      <c r="N3865" t="s">
        <v>213</v>
      </c>
    </row>
    <row r="3866" spans="14:14" ht="15" customHeight="1" x14ac:dyDescent="0.25">
      <c r="N3866" t="s">
        <v>280</v>
      </c>
    </row>
    <row r="3867" spans="14:14" ht="15" customHeight="1" x14ac:dyDescent="0.25">
      <c r="N3867" t="s">
        <v>298</v>
      </c>
    </row>
    <row r="3868" spans="14:14" ht="15" customHeight="1" x14ac:dyDescent="0.25">
      <c r="N3868" t="s">
        <v>228</v>
      </c>
    </row>
    <row r="3869" spans="14:14" ht="15" customHeight="1" x14ac:dyDescent="0.25">
      <c r="N3869" t="s">
        <v>300</v>
      </c>
    </row>
    <row r="3870" spans="14:14" ht="15" customHeight="1" x14ac:dyDescent="0.25">
      <c r="N3870" t="s">
        <v>285</v>
      </c>
    </row>
    <row r="3871" spans="14:14" ht="15" customHeight="1" x14ac:dyDescent="0.25">
      <c r="N3871" t="s">
        <v>205</v>
      </c>
    </row>
    <row r="3872" spans="14:14" ht="15" customHeight="1" x14ac:dyDescent="0.25">
      <c r="N3872" t="s">
        <v>258</v>
      </c>
    </row>
    <row r="3873" spans="14:14" ht="15" customHeight="1" x14ac:dyDescent="0.25">
      <c r="N3873" t="s">
        <v>274</v>
      </c>
    </row>
    <row r="3874" spans="14:14" ht="15" customHeight="1" x14ac:dyDescent="0.25">
      <c r="N3874" t="s">
        <v>228</v>
      </c>
    </row>
    <row r="3875" spans="14:14" ht="15" customHeight="1" x14ac:dyDescent="0.25">
      <c r="N3875" t="s">
        <v>254</v>
      </c>
    </row>
    <row r="3876" spans="14:14" ht="15" customHeight="1" x14ac:dyDescent="0.25">
      <c r="N3876" t="s">
        <v>280</v>
      </c>
    </row>
    <row r="3877" spans="14:14" ht="15" customHeight="1" x14ac:dyDescent="0.25">
      <c r="N3877" t="s">
        <v>283</v>
      </c>
    </row>
    <row r="3878" spans="14:14" ht="15" customHeight="1" x14ac:dyDescent="0.25">
      <c r="N3878" t="s">
        <v>301</v>
      </c>
    </row>
    <row r="3879" spans="14:14" ht="15" customHeight="1" x14ac:dyDescent="0.25">
      <c r="N3879" t="s">
        <v>228</v>
      </c>
    </row>
    <row r="3880" spans="14:14" ht="15" customHeight="1" x14ac:dyDescent="0.25">
      <c r="N3880" t="s">
        <v>278</v>
      </c>
    </row>
    <row r="3881" spans="14:14" ht="15" customHeight="1" x14ac:dyDescent="0.25">
      <c r="N3881" t="s">
        <v>273</v>
      </c>
    </row>
    <row r="3882" spans="14:14" ht="15" customHeight="1" x14ac:dyDescent="0.25">
      <c r="N3882" t="s">
        <v>280</v>
      </c>
    </row>
    <row r="3883" spans="14:14" ht="15" customHeight="1" x14ac:dyDescent="0.25">
      <c r="N3883" t="s">
        <v>205</v>
      </c>
    </row>
    <row r="3884" spans="14:14" ht="15" customHeight="1" x14ac:dyDescent="0.25">
      <c r="N3884" t="s">
        <v>283</v>
      </c>
    </row>
    <row r="3885" spans="14:14" ht="15" customHeight="1" x14ac:dyDescent="0.25">
      <c r="N3885" t="s">
        <v>280</v>
      </c>
    </row>
    <row r="3886" spans="14:14" ht="15" customHeight="1" x14ac:dyDescent="0.25">
      <c r="N3886" t="s">
        <v>242</v>
      </c>
    </row>
    <row r="3887" spans="14:14" ht="15" customHeight="1" x14ac:dyDescent="0.25">
      <c r="N3887" t="s">
        <v>252</v>
      </c>
    </row>
    <row r="3888" spans="14:14" ht="15" customHeight="1" x14ac:dyDescent="0.25">
      <c r="N3888" t="s">
        <v>228</v>
      </c>
    </row>
    <row r="3889" spans="14:14" ht="15" customHeight="1" x14ac:dyDescent="0.25">
      <c r="N3889" t="s">
        <v>256</v>
      </c>
    </row>
    <row r="3890" spans="14:14" ht="15" customHeight="1" x14ac:dyDescent="0.25">
      <c r="N3890" t="s">
        <v>298</v>
      </c>
    </row>
    <row r="3891" spans="14:14" ht="15" customHeight="1" x14ac:dyDescent="0.25">
      <c r="N3891" t="s">
        <v>207</v>
      </c>
    </row>
    <row r="3892" spans="14:14" ht="15" customHeight="1" x14ac:dyDescent="0.25">
      <c r="N3892" t="s">
        <v>280</v>
      </c>
    </row>
    <row r="3893" spans="14:14" ht="15" customHeight="1" x14ac:dyDescent="0.25">
      <c r="N3893" t="s">
        <v>297</v>
      </c>
    </row>
    <row r="3894" spans="14:14" ht="15" customHeight="1" x14ac:dyDescent="0.25">
      <c r="N3894" t="s">
        <v>283</v>
      </c>
    </row>
    <row r="3895" spans="14:14" ht="15" customHeight="1" x14ac:dyDescent="0.25">
      <c r="N3895" t="s">
        <v>284</v>
      </c>
    </row>
    <row r="3896" spans="14:14" ht="15" customHeight="1" x14ac:dyDescent="0.25">
      <c r="N3896" t="s">
        <v>228</v>
      </c>
    </row>
    <row r="3897" spans="14:14" ht="15" customHeight="1" x14ac:dyDescent="0.25">
      <c r="N3897" t="s">
        <v>228</v>
      </c>
    </row>
    <row r="3898" spans="14:14" ht="15" customHeight="1" x14ac:dyDescent="0.25">
      <c r="N3898" t="s">
        <v>280</v>
      </c>
    </row>
    <row r="3899" spans="14:14" ht="15" customHeight="1" x14ac:dyDescent="0.25">
      <c r="N3899" t="s">
        <v>280</v>
      </c>
    </row>
    <row r="3900" spans="14:14" ht="15" customHeight="1" x14ac:dyDescent="0.25">
      <c r="N3900" t="s">
        <v>284</v>
      </c>
    </row>
    <row r="3901" spans="14:14" ht="15" customHeight="1" x14ac:dyDescent="0.25">
      <c r="N3901" t="s">
        <v>284</v>
      </c>
    </row>
    <row r="3902" spans="14:14" ht="15" customHeight="1" x14ac:dyDescent="0.25">
      <c r="N3902" t="s">
        <v>228</v>
      </c>
    </row>
    <row r="3903" spans="14:14" ht="15" customHeight="1" x14ac:dyDescent="0.25">
      <c r="N3903" t="s">
        <v>305</v>
      </c>
    </row>
    <row r="3904" spans="14:14" ht="15" customHeight="1" x14ac:dyDescent="0.25">
      <c r="N3904" t="s">
        <v>296</v>
      </c>
    </row>
    <row r="3905" spans="14:14" ht="15" customHeight="1" x14ac:dyDescent="0.25">
      <c r="N3905" t="s">
        <v>247</v>
      </c>
    </row>
    <row r="3906" spans="14:14" ht="15" customHeight="1" x14ac:dyDescent="0.25">
      <c r="N3906" t="s">
        <v>228</v>
      </c>
    </row>
    <row r="3907" spans="14:14" ht="15" customHeight="1" x14ac:dyDescent="0.25">
      <c r="N3907" t="s">
        <v>305</v>
      </c>
    </row>
    <row r="3908" spans="14:14" ht="15" customHeight="1" x14ac:dyDescent="0.25">
      <c r="N3908" t="s">
        <v>272</v>
      </c>
    </row>
    <row r="3909" spans="14:14" ht="15" customHeight="1" x14ac:dyDescent="0.25">
      <c r="N3909" t="s">
        <v>305</v>
      </c>
    </row>
    <row r="3910" spans="14:14" ht="15" customHeight="1" x14ac:dyDescent="0.25">
      <c r="N3910" t="s">
        <v>310</v>
      </c>
    </row>
    <row r="3911" spans="14:14" ht="15" customHeight="1" x14ac:dyDescent="0.25">
      <c r="N3911" t="s">
        <v>305</v>
      </c>
    </row>
    <row r="3912" spans="14:14" ht="15" customHeight="1" x14ac:dyDescent="0.25">
      <c r="N3912" t="s">
        <v>302</v>
      </c>
    </row>
    <row r="3913" spans="14:14" ht="15" customHeight="1" x14ac:dyDescent="0.25">
      <c r="N3913" t="s">
        <v>247</v>
      </c>
    </row>
    <row r="3914" spans="14:14" ht="15" customHeight="1" x14ac:dyDescent="0.25">
      <c r="N3914" t="s">
        <v>228</v>
      </c>
    </row>
    <row r="3915" spans="14:14" ht="15" customHeight="1" x14ac:dyDescent="0.25">
      <c r="N3915" t="s">
        <v>305</v>
      </c>
    </row>
    <row r="3916" spans="14:14" ht="15" customHeight="1" x14ac:dyDescent="0.25">
      <c r="N3916" t="s">
        <v>273</v>
      </c>
    </row>
    <row r="3917" spans="14:14" ht="15" customHeight="1" x14ac:dyDescent="0.25">
      <c r="N3917" t="s">
        <v>235</v>
      </c>
    </row>
    <row r="3918" spans="14:14" ht="15" customHeight="1" x14ac:dyDescent="0.25">
      <c r="N3918" t="s">
        <v>305</v>
      </c>
    </row>
    <row r="3919" spans="14:14" ht="15" customHeight="1" x14ac:dyDescent="0.25">
      <c r="N3919" t="s">
        <v>305</v>
      </c>
    </row>
    <row r="3920" spans="14:14" ht="15" customHeight="1" x14ac:dyDescent="0.25">
      <c r="N3920" t="s">
        <v>302</v>
      </c>
    </row>
    <row r="3921" spans="14:14" ht="15" customHeight="1" x14ac:dyDescent="0.25">
      <c r="N3921" t="s">
        <v>256</v>
      </c>
    </row>
    <row r="3922" spans="14:14" ht="15" customHeight="1" x14ac:dyDescent="0.25">
      <c r="N3922" t="s">
        <v>228</v>
      </c>
    </row>
    <row r="3923" spans="14:14" ht="15" customHeight="1" x14ac:dyDescent="0.25">
      <c r="N3923" t="s">
        <v>305</v>
      </c>
    </row>
    <row r="3924" spans="14:14" ht="15" customHeight="1" x14ac:dyDescent="0.25">
      <c r="N3924" t="s">
        <v>296</v>
      </c>
    </row>
    <row r="3925" spans="14:14" ht="15" customHeight="1" x14ac:dyDescent="0.25">
      <c r="N3925" t="s">
        <v>305</v>
      </c>
    </row>
    <row r="3926" spans="14:14" ht="15" customHeight="1" x14ac:dyDescent="0.25">
      <c r="N3926" t="s">
        <v>247</v>
      </c>
    </row>
    <row r="3927" spans="14:14" ht="15" customHeight="1" x14ac:dyDescent="0.25">
      <c r="N3927" t="s">
        <v>207</v>
      </c>
    </row>
    <row r="3928" spans="14:14" ht="15" customHeight="1" x14ac:dyDescent="0.25">
      <c r="N3928" t="s">
        <v>269</v>
      </c>
    </row>
    <row r="3929" spans="14:14" ht="15" customHeight="1" x14ac:dyDescent="0.25">
      <c r="N3929" t="s">
        <v>305</v>
      </c>
    </row>
    <row r="3930" spans="14:14" ht="15" customHeight="1" x14ac:dyDescent="0.25">
      <c r="N3930" t="s">
        <v>228</v>
      </c>
    </row>
    <row r="3931" spans="14:14" ht="15" customHeight="1" x14ac:dyDescent="0.25">
      <c r="N3931" t="s">
        <v>207</v>
      </c>
    </row>
    <row r="3932" spans="14:14" ht="15" customHeight="1" x14ac:dyDescent="0.25">
      <c r="N3932" t="s">
        <v>293</v>
      </c>
    </row>
    <row r="3933" spans="14:14" ht="15" customHeight="1" x14ac:dyDescent="0.25">
      <c r="N3933" t="s">
        <v>305</v>
      </c>
    </row>
    <row r="3934" spans="14:14" ht="15" customHeight="1" x14ac:dyDescent="0.25">
      <c r="N3934" t="s">
        <v>305</v>
      </c>
    </row>
    <row r="3935" spans="14:14" ht="15" customHeight="1" x14ac:dyDescent="0.25">
      <c r="N3935" t="s">
        <v>293</v>
      </c>
    </row>
    <row r="3936" spans="14:14" ht="15" customHeight="1" x14ac:dyDescent="0.25">
      <c r="N3936" t="s">
        <v>293</v>
      </c>
    </row>
    <row r="3937" spans="14:14" ht="15" customHeight="1" x14ac:dyDescent="0.25">
      <c r="N3937" t="s">
        <v>305</v>
      </c>
    </row>
    <row r="3938" spans="14:14" ht="15" customHeight="1" x14ac:dyDescent="0.25">
      <c r="N3938" t="s">
        <v>305</v>
      </c>
    </row>
    <row r="3939" spans="14:14" ht="15" customHeight="1" x14ac:dyDescent="0.25">
      <c r="N3939" t="s">
        <v>297</v>
      </c>
    </row>
    <row r="3940" spans="14:14" ht="15" customHeight="1" x14ac:dyDescent="0.25">
      <c r="N3940" t="s">
        <v>228</v>
      </c>
    </row>
    <row r="3941" spans="14:14" ht="15" customHeight="1" x14ac:dyDescent="0.25">
      <c r="N3941" t="s">
        <v>297</v>
      </c>
    </row>
    <row r="3942" spans="14:14" ht="15" customHeight="1" x14ac:dyDescent="0.25">
      <c r="N3942" t="s">
        <v>305</v>
      </c>
    </row>
    <row r="3943" spans="14:14" ht="15" customHeight="1" x14ac:dyDescent="0.25">
      <c r="N3943" t="s">
        <v>301</v>
      </c>
    </row>
    <row r="3944" spans="14:14" ht="15" customHeight="1" x14ac:dyDescent="0.25">
      <c r="N3944" t="s">
        <v>254</v>
      </c>
    </row>
    <row r="3945" spans="14:14" ht="15" customHeight="1" x14ac:dyDescent="0.25">
      <c r="N3945" t="s">
        <v>254</v>
      </c>
    </row>
    <row r="3946" spans="14:14" ht="15" customHeight="1" x14ac:dyDescent="0.25">
      <c r="N3946" t="s">
        <v>308</v>
      </c>
    </row>
    <row r="3947" spans="14:14" ht="15" customHeight="1" x14ac:dyDescent="0.25">
      <c r="N3947" t="s">
        <v>249</v>
      </c>
    </row>
    <row r="3948" spans="14:14" ht="15" customHeight="1" x14ac:dyDescent="0.25">
      <c r="N3948" t="s">
        <v>254</v>
      </c>
    </row>
    <row r="3949" spans="14:14" ht="15" customHeight="1" x14ac:dyDescent="0.25">
      <c r="N3949" t="s">
        <v>229</v>
      </c>
    </row>
    <row r="3950" spans="14:14" ht="15" customHeight="1" x14ac:dyDescent="0.25">
      <c r="N3950" t="s">
        <v>229</v>
      </c>
    </row>
    <row r="3951" spans="14:14" ht="15" customHeight="1" x14ac:dyDescent="0.25">
      <c r="N3951" t="s">
        <v>229</v>
      </c>
    </row>
    <row r="3952" spans="14:14" ht="15" customHeight="1" x14ac:dyDescent="0.25">
      <c r="N3952" t="s">
        <v>229</v>
      </c>
    </row>
    <row r="3953" spans="14:14" ht="15" customHeight="1" x14ac:dyDescent="0.25">
      <c r="N3953" t="s">
        <v>229</v>
      </c>
    </row>
    <row r="3954" spans="14:14" ht="15" customHeight="1" x14ac:dyDescent="0.25">
      <c r="N3954" t="s">
        <v>209</v>
      </c>
    </row>
    <row r="3955" spans="14:14" ht="15" customHeight="1" x14ac:dyDescent="0.25">
      <c r="N3955" t="s">
        <v>254</v>
      </c>
    </row>
    <row r="3956" spans="14:14" ht="15" customHeight="1" x14ac:dyDescent="0.25">
      <c r="N3956" t="s">
        <v>254</v>
      </c>
    </row>
    <row r="3957" spans="14:14" ht="15" customHeight="1" x14ac:dyDescent="0.25">
      <c r="N3957" t="s">
        <v>254</v>
      </c>
    </row>
    <row r="3958" spans="14:14" ht="15" customHeight="1" x14ac:dyDescent="0.25">
      <c r="N3958" t="s">
        <v>209</v>
      </c>
    </row>
    <row r="3959" spans="14:14" ht="15" customHeight="1" x14ac:dyDescent="0.25">
      <c r="N3959" t="s">
        <v>207</v>
      </c>
    </row>
    <row r="3960" spans="14:14" ht="15" customHeight="1" x14ac:dyDescent="0.25">
      <c r="N3960" t="s">
        <v>254</v>
      </c>
    </row>
    <row r="3961" spans="14:14" ht="15" customHeight="1" x14ac:dyDescent="0.25">
      <c r="N3961" t="s">
        <v>254</v>
      </c>
    </row>
    <row r="3962" spans="14:14" ht="15" customHeight="1" x14ac:dyDescent="0.25">
      <c r="N3962" t="s">
        <v>254</v>
      </c>
    </row>
    <row r="3963" spans="14:14" ht="15" customHeight="1" x14ac:dyDescent="0.25">
      <c r="N3963" t="s">
        <v>311</v>
      </c>
    </row>
    <row r="3964" spans="14:14" ht="15" customHeight="1" x14ac:dyDescent="0.25">
      <c r="N3964" t="s">
        <v>254</v>
      </c>
    </row>
    <row r="3965" spans="14:14" ht="15" customHeight="1" x14ac:dyDescent="0.25">
      <c r="N3965" t="s">
        <v>254</v>
      </c>
    </row>
    <row r="3966" spans="14:14" ht="15" customHeight="1" x14ac:dyDescent="0.25">
      <c r="N3966" t="s">
        <v>254</v>
      </c>
    </row>
    <row r="3967" spans="14:14" ht="15" customHeight="1" x14ac:dyDescent="0.25">
      <c r="N3967" t="s">
        <v>217</v>
      </c>
    </row>
    <row r="3968" spans="14:14" ht="15" customHeight="1" x14ac:dyDescent="0.25">
      <c r="N3968" t="s">
        <v>254</v>
      </c>
    </row>
    <row r="3969" spans="14:14" ht="15" customHeight="1" x14ac:dyDescent="0.25">
      <c r="N3969" t="s">
        <v>258</v>
      </c>
    </row>
    <row r="3970" spans="14:14" ht="15" customHeight="1" x14ac:dyDescent="0.25">
      <c r="N3970" t="s">
        <v>216</v>
      </c>
    </row>
    <row r="3971" spans="14:14" ht="15" customHeight="1" x14ac:dyDescent="0.25">
      <c r="N3971" t="s">
        <v>257</v>
      </c>
    </row>
    <row r="3972" spans="14:14" ht="15" customHeight="1" x14ac:dyDescent="0.25">
      <c r="N3972" t="s">
        <v>264</v>
      </c>
    </row>
    <row r="3973" spans="14:14" ht="15" customHeight="1" x14ac:dyDescent="0.25">
      <c r="N3973" t="s">
        <v>296</v>
      </c>
    </row>
    <row r="3974" spans="14:14" ht="15" customHeight="1" x14ac:dyDescent="0.25">
      <c r="N3974" t="s">
        <v>222</v>
      </c>
    </row>
    <row r="3975" spans="14:14" ht="15" customHeight="1" x14ac:dyDescent="0.25">
      <c r="N3975" t="s">
        <v>221</v>
      </c>
    </row>
    <row r="3976" spans="14:14" ht="15" customHeight="1" x14ac:dyDescent="0.25">
      <c r="N3976" t="s">
        <v>267</v>
      </c>
    </row>
    <row r="3977" spans="14:14" ht="15" customHeight="1" x14ac:dyDescent="0.25">
      <c r="N3977" t="s">
        <v>228</v>
      </c>
    </row>
    <row r="3978" spans="14:14" ht="15" customHeight="1" x14ac:dyDescent="0.25">
      <c r="N3978" t="s">
        <v>308</v>
      </c>
    </row>
    <row r="3979" spans="14:14" ht="15" customHeight="1" x14ac:dyDescent="0.25">
      <c r="N3979" t="s">
        <v>218</v>
      </c>
    </row>
    <row r="3980" spans="14:14" ht="15" customHeight="1" x14ac:dyDescent="0.25">
      <c r="N3980" t="s">
        <v>280</v>
      </c>
    </row>
    <row r="3981" spans="14:14" ht="15" customHeight="1" x14ac:dyDescent="0.25">
      <c r="N3981" t="s">
        <v>312</v>
      </c>
    </row>
    <row r="3982" spans="14:14" ht="15" customHeight="1" x14ac:dyDescent="0.25">
      <c r="N3982" t="s">
        <v>265</v>
      </c>
    </row>
    <row r="3983" spans="14:14" ht="15" customHeight="1" x14ac:dyDescent="0.25">
      <c r="N3983" t="s">
        <v>308</v>
      </c>
    </row>
    <row r="3984" spans="14:14" ht="15" customHeight="1" x14ac:dyDescent="0.25">
      <c r="N3984" t="s">
        <v>254</v>
      </c>
    </row>
    <row r="3985" spans="14:14" ht="15" customHeight="1" x14ac:dyDescent="0.25">
      <c r="N3985" t="s">
        <v>289</v>
      </c>
    </row>
    <row r="3986" spans="14:14" ht="15" customHeight="1" x14ac:dyDescent="0.25">
      <c r="N3986" t="s">
        <v>273</v>
      </c>
    </row>
    <row r="3987" spans="14:14" ht="15" customHeight="1" x14ac:dyDescent="0.25">
      <c r="N3987" t="s">
        <v>249</v>
      </c>
    </row>
    <row r="3988" spans="14:14" ht="15" customHeight="1" x14ac:dyDescent="0.25">
      <c r="N3988" t="s">
        <v>226</v>
      </c>
    </row>
    <row r="3989" spans="14:14" ht="15" customHeight="1" x14ac:dyDescent="0.25">
      <c r="N3989" t="s">
        <v>228</v>
      </c>
    </row>
    <row r="3990" spans="14:14" ht="15" customHeight="1" x14ac:dyDescent="0.25">
      <c r="N3990" t="s">
        <v>288</v>
      </c>
    </row>
    <row r="3991" spans="14:14" ht="15" customHeight="1" x14ac:dyDescent="0.25">
      <c r="N3991" t="s">
        <v>228</v>
      </c>
    </row>
    <row r="3992" spans="14:14" ht="15" customHeight="1" x14ac:dyDescent="0.25">
      <c r="N3992" t="s">
        <v>228</v>
      </c>
    </row>
    <row r="3993" spans="14:14" ht="15" customHeight="1" x14ac:dyDescent="0.25">
      <c r="N3993" t="s">
        <v>228</v>
      </c>
    </row>
    <row r="3994" spans="14:14" ht="15" customHeight="1" x14ac:dyDescent="0.25">
      <c r="N3994" t="s">
        <v>254</v>
      </c>
    </row>
    <row r="3995" spans="14:14" ht="15" customHeight="1" x14ac:dyDescent="0.25">
      <c r="N3995" t="s">
        <v>295</v>
      </c>
    </row>
    <row r="3996" spans="14:14" ht="15" customHeight="1" x14ac:dyDescent="0.25">
      <c r="N3996" t="s">
        <v>295</v>
      </c>
    </row>
    <row r="3997" spans="14:14" ht="15" customHeight="1" x14ac:dyDescent="0.25">
      <c r="N3997" t="s">
        <v>254</v>
      </c>
    </row>
    <row r="3998" spans="14:14" ht="15" customHeight="1" x14ac:dyDescent="0.25">
      <c r="N3998" t="s">
        <v>295</v>
      </c>
    </row>
    <row r="3999" spans="14:14" ht="15" customHeight="1" x14ac:dyDescent="0.25">
      <c r="N3999" t="s">
        <v>295</v>
      </c>
    </row>
    <row r="4000" spans="14:14" ht="15" customHeight="1" x14ac:dyDescent="0.25">
      <c r="N4000" t="s">
        <v>262</v>
      </c>
    </row>
    <row r="4001" spans="14:14" ht="15" customHeight="1" x14ac:dyDescent="0.25">
      <c r="N4001" t="s">
        <v>295</v>
      </c>
    </row>
    <row r="4002" spans="14:14" ht="15" customHeight="1" x14ac:dyDescent="0.25">
      <c r="N4002" t="s">
        <v>295</v>
      </c>
    </row>
    <row r="4003" spans="14:14" ht="15" customHeight="1" x14ac:dyDescent="0.25">
      <c r="N4003" t="s">
        <v>279</v>
      </c>
    </row>
    <row r="4004" spans="14:14" ht="15" customHeight="1" x14ac:dyDescent="0.25">
      <c r="N4004" t="s">
        <v>268</v>
      </c>
    </row>
    <row r="4005" spans="14:14" ht="15" customHeight="1" x14ac:dyDescent="0.25">
      <c r="N4005" t="s">
        <v>300</v>
      </c>
    </row>
    <row r="4006" spans="14:14" ht="15" customHeight="1" x14ac:dyDescent="0.25">
      <c r="N4006" t="s">
        <v>286</v>
      </c>
    </row>
    <row r="4007" spans="14:14" ht="15" customHeight="1" x14ac:dyDescent="0.25">
      <c r="N4007" t="s">
        <v>295</v>
      </c>
    </row>
    <row r="4008" spans="14:14" ht="15" customHeight="1" x14ac:dyDescent="0.25">
      <c r="N4008" t="s">
        <v>254</v>
      </c>
    </row>
    <row r="4009" spans="14:14" ht="15" customHeight="1" x14ac:dyDescent="0.25">
      <c r="N4009" t="s">
        <v>302</v>
      </c>
    </row>
    <row r="4010" spans="14:14" ht="15" customHeight="1" x14ac:dyDescent="0.25">
      <c r="N4010" t="s">
        <v>302</v>
      </c>
    </row>
    <row r="4011" spans="14:14" ht="15" customHeight="1" x14ac:dyDescent="0.25">
      <c r="N4011" t="s">
        <v>254</v>
      </c>
    </row>
    <row r="4012" spans="14:14" ht="15" customHeight="1" x14ac:dyDescent="0.25">
      <c r="N4012" t="s">
        <v>301</v>
      </c>
    </row>
    <row r="4013" spans="14:14" ht="15" customHeight="1" x14ac:dyDescent="0.25">
      <c r="N4013" t="s">
        <v>210</v>
      </c>
    </row>
    <row r="4014" spans="14:14" ht="15" customHeight="1" x14ac:dyDescent="0.25">
      <c r="N4014" t="s">
        <v>254</v>
      </c>
    </row>
    <row r="4015" spans="14:14" ht="15" customHeight="1" x14ac:dyDescent="0.25">
      <c r="N4015" t="s">
        <v>313</v>
      </c>
    </row>
    <row r="4016" spans="14:14" ht="15" customHeight="1" x14ac:dyDescent="0.25">
      <c r="N4016" t="s">
        <v>313</v>
      </c>
    </row>
    <row r="4017" spans="14:14" ht="15" customHeight="1" x14ac:dyDescent="0.25">
      <c r="N4017" t="s">
        <v>313</v>
      </c>
    </row>
    <row r="4018" spans="14:14" ht="15" customHeight="1" x14ac:dyDescent="0.25">
      <c r="N4018" t="s">
        <v>313</v>
      </c>
    </row>
    <row r="4019" spans="14:14" ht="15" customHeight="1" x14ac:dyDescent="0.25">
      <c r="N4019" t="s">
        <v>313</v>
      </c>
    </row>
    <row r="4020" spans="14:14" ht="15" customHeight="1" x14ac:dyDescent="0.25">
      <c r="N4020" t="s">
        <v>209</v>
      </c>
    </row>
    <row r="4021" spans="14:14" ht="15" customHeight="1" x14ac:dyDescent="0.25">
      <c r="N4021" t="s">
        <v>254</v>
      </c>
    </row>
    <row r="4022" spans="14:14" ht="15" customHeight="1" x14ac:dyDescent="0.25">
      <c r="N4022" t="s">
        <v>254</v>
      </c>
    </row>
    <row r="4023" spans="14:14" ht="15" customHeight="1" x14ac:dyDescent="0.25">
      <c r="N4023" t="s">
        <v>211</v>
      </c>
    </row>
    <row r="4024" spans="14:14" ht="15" customHeight="1" x14ac:dyDescent="0.25">
      <c r="N4024" t="s">
        <v>251</v>
      </c>
    </row>
    <row r="4025" spans="14:14" ht="15" customHeight="1" x14ac:dyDescent="0.25">
      <c r="N4025" t="s">
        <v>254</v>
      </c>
    </row>
    <row r="4026" spans="14:14" ht="15" customHeight="1" x14ac:dyDescent="0.25">
      <c r="N4026" t="s">
        <v>254</v>
      </c>
    </row>
    <row r="4027" spans="14:14" ht="15" customHeight="1" x14ac:dyDescent="0.25">
      <c r="N4027" t="s">
        <v>228</v>
      </c>
    </row>
    <row r="4028" spans="14:14" ht="15" customHeight="1" x14ac:dyDescent="0.25">
      <c r="N4028" t="s">
        <v>303</v>
      </c>
    </row>
    <row r="4029" spans="14:14" ht="15" customHeight="1" x14ac:dyDescent="0.25">
      <c r="N4029" t="s">
        <v>228</v>
      </c>
    </row>
    <row r="4030" spans="14:14" ht="15" customHeight="1" x14ac:dyDescent="0.25">
      <c r="N4030" t="s">
        <v>264</v>
      </c>
    </row>
    <row r="4031" spans="14:14" ht="15" customHeight="1" x14ac:dyDescent="0.25">
      <c r="N4031" t="s">
        <v>291</v>
      </c>
    </row>
    <row r="4032" spans="14:14" ht="15" customHeight="1" x14ac:dyDescent="0.25">
      <c r="N4032" t="s">
        <v>239</v>
      </c>
    </row>
    <row r="4033" spans="14:14" ht="15" customHeight="1" x14ac:dyDescent="0.25">
      <c r="N4033" t="s">
        <v>228</v>
      </c>
    </row>
    <row r="4034" spans="14:14" ht="15" customHeight="1" x14ac:dyDescent="0.25">
      <c r="N4034" t="s">
        <v>304</v>
      </c>
    </row>
    <row r="4035" spans="14:14" ht="15" customHeight="1" x14ac:dyDescent="0.25">
      <c r="N4035" t="s">
        <v>228</v>
      </c>
    </row>
    <row r="4036" spans="14:14" ht="15" customHeight="1" x14ac:dyDescent="0.25">
      <c r="N4036" t="s">
        <v>276</v>
      </c>
    </row>
    <row r="4037" spans="14:14" ht="15" customHeight="1" x14ac:dyDescent="0.25">
      <c r="N4037" t="s">
        <v>254</v>
      </c>
    </row>
    <row r="4038" spans="14:14" ht="15" customHeight="1" x14ac:dyDescent="0.25">
      <c r="N4038" t="s">
        <v>254</v>
      </c>
    </row>
    <row r="4039" spans="14:14" ht="15" customHeight="1" x14ac:dyDescent="0.25">
      <c r="N4039" t="s">
        <v>289</v>
      </c>
    </row>
    <row r="4040" spans="14:14" ht="15" customHeight="1" x14ac:dyDescent="0.25">
      <c r="N4040" t="s">
        <v>254</v>
      </c>
    </row>
    <row r="4041" spans="14:14" ht="15" customHeight="1" x14ac:dyDescent="0.25">
      <c r="N4041" t="s">
        <v>269</v>
      </c>
    </row>
    <row r="4042" spans="14:14" ht="15" customHeight="1" x14ac:dyDescent="0.25">
      <c r="N4042" t="s">
        <v>228</v>
      </c>
    </row>
    <row r="4043" spans="14:14" ht="15" customHeight="1" x14ac:dyDescent="0.25">
      <c r="N4043" t="s">
        <v>288</v>
      </c>
    </row>
    <row r="4044" spans="14:14" ht="15" customHeight="1" x14ac:dyDescent="0.25">
      <c r="N4044" t="s">
        <v>253</v>
      </c>
    </row>
    <row r="4045" spans="14:14" ht="15" customHeight="1" x14ac:dyDescent="0.25">
      <c r="N4045" t="s">
        <v>254</v>
      </c>
    </row>
    <row r="4046" spans="14:14" ht="15" customHeight="1" x14ac:dyDescent="0.25">
      <c r="N4046" t="s">
        <v>295</v>
      </c>
    </row>
    <row r="4047" spans="14:14" ht="15" customHeight="1" x14ac:dyDescent="0.25">
      <c r="N4047" t="s">
        <v>254</v>
      </c>
    </row>
    <row r="4048" spans="14:14" ht="15" customHeight="1" x14ac:dyDescent="0.25">
      <c r="N4048" t="s">
        <v>279</v>
      </c>
    </row>
    <row r="4049" spans="14:14" ht="15" customHeight="1" x14ac:dyDescent="0.25">
      <c r="N4049" t="s">
        <v>262</v>
      </c>
    </row>
    <row r="4050" spans="14:14" ht="15" customHeight="1" x14ac:dyDescent="0.25">
      <c r="N4050" t="s">
        <v>295</v>
      </c>
    </row>
    <row r="4051" spans="14:14" ht="15" customHeight="1" x14ac:dyDescent="0.25">
      <c r="N4051" t="s">
        <v>295</v>
      </c>
    </row>
    <row r="4052" spans="14:14" ht="15" customHeight="1" x14ac:dyDescent="0.25">
      <c r="N4052" t="s">
        <v>295</v>
      </c>
    </row>
    <row r="4053" spans="14:14" ht="15" customHeight="1" x14ac:dyDescent="0.25">
      <c r="N4053" t="s">
        <v>295</v>
      </c>
    </row>
    <row r="4054" spans="14:14" ht="15" customHeight="1" x14ac:dyDescent="0.25">
      <c r="N4054" t="s">
        <v>300</v>
      </c>
    </row>
    <row r="4055" spans="14:14" ht="15" customHeight="1" x14ac:dyDescent="0.25">
      <c r="N4055" t="s">
        <v>286</v>
      </c>
    </row>
    <row r="4056" spans="14:14" ht="15" customHeight="1" x14ac:dyDescent="0.25">
      <c r="N4056" t="s">
        <v>295</v>
      </c>
    </row>
    <row r="4057" spans="14:14" ht="15" customHeight="1" x14ac:dyDescent="0.25">
      <c r="N4057" t="s">
        <v>254</v>
      </c>
    </row>
    <row r="4058" spans="14:14" ht="15" customHeight="1" x14ac:dyDescent="0.25">
      <c r="N4058" t="s">
        <v>275</v>
      </c>
    </row>
    <row r="4059" spans="14:14" ht="15" customHeight="1" x14ac:dyDescent="0.25">
      <c r="N4059" t="s">
        <v>248</v>
      </c>
    </row>
    <row r="4060" spans="14:14" ht="15" customHeight="1" x14ac:dyDescent="0.25">
      <c r="N4060" t="s">
        <v>254</v>
      </c>
    </row>
    <row r="4061" spans="14:14" ht="15" customHeight="1" x14ac:dyDescent="0.25">
      <c r="N4061" t="s">
        <v>302</v>
      </c>
    </row>
    <row r="4062" spans="14:14" ht="15" customHeight="1" x14ac:dyDescent="0.25">
      <c r="N4062" t="s">
        <v>302</v>
      </c>
    </row>
    <row r="4063" spans="14:14" ht="15" customHeight="1" x14ac:dyDescent="0.25">
      <c r="N4063" t="s">
        <v>254</v>
      </c>
    </row>
    <row r="4064" spans="14:14" ht="15" customHeight="1" x14ac:dyDescent="0.25">
      <c r="N4064" t="s">
        <v>302</v>
      </c>
    </row>
    <row r="4065" spans="14:14" ht="15" customHeight="1" x14ac:dyDescent="0.25">
      <c r="N4065" t="s">
        <v>301</v>
      </c>
    </row>
    <row r="4066" spans="14:14" ht="15" customHeight="1" x14ac:dyDescent="0.25">
      <c r="N4066" t="s">
        <v>228</v>
      </c>
    </row>
    <row r="4067" spans="14:14" ht="15" customHeight="1" x14ac:dyDescent="0.25">
      <c r="N4067" t="s">
        <v>209</v>
      </c>
    </row>
    <row r="4068" spans="14:14" ht="15" customHeight="1" x14ac:dyDescent="0.25">
      <c r="N4068" t="s">
        <v>254</v>
      </c>
    </row>
    <row r="4069" spans="14:14" ht="15" customHeight="1" x14ac:dyDescent="0.25">
      <c r="N4069" t="s">
        <v>263</v>
      </c>
    </row>
    <row r="4070" spans="14:14" ht="15" customHeight="1" x14ac:dyDescent="0.25">
      <c r="N4070" t="s">
        <v>228</v>
      </c>
    </row>
    <row r="4071" spans="14:14" ht="15" customHeight="1" x14ac:dyDescent="0.25">
      <c r="N4071" t="s">
        <v>303</v>
      </c>
    </row>
    <row r="4072" spans="14:14" ht="15" customHeight="1" x14ac:dyDescent="0.25">
      <c r="N4072" t="s">
        <v>228</v>
      </c>
    </row>
    <row r="4073" spans="14:14" ht="15" customHeight="1" x14ac:dyDescent="0.25">
      <c r="N4073" t="s">
        <v>291</v>
      </c>
    </row>
    <row r="4074" spans="14:14" ht="15" customHeight="1" x14ac:dyDescent="0.25">
      <c r="N4074" t="s">
        <v>261</v>
      </c>
    </row>
    <row r="4075" spans="14:14" ht="15" customHeight="1" x14ac:dyDescent="0.25">
      <c r="N4075" t="s">
        <v>289</v>
      </c>
    </row>
    <row r="4076" spans="14:14" ht="15" customHeight="1" x14ac:dyDescent="0.25">
      <c r="N4076" t="s">
        <v>243</v>
      </c>
    </row>
    <row r="4077" spans="14:14" ht="15" customHeight="1" x14ac:dyDescent="0.25">
      <c r="N4077" t="s">
        <v>255</v>
      </c>
    </row>
    <row r="4078" spans="14:14" ht="15" customHeight="1" x14ac:dyDescent="0.25">
      <c r="N4078" t="s">
        <v>254</v>
      </c>
    </row>
    <row r="4079" spans="14:14" ht="15" customHeight="1" x14ac:dyDescent="0.25">
      <c r="N4079" t="s">
        <v>295</v>
      </c>
    </row>
    <row r="4080" spans="14:14" ht="15" customHeight="1" x14ac:dyDescent="0.25">
      <c r="N4080" t="s">
        <v>254</v>
      </c>
    </row>
    <row r="4081" spans="14:14" ht="15" customHeight="1" x14ac:dyDescent="0.25">
      <c r="N4081" t="s">
        <v>279</v>
      </c>
    </row>
    <row r="4082" spans="14:14" ht="15" customHeight="1" x14ac:dyDescent="0.25">
      <c r="N4082" t="s">
        <v>295</v>
      </c>
    </row>
    <row r="4083" spans="14:14" ht="15" customHeight="1" x14ac:dyDescent="0.25">
      <c r="N4083" t="s">
        <v>295</v>
      </c>
    </row>
    <row r="4084" spans="14:14" ht="15" customHeight="1" x14ac:dyDescent="0.25">
      <c r="N4084" t="s">
        <v>300</v>
      </c>
    </row>
    <row r="4085" spans="14:14" ht="15" customHeight="1" x14ac:dyDescent="0.25">
      <c r="N4085" t="s">
        <v>237</v>
      </c>
    </row>
    <row r="4086" spans="14:14" ht="15" customHeight="1" x14ac:dyDescent="0.25">
      <c r="N4086" t="s">
        <v>271</v>
      </c>
    </row>
    <row r="4087" spans="14:14" ht="15" customHeight="1" x14ac:dyDescent="0.25">
      <c r="N4087" t="s">
        <v>254</v>
      </c>
    </row>
    <row r="4088" spans="14:14" ht="15" customHeight="1" x14ac:dyDescent="0.25">
      <c r="N4088" t="s">
        <v>254</v>
      </c>
    </row>
    <row r="4089" spans="14:14" ht="15" customHeight="1" x14ac:dyDescent="0.25">
      <c r="N4089" t="s">
        <v>307</v>
      </c>
    </row>
    <row r="4090" spans="14:14" ht="15" customHeight="1" x14ac:dyDescent="0.25">
      <c r="N4090" t="s">
        <v>229</v>
      </c>
    </row>
    <row r="4091" spans="14:14" ht="15" customHeight="1" x14ac:dyDescent="0.25">
      <c r="N4091" t="s">
        <v>254</v>
      </c>
    </row>
    <row r="4092" spans="14:14" ht="15" customHeight="1" x14ac:dyDescent="0.25">
      <c r="N4092" t="s">
        <v>303</v>
      </c>
    </row>
    <row r="4093" spans="14:14" ht="15" customHeight="1" x14ac:dyDescent="0.25">
      <c r="N4093" t="s">
        <v>267</v>
      </c>
    </row>
    <row r="4094" spans="14:14" ht="15" customHeight="1" x14ac:dyDescent="0.25">
      <c r="N4094" t="s">
        <v>254</v>
      </c>
    </row>
    <row r="4095" spans="14:14" ht="15" customHeight="1" x14ac:dyDescent="0.25">
      <c r="N4095" t="s">
        <v>289</v>
      </c>
    </row>
    <row r="4096" spans="14:14" ht="15" customHeight="1" x14ac:dyDescent="0.25">
      <c r="N4096" t="s">
        <v>228</v>
      </c>
    </row>
    <row r="4097" spans="14:14" ht="15" customHeight="1" x14ac:dyDescent="0.25">
      <c r="N4097" t="s">
        <v>254</v>
      </c>
    </row>
    <row r="4098" spans="14:14" ht="15" customHeight="1" x14ac:dyDescent="0.25">
      <c r="N4098" t="s">
        <v>295</v>
      </c>
    </row>
    <row r="4099" spans="14:14" ht="15" customHeight="1" x14ac:dyDescent="0.25">
      <c r="N4099" t="s">
        <v>236</v>
      </c>
    </row>
    <row r="4100" spans="14:14" ht="15" customHeight="1" x14ac:dyDescent="0.25">
      <c r="N4100" t="s">
        <v>246</v>
      </c>
    </row>
    <row r="4101" spans="14:14" ht="15" customHeight="1" x14ac:dyDescent="0.25">
      <c r="N4101" t="s">
        <v>297</v>
      </c>
    </row>
    <row r="4102" spans="14:14" ht="15" customHeight="1" x14ac:dyDescent="0.25">
      <c r="N4102" t="s">
        <v>302</v>
      </c>
    </row>
    <row r="4103" spans="14:14" ht="15" customHeight="1" x14ac:dyDescent="0.25">
      <c r="N4103" t="s">
        <v>234</v>
      </c>
    </row>
    <row r="4104" spans="14:14" ht="15" customHeight="1" x14ac:dyDescent="0.25">
      <c r="N4104" t="s">
        <v>294</v>
      </c>
    </row>
    <row r="4105" spans="14:14" ht="15" customHeight="1" x14ac:dyDescent="0.25">
      <c r="N4105" t="s">
        <v>291</v>
      </c>
    </row>
    <row r="4106" spans="14:14" ht="15" customHeight="1" x14ac:dyDescent="0.25">
      <c r="N4106" t="s">
        <v>270</v>
      </c>
    </row>
    <row r="4107" spans="14:14" ht="15" customHeight="1" x14ac:dyDescent="0.25">
      <c r="N4107" t="s">
        <v>257</v>
      </c>
    </row>
    <row r="4108" spans="14:14" ht="15" customHeight="1" x14ac:dyDescent="0.25">
      <c r="N4108" t="s">
        <v>288</v>
      </c>
    </row>
    <row r="4109" spans="14:14" ht="15" customHeight="1" x14ac:dyDescent="0.25">
      <c r="N4109" t="s">
        <v>300</v>
      </c>
    </row>
    <row r="4110" spans="14:14" ht="15" customHeight="1" x14ac:dyDescent="0.25">
      <c r="N4110" t="s">
        <v>233</v>
      </c>
    </row>
    <row r="4111" spans="14:14" ht="15" customHeight="1" x14ac:dyDescent="0.25">
      <c r="N4111" t="s">
        <v>297</v>
      </c>
    </row>
    <row r="4112" spans="14:14" ht="15" customHeight="1" x14ac:dyDescent="0.25">
      <c r="N4112" t="s">
        <v>254</v>
      </c>
    </row>
    <row r="4113" spans="14:14" ht="15" customHeight="1" x14ac:dyDescent="0.25">
      <c r="N4113" t="s">
        <v>301</v>
      </c>
    </row>
    <row r="4114" spans="14:14" ht="15" customHeight="1" x14ac:dyDescent="0.25">
      <c r="N4114" t="s">
        <v>273</v>
      </c>
    </row>
    <row r="4115" spans="14:14" ht="15" customHeight="1" x14ac:dyDescent="0.25">
      <c r="N4115" t="s">
        <v>207</v>
      </c>
    </row>
    <row r="4116" spans="14:14" ht="15" customHeight="1" x14ac:dyDescent="0.25">
      <c r="N4116" t="s">
        <v>299</v>
      </c>
    </row>
    <row r="4117" spans="14:14" ht="15" customHeight="1" x14ac:dyDescent="0.25">
      <c r="N4117" t="s">
        <v>291</v>
      </c>
    </row>
    <row r="4118" spans="14:14" ht="15" customHeight="1" x14ac:dyDescent="0.25">
      <c r="N4118" t="s">
        <v>276</v>
      </c>
    </row>
    <row r="4119" spans="14:14" ht="15" customHeight="1" x14ac:dyDescent="0.25">
      <c r="N4119" t="s">
        <v>282</v>
      </c>
    </row>
    <row r="4120" spans="14:14" ht="15" customHeight="1" x14ac:dyDescent="0.25">
      <c r="N4120" t="s">
        <v>203</v>
      </c>
    </row>
    <row r="4121" spans="14:14" ht="15" customHeight="1" x14ac:dyDescent="0.25">
      <c r="N4121" t="s">
        <v>288</v>
      </c>
    </row>
    <row r="4122" spans="14:14" ht="15" customHeight="1" x14ac:dyDescent="0.25">
      <c r="N4122" t="s">
        <v>300</v>
      </c>
    </row>
    <row r="4123" spans="14:14" ht="15" customHeight="1" x14ac:dyDescent="0.25">
      <c r="N4123" t="s">
        <v>300</v>
      </c>
    </row>
    <row r="4124" spans="14:14" ht="15" customHeight="1" x14ac:dyDescent="0.25">
      <c r="N4124" t="s">
        <v>203</v>
      </c>
    </row>
    <row r="4125" spans="14:14" ht="15" customHeight="1" x14ac:dyDescent="0.25">
      <c r="N4125" t="s">
        <v>207</v>
      </c>
    </row>
    <row r="4126" spans="14:14" ht="15" customHeight="1" x14ac:dyDescent="0.25">
      <c r="N4126" t="s">
        <v>301</v>
      </c>
    </row>
    <row r="4127" spans="14:14" ht="15" customHeight="1" x14ac:dyDescent="0.25">
      <c r="N4127" t="s">
        <v>231</v>
      </c>
    </row>
    <row r="4128" spans="14:14" ht="15" customHeight="1" x14ac:dyDescent="0.25">
      <c r="N4128" t="s">
        <v>228</v>
      </c>
    </row>
    <row r="4129" spans="14:14" ht="15" customHeight="1" x14ac:dyDescent="0.25">
      <c r="N4129" t="s">
        <v>299</v>
      </c>
    </row>
    <row r="4130" spans="14:14" ht="15" customHeight="1" x14ac:dyDescent="0.25">
      <c r="N4130" t="s">
        <v>303</v>
      </c>
    </row>
    <row r="4131" spans="14:14" ht="15" customHeight="1" x14ac:dyDescent="0.25">
      <c r="N4131" t="s">
        <v>282</v>
      </c>
    </row>
    <row r="4132" spans="14:14" ht="15" customHeight="1" x14ac:dyDescent="0.25">
      <c r="N4132" t="s">
        <v>273</v>
      </c>
    </row>
    <row r="4133" spans="14:14" ht="15" customHeight="1" x14ac:dyDescent="0.25">
      <c r="N4133" t="s">
        <v>254</v>
      </c>
    </row>
    <row r="4134" spans="14:14" ht="15" customHeight="1" x14ac:dyDescent="0.25">
      <c r="N4134" t="s">
        <v>228</v>
      </c>
    </row>
    <row r="4135" spans="14:14" ht="15" customHeight="1" x14ac:dyDescent="0.25">
      <c r="N4135" t="s">
        <v>268</v>
      </c>
    </row>
    <row r="4136" spans="14:14" ht="15" customHeight="1" x14ac:dyDescent="0.25">
      <c r="N4136" t="s">
        <v>275</v>
      </c>
    </row>
    <row r="4137" spans="14:14" ht="15" customHeight="1" x14ac:dyDescent="0.25">
      <c r="N4137" t="s">
        <v>203</v>
      </c>
    </row>
    <row r="4138" spans="14:14" ht="15" customHeight="1" x14ac:dyDescent="0.25">
      <c r="N4138" t="s">
        <v>273</v>
      </c>
    </row>
    <row r="4139" spans="14:14" ht="15" customHeight="1" x14ac:dyDescent="0.25">
      <c r="N4139" t="s">
        <v>278</v>
      </c>
    </row>
    <row r="4140" spans="14:14" ht="15" customHeight="1" x14ac:dyDescent="0.25">
      <c r="N4140" t="s">
        <v>303</v>
      </c>
    </row>
    <row r="4141" spans="14:14" ht="15" customHeight="1" x14ac:dyDescent="0.25">
      <c r="N4141" t="s">
        <v>244</v>
      </c>
    </row>
    <row r="4142" spans="14:14" ht="15" customHeight="1" x14ac:dyDescent="0.25">
      <c r="N4142" t="s">
        <v>254</v>
      </c>
    </row>
    <row r="4143" spans="14:14" ht="15" customHeight="1" x14ac:dyDescent="0.25">
      <c r="N4143" t="s">
        <v>231</v>
      </c>
    </row>
    <row r="4144" spans="14:14" ht="15" customHeight="1" x14ac:dyDescent="0.25">
      <c r="N4144" t="s">
        <v>299</v>
      </c>
    </row>
    <row r="4145" spans="14:14" ht="15" customHeight="1" x14ac:dyDescent="0.25">
      <c r="N4145" t="s">
        <v>303</v>
      </c>
    </row>
    <row r="4146" spans="14:14" ht="15" customHeight="1" x14ac:dyDescent="0.25">
      <c r="N4146" t="s">
        <v>260</v>
      </c>
    </row>
    <row r="4147" spans="14:14" ht="15" customHeight="1" x14ac:dyDescent="0.25">
      <c r="N4147" t="s">
        <v>254</v>
      </c>
    </row>
    <row r="4148" spans="14:14" ht="15" customHeight="1" x14ac:dyDescent="0.25">
      <c r="N4148" t="s">
        <v>301</v>
      </c>
    </row>
    <row r="4149" spans="14:14" ht="15" customHeight="1" x14ac:dyDescent="0.25">
      <c r="N4149" t="s">
        <v>273</v>
      </c>
    </row>
    <row r="4150" spans="14:14" ht="15" customHeight="1" x14ac:dyDescent="0.25">
      <c r="N4150" t="s">
        <v>294</v>
      </c>
    </row>
    <row r="4151" spans="14:14" ht="15" customHeight="1" x14ac:dyDescent="0.25">
      <c r="N4151" t="s">
        <v>299</v>
      </c>
    </row>
    <row r="4152" spans="14:14" ht="15" customHeight="1" x14ac:dyDescent="0.25">
      <c r="N4152" t="s">
        <v>303</v>
      </c>
    </row>
    <row r="4153" spans="14:14" ht="15" customHeight="1" x14ac:dyDescent="0.25">
      <c r="N4153" t="s">
        <v>228</v>
      </c>
    </row>
    <row r="4154" spans="14:14" ht="15" customHeight="1" x14ac:dyDescent="0.25">
      <c r="N4154" t="s">
        <v>303</v>
      </c>
    </row>
    <row r="4155" spans="14:14" ht="15" customHeight="1" x14ac:dyDescent="0.25">
      <c r="N4155" t="s">
        <v>228</v>
      </c>
    </row>
    <row r="4156" spans="14:14" ht="15" customHeight="1" x14ac:dyDescent="0.25">
      <c r="N4156" t="s">
        <v>232</v>
      </c>
    </row>
    <row r="4157" spans="14:14" ht="15" customHeight="1" x14ac:dyDescent="0.25">
      <c r="N4157" t="s">
        <v>207</v>
      </c>
    </row>
    <row r="4158" spans="14:14" ht="15" customHeight="1" x14ac:dyDescent="0.25">
      <c r="N4158" t="s">
        <v>299</v>
      </c>
    </row>
    <row r="4159" spans="14:14" ht="15" customHeight="1" x14ac:dyDescent="0.25">
      <c r="N4159" t="s">
        <v>270</v>
      </c>
    </row>
    <row r="4160" spans="14:14" ht="15" customHeight="1" x14ac:dyDescent="0.25">
      <c r="N4160" t="s">
        <v>230</v>
      </c>
    </row>
    <row r="4161" spans="14:14" ht="15" customHeight="1" x14ac:dyDescent="0.25">
      <c r="N4161" t="s">
        <v>257</v>
      </c>
    </row>
    <row r="4162" spans="14:14" ht="15" customHeight="1" x14ac:dyDescent="0.25">
      <c r="N4162" t="s">
        <v>301</v>
      </c>
    </row>
    <row r="4163" spans="14:14" ht="15" customHeight="1" x14ac:dyDescent="0.25">
      <c r="N4163" t="s">
        <v>207</v>
      </c>
    </row>
    <row r="4164" spans="14:14" ht="15" customHeight="1" x14ac:dyDescent="0.25">
      <c r="N4164" t="s">
        <v>231</v>
      </c>
    </row>
    <row r="4165" spans="14:14" ht="15" customHeight="1" x14ac:dyDescent="0.25">
      <c r="N4165" t="s">
        <v>299</v>
      </c>
    </row>
    <row r="4166" spans="14:14" ht="15" customHeight="1" x14ac:dyDescent="0.25">
      <c r="N4166" t="s">
        <v>240</v>
      </c>
    </row>
    <row r="4167" spans="14:14" ht="15" customHeight="1" x14ac:dyDescent="0.25">
      <c r="N4167" t="s">
        <v>294</v>
      </c>
    </row>
    <row r="4168" spans="14:14" ht="15" customHeight="1" x14ac:dyDescent="0.25">
      <c r="N4168" t="s">
        <v>277</v>
      </c>
    </row>
    <row r="4169" spans="14:14" ht="15" customHeight="1" x14ac:dyDescent="0.25">
      <c r="N4169" t="s">
        <v>273</v>
      </c>
    </row>
    <row r="4170" spans="14:14" ht="15" customHeight="1" x14ac:dyDescent="0.25">
      <c r="N4170" t="s">
        <v>207</v>
      </c>
    </row>
    <row r="4171" spans="14:14" ht="15" customHeight="1" x14ac:dyDescent="0.25">
      <c r="N4171" t="s">
        <v>265</v>
      </c>
    </row>
    <row r="4172" spans="14:14" ht="15" customHeight="1" x14ac:dyDescent="0.25">
      <c r="N4172" t="s">
        <v>273</v>
      </c>
    </row>
    <row r="4173" spans="14:14" ht="15" customHeight="1" x14ac:dyDescent="0.25">
      <c r="N4173" t="s">
        <v>207</v>
      </c>
    </row>
    <row r="4174" spans="14:14" ht="15" customHeight="1" x14ac:dyDescent="0.25">
      <c r="N4174" t="s">
        <v>287</v>
      </c>
    </row>
    <row r="4175" spans="14:14" ht="15" customHeight="1" x14ac:dyDescent="0.25">
      <c r="N4175" t="s">
        <v>292</v>
      </c>
    </row>
    <row r="4176" spans="14:14" ht="15" customHeight="1" x14ac:dyDescent="0.25">
      <c r="N4176" t="s">
        <v>207</v>
      </c>
    </row>
    <row r="4177" spans="14:14" ht="15" customHeight="1" x14ac:dyDescent="0.25">
      <c r="N4177" t="s">
        <v>295</v>
      </c>
    </row>
    <row r="4178" spans="14:14" ht="15" customHeight="1" x14ac:dyDescent="0.25">
      <c r="N4178" t="s">
        <v>207</v>
      </c>
    </row>
    <row r="4179" spans="14:14" ht="15" customHeight="1" x14ac:dyDescent="0.25">
      <c r="N4179" t="s">
        <v>294</v>
      </c>
    </row>
    <row r="4180" spans="14:14" ht="15" customHeight="1" x14ac:dyDescent="0.25">
      <c r="N4180" t="s">
        <v>277</v>
      </c>
    </row>
    <row r="4181" spans="14:14" ht="15" customHeight="1" x14ac:dyDescent="0.25">
      <c r="N4181" t="s">
        <v>241</v>
      </c>
    </row>
    <row r="4182" spans="14:14" ht="15" customHeight="1" x14ac:dyDescent="0.25">
      <c r="N4182" t="s">
        <v>207</v>
      </c>
    </row>
    <row r="4183" spans="14:14" ht="15" customHeight="1" x14ac:dyDescent="0.25">
      <c r="N4183" t="s">
        <v>273</v>
      </c>
    </row>
    <row r="4184" spans="14:14" ht="15" customHeight="1" x14ac:dyDescent="0.25">
      <c r="N4184" t="s">
        <v>238</v>
      </c>
    </row>
    <row r="4185" spans="14:14" ht="15" customHeight="1" x14ac:dyDescent="0.25">
      <c r="N4185" t="s">
        <v>273</v>
      </c>
    </row>
    <row r="4186" spans="14:14" ht="15" customHeight="1" x14ac:dyDescent="0.25">
      <c r="N4186" t="s">
        <v>245</v>
      </c>
    </row>
    <row r="4187" spans="14:14" ht="15" customHeight="1" x14ac:dyDescent="0.25">
      <c r="N4187" t="s">
        <v>287</v>
      </c>
    </row>
    <row r="4188" spans="14:14" ht="15" customHeight="1" x14ac:dyDescent="0.25">
      <c r="N4188" t="s">
        <v>250</v>
      </c>
    </row>
    <row r="4189" spans="14:14" ht="15" customHeight="1" x14ac:dyDescent="0.25">
      <c r="N4189" t="s">
        <v>213</v>
      </c>
    </row>
    <row r="4190" spans="14:14" ht="15" customHeight="1" x14ac:dyDescent="0.25">
      <c r="N4190" t="s">
        <v>273</v>
      </c>
    </row>
    <row r="4191" spans="14:14" ht="15" customHeight="1" x14ac:dyDescent="0.25">
      <c r="N4191" t="s">
        <v>273</v>
      </c>
    </row>
    <row r="4192" spans="14:14" ht="15" customHeight="1" x14ac:dyDescent="0.25">
      <c r="N4192" t="s">
        <v>205</v>
      </c>
    </row>
    <row r="4193" spans="14:14" ht="15" customHeight="1" x14ac:dyDescent="0.25">
      <c r="N4193" t="s">
        <v>308</v>
      </c>
    </row>
    <row r="4194" spans="14:14" ht="15" customHeight="1" x14ac:dyDescent="0.25">
      <c r="N4194" t="s">
        <v>207</v>
      </c>
    </row>
    <row r="4195" spans="14:14" ht="15" customHeight="1" x14ac:dyDescent="0.25">
      <c r="N4195" t="s">
        <v>207</v>
      </c>
    </row>
    <row r="4196" spans="14:14" ht="15" customHeight="1" x14ac:dyDescent="0.25">
      <c r="N4196" t="s">
        <v>292</v>
      </c>
    </row>
    <row r="4197" spans="14:14" ht="15" customHeight="1" x14ac:dyDescent="0.25">
      <c r="N4197" t="s">
        <v>228</v>
      </c>
    </row>
    <row r="4198" spans="14:14" ht="15" customHeight="1" x14ac:dyDescent="0.25">
      <c r="N4198" t="s">
        <v>273</v>
      </c>
    </row>
    <row r="4199" spans="14:14" ht="15" customHeight="1" x14ac:dyDescent="0.25">
      <c r="N4199" t="s">
        <v>273</v>
      </c>
    </row>
    <row r="4200" spans="14:14" ht="15" customHeight="1" x14ac:dyDescent="0.25">
      <c r="N4200" t="s">
        <v>207</v>
      </c>
    </row>
    <row r="4201" spans="14:14" ht="15" customHeight="1" x14ac:dyDescent="0.25">
      <c r="N4201" t="s">
        <v>207</v>
      </c>
    </row>
    <row r="4202" spans="14:14" ht="15" customHeight="1" x14ac:dyDescent="0.25">
      <c r="N4202" t="s">
        <v>254</v>
      </c>
    </row>
    <row r="4203" spans="14:14" ht="15" customHeight="1" x14ac:dyDescent="0.25">
      <c r="N4203" t="s">
        <v>303</v>
      </c>
    </row>
    <row r="4204" spans="14:14" ht="15" customHeight="1" x14ac:dyDescent="0.25">
      <c r="N4204" t="s">
        <v>228</v>
      </c>
    </row>
    <row r="4205" spans="14:14" ht="15" customHeight="1" x14ac:dyDescent="0.25">
      <c r="N4205" t="s">
        <v>308</v>
      </c>
    </row>
    <row r="4206" spans="14:14" ht="15" customHeight="1" x14ac:dyDescent="0.25">
      <c r="N4206" t="s">
        <v>228</v>
      </c>
    </row>
    <row r="4207" spans="14:14" ht="15" customHeight="1" x14ac:dyDescent="0.25">
      <c r="N4207" t="s">
        <v>228</v>
      </c>
    </row>
    <row r="4208" spans="14:14" ht="15" customHeight="1" x14ac:dyDescent="0.25">
      <c r="N4208" t="s">
        <v>305</v>
      </c>
    </row>
    <row r="4209" spans="14:14" ht="15" customHeight="1" x14ac:dyDescent="0.25">
      <c r="N4209" t="s">
        <v>298</v>
      </c>
    </row>
    <row r="4210" spans="14:14" ht="15" customHeight="1" x14ac:dyDescent="0.25">
      <c r="N4210" t="s">
        <v>309</v>
      </c>
    </row>
    <row r="4211" spans="14:14" ht="15" customHeight="1" x14ac:dyDescent="0.25">
      <c r="N4211" t="s">
        <v>254</v>
      </c>
    </row>
    <row r="4212" spans="14:14" ht="15" customHeight="1" x14ac:dyDescent="0.25">
      <c r="N4212" t="s">
        <v>273</v>
      </c>
    </row>
    <row r="4213" spans="14:14" ht="15" customHeight="1" x14ac:dyDescent="0.25">
      <c r="N4213" t="s">
        <v>256</v>
      </c>
    </row>
    <row r="4214" spans="14:14" ht="15" customHeight="1" x14ac:dyDescent="0.25">
      <c r="N4214" t="s">
        <v>273</v>
      </c>
    </row>
    <row r="4215" spans="14:14" ht="15" customHeight="1" x14ac:dyDescent="0.25">
      <c r="N4215" t="s">
        <v>228</v>
      </c>
    </row>
    <row r="4216" spans="14:14" ht="15" customHeight="1" x14ac:dyDescent="0.25">
      <c r="N4216" t="s">
        <v>305</v>
      </c>
    </row>
    <row r="4217" spans="14:14" ht="15" customHeight="1" x14ac:dyDescent="0.25">
      <c r="N4217" t="s">
        <v>228</v>
      </c>
    </row>
    <row r="4218" spans="14:14" ht="15" customHeight="1" x14ac:dyDescent="0.25">
      <c r="N4218" t="s">
        <v>305</v>
      </c>
    </row>
    <row r="4219" spans="14:14" ht="15" customHeight="1" x14ac:dyDescent="0.25">
      <c r="N4219" t="s">
        <v>305</v>
      </c>
    </row>
    <row r="4220" spans="14:14" ht="15" customHeight="1" x14ac:dyDescent="0.25">
      <c r="N4220" t="s">
        <v>228</v>
      </c>
    </row>
    <row r="4221" spans="14:14" ht="15" customHeight="1" x14ac:dyDescent="0.25">
      <c r="N4221" t="s">
        <v>295</v>
      </c>
    </row>
    <row r="4222" spans="14:14" ht="15" customHeight="1" x14ac:dyDescent="0.25">
      <c r="N4222" t="s">
        <v>295</v>
      </c>
    </row>
    <row r="4223" spans="14:14" ht="15" customHeight="1" x14ac:dyDescent="0.25">
      <c r="N4223" t="s">
        <v>295</v>
      </c>
    </row>
    <row r="4224" spans="14:14" ht="15" customHeight="1" x14ac:dyDescent="0.25">
      <c r="N4224" t="s">
        <v>298</v>
      </c>
    </row>
    <row r="4225" spans="14:14" ht="15" customHeight="1" x14ac:dyDescent="0.25">
      <c r="N4225" t="s">
        <v>273</v>
      </c>
    </row>
    <row r="4226" spans="14:14" ht="15" customHeight="1" x14ac:dyDescent="0.25">
      <c r="N4226" t="s">
        <v>297</v>
      </c>
    </row>
    <row r="4227" spans="14:14" ht="15" customHeight="1" x14ac:dyDescent="0.25">
      <c r="N4227" t="s">
        <v>207</v>
      </c>
    </row>
    <row r="4228" spans="14:14" ht="15" customHeight="1" x14ac:dyDescent="0.25">
      <c r="N4228" t="s">
        <v>285</v>
      </c>
    </row>
    <row r="4229" spans="14:14" ht="15" customHeight="1" x14ac:dyDescent="0.25">
      <c r="N4229" t="s">
        <v>282</v>
      </c>
    </row>
    <row r="4230" spans="14:14" ht="15" customHeight="1" x14ac:dyDescent="0.25">
      <c r="N4230" t="s">
        <v>205</v>
      </c>
    </row>
    <row r="4231" spans="14:14" ht="15" customHeight="1" x14ac:dyDescent="0.25">
      <c r="N4231" t="s">
        <v>304</v>
      </c>
    </row>
    <row r="4232" spans="14:14" ht="15" customHeight="1" x14ac:dyDescent="0.25">
      <c r="N4232" t="s">
        <v>304</v>
      </c>
    </row>
    <row r="4233" spans="14:14" ht="15" customHeight="1" x14ac:dyDescent="0.25">
      <c r="N4233" t="s">
        <v>304</v>
      </c>
    </row>
    <row r="4234" spans="14:14" ht="15" customHeight="1" x14ac:dyDescent="0.25">
      <c r="N4234" t="s">
        <v>304</v>
      </c>
    </row>
    <row r="4235" spans="14:14" ht="15" customHeight="1" x14ac:dyDescent="0.25">
      <c r="N4235" t="s">
        <v>304</v>
      </c>
    </row>
    <row r="4236" spans="14:14" ht="15" customHeight="1" x14ac:dyDescent="0.25">
      <c r="N4236" t="s">
        <v>207</v>
      </c>
    </row>
    <row r="4237" spans="14:14" ht="15" customHeight="1" x14ac:dyDescent="0.25">
      <c r="N4237" t="s">
        <v>292</v>
      </c>
    </row>
    <row r="4238" spans="14:14" ht="15" customHeight="1" x14ac:dyDescent="0.25">
      <c r="N4238" t="s">
        <v>273</v>
      </c>
    </row>
    <row r="4239" spans="14:14" ht="15" customHeight="1" x14ac:dyDescent="0.25">
      <c r="N4239" t="s">
        <v>207</v>
      </c>
    </row>
    <row r="4240" spans="14:14" ht="15" customHeight="1" x14ac:dyDescent="0.25">
      <c r="N4240" t="s">
        <v>305</v>
      </c>
    </row>
    <row r="4241" spans="14:14" ht="15" customHeight="1" x14ac:dyDescent="0.25">
      <c r="N4241" t="s">
        <v>296</v>
      </c>
    </row>
    <row r="4242" spans="14:14" ht="15" customHeight="1" x14ac:dyDescent="0.25">
      <c r="N4242" t="s">
        <v>259</v>
      </c>
    </row>
    <row r="4243" spans="14:14" ht="15" customHeight="1" x14ac:dyDescent="0.25">
      <c r="N4243" t="s">
        <v>305</v>
      </c>
    </row>
    <row r="4244" spans="14:14" ht="15" customHeight="1" x14ac:dyDescent="0.25">
      <c r="N4244" t="s">
        <v>273</v>
      </c>
    </row>
    <row r="4245" spans="14:14" ht="15" customHeight="1" x14ac:dyDescent="0.25">
      <c r="N4245" t="s">
        <v>256</v>
      </c>
    </row>
    <row r="4246" spans="14:14" ht="15" customHeight="1" x14ac:dyDescent="0.25">
      <c r="N4246" t="s">
        <v>305</v>
      </c>
    </row>
    <row r="4247" spans="14:14" ht="15" customHeight="1" x14ac:dyDescent="0.25">
      <c r="N4247" t="s">
        <v>274</v>
      </c>
    </row>
    <row r="4248" spans="14:14" ht="15" customHeight="1" x14ac:dyDescent="0.25">
      <c r="N4248" t="s">
        <v>305</v>
      </c>
    </row>
    <row r="4249" spans="14:14" ht="15" customHeight="1" x14ac:dyDescent="0.25">
      <c r="N4249" t="s">
        <v>228</v>
      </c>
    </row>
    <row r="4250" spans="14:14" ht="15" customHeight="1" x14ac:dyDescent="0.25">
      <c r="N4250" t="s">
        <v>295</v>
      </c>
    </row>
    <row r="4251" spans="14:14" ht="15" customHeight="1" x14ac:dyDescent="0.25">
      <c r="N4251" t="s">
        <v>273</v>
      </c>
    </row>
    <row r="4252" spans="14:14" ht="15" customHeight="1" x14ac:dyDescent="0.25">
      <c r="N4252" t="s">
        <v>271</v>
      </c>
    </row>
    <row r="4253" spans="14:14" ht="15" customHeight="1" x14ac:dyDescent="0.25">
      <c r="N4253" t="s">
        <v>287</v>
      </c>
    </row>
    <row r="4254" spans="14:14" ht="15" customHeight="1" x14ac:dyDescent="0.25">
      <c r="N4254" t="s">
        <v>298</v>
      </c>
    </row>
    <row r="4255" spans="14:14" ht="15" customHeight="1" x14ac:dyDescent="0.25">
      <c r="N4255" t="s">
        <v>207</v>
      </c>
    </row>
    <row r="4256" spans="14:14" ht="15" customHeight="1" x14ac:dyDescent="0.25">
      <c r="N4256" t="s">
        <v>298</v>
      </c>
    </row>
    <row r="4257" spans="14:14" ht="15" customHeight="1" x14ac:dyDescent="0.25">
      <c r="N4257" t="s">
        <v>308</v>
      </c>
    </row>
    <row r="4258" spans="14:14" ht="15" customHeight="1" x14ac:dyDescent="0.25">
      <c r="N4258" t="s">
        <v>207</v>
      </c>
    </row>
    <row r="4259" spans="14:14" ht="15" customHeight="1" x14ac:dyDescent="0.25">
      <c r="N4259" t="s">
        <v>296</v>
      </c>
    </row>
    <row r="4260" spans="14:14" ht="15" customHeight="1" x14ac:dyDescent="0.25">
      <c r="N4260" t="s">
        <v>228</v>
      </c>
    </row>
    <row r="4261" spans="14:14" ht="15" customHeight="1" x14ac:dyDescent="0.25">
      <c r="N4261" t="s">
        <v>228</v>
      </c>
    </row>
    <row r="4262" spans="14:14" ht="15" customHeight="1" x14ac:dyDescent="0.25">
      <c r="N4262" t="s">
        <v>295</v>
      </c>
    </row>
    <row r="4263" spans="14:14" ht="15" customHeight="1" x14ac:dyDescent="0.25">
      <c r="N4263" t="s">
        <v>286</v>
      </c>
    </row>
    <row r="4264" spans="14:14" ht="15" customHeight="1" x14ac:dyDescent="0.25">
      <c r="N4264" t="s">
        <v>273</v>
      </c>
    </row>
    <row r="4265" spans="14:14" ht="15" customHeight="1" x14ac:dyDescent="0.25">
      <c r="N4265" t="s">
        <v>285</v>
      </c>
    </row>
    <row r="4266" spans="14:14" ht="15" customHeight="1" x14ac:dyDescent="0.25">
      <c r="N4266" t="s">
        <v>285</v>
      </c>
    </row>
    <row r="4267" spans="14:14" ht="15" customHeight="1" x14ac:dyDescent="0.25">
      <c r="N4267" t="s">
        <v>213</v>
      </c>
    </row>
    <row r="4268" spans="14:14" ht="15" customHeight="1" x14ac:dyDescent="0.25">
      <c r="N4268" t="s">
        <v>280</v>
      </c>
    </row>
    <row r="4269" spans="14:14" ht="15" customHeight="1" x14ac:dyDescent="0.25">
      <c r="N4269" t="s">
        <v>298</v>
      </c>
    </row>
    <row r="4270" spans="14:14" ht="15" customHeight="1" x14ac:dyDescent="0.25">
      <c r="N4270" t="s">
        <v>228</v>
      </c>
    </row>
    <row r="4271" spans="14:14" ht="15" customHeight="1" x14ac:dyDescent="0.25">
      <c r="N4271" t="s">
        <v>300</v>
      </c>
    </row>
    <row r="4272" spans="14:14" ht="15" customHeight="1" x14ac:dyDescent="0.25">
      <c r="N4272" t="s">
        <v>285</v>
      </c>
    </row>
    <row r="4273" spans="14:14" ht="15" customHeight="1" x14ac:dyDescent="0.25">
      <c r="N4273" t="s">
        <v>205</v>
      </c>
    </row>
    <row r="4274" spans="14:14" ht="15" customHeight="1" x14ac:dyDescent="0.25">
      <c r="N4274" t="s">
        <v>258</v>
      </c>
    </row>
    <row r="4275" spans="14:14" ht="15" customHeight="1" x14ac:dyDescent="0.25">
      <c r="N4275" t="s">
        <v>274</v>
      </c>
    </row>
    <row r="4276" spans="14:14" ht="15" customHeight="1" x14ac:dyDescent="0.25">
      <c r="N4276" t="s">
        <v>228</v>
      </c>
    </row>
    <row r="4277" spans="14:14" ht="15" customHeight="1" x14ac:dyDescent="0.25">
      <c r="N4277" t="s">
        <v>254</v>
      </c>
    </row>
    <row r="4278" spans="14:14" ht="15" customHeight="1" x14ac:dyDescent="0.25">
      <c r="N4278" t="s">
        <v>280</v>
      </c>
    </row>
    <row r="4279" spans="14:14" ht="15" customHeight="1" x14ac:dyDescent="0.25">
      <c r="N4279" t="s">
        <v>283</v>
      </c>
    </row>
    <row r="4280" spans="14:14" ht="15" customHeight="1" x14ac:dyDescent="0.25">
      <c r="N4280" t="s">
        <v>301</v>
      </c>
    </row>
    <row r="4281" spans="14:14" ht="15" customHeight="1" x14ac:dyDescent="0.25">
      <c r="N4281" t="s">
        <v>228</v>
      </c>
    </row>
    <row r="4282" spans="14:14" ht="15" customHeight="1" x14ac:dyDescent="0.25">
      <c r="N4282" t="s">
        <v>278</v>
      </c>
    </row>
    <row r="4283" spans="14:14" ht="15" customHeight="1" x14ac:dyDescent="0.25">
      <c r="N4283" t="s">
        <v>273</v>
      </c>
    </row>
    <row r="4284" spans="14:14" ht="15" customHeight="1" x14ac:dyDescent="0.25">
      <c r="N4284" t="s">
        <v>280</v>
      </c>
    </row>
    <row r="4285" spans="14:14" ht="15" customHeight="1" x14ac:dyDescent="0.25">
      <c r="N4285" t="s">
        <v>205</v>
      </c>
    </row>
    <row r="4286" spans="14:14" ht="15" customHeight="1" x14ac:dyDescent="0.25">
      <c r="N4286" t="s">
        <v>283</v>
      </c>
    </row>
    <row r="4287" spans="14:14" ht="15" customHeight="1" x14ac:dyDescent="0.25">
      <c r="N4287" t="s">
        <v>280</v>
      </c>
    </row>
    <row r="4288" spans="14:14" ht="15" customHeight="1" x14ac:dyDescent="0.25">
      <c r="N4288" t="s">
        <v>242</v>
      </c>
    </row>
    <row r="4289" spans="14:14" ht="15" customHeight="1" x14ac:dyDescent="0.25">
      <c r="N4289" t="s">
        <v>252</v>
      </c>
    </row>
    <row r="4290" spans="14:14" ht="15" customHeight="1" x14ac:dyDescent="0.25">
      <c r="N4290" t="s">
        <v>228</v>
      </c>
    </row>
    <row r="4291" spans="14:14" ht="15" customHeight="1" x14ac:dyDescent="0.25">
      <c r="N4291" t="s">
        <v>256</v>
      </c>
    </row>
    <row r="4292" spans="14:14" ht="15" customHeight="1" x14ac:dyDescent="0.25">
      <c r="N4292" t="s">
        <v>298</v>
      </c>
    </row>
    <row r="4293" spans="14:14" ht="15" customHeight="1" x14ac:dyDescent="0.25">
      <c r="N4293" t="s">
        <v>207</v>
      </c>
    </row>
    <row r="4294" spans="14:14" ht="15" customHeight="1" x14ac:dyDescent="0.25">
      <c r="N4294" t="s">
        <v>280</v>
      </c>
    </row>
    <row r="4295" spans="14:14" ht="15" customHeight="1" x14ac:dyDescent="0.25">
      <c r="N4295" t="s">
        <v>297</v>
      </c>
    </row>
    <row r="4296" spans="14:14" ht="15" customHeight="1" x14ac:dyDescent="0.25">
      <c r="N4296" t="s">
        <v>283</v>
      </c>
    </row>
    <row r="4297" spans="14:14" ht="15" customHeight="1" x14ac:dyDescent="0.25">
      <c r="N4297" t="s">
        <v>284</v>
      </c>
    </row>
    <row r="4298" spans="14:14" ht="15" customHeight="1" x14ac:dyDescent="0.25">
      <c r="N4298" t="s">
        <v>228</v>
      </c>
    </row>
    <row r="4299" spans="14:14" ht="15" customHeight="1" x14ac:dyDescent="0.25">
      <c r="N4299" t="s">
        <v>228</v>
      </c>
    </row>
    <row r="4300" spans="14:14" ht="15" customHeight="1" x14ac:dyDescent="0.25">
      <c r="N4300" t="s">
        <v>280</v>
      </c>
    </row>
    <row r="4301" spans="14:14" ht="15" customHeight="1" x14ac:dyDescent="0.25">
      <c r="N4301" t="s">
        <v>280</v>
      </c>
    </row>
    <row r="4302" spans="14:14" ht="15" customHeight="1" x14ac:dyDescent="0.25">
      <c r="N4302" t="s">
        <v>284</v>
      </c>
    </row>
    <row r="4303" spans="14:14" ht="15" customHeight="1" x14ac:dyDescent="0.25">
      <c r="N4303" t="s">
        <v>284</v>
      </c>
    </row>
    <row r="4304" spans="14:14" ht="15" customHeight="1" x14ac:dyDescent="0.25">
      <c r="N4304" t="s">
        <v>228</v>
      </c>
    </row>
    <row r="4305" spans="14:14" ht="15" customHeight="1" x14ac:dyDescent="0.25">
      <c r="N4305" t="s">
        <v>305</v>
      </c>
    </row>
    <row r="4306" spans="14:14" ht="15" customHeight="1" x14ac:dyDescent="0.25">
      <c r="N4306" t="s">
        <v>296</v>
      </c>
    </row>
    <row r="4307" spans="14:14" ht="15" customHeight="1" x14ac:dyDescent="0.25">
      <c r="N4307" t="s">
        <v>247</v>
      </c>
    </row>
    <row r="4308" spans="14:14" ht="15" customHeight="1" x14ac:dyDescent="0.25">
      <c r="N4308" t="s">
        <v>228</v>
      </c>
    </row>
    <row r="4309" spans="14:14" ht="15" customHeight="1" x14ac:dyDescent="0.25">
      <c r="N4309" t="s">
        <v>305</v>
      </c>
    </row>
    <row r="4310" spans="14:14" ht="15" customHeight="1" x14ac:dyDescent="0.25">
      <c r="N4310" t="s">
        <v>272</v>
      </c>
    </row>
    <row r="4311" spans="14:14" ht="15" customHeight="1" x14ac:dyDescent="0.25">
      <c r="N4311" t="s">
        <v>305</v>
      </c>
    </row>
    <row r="4312" spans="14:14" ht="15" customHeight="1" x14ac:dyDescent="0.25">
      <c r="N4312" t="s">
        <v>310</v>
      </c>
    </row>
    <row r="4313" spans="14:14" ht="15" customHeight="1" x14ac:dyDescent="0.25">
      <c r="N4313" t="s">
        <v>305</v>
      </c>
    </row>
    <row r="4314" spans="14:14" ht="15" customHeight="1" x14ac:dyDescent="0.25">
      <c r="N4314" t="s">
        <v>302</v>
      </c>
    </row>
    <row r="4315" spans="14:14" ht="15" customHeight="1" x14ac:dyDescent="0.25">
      <c r="N4315" t="s">
        <v>247</v>
      </c>
    </row>
    <row r="4316" spans="14:14" ht="15" customHeight="1" x14ac:dyDescent="0.25">
      <c r="N4316" t="s">
        <v>228</v>
      </c>
    </row>
    <row r="4317" spans="14:14" ht="15" customHeight="1" x14ac:dyDescent="0.25">
      <c r="N4317" t="s">
        <v>305</v>
      </c>
    </row>
    <row r="4318" spans="14:14" ht="15" customHeight="1" x14ac:dyDescent="0.25">
      <c r="N4318" t="s">
        <v>273</v>
      </c>
    </row>
    <row r="4319" spans="14:14" ht="15" customHeight="1" x14ac:dyDescent="0.25">
      <c r="N4319" t="s">
        <v>235</v>
      </c>
    </row>
    <row r="4320" spans="14:14" ht="15" customHeight="1" x14ac:dyDescent="0.25">
      <c r="N4320" t="s">
        <v>305</v>
      </c>
    </row>
    <row r="4321" spans="14:14" ht="15" customHeight="1" x14ac:dyDescent="0.25">
      <c r="N4321" t="s">
        <v>305</v>
      </c>
    </row>
    <row r="4322" spans="14:14" ht="15" customHeight="1" x14ac:dyDescent="0.25">
      <c r="N4322" t="s">
        <v>302</v>
      </c>
    </row>
    <row r="4323" spans="14:14" ht="15" customHeight="1" x14ac:dyDescent="0.25">
      <c r="N4323" t="s">
        <v>256</v>
      </c>
    </row>
    <row r="4324" spans="14:14" ht="15" customHeight="1" x14ac:dyDescent="0.25">
      <c r="N4324" t="s">
        <v>228</v>
      </c>
    </row>
    <row r="4325" spans="14:14" ht="15" customHeight="1" x14ac:dyDescent="0.25">
      <c r="N4325" t="s">
        <v>305</v>
      </c>
    </row>
    <row r="4326" spans="14:14" ht="15" customHeight="1" x14ac:dyDescent="0.25">
      <c r="N4326" t="s">
        <v>296</v>
      </c>
    </row>
    <row r="4327" spans="14:14" ht="15" customHeight="1" x14ac:dyDescent="0.25">
      <c r="N4327" t="s">
        <v>305</v>
      </c>
    </row>
    <row r="4328" spans="14:14" ht="15" customHeight="1" x14ac:dyDescent="0.25">
      <c r="N4328" t="s">
        <v>247</v>
      </c>
    </row>
    <row r="4329" spans="14:14" ht="15" customHeight="1" x14ac:dyDescent="0.25">
      <c r="N4329" t="s">
        <v>207</v>
      </c>
    </row>
    <row r="4330" spans="14:14" ht="15" customHeight="1" x14ac:dyDescent="0.25">
      <c r="N4330" t="s">
        <v>269</v>
      </c>
    </row>
    <row r="4331" spans="14:14" ht="15" customHeight="1" x14ac:dyDescent="0.25">
      <c r="N4331" t="s">
        <v>305</v>
      </c>
    </row>
    <row r="4332" spans="14:14" ht="15" customHeight="1" x14ac:dyDescent="0.25">
      <c r="N4332" t="s">
        <v>228</v>
      </c>
    </row>
    <row r="4333" spans="14:14" ht="15" customHeight="1" x14ac:dyDescent="0.25">
      <c r="N4333" t="s">
        <v>207</v>
      </c>
    </row>
    <row r="4334" spans="14:14" ht="15" customHeight="1" x14ac:dyDescent="0.25">
      <c r="N4334" t="s">
        <v>293</v>
      </c>
    </row>
    <row r="4335" spans="14:14" ht="15" customHeight="1" x14ac:dyDescent="0.25">
      <c r="N4335" t="s">
        <v>305</v>
      </c>
    </row>
    <row r="4336" spans="14:14" ht="15" customHeight="1" x14ac:dyDescent="0.25">
      <c r="N4336" t="s">
        <v>305</v>
      </c>
    </row>
    <row r="4337" spans="14:14" ht="15" customHeight="1" x14ac:dyDescent="0.25">
      <c r="N4337" t="s">
        <v>293</v>
      </c>
    </row>
    <row r="4338" spans="14:14" ht="15" customHeight="1" x14ac:dyDescent="0.25">
      <c r="N4338" t="s">
        <v>293</v>
      </c>
    </row>
    <row r="4339" spans="14:14" ht="15" customHeight="1" x14ac:dyDescent="0.25">
      <c r="N4339" t="s">
        <v>305</v>
      </c>
    </row>
    <row r="4340" spans="14:14" ht="15" customHeight="1" x14ac:dyDescent="0.25">
      <c r="N4340" t="s">
        <v>305</v>
      </c>
    </row>
    <row r="4341" spans="14:14" ht="15" customHeight="1" x14ac:dyDescent="0.25">
      <c r="N4341" t="s">
        <v>297</v>
      </c>
    </row>
    <row r="4342" spans="14:14" ht="15" customHeight="1" x14ac:dyDescent="0.25">
      <c r="N4342" t="s">
        <v>228</v>
      </c>
    </row>
    <row r="4343" spans="14:14" ht="15" customHeight="1" x14ac:dyDescent="0.25">
      <c r="N4343" t="s">
        <v>297</v>
      </c>
    </row>
    <row r="4344" spans="14:14" ht="15" customHeight="1" x14ac:dyDescent="0.25">
      <c r="N4344" t="s">
        <v>305</v>
      </c>
    </row>
    <row r="4345" spans="14:14" ht="15" customHeight="1" x14ac:dyDescent="0.25">
      <c r="N4345" t="s">
        <v>301</v>
      </c>
    </row>
    <row r="4346" spans="14:14" ht="15" customHeight="1" x14ac:dyDescent="0.25">
      <c r="N4346" t="s">
        <v>254</v>
      </c>
    </row>
    <row r="4347" spans="14:14" ht="15" customHeight="1" x14ac:dyDescent="0.25">
      <c r="N4347" t="s">
        <v>254</v>
      </c>
    </row>
    <row r="4348" spans="14:14" ht="15" customHeight="1" x14ac:dyDescent="0.25">
      <c r="N4348" t="s">
        <v>308</v>
      </c>
    </row>
    <row r="4349" spans="14:14" ht="15" customHeight="1" x14ac:dyDescent="0.25">
      <c r="N4349" t="s">
        <v>249</v>
      </c>
    </row>
    <row r="4350" spans="14:14" ht="15" customHeight="1" x14ac:dyDescent="0.25">
      <c r="N4350" t="s">
        <v>254</v>
      </c>
    </row>
    <row r="4351" spans="14:14" ht="15" customHeight="1" x14ac:dyDescent="0.25">
      <c r="N4351" t="s">
        <v>229</v>
      </c>
    </row>
    <row r="4352" spans="14:14" ht="15" customHeight="1" x14ac:dyDescent="0.25">
      <c r="N4352" t="s">
        <v>229</v>
      </c>
    </row>
    <row r="4353" spans="14:14" ht="15" customHeight="1" x14ac:dyDescent="0.25">
      <c r="N4353" t="s">
        <v>229</v>
      </c>
    </row>
    <row r="4354" spans="14:14" ht="15" customHeight="1" x14ac:dyDescent="0.25">
      <c r="N4354" t="s">
        <v>229</v>
      </c>
    </row>
    <row r="4355" spans="14:14" ht="15" customHeight="1" x14ac:dyDescent="0.25">
      <c r="N4355" t="s">
        <v>229</v>
      </c>
    </row>
    <row r="4356" spans="14:14" ht="15" customHeight="1" x14ac:dyDescent="0.25">
      <c r="N4356" t="s">
        <v>209</v>
      </c>
    </row>
    <row r="4357" spans="14:14" ht="15" customHeight="1" x14ac:dyDescent="0.25">
      <c r="N4357" t="s">
        <v>254</v>
      </c>
    </row>
    <row r="4358" spans="14:14" ht="15" customHeight="1" x14ac:dyDescent="0.25">
      <c r="N4358" t="s">
        <v>254</v>
      </c>
    </row>
    <row r="4359" spans="14:14" ht="15" customHeight="1" x14ac:dyDescent="0.25">
      <c r="N4359" t="s">
        <v>254</v>
      </c>
    </row>
    <row r="4360" spans="14:14" ht="15" customHeight="1" x14ac:dyDescent="0.25">
      <c r="N4360" t="s">
        <v>209</v>
      </c>
    </row>
    <row r="4361" spans="14:14" ht="15" customHeight="1" x14ac:dyDescent="0.25">
      <c r="N4361" t="s">
        <v>207</v>
      </c>
    </row>
    <row r="4362" spans="14:14" ht="15" customHeight="1" x14ac:dyDescent="0.25">
      <c r="N4362" t="s">
        <v>254</v>
      </c>
    </row>
    <row r="4363" spans="14:14" ht="15" customHeight="1" x14ac:dyDescent="0.25">
      <c r="N4363" t="s">
        <v>254</v>
      </c>
    </row>
    <row r="4364" spans="14:14" ht="15" customHeight="1" x14ac:dyDescent="0.25">
      <c r="N4364" t="s">
        <v>254</v>
      </c>
    </row>
    <row r="4365" spans="14:14" ht="15" customHeight="1" x14ac:dyDescent="0.25">
      <c r="N4365" t="s">
        <v>311</v>
      </c>
    </row>
    <row r="4366" spans="14:14" ht="15" customHeight="1" x14ac:dyDescent="0.25">
      <c r="N4366" t="s">
        <v>254</v>
      </c>
    </row>
    <row r="4367" spans="14:14" ht="15" customHeight="1" x14ac:dyDescent="0.25">
      <c r="N4367" t="s">
        <v>254</v>
      </c>
    </row>
    <row r="4368" spans="14:14" ht="15" customHeight="1" x14ac:dyDescent="0.25">
      <c r="N4368" t="s">
        <v>254</v>
      </c>
    </row>
    <row r="4369" spans="14:14" ht="15" customHeight="1" x14ac:dyDescent="0.25">
      <c r="N4369" t="s">
        <v>217</v>
      </c>
    </row>
    <row r="4370" spans="14:14" ht="15" customHeight="1" x14ac:dyDescent="0.25">
      <c r="N4370" t="s">
        <v>254</v>
      </c>
    </row>
    <row r="4371" spans="14:14" ht="15" customHeight="1" x14ac:dyDescent="0.25">
      <c r="N4371" t="s">
        <v>258</v>
      </c>
    </row>
    <row r="4372" spans="14:14" ht="15" customHeight="1" x14ac:dyDescent="0.25">
      <c r="N4372" t="s">
        <v>216</v>
      </c>
    </row>
    <row r="4373" spans="14:14" ht="15" customHeight="1" x14ac:dyDescent="0.25">
      <c r="N4373" t="s">
        <v>257</v>
      </c>
    </row>
    <row r="4374" spans="14:14" ht="15" customHeight="1" x14ac:dyDescent="0.25">
      <c r="N4374" t="s">
        <v>264</v>
      </c>
    </row>
    <row r="4375" spans="14:14" ht="15" customHeight="1" x14ac:dyDescent="0.25">
      <c r="N4375" t="s">
        <v>296</v>
      </c>
    </row>
    <row r="4376" spans="14:14" ht="15" customHeight="1" x14ac:dyDescent="0.25">
      <c r="N4376" t="s">
        <v>222</v>
      </c>
    </row>
    <row r="4377" spans="14:14" ht="15" customHeight="1" x14ac:dyDescent="0.25">
      <c r="N4377" t="s">
        <v>221</v>
      </c>
    </row>
    <row r="4378" spans="14:14" ht="15" customHeight="1" x14ac:dyDescent="0.25">
      <c r="N4378" t="s">
        <v>267</v>
      </c>
    </row>
    <row r="4379" spans="14:14" ht="15" customHeight="1" x14ac:dyDescent="0.25">
      <c r="N4379" t="s">
        <v>228</v>
      </c>
    </row>
    <row r="4380" spans="14:14" ht="15" customHeight="1" x14ac:dyDescent="0.25">
      <c r="N4380" t="s">
        <v>308</v>
      </c>
    </row>
    <row r="4381" spans="14:14" ht="15" customHeight="1" x14ac:dyDescent="0.25">
      <c r="N4381" t="s">
        <v>218</v>
      </c>
    </row>
    <row r="4382" spans="14:14" ht="15" customHeight="1" x14ac:dyDescent="0.25">
      <c r="N4382" t="s">
        <v>280</v>
      </c>
    </row>
    <row r="4383" spans="14:14" ht="15" customHeight="1" x14ac:dyDescent="0.25">
      <c r="N4383" t="s">
        <v>312</v>
      </c>
    </row>
    <row r="4384" spans="14:14" ht="15" customHeight="1" x14ac:dyDescent="0.25">
      <c r="N4384" t="s">
        <v>265</v>
      </c>
    </row>
    <row r="4385" spans="14:14" ht="15" customHeight="1" x14ac:dyDescent="0.25">
      <c r="N4385" t="s">
        <v>308</v>
      </c>
    </row>
    <row r="4386" spans="14:14" ht="15" customHeight="1" x14ac:dyDescent="0.25">
      <c r="N4386" t="s">
        <v>254</v>
      </c>
    </row>
    <row r="4387" spans="14:14" ht="15" customHeight="1" x14ac:dyDescent="0.25">
      <c r="N4387" t="s">
        <v>289</v>
      </c>
    </row>
    <row r="4388" spans="14:14" ht="15" customHeight="1" x14ac:dyDescent="0.25">
      <c r="N4388" t="s">
        <v>273</v>
      </c>
    </row>
    <row r="4389" spans="14:14" ht="15" customHeight="1" x14ac:dyDescent="0.25">
      <c r="N4389" t="s">
        <v>249</v>
      </c>
    </row>
    <row r="4390" spans="14:14" ht="15" customHeight="1" x14ac:dyDescent="0.25">
      <c r="N4390" t="s">
        <v>226</v>
      </c>
    </row>
    <row r="4391" spans="14:14" ht="15" customHeight="1" x14ac:dyDescent="0.25">
      <c r="N4391" t="s">
        <v>228</v>
      </c>
    </row>
    <row r="4392" spans="14:14" ht="15" customHeight="1" x14ac:dyDescent="0.25">
      <c r="N4392" t="s">
        <v>288</v>
      </c>
    </row>
    <row r="4393" spans="14:14" ht="15" customHeight="1" x14ac:dyDescent="0.25">
      <c r="N4393" t="s">
        <v>228</v>
      </c>
    </row>
    <row r="4394" spans="14:14" ht="15" customHeight="1" x14ac:dyDescent="0.25">
      <c r="N4394" t="s">
        <v>228</v>
      </c>
    </row>
    <row r="4395" spans="14:14" ht="15" customHeight="1" x14ac:dyDescent="0.25">
      <c r="N4395" t="s">
        <v>228</v>
      </c>
    </row>
    <row r="4396" spans="14:14" ht="15" customHeight="1" x14ac:dyDescent="0.25">
      <c r="N4396" t="s">
        <v>254</v>
      </c>
    </row>
    <row r="4397" spans="14:14" ht="15" customHeight="1" x14ac:dyDescent="0.25">
      <c r="N4397" t="s">
        <v>295</v>
      </c>
    </row>
    <row r="4398" spans="14:14" ht="15" customHeight="1" x14ac:dyDescent="0.25">
      <c r="N4398" t="s">
        <v>295</v>
      </c>
    </row>
    <row r="4399" spans="14:14" ht="15" customHeight="1" x14ac:dyDescent="0.25">
      <c r="N4399" t="s">
        <v>254</v>
      </c>
    </row>
    <row r="4400" spans="14:14" ht="15" customHeight="1" x14ac:dyDescent="0.25">
      <c r="N4400" t="s">
        <v>295</v>
      </c>
    </row>
    <row r="4401" spans="14:14" ht="15" customHeight="1" x14ac:dyDescent="0.25">
      <c r="N4401" t="s">
        <v>295</v>
      </c>
    </row>
    <row r="4402" spans="14:14" ht="15" customHeight="1" x14ac:dyDescent="0.25">
      <c r="N4402" t="s">
        <v>262</v>
      </c>
    </row>
    <row r="4403" spans="14:14" ht="15" customHeight="1" x14ac:dyDescent="0.25">
      <c r="N4403" t="s">
        <v>295</v>
      </c>
    </row>
    <row r="4404" spans="14:14" ht="15" customHeight="1" x14ac:dyDescent="0.25">
      <c r="N4404" t="s">
        <v>295</v>
      </c>
    </row>
    <row r="4405" spans="14:14" ht="15" customHeight="1" x14ac:dyDescent="0.25">
      <c r="N4405" t="s">
        <v>279</v>
      </c>
    </row>
    <row r="4406" spans="14:14" ht="15" customHeight="1" x14ac:dyDescent="0.25">
      <c r="N4406" t="s">
        <v>268</v>
      </c>
    </row>
    <row r="4407" spans="14:14" ht="15" customHeight="1" x14ac:dyDescent="0.25">
      <c r="N4407" t="s">
        <v>300</v>
      </c>
    </row>
    <row r="4408" spans="14:14" ht="15" customHeight="1" x14ac:dyDescent="0.25">
      <c r="N4408" t="s">
        <v>286</v>
      </c>
    </row>
    <row r="4409" spans="14:14" ht="15" customHeight="1" x14ac:dyDescent="0.25">
      <c r="N4409" t="s">
        <v>295</v>
      </c>
    </row>
    <row r="4410" spans="14:14" ht="15" customHeight="1" x14ac:dyDescent="0.25">
      <c r="N4410" t="s">
        <v>254</v>
      </c>
    </row>
    <row r="4411" spans="14:14" ht="15" customHeight="1" x14ac:dyDescent="0.25">
      <c r="N4411" t="s">
        <v>302</v>
      </c>
    </row>
    <row r="4412" spans="14:14" ht="15" customHeight="1" x14ac:dyDescent="0.25">
      <c r="N4412" t="s">
        <v>302</v>
      </c>
    </row>
    <row r="4413" spans="14:14" ht="15" customHeight="1" x14ac:dyDescent="0.25">
      <c r="N4413" t="s">
        <v>254</v>
      </c>
    </row>
    <row r="4414" spans="14:14" ht="15" customHeight="1" x14ac:dyDescent="0.25">
      <c r="N4414" t="s">
        <v>301</v>
      </c>
    </row>
    <row r="4415" spans="14:14" ht="15" customHeight="1" x14ac:dyDescent="0.25">
      <c r="N4415" t="s">
        <v>210</v>
      </c>
    </row>
    <row r="4416" spans="14:14" ht="15" customHeight="1" x14ac:dyDescent="0.25">
      <c r="N4416" t="s">
        <v>254</v>
      </c>
    </row>
    <row r="4417" spans="14:14" ht="15" customHeight="1" x14ac:dyDescent="0.25">
      <c r="N4417" t="s">
        <v>313</v>
      </c>
    </row>
    <row r="4418" spans="14:14" ht="15" customHeight="1" x14ac:dyDescent="0.25">
      <c r="N4418" t="s">
        <v>313</v>
      </c>
    </row>
    <row r="4419" spans="14:14" ht="15" customHeight="1" x14ac:dyDescent="0.25">
      <c r="N4419" t="s">
        <v>313</v>
      </c>
    </row>
    <row r="4420" spans="14:14" ht="15" customHeight="1" x14ac:dyDescent="0.25">
      <c r="N4420" t="s">
        <v>313</v>
      </c>
    </row>
    <row r="4421" spans="14:14" ht="15" customHeight="1" x14ac:dyDescent="0.25">
      <c r="N4421" t="s">
        <v>313</v>
      </c>
    </row>
    <row r="4422" spans="14:14" ht="15" customHeight="1" x14ac:dyDescent="0.25">
      <c r="N4422" t="s">
        <v>209</v>
      </c>
    </row>
    <row r="4423" spans="14:14" ht="15" customHeight="1" x14ac:dyDescent="0.25">
      <c r="N4423" t="s">
        <v>254</v>
      </c>
    </row>
    <row r="4424" spans="14:14" ht="15" customHeight="1" x14ac:dyDescent="0.25">
      <c r="N4424" t="s">
        <v>254</v>
      </c>
    </row>
    <row r="4425" spans="14:14" ht="15" customHeight="1" x14ac:dyDescent="0.25">
      <c r="N4425" t="s">
        <v>211</v>
      </c>
    </row>
    <row r="4426" spans="14:14" ht="15" customHeight="1" x14ac:dyDescent="0.25">
      <c r="N4426" t="s">
        <v>251</v>
      </c>
    </row>
    <row r="4427" spans="14:14" ht="15" customHeight="1" x14ac:dyDescent="0.25">
      <c r="N4427" t="s">
        <v>254</v>
      </c>
    </row>
    <row r="4428" spans="14:14" ht="15" customHeight="1" x14ac:dyDescent="0.25">
      <c r="N4428" t="s">
        <v>254</v>
      </c>
    </row>
    <row r="4429" spans="14:14" ht="15" customHeight="1" x14ac:dyDescent="0.25">
      <c r="N4429" t="s">
        <v>228</v>
      </c>
    </row>
    <row r="4430" spans="14:14" ht="15" customHeight="1" x14ac:dyDescent="0.25">
      <c r="N4430" t="s">
        <v>303</v>
      </c>
    </row>
    <row r="4431" spans="14:14" ht="15" customHeight="1" x14ac:dyDescent="0.25">
      <c r="N4431" t="s">
        <v>228</v>
      </c>
    </row>
    <row r="4432" spans="14:14" ht="15" customHeight="1" x14ac:dyDescent="0.25">
      <c r="N4432" t="s">
        <v>264</v>
      </c>
    </row>
    <row r="4433" spans="14:14" ht="15" customHeight="1" x14ac:dyDescent="0.25">
      <c r="N4433" t="s">
        <v>291</v>
      </c>
    </row>
    <row r="4434" spans="14:14" ht="15" customHeight="1" x14ac:dyDescent="0.25">
      <c r="N4434" t="s">
        <v>239</v>
      </c>
    </row>
    <row r="4435" spans="14:14" ht="15" customHeight="1" x14ac:dyDescent="0.25">
      <c r="N4435" t="s">
        <v>228</v>
      </c>
    </row>
    <row r="4436" spans="14:14" ht="15" customHeight="1" x14ac:dyDescent="0.25">
      <c r="N4436" t="s">
        <v>304</v>
      </c>
    </row>
    <row r="4437" spans="14:14" ht="15" customHeight="1" x14ac:dyDescent="0.25">
      <c r="N4437" t="s">
        <v>228</v>
      </c>
    </row>
    <row r="4438" spans="14:14" ht="15" customHeight="1" x14ac:dyDescent="0.25">
      <c r="N4438" t="s">
        <v>276</v>
      </c>
    </row>
    <row r="4439" spans="14:14" ht="15" customHeight="1" x14ac:dyDescent="0.25">
      <c r="N4439" t="s">
        <v>254</v>
      </c>
    </row>
    <row r="4440" spans="14:14" ht="15" customHeight="1" x14ac:dyDescent="0.25">
      <c r="N4440" t="s">
        <v>254</v>
      </c>
    </row>
    <row r="4441" spans="14:14" ht="15" customHeight="1" x14ac:dyDescent="0.25">
      <c r="N4441" t="s">
        <v>289</v>
      </c>
    </row>
    <row r="4442" spans="14:14" ht="15" customHeight="1" x14ac:dyDescent="0.25">
      <c r="N4442" t="s">
        <v>254</v>
      </c>
    </row>
    <row r="4443" spans="14:14" ht="15" customHeight="1" x14ac:dyDescent="0.25">
      <c r="N4443" t="s">
        <v>269</v>
      </c>
    </row>
    <row r="4444" spans="14:14" ht="15" customHeight="1" x14ac:dyDescent="0.25">
      <c r="N4444" t="s">
        <v>228</v>
      </c>
    </row>
    <row r="4445" spans="14:14" ht="15" customHeight="1" x14ac:dyDescent="0.25">
      <c r="N4445" t="s">
        <v>288</v>
      </c>
    </row>
    <row r="4446" spans="14:14" ht="15" customHeight="1" x14ac:dyDescent="0.25">
      <c r="N4446" t="s">
        <v>253</v>
      </c>
    </row>
    <row r="4447" spans="14:14" ht="15" customHeight="1" x14ac:dyDescent="0.25">
      <c r="N4447" t="s">
        <v>254</v>
      </c>
    </row>
    <row r="4448" spans="14:14" ht="15" customHeight="1" x14ac:dyDescent="0.25">
      <c r="N4448" t="s">
        <v>295</v>
      </c>
    </row>
    <row r="4449" spans="14:14" ht="15" customHeight="1" x14ac:dyDescent="0.25">
      <c r="N4449" t="s">
        <v>254</v>
      </c>
    </row>
    <row r="4450" spans="14:14" ht="15" customHeight="1" x14ac:dyDescent="0.25">
      <c r="N4450" t="s">
        <v>279</v>
      </c>
    </row>
    <row r="4451" spans="14:14" ht="15" customHeight="1" x14ac:dyDescent="0.25">
      <c r="N4451" t="s">
        <v>262</v>
      </c>
    </row>
    <row r="4452" spans="14:14" ht="15" customHeight="1" x14ac:dyDescent="0.25">
      <c r="N4452" t="s">
        <v>295</v>
      </c>
    </row>
    <row r="4453" spans="14:14" ht="15" customHeight="1" x14ac:dyDescent="0.25">
      <c r="N4453" t="s">
        <v>295</v>
      </c>
    </row>
    <row r="4454" spans="14:14" ht="15" customHeight="1" x14ac:dyDescent="0.25">
      <c r="N4454" t="s">
        <v>295</v>
      </c>
    </row>
    <row r="4455" spans="14:14" ht="15" customHeight="1" x14ac:dyDescent="0.25">
      <c r="N4455" t="s">
        <v>295</v>
      </c>
    </row>
    <row r="4456" spans="14:14" ht="15" customHeight="1" x14ac:dyDescent="0.25">
      <c r="N4456" t="s">
        <v>300</v>
      </c>
    </row>
    <row r="4457" spans="14:14" ht="15" customHeight="1" x14ac:dyDescent="0.25">
      <c r="N4457" t="s">
        <v>286</v>
      </c>
    </row>
    <row r="4458" spans="14:14" ht="15" customHeight="1" x14ac:dyDescent="0.25">
      <c r="N4458" t="s">
        <v>295</v>
      </c>
    </row>
    <row r="4459" spans="14:14" ht="15" customHeight="1" x14ac:dyDescent="0.25">
      <c r="N4459" t="s">
        <v>254</v>
      </c>
    </row>
    <row r="4460" spans="14:14" ht="15" customHeight="1" x14ac:dyDescent="0.25">
      <c r="N4460" t="s">
        <v>275</v>
      </c>
    </row>
    <row r="4461" spans="14:14" ht="15" customHeight="1" x14ac:dyDescent="0.25">
      <c r="N4461" t="s">
        <v>248</v>
      </c>
    </row>
    <row r="4462" spans="14:14" ht="15" customHeight="1" x14ac:dyDescent="0.25">
      <c r="N4462" t="s">
        <v>254</v>
      </c>
    </row>
    <row r="4463" spans="14:14" ht="15" customHeight="1" x14ac:dyDescent="0.25">
      <c r="N4463" t="s">
        <v>302</v>
      </c>
    </row>
    <row r="4464" spans="14:14" ht="15" customHeight="1" x14ac:dyDescent="0.25">
      <c r="N4464" t="s">
        <v>302</v>
      </c>
    </row>
    <row r="4465" spans="14:14" ht="15" customHeight="1" x14ac:dyDescent="0.25">
      <c r="N4465" t="s">
        <v>254</v>
      </c>
    </row>
    <row r="4466" spans="14:14" ht="15" customHeight="1" x14ac:dyDescent="0.25">
      <c r="N4466" t="s">
        <v>302</v>
      </c>
    </row>
    <row r="4467" spans="14:14" ht="15" customHeight="1" x14ac:dyDescent="0.25">
      <c r="N4467" t="s">
        <v>301</v>
      </c>
    </row>
    <row r="4468" spans="14:14" ht="15" customHeight="1" x14ac:dyDescent="0.25">
      <c r="N4468" t="s">
        <v>228</v>
      </c>
    </row>
    <row r="4469" spans="14:14" ht="15" customHeight="1" x14ac:dyDescent="0.25">
      <c r="N4469" t="s">
        <v>209</v>
      </c>
    </row>
    <row r="4470" spans="14:14" ht="15" customHeight="1" x14ac:dyDescent="0.25">
      <c r="N4470" t="s">
        <v>254</v>
      </c>
    </row>
    <row r="4471" spans="14:14" ht="15" customHeight="1" x14ac:dyDescent="0.25">
      <c r="N4471" t="s">
        <v>263</v>
      </c>
    </row>
    <row r="4472" spans="14:14" ht="15" customHeight="1" x14ac:dyDescent="0.25">
      <c r="N4472" t="s">
        <v>228</v>
      </c>
    </row>
    <row r="4473" spans="14:14" ht="15" customHeight="1" x14ac:dyDescent="0.25">
      <c r="N4473" t="s">
        <v>303</v>
      </c>
    </row>
    <row r="4474" spans="14:14" ht="15" customHeight="1" x14ac:dyDescent="0.25">
      <c r="N4474" t="s">
        <v>228</v>
      </c>
    </row>
    <row r="4475" spans="14:14" ht="15" customHeight="1" x14ac:dyDescent="0.25">
      <c r="N4475" t="s">
        <v>291</v>
      </c>
    </row>
    <row r="4476" spans="14:14" ht="15" customHeight="1" x14ac:dyDescent="0.25">
      <c r="N4476" t="s">
        <v>261</v>
      </c>
    </row>
    <row r="4477" spans="14:14" ht="15" customHeight="1" x14ac:dyDescent="0.25">
      <c r="N4477" t="s">
        <v>289</v>
      </c>
    </row>
    <row r="4478" spans="14:14" ht="15" customHeight="1" x14ac:dyDescent="0.25">
      <c r="N4478" t="s">
        <v>243</v>
      </c>
    </row>
    <row r="4479" spans="14:14" ht="15" customHeight="1" x14ac:dyDescent="0.25">
      <c r="N4479" t="s">
        <v>255</v>
      </c>
    </row>
    <row r="4480" spans="14:14" ht="15" customHeight="1" x14ac:dyDescent="0.25">
      <c r="N4480" t="s">
        <v>254</v>
      </c>
    </row>
    <row r="4481" spans="14:14" ht="15" customHeight="1" x14ac:dyDescent="0.25">
      <c r="N4481" t="s">
        <v>295</v>
      </c>
    </row>
    <row r="4482" spans="14:14" ht="15" customHeight="1" x14ac:dyDescent="0.25">
      <c r="N4482" t="s">
        <v>254</v>
      </c>
    </row>
    <row r="4483" spans="14:14" ht="15" customHeight="1" x14ac:dyDescent="0.25">
      <c r="N4483" t="s">
        <v>279</v>
      </c>
    </row>
    <row r="4484" spans="14:14" ht="15" customHeight="1" x14ac:dyDescent="0.25">
      <c r="N4484" t="s">
        <v>295</v>
      </c>
    </row>
    <row r="4485" spans="14:14" ht="15" customHeight="1" x14ac:dyDescent="0.25">
      <c r="N4485" t="s">
        <v>295</v>
      </c>
    </row>
    <row r="4486" spans="14:14" ht="15" customHeight="1" x14ac:dyDescent="0.25">
      <c r="N4486" t="s">
        <v>300</v>
      </c>
    </row>
    <row r="4487" spans="14:14" ht="15" customHeight="1" x14ac:dyDescent="0.25">
      <c r="N4487" t="s">
        <v>237</v>
      </c>
    </row>
    <row r="4488" spans="14:14" ht="15" customHeight="1" x14ac:dyDescent="0.25">
      <c r="N4488" t="s">
        <v>271</v>
      </c>
    </row>
    <row r="4489" spans="14:14" ht="15" customHeight="1" x14ac:dyDescent="0.25">
      <c r="N4489" t="s">
        <v>254</v>
      </c>
    </row>
    <row r="4490" spans="14:14" ht="15" customHeight="1" x14ac:dyDescent="0.25">
      <c r="N4490" t="s">
        <v>254</v>
      </c>
    </row>
    <row r="4491" spans="14:14" ht="15" customHeight="1" x14ac:dyDescent="0.25">
      <c r="N4491" t="s">
        <v>307</v>
      </c>
    </row>
    <row r="4492" spans="14:14" ht="15" customHeight="1" x14ac:dyDescent="0.25">
      <c r="N4492" t="s">
        <v>229</v>
      </c>
    </row>
    <row r="4493" spans="14:14" ht="15" customHeight="1" x14ac:dyDescent="0.25">
      <c r="N4493" t="s">
        <v>254</v>
      </c>
    </row>
    <row r="4494" spans="14:14" ht="15" customHeight="1" x14ac:dyDescent="0.25">
      <c r="N4494" t="s">
        <v>303</v>
      </c>
    </row>
    <row r="4495" spans="14:14" ht="15" customHeight="1" x14ac:dyDescent="0.25">
      <c r="N4495" t="s">
        <v>267</v>
      </c>
    </row>
    <row r="4496" spans="14:14" ht="15" customHeight="1" x14ac:dyDescent="0.25">
      <c r="N4496" t="s">
        <v>254</v>
      </c>
    </row>
    <row r="4497" spans="14:14" ht="15" customHeight="1" x14ac:dyDescent="0.25">
      <c r="N4497" t="s">
        <v>289</v>
      </c>
    </row>
    <row r="4498" spans="14:14" ht="15" customHeight="1" x14ac:dyDescent="0.25">
      <c r="N4498" t="s">
        <v>228</v>
      </c>
    </row>
    <row r="4499" spans="14:14" ht="15" customHeight="1" x14ac:dyDescent="0.25">
      <c r="N4499" t="s">
        <v>254</v>
      </c>
    </row>
    <row r="4500" spans="14:14" ht="15" customHeight="1" x14ac:dyDescent="0.25">
      <c r="N4500" t="s">
        <v>295</v>
      </c>
    </row>
    <row r="4501" spans="14:14" ht="15" customHeight="1" x14ac:dyDescent="0.25">
      <c r="N4501" t="s">
        <v>236</v>
      </c>
    </row>
    <row r="4502" spans="14:14" ht="15" customHeight="1" x14ac:dyDescent="0.25">
      <c r="N4502" t="s">
        <v>246</v>
      </c>
    </row>
    <row r="4503" spans="14:14" ht="15" customHeight="1" x14ac:dyDescent="0.25">
      <c r="N4503" t="s">
        <v>297</v>
      </c>
    </row>
    <row r="4504" spans="14:14" ht="15" customHeight="1" x14ac:dyDescent="0.25">
      <c r="N4504" t="s">
        <v>302</v>
      </c>
    </row>
    <row r="4505" spans="14:14" ht="15" customHeight="1" x14ac:dyDescent="0.25">
      <c r="N4505" t="s">
        <v>234</v>
      </c>
    </row>
    <row r="4506" spans="14:14" ht="15" customHeight="1" x14ac:dyDescent="0.25">
      <c r="N4506" t="s">
        <v>294</v>
      </c>
    </row>
    <row r="4507" spans="14:14" ht="15" customHeight="1" x14ac:dyDescent="0.25">
      <c r="N4507" t="s">
        <v>291</v>
      </c>
    </row>
    <row r="4508" spans="14:14" ht="15" customHeight="1" x14ac:dyDescent="0.25">
      <c r="N4508" t="s">
        <v>270</v>
      </c>
    </row>
    <row r="4509" spans="14:14" ht="15" customHeight="1" x14ac:dyDescent="0.25">
      <c r="N4509" t="s">
        <v>257</v>
      </c>
    </row>
    <row r="4510" spans="14:14" ht="15" customHeight="1" x14ac:dyDescent="0.25">
      <c r="N4510" t="s">
        <v>288</v>
      </c>
    </row>
    <row r="4511" spans="14:14" ht="15" customHeight="1" x14ac:dyDescent="0.25">
      <c r="N4511" t="s">
        <v>300</v>
      </c>
    </row>
    <row r="4512" spans="14:14" ht="15" customHeight="1" x14ac:dyDescent="0.25">
      <c r="N4512" t="s">
        <v>233</v>
      </c>
    </row>
    <row r="4513" spans="14:14" ht="15" customHeight="1" x14ac:dyDescent="0.25">
      <c r="N4513" t="s">
        <v>297</v>
      </c>
    </row>
    <row r="4514" spans="14:14" ht="15" customHeight="1" x14ac:dyDescent="0.25">
      <c r="N4514" t="s">
        <v>254</v>
      </c>
    </row>
    <row r="4515" spans="14:14" ht="15" customHeight="1" x14ac:dyDescent="0.25">
      <c r="N4515" t="s">
        <v>301</v>
      </c>
    </row>
    <row r="4516" spans="14:14" ht="15" customHeight="1" x14ac:dyDescent="0.25">
      <c r="N4516" t="s">
        <v>273</v>
      </c>
    </row>
    <row r="4517" spans="14:14" ht="15" customHeight="1" x14ac:dyDescent="0.25">
      <c r="N4517" t="s">
        <v>207</v>
      </c>
    </row>
    <row r="4518" spans="14:14" ht="15" customHeight="1" x14ac:dyDescent="0.25">
      <c r="N4518" t="s">
        <v>299</v>
      </c>
    </row>
    <row r="4519" spans="14:14" ht="15" customHeight="1" x14ac:dyDescent="0.25">
      <c r="N4519" t="s">
        <v>291</v>
      </c>
    </row>
    <row r="4520" spans="14:14" ht="15" customHeight="1" x14ac:dyDescent="0.25">
      <c r="N4520" t="s">
        <v>276</v>
      </c>
    </row>
    <row r="4521" spans="14:14" ht="15" customHeight="1" x14ac:dyDescent="0.25">
      <c r="N4521" t="s">
        <v>282</v>
      </c>
    </row>
    <row r="4522" spans="14:14" ht="15" customHeight="1" x14ac:dyDescent="0.25">
      <c r="N4522" t="s">
        <v>203</v>
      </c>
    </row>
    <row r="4523" spans="14:14" ht="15" customHeight="1" x14ac:dyDescent="0.25">
      <c r="N4523" t="s">
        <v>288</v>
      </c>
    </row>
    <row r="4524" spans="14:14" ht="15" customHeight="1" x14ac:dyDescent="0.25">
      <c r="N4524" t="s">
        <v>300</v>
      </c>
    </row>
    <row r="4525" spans="14:14" ht="15" customHeight="1" x14ac:dyDescent="0.25">
      <c r="N4525" t="s">
        <v>300</v>
      </c>
    </row>
    <row r="4526" spans="14:14" ht="15" customHeight="1" x14ac:dyDescent="0.25">
      <c r="N4526" t="s">
        <v>203</v>
      </c>
    </row>
    <row r="4527" spans="14:14" ht="15" customHeight="1" x14ac:dyDescent="0.25">
      <c r="N4527" t="s">
        <v>207</v>
      </c>
    </row>
    <row r="4528" spans="14:14" ht="15" customHeight="1" x14ac:dyDescent="0.25">
      <c r="N4528" t="s">
        <v>301</v>
      </c>
    </row>
    <row r="4529" spans="14:14" ht="15" customHeight="1" x14ac:dyDescent="0.25">
      <c r="N4529" t="s">
        <v>231</v>
      </c>
    </row>
    <row r="4530" spans="14:14" ht="15" customHeight="1" x14ac:dyDescent="0.25">
      <c r="N4530" t="s">
        <v>228</v>
      </c>
    </row>
    <row r="4531" spans="14:14" ht="15" customHeight="1" x14ac:dyDescent="0.25">
      <c r="N4531" t="s">
        <v>299</v>
      </c>
    </row>
    <row r="4532" spans="14:14" ht="15" customHeight="1" x14ac:dyDescent="0.25">
      <c r="N4532" t="s">
        <v>303</v>
      </c>
    </row>
    <row r="4533" spans="14:14" ht="15" customHeight="1" x14ac:dyDescent="0.25">
      <c r="N4533" t="s">
        <v>282</v>
      </c>
    </row>
    <row r="4534" spans="14:14" ht="15" customHeight="1" x14ac:dyDescent="0.25">
      <c r="N4534" t="s">
        <v>273</v>
      </c>
    </row>
    <row r="4535" spans="14:14" ht="15" customHeight="1" x14ac:dyDescent="0.25">
      <c r="N4535" t="s">
        <v>254</v>
      </c>
    </row>
    <row r="4536" spans="14:14" ht="15" customHeight="1" x14ac:dyDescent="0.25">
      <c r="N4536" t="s">
        <v>228</v>
      </c>
    </row>
    <row r="4537" spans="14:14" ht="15" customHeight="1" x14ac:dyDescent="0.25">
      <c r="N4537" t="s">
        <v>268</v>
      </c>
    </row>
    <row r="4538" spans="14:14" ht="15" customHeight="1" x14ac:dyDescent="0.25">
      <c r="N4538" t="s">
        <v>275</v>
      </c>
    </row>
    <row r="4539" spans="14:14" ht="15" customHeight="1" x14ac:dyDescent="0.25">
      <c r="N4539" t="s">
        <v>203</v>
      </c>
    </row>
    <row r="4540" spans="14:14" ht="15" customHeight="1" x14ac:dyDescent="0.25">
      <c r="N4540" t="s">
        <v>273</v>
      </c>
    </row>
    <row r="4541" spans="14:14" ht="15" customHeight="1" x14ac:dyDescent="0.25">
      <c r="N4541" t="s">
        <v>278</v>
      </c>
    </row>
    <row r="4542" spans="14:14" ht="15" customHeight="1" x14ac:dyDescent="0.25">
      <c r="N4542" t="s">
        <v>303</v>
      </c>
    </row>
    <row r="4543" spans="14:14" ht="15" customHeight="1" x14ac:dyDescent="0.25">
      <c r="N4543" t="s">
        <v>244</v>
      </c>
    </row>
    <row r="4544" spans="14:14" ht="15" customHeight="1" x14ac:dyDescent="0.25">
      <c r="N4544" t="s">
        <v>254</v>
      </c>
    </row>
    <row r="4545" spans="14:14" ht="15" customHeight="1" x14ac:dyDescent="0.25">
      <c r="N4545" t="s">
        <v>231</v>
      </c>
    </row>
    <row r="4546" spans="14:14" ht="15" customHeight="1" x14ac:dyDescent="0.25">
      <c r="N4546" t="s">
        <v>299</v>
      </c>
    </row>
    <row r="4547" spans="14:14" ht="15" customHeight="1" x14ac:dyDescent="0.25">
      <c r="N4547" t="s">
        <v>303</v>
      </c>
    </row>
    <row r="4548" spans="14:14" ht="15" customHeight="1" x14ac:dyDescent="0.25">
      <c r="N4548" t="s">
        <v>260</v>
      </c>
    </row>
    <row r="4549" spans="14:14" ht="15" customHeight="1" x14ac:dyDescent="0.25">
      <c r="N4549" t="s">
        <v>254</v>
      </c>
    </row>
    <row r="4550" spans="14:14" ht="15" customHeight="1" x14ac:dyDescent="0.25">
      <c r="N4550" t="s">
        <v>301</v>
      </c>
    </row>
    <row r="4551" spans="14:14" ht="15" customHeight="1" x14ac:dyDescent="0.25">
      <c r="N4551" t="s">
        <v>273</v>
      </c>
    </row>
    <row r="4552" spans="14:14" ht="15" customHeight="1" x14ac:dyDescent="0.25">
      <c r="N4552" t="s">
        <v>294</v>
      </c>
    </row>
    <row r="4553" spans="14:14" ht="15" customHeight="1" x14ac:dyDescent="0.25">
      <c r="N4553" t="s">
        <v>299</v>
      </c>
    </row>
    <row r="4554" spans="14:14" ht="15" customHeight="1" x14ac:dyDescent="0.25">
      <c r="N4554" t="s">
        <v>303</v>
      </c>
    </row>
    <row r="4555" spans="14:14" ht="15" customHeight="1" x14ac:dyDescent="0.25">
      <c r="N4555" t="s">
        <v>228</v>
      </c>
    </row>
    <row r="4556" spans="14:14" ht="15" customHeight="1" x14ac:dyDescent="0.25">
      <c r="N4556" t="s">
        <v>303</v>
      </c>
    </row>
    <row r="4557" spans="14:14" ht="15" customHeight="1" x14ac:dyDescent="0.25">
      <c r="N4557" t="s">
        <v>228</v>
      </c>
    </row>
    <row r="4558" spans="14:14" ht="15" customHeight="1" x14ac:dyDescent="0.25">
      <c r="N4558" t="s">
        <v>232</v>
      </c>
    </row>
    <row r="4559" spans="14:14" ht="15" customHeight="1" x14ac:dyDescent="0.25">
      <c r="N4559" t="s">
        <v>207</v>
      </c>
    </row>
    <row r="4560" spans="14:14" ht="15" customHeight="1" x14ac:dyDescent="0.25">
      <c r="N4560" t="s">
        <v>299</v>
      </c>
    </row>
    <row r="4561" spans="14:14" ht="15" customHeight="1" x14ac:dyDescent="0.25">
      <c r="N4561" t="s">
        <v>270</v>
      </c>
    </row>
    <row r="4562" spans="14:14" ht="15" customHeight="1" x14ac:dyDescent="0.25">
      <c r="N4562" t="s">
        <v>230</v>
      </c>
    </row>
    <row r="4563" spans="14:14" ht="15" customHeight="1" x14ac:dyDescent="0.25">
      <c r="N4563" t="s">
        <v>257</v>
      </c>
    </row>
    <row r="4564" spans="14:14" ht="15" customHeight="1" x14ac:dyDescent="0.25">
      <c r="N4564" t="s">
        <v>301</v>
      </c>
    </row>
    <row r="4565" spans="14:14" ht="15" customHeight="1" x14ac:dyDescent="0.25">
      <c r="N4565" t="s">
        <v>207</v>
      </c>
    </row>
    <row r="4566" spans="14:14" ht="15" customHeight="1" x14ac:dyDescent="0.25">
      <c r="N4566" t="s">
        <v>231</v>
      </c>
    </row>
    <row r="4567" spans="14:14" ht="15" customHeight="1" x14ac:dyDescent="0.25">
      <c r="N4567" t="s">
        <v>299</v>
      </c>
    </row>
    <row r="4568" spans="14:14" ht="15" customHeight="1" x14ac:dyDescent="0.25">
      <c r="N4568" t="s">
        <v>240</v>
      </c>
    </row>
    <row r="4569" spans="14:14" ht="15" customHeight="1" x14ac:dyDescent="0.25">
      <c r="N4569" t="s">
        <v>294</v>
      </c>
    </row>
    <row r="4570" spans="14:14" ht="15" customHeight="1" x14ac:dyDescent="0.25">
      <c r="N4570" t="s">
        <v>277</v>
      </c>
    </row>
    <row r="4571" spans="14:14" ht="15" customHeight="1" x14ac:dyDescent="0.25">
      <c r="N4571" t="s">
        <v>273</v>
      </c>
    </row>
    <row r="4572" spans="14:14" ht="15" customHeight="1" x14ac:dyDescent="0.25">
      <c r="N4572" t="s">
        <v>207</v>
      </c>
    </row>
    <row r="4573" spans="14:14" ht="15" customHeight="1" x14ac:dyDescent="0.25">
      <c r="N4573" t="s">
        <v>265</v>
      </c>
    </row>
    <row r="4574" spans="14:14" ht="15" customHeight="1" x14ac:dyDescent="0.25">
      <c r="N4574" t="s">
        <v>273</v>
      </c>
    </row>
    <row r="4575" spans="14:14" ht="15" customHeight="1" x14ac:dyDescent="0.25">
      <c r="N4575" t="s">
        <v>207</v>
      </c>
    </row>
    <row r="4576" spans="14:14" ht="15" customHeight="1" x14ac:dyDescent="0.25">
      <c r="N4576" t="s">
        <v>287</v>
      </c>
    </row>
    <row r="4577" spans="14:14" ht="15" customHeight="1" x14ac:dyDescent="0.25">
      <c r="N4577" t="s">
        <v>292</v>
      </c>
    </row>
    <row r="4578" spans="14:14" ht="15" customHeight="1" x14ac:dyDescent="0.25">
      <c r="N4578" t="s">
        <v>207</v>
      </c>
    </row>
    <row r="4579" spans="14:14" ht="15" customHeight="1" x14ac:dyDescent="0.25">
      <c r="N4579" t="s">
        <v>295</v>
      </c>
    </row>
    <row r="4580" spans="14:14" ht="15" customHeight="1" x14ac:dyDescent="0.25">
      <c r="N4580" t="s">
        <v>207</v>
      </c>
    </row>
    <row r="4581" spans="14:14" ht="15" customHeight="1" x14ac:dyDescent="0.25">
      <c r="N4581" t="s">
        <v>294</v>
      </c>
    </row>
    <row r="4582" spans="14:14" ht="15" customHeight="1" x14ac:dyDescent="0.25">
      <c r="N4582" t="s">
        <v>277</v>
      </c>
    </row>
    <row r="4583" spans="14:14" ht="15" customHeight="1" x14ac:dyDescent="0.25">
      <c r="N4583" t="s">
        <v>241</v>
      </c>
    </row>
    <row r="4584" spans="14:14" ht="15" customHeight="1" x14ac:dyDescent="0.25">
      <c r="N4584" t="s">
        <v>207</v>
      </c>
    </row>
    <row r="4585" spans="14:14" ht="15" customHeight="1" x14ac:dyDescent="0.25">
      <c r="N4585" t="s">
        <v>273</v>
      </c>
    </row>
    <row r="4586" spans="14:14" ht="15" customHeight="1" x14ac:dyDescent="0.25">
      <c r="N4586" t="s">
        <v>238</v>
      </c>
    </row>
    <row r="4587" spans="14:14" ht="15" customHeight="1" x14ac:dyDescent="0.25">
      <c r="N4587" t="s">
        <v>273</v>
      </c>
    </row>
    <row r="4588" spans="14:14" ht="15" customHeight="1" x14ac:dyDescent="0.25">
      <c r="N4588" t="s">
        <v>245</v>
      </c>
    </row>
    <row r="4589" spans="14:14" ht="15" customHeight="1" x14ac:dyDescent="0.25">
      <c r="N4589" t="s">
        <v>287</v>
      </c>
    </row>
    <row r="4590" spans="14:14" ht="15" customHeight="1" x14ac:dyDescent="0.25">
      <c r="N4590" t="s">
        <v>250</v>
      </c>
    </row>
    <row r="4591" spans="14:14" ht="15" customHeight="1" x14ac:dyDescent="0.25">
      <c r="N4591" t="s">
        <v>213</v>
      </c>
    </row>
    <row r="4592" spans="14:14" ht="15" customHeight="1" x14ac:dyDescent="0.25">
      <c r="N4592" t="s">
        <v>273</v>
      </c>
    </row>
    <row r="4593" spans="14:14" ht="15" customHeight="1" x14ac:dyDescent="0.25">
      <c r="N4593" t="s">
        <v>273</v>
      </c>
    </row>
    <row r="4594" spans="14:14" ht="15" customHeight="1" x14ac:dyDescent="0.25">
      <c r="N4594" t="s">
        <v>205</v>
      </c>
    </row>
    <row r="4595" spans="14:14" ht="15" customHeight="1" x14ac:dyDescent="0.25">
      <c r="N4595" t="s">
        <v>308</v>
      </c>
    </row>
    <row r="4596" spans="14:14" ht="15" customHeight="1" x14ac:dyDescent="0.25">
      <c r="N4596" t="s">
        <v>207</v>
      </c>
    </row>
    <row r="4597" spans="14:14" ht="15" customHeight="1" x14ac:dyDescent="0.25">
      <c r="N4597" t="s">
        <v>207</v>
      </c>
    </row>
    <row r="4598" spans="14:14" ht="15" customHeight="1" x14ac:dyDescent="0.25">
      <c r="N4598" t="s">
        <v>292</v>
      </c>
    </row>
    <row r="4599" spans="14:14" ht="15" customHeight="1" x14ac:dyDescent="0.25">
      <c r="N4599" t="s">
        <v>228</v>
      </c>
    </row>
    <row r="4600" spans="14:14" ht="15" customHeight="1" x14ac:dyDescent="0.25">
      <c r="N4600" t="s">
        <v>273</v>
      </c>
    </row>
    <row r="4601" spans="14:14" ht="15" customHeight="1" x14ac:dyDescent="0.25">
      <c r="N4601" t="s">
        <v>273</v>
      </c>
    </row>
    <row r="4602" spans="14:14" ht="15" customHeight="1" x14ac:dyDescent="0.25">
      <c r="N4602" t="s">
        <v>207</v>
      </c>
    </row>
    <row r="4603" spans="14:14" ht="15" customHeight="1" x14ac:dyDescent="0.25">
      <c r="N4603" t="s">
        <v>207</v>
      </c>
    </row>
    <row r="4604" spans="14:14" ht="15" customHeight="1" x14ac:dyDescent="0.25">
      <c r="N4604" t="s">
        <v>254</v>
      </c>
    </row>
    <row r="4605" spans="14:14" ht="15" customHeight="1" x14ac:dyDescent="0.25">
      <c r="N4605" t="s">
        <v>303</v>
      </c>
    </row>
    <row r="4606" spans="14:14" ht="15" customHeight="1" x14ac:dyDescent="0.25">
      <c r="N4606" t="s">
        <v>228</v>
      </c>
    </row>
    <row r="4607" spans="14:14" ht="15" customHeight="1" x14ac:dyDescent="0.25">
      <c r="N4607" t="s">
        <v>308</v>
      </c>
    </row>
    <row r="4608" spans="14:14" ht="15" customHeight="1" x14ac:dyDescent="0.25">
      <c r="N4608" t="s">
        <v>228</v>
      </c>
    </row>
    <row r="4609" spans="14:14" ht="15" customHeight="1" x14ac:dyDescent="0.25">
      <c r="N4609" t="s">
        <v>228</v>
      </c>
    </row>
    <row r="4610" spans="14:14" ht="15" customHeight="1" x14ac:dyDescent="0.25">
      <c r="N4610" t="s">
        <v>305</v>
      </c>
    </row>
    <row r="4611" spans="14:14" ht="15" customHeight="1" x14ac:dyDescent="0.25">
      <c r="N4611" t="s">
        <v>298</v>
      </c>
    </row>
    <row r="4612" spans="14:14" ht="15" customHeight="1" x14ac:dyDescent="0.25">
      <c r="N4612" t="s">
        <v>309</v>
      </c>
    </row>
    <row r="4613" spans="14:14" ht="15" customHeight="1" x14ac:dyDescent="0.25">
      <c r="N4613" t="s">
        <v>254</v>
      </c>
    </row>
    <row r="4614" spans="14:14" ht="15" customHeight="1" x14ac:dyDescent="0.25">
      <c r="N4614" t="s">
        <v>273</v>
      </c>
    </row>
    <row r="4615" spans="14:14" ht="15" customHeight="1" x14ac:dyDescent="0.25">
      <c r="N4615" t="s">
        <v>256</v>
      </c>
    </row>
    <row r="4616" spans="14:14" ht="15" customHeight="1" x14ac:dyDescent="0.25">
      <c r="N4616" t="s">
        <v>273</v>
      </c>
    </row>
    <row r="4617" spans="14:14" ht="15" customHeight="1" x14ac:dyDescent="0.25">
      <c r="N4617" t="s">
        <v>228</v>
      </c>
    </row>
    <row r="4618" spans="14:14" ht="15" customHeight="1" x14ac:dyDescent="0.25">
      <c r="N4618" t="s">
        <v>305</v>
      </c>
    </row>
    <row r="4619" spans="14:14" ht="15" customHeight="1" x14ac:dyDescent="0.25">
      <c r="N4619" t="s">
        <v>228</v>
      </c>
    </row>
    <row r="4620" spans="14:14" ht="15" customHeight="1" x14ac:dyDescent="0.25">
      <c r="N4620" t="s">
        <v>305</v>
      </c>
    </row>
    <row r="4621" spans="14:14" ht="15" customHeight="1" x14ac:dyDescent="0.25">
      <c r="N4621" t="s">
        <v>305</v>
      </c>
    </row>
    <row r="4622" spans="14:14" ht="15" customHeight="1" x14ac:dyDescent="0.25">
      <c r="N4622" t="s">
        <v>228</v>
      </c>
    </row>
    <row r="4623" spans="14:14" ht="15" customHeight="1" x14ac:dyDescent="0.25">
      <c r="N4623" t="s">
        <v>295</v>
      </c>
    </row>
    <row r="4624" spans="14:14" ht="15" customHeight="1" x14ac:dyDescent="0.25">
      <c r="N4624" t="s">
        <v>295</v>
      </c>
    </row>
    <row r="4625" spans="14:14" ht="15" customHeight="1" x14ac:dyDescent="0.25">
      <c r="N4625" t="s">
        <v>295</v>
      </c>
    </row>
    <row r="4626" spans="14:14" ht="15" customHeight="1" x14ac:dyDescent="0.25">
      <c r="N4626" t="s">
        <v>298</v>
      </c>
    </row>
    <row r="4627" spans="14:14" ht="15" customHeight="1" x14ac:dyDescent="0.25">
      <c r="N4627" t="s">
        <v>273</v>
      </c>
    </row>
    <row r="4628" spans="14:14" ht="15" customHeight="1" x14ac:dyDescent="0.25">
      <c r="N4628" t="s">
        <v>297</v>
      </c>
    </row>
    <row r="4629" spans="14:14" ht="15" customHeight="1" x14ac:dyDescent="0.25">
      <c r="N4629" t="s">
        <v>207</v>
      </c>
    </row>
    <row r="4630" spans="14:14" ht="15" customHeight="1" x14ac:dyDescent="0.25">
      <c r="N4630" t="s">
        <v>285</v>
      </c>
    </row>
    <row r="4631" spans="14:14" ht="15" customHeight="1" x14ac:dyDescent="0.25">
      <c r="N4631" t="s">
        <v>282</v>
      </c>
    </row>
    <row r="4632" spans="14:14" ht="15" customHeight="1" x14ac:dyDescent="0.25">
      <c r="N4632" t="s">
        <v>205</v>
      </c>
    </row>
    <row r="4633" spans="14:14" ht="15" customHeight="1" x14ac:dyDescent="0.25">
      <c r="N4633" t="s">
        <v>304</v>
      </c>
    </row>
    <row r="4634" spans="14:14" ht="15" customHeight="1" x14ac:dyDescent="0.25">
      <c r="N4634" t="s">
        <v>304</v>
      </c>
    </row>
    <row r="4635" spans="14:14" ht="15" customHeight="1" x14ac:dyDescent="0.25">
      <c r="N4635" t="s">
        <v>304</v>
      </c>
    </row>
    <row r="4636" spans="14:14" ht="15" customHeight="1" x14ac:dyDescent="0.25">
      <c r="N4636" t="s">
        <v>304</v>
      </c>
    </row>
    <row r="4637" spans="14:14" ht="15" customHeight="1" x14ac:dyDescent="0.25">
      <c r="N4637" t="s">
        <v>304</v>
      </c>
    </row>
    <row r="4638" spans="14:14" ht="15" customHeight="1" x14ac:dyDescent="0.25">
      <c r="N4638" t="s">
        <v>207</v>
      </c>
    </row>
    <row r="4639" spans="14:14" ht="15" customHeight="1" x14ac:dyDescent="0.25">
      <c r="N4639" t="s">
        <v>292</v>
      </c>
    </row>
    <row r="4640" spans="14:14" ht="15" customHeight="1" x14ac:dyDescent="0.25">
      <c r="N4640" t="s">
        <v>273</v>
      </c>
    </row>
    <row r="4641" spans="14:14" ht="15" customHeight="1" x14ac:dyDescent="0.25">
      <c r="N4641" t="s">
        <v>207</v>
      </c>
    </row>
    <row r="4642" spans="14:14" ht="15" customHeight="1" x14ac:dyDescent="0.25">
      <c r="N4642" t="s">
        <v>305</v>
      </c>
    </row>
    <row r="4643" spans="14:14" ht="15" customHeight="1" x14ac:dyDescent="0.25">
      <c r="N4643" t="s">
        <v>296</v>
      </c>
    </row>
    <row r="4644" spans="14:14" ht="15" customHeight="1" x14ac:dyDescent="0.25">
      <c r="N4644" t="s">
        <v>259</v>
      </c>
    </row>
    <row r="4645" spans="14:14" ht="15" customHeight="1" x14ac:dyDescent="0.25">
      <c r="N4645" t="s">
        <v>305</v>
      </c>
    </row>
    <row r="4646" spans="14:14" ht="15" customHeight="1" x14ac:dyDescent="0.25">
      <c r="N4646" t="s">
        <v>273</v>
      </c>
    </row>
    <row r="4647" spans="14:14" ht="15" customHeight="1" x14ac:dyDescent="0.25">
      <c r="N4647" t="s">
        <v>256</v>
      </c>
    </row>
    <row r="4648" spans="14:14" ht="15" customHeight="1" x14ac:dyDescent="0.25">
      <c r="N4648" t="s">
        <v>305</v>
      </c>
    </row>
    <row r="4649" spans="14:14" ht="15" customHeight="1" x14ac:dyDescent="0.25">
      <c r="N4649" t="s">
        <v>274</v>
      </c>
    </row>
    <row r="4650" spans="14:14" ht="15" customHeight="1" x14ac:dyDescent="0.25">
      <c r="N4650" t="s">
        <v>305</v>
      </c>
    </row>
    <row r="4651" spans="14:14" ht="15" customHeight="1" x14ac:dyDescent="0.25">
      <c r="N4651" t="s">
        <v>228</v>
      </c>
    </row>
    <row r="4652" spans="14:14" ht="15" customHeight="1" x14ac:dyDescent="0.25">
      <c r="N4652" t="s">
        <v>295</v>
      </c>
    </row>
    <row r="4653" spans="14:14" ht="15" customHeight="1" x14ac:dyDescent="0.25">
      <c r="N4653" t="s">
        <v>273</v>
      </c>
    </row>
    <row r="4654" spans="14:14" ht="15" customHeight="1" x14ac:dyDescent="0.25">
      <c r="N4654" t="s">
        <v>271</v>
      </c>
    </row>
    <row r="4655" spans="14:14" ht="15" customHeight="1" x14ac:dyDescent="0.25">
      <c r="N4655" t="s">
        <v>287</v>
      </c>
    </row>
    <row r="4656" spans="14:14" ht="15" customHeight="1" x14ac:dyDescent="0.25">
      <c r="N4656" t="s">
        <v>298</v>
      </c>
    </row>
    <row r="4657" spans="14:14" ht="15" customHeight="1" x14ac:dyDescent="0.25">
      <c r="N4657" t="s">
        <v>207</v>
      </c>
    </row>
    <row r="4658" spans="14:14" ht="15" customHeight="1" x14ac:dyDescent="0.25">
      <c r="N4658" t="s">
        <v>298</v>
      </c>
    </row>
    <row r="4659" spans="14:14" ht="15" customHeight="1" x14ac:dyDescent="0.25">
      <c r="N4659" t="s">
        <v>308</v>
      </c>
    </row>
    <row r="4660" spans="14:14" ht="15" customHeight="1" x14ac:dyDescent="0.25">
      <c r="N4660" t="s">
        <v>207</v>
      </c>
    </row>
    <row r="4661" spans="14:14" ht="15" customHeight="1" x14ac:dyDescent="0.25">
      <c r="N4661" t="s">
        <v>296</v>
      </c>
    </row>
    <row r="4662" spans="14:14" ht="15" customHeight="1" x14ac:dyDescent="0.25">
      <c r="N4662" t="s">
        <v>228</v>
      </c>
    </row>
    <row r="4663" spans="14:14" ht="15" customHeight="1" x14ac:dyDescent="0.25">
      <c r="N4663" t="s">
        <v>228</v>
      </c>
    </row>
    <row r="4664" spans="14:14" ht="15" customHeight="1" x14ac:dyDescent="0.25">
      <c r="N4664" t="s">
        <v>295</v>
      </c>
    </row>
    <row r="4665" spans="14:14" ht="15" customHeight="1" x14ac:dyDescent="0.25">
      <c r="N4665" t="s">
        <v>286</v>
      </c>
    </row>
    <row r="4666" spans="14:14" ht="15" customHeight="1" x14ac:dyDescent="0.25">
      <c r="N4666" t="s">
        <v>273</v>
      </c>
    </row>
    <row r="4667" spans="14:14" ht="15" customHeight="1" x14ac:dyDescent="0.25">
      <c r="N4667" t="s">
        <v>285</v>
      </c>
    </row>
    <row r="4668" spans="14:14" ht="15" customHeight="1" x14ac:dyDescent="0.25">
      <c r="N4668" t="s">
        <v>285</v>
      </c>
    </row>
    <row r="4669" spans="14:14" ht="15" customHeight="1" x14ac:dyDescent="0.25">
      <c r="N4669" t="s">
        <v>213</v>
      </c>
    </row>
    <row r="4670" spans="14:14" ht="15" customHeight="1" x14ac:dyDescent="0.25">
      <c r="N4670" t="s">
        <v>280</v>
      </c>
    </row>
    <row r="4671" spans="14:14" ht="15" customHeight="1" x14ac:dyDescent="0.25">
      <c r="N4671" t="s">
        <v>298</v>
      </c>
    </row>
    <row r="4672" spans="14:14" ht="15" customHeight="1" x14ac:dyDescent="0.25">
      <c r="N4672" t="s">
        <v>228</v>
      </c>
    </row>
    <row r="4673" spans="14:14" ht="15" customHeight="1" x14ac:dyDescent="0.25">
      <c r="N4673" t="s">
        <v>300</v>
      </c>
    </row>
    <row r="4674" spans="14:14" ht="15" customHeight="1" x14ac:dyDescent="0.25">
      <c r="N4674" t="s">
        <v>285</v>
      </c>
    </row>
    <row r="4675" spans="14:14" ht="15" customHeight="1" x14ac:dyDescent="0.25">
      <c r="N4675" t="s">
        <v>205</v>
      </c>
    </row>
    <row r="4676" spans="14:14" ht="15" customHeight="1" x14ac:dyDescent="0.25">
      <c r="N4676" t="s">
        <v>258</v>
      </c>
    </row>
    <row r="4677" spans="14:14" ht="15" customHeight="1" x14ac:dyDescent="0.25">
      <c r="N4677" t="s">
        <v>274</v>
      </c>
    </row>
    <row r="4678" spans="14:14" ht="15" customHeight="1" x14ac:dyDescent="0.25">
      <c r="N4678" t="s">
        <v>228</v>
      </c>
    </row>
    <row r="4679" spans="14:14" ht="15" customHeight="1" x14ac:dyDescent="0.25">
      <c r="N4679" t="s">
        <v>254</v>
      </c>
    </row>
    <row r="4680" spans="14:14" ht="15" customHeight="1" x14ac:dyDescent="0.25">
      <c r="N4680" t="s">
        <v>280</v>
      </c>
    </row>
    <row r="4681" spans="14:14" ht="15" customHeight="1" x14ac:dyDescent="0.25">
      <c r="N4681" t="s">
        <v>283</v>
      </c>
    </row>
    <row r="4682" spans="14:14" ht="15" customHeight="1" x14ac:dyDescent="0.25">
      <c r="N4682" t="s">
        <v>301</v>
      </c>
    </row>
    <row r="4683" spans="14:14" ht="15" customHeight="1" x14ac:dyDescent="0.25">
      <c r="N4683" t="s">
        <v>228</v>
      </c>
    </row>
    <row r="4684" spans="14:14" ht="15" customHeight="1" x14ac:dyDescent="0.25">
      <c r="N4684" t="s">
        <v>278</v>
      </c>
    </row>
    <row r="4685" spans="14:14" ht="15" customHeight="1" x14ac:dyDescent="0.25">
      <c r="N4685" t="s">
        <v>273</v>
      </c>
    </row>
    <row r="4686" spans="14:14" ht="15" customHeight="1" x14ac:dyDescent="0.25">
      <c r="N4686" t="s">
        <v>280</v>
      </c>
    </row>
    <row r="4687" spans="14:14" ht="15" customHeight="1" x14ac:dyDescent="0.25">
      <c r="N4687" t="s">
        <v>205</v>
      </c>
    </row>
    <row r="4688" spans="14:14" ht="15" customHeight="1" x14ac:dyDescent="0.25">
      <c r="N4688" t="s">
        <v>283</v>
      </c>
    </row>
    <row r="4689" spans="14:14" ht="15" customHeight="1" x14ac:dyDescent="0.25">
      <c r="N4689" t="s">
        <v>280</v>
      </c>
    </row>
    <row r="4690" spans="14:14" ht="15" customHeight="1" x14ac:dyDescent="0.25">
      <c r="N4690" t="s">
        <v>242</v>
      </c>
    </row>
    <row r="4691" spans="14:14" ht="15" customHeight="1" x14ac:dyDescent="0.25">
      <c r="N4691" t="s">
        <v>252</v>
      </c>
    </row>
    <row r="4692" spans="14:14" ht="15" customHeight="1" x14ac:dyDescent="0.25">
      <c r="N4692" t="s">
        <v>228</v>
      </c>
    </row>
    <row r="4693" spans="14:14" ht="15" customHeight="1" x14ac:dyDescent="0.25">
      <c r="N4693" t="s">
        <v>256</v>
      </c>
    </row>
    <row r="4694" spans="14:14" ht="15" customHeight="1" x14ac:dyDescent="0.25">
      <c r="N4694" t="s">
        <v>298</v>
      </c>
    </row>
    <row r="4695" spans="14:14" ht="15" customHeight="1" x14ac:dyDescent="0.25">
      <c r="N4695" t="s">
        <v>207</v>
      </c>
    </row>
    <row r="4696" spans="14:14" ht="15" customHeight="1" x14ac:dyDescent="0.25">
      <c r="N4696" t="s">
        <v>280</v>
      </c>
    </row>
    <row r="4697" spans="14:14" ht="15" customHeight="1" x14ac:dyDescent="0.25">
      <c r="N4697" t="s">
        <v>297</v>
      </c>
    </row>
    <row r="4698" spans="14:14" ht="15" customHeight="1" x14ac:dyDescent="0.25">
      <c r="N4698" t="s">
        <v>283</v>
      </c>
    </row>
    <row r="4699" spans="14:14" ht="15" customHeight="1" x14ac:dyDescent="0.25">
      <c r="N4699" t="s">
        <v>284</v>
      </c>
    </row>
    <row r="4700" spans="14:14" ht="15" customHeight="1" x14ac:dyDescent="0.25">
      <c r="N4700" t="s">
        <v>228</v>
      </c>
    </row>
    <row r="4701" spans="14:14" ht="15" customHeight="1" x14ac:dyDescent="0.25">
      <c r="N4701" t="s">
        <v>228</v>
      </c>
    </row>
    <row r="4702" spans="14:14" ht="15" customHeight="1" x14ac:dyDescent="0.25">
      <c r="N4702" t="s">
        <v>280</v>
      </c>
    </row>
    <row r="4703" spans="14:14" ht="15" customHeight="1" x14ac:dyDescent="0.25">
      <c r="N4703" t="s">
        <v>280</v>
      </c>
    </row>
    <row r="4704" spans="14:14" ht="15" customHeight="1" x14ac:dyDescent="0.25">
      <c r="N4704" t="s">
        <v>284</v>
      </c>
    </row>
    <row r="4705" spans="14:14" ht="15" customHeight="1" x14ac:dyDescent="0.25">
      <c r="N4705" t="s">
        <v>284</v>
      </c>
    </row>
    <row r="4706" spans="14:14" ht="15" customHeight="1" x14ac:dyDescent="0.25">
      <c r="N4706" t="s">
        <v>228</v>
      </c>
    </row>
    <row r="4707" spans="14:14" ht="15" customHeight="1" x14ac:dyDescent="0.25">
      <c r="N4707" t="s">
        <v>305</v>
      </c>
    </row>
    <row r="4708" spans="14:14" ht="15" customHeight="1" x14ac:dyDescent="0.25">
      <c r="N4708" t="s">
        <v>296</v>
      </c>
    </row>
    <row r="4709" spans="14:14" ht="15" customHeight="1" x14ac:dyDescent="0.25">
      <c r="N4709" t="s">
        <v>247</v>
      </c>
    </row>
    <row r="4710" spans="14:14" ht="15" customHeight="1" x14ac:dyDescent="0.25">
      <c r="N4710" t="s">
        <v>228</v>
      </c>
    </row>
    <row r="4711" spans="14:14" ht="15" customHeight="1" x14ac:dyDescent="0.25">
      <c r="N4711" t="s">
        <v>305</v>
      </c>
    </row>
    <row r="4712" spans="14:14" ht="15" customHeight="1" x14ac:dyDescent="0.25">
      <c r="N4712" t="s">
        <v>272</v>
      </c>
    </row>
    <row r="4713" spans="14:14" ht="15" customHeight="1" x14ac:dyDescent="0.25">
      <c r="N4713" t="s">
        <v>305</v>
      </c>
    </row>
    <row r="4714" spans="14:14" ht="15" customHeight="1" x14ac:dyDescent="0.25">
      <c r="N4714" t="s">
        <v>310</v>
      </c>
    </row>
    <row r="4715" spans="14:14" ht="15" customHeight="1" x14ac:dyDescent="0.25">
      <c r="N4715" t="s">
        <v>305</v>
      </c>
    </row>
    <row r="4716" spans="14:14" ht="15" customHeight="1" x14ac:dyDescent="0.25">
      <c r="N4716" t="s">
        <v>302</v>
      </c>
    </row>
    <row r="4717" spans="14:14" ht="15" customHeight="1" x14ac:dyDescent="0.25">
      <c r="N4717" t="s">
        <v>247</v>
      </c>
    </row>
    <row r="4718" spans="14:14" ht="15" customHeight="1" x14ac:dyDescent="0.25">
      <c r="N4718" t="s">
        <v>228</v>
      </c>
    </row>
    <row r="4719" spans="14:14" ht="15" customHeight="1" x14ac:dyDescent="0.25">
      <c r="N4719" t="s">
        <v>305</v>
      </c>
    </row>
    <row r="4720" spans="14:14" ht="15" customHeight="1" x14ac:dyDescent="0.25">
      <c r="N4720" t="s">
        <v>273</v>
      </c>
    </row>
    <row r="4721" spans="14:14" ht="15" customHeight="1" x14ac:dyDescent="0.25">
      <c r="N4721" t="s">
        <v>235</v>
      </c>
    </row>
    <row r="4722" spans="14:14" ht="15" customHeight="1" x14ac:dyDescent="0.25">
      <c r="N4722" t="s">
        <v>305</v>
      </c>
    </row>
    <row r="4723" spans="14:14" ht="15" customHeight="1" x14ac:dyDescent="0.25">
      <c r="N4723" t="s">
        <v>305</v>
      </c>
    </row>
    <row r="4724" spans="14:14" ht="15" customHeight="1" x14ac:dyDescent="0.25">
      <c r="N4724" t="s">
        <v>302</v>
      </c>
    </row>
    <row r="4725" spans="14:14" ht="15" customHeight="1" x14ac:dyDescent="0.25">
      <c r="N4725" t="s">
        <v>256</v>
      </c>
    </row>
    <row r="4726" spans="14:14" ht="15" customHeight="1" x14ac:dyDescent="0.25">
      <c r="N4726" t="s">
        <v>228</v>
      </c>
    </row>
    <row r="4727" spans="14:14" ht="15" customHeight="1" x14ac:dyDescent="0.25">
      <c r="N4727" t="s">
        <v>305</v>
      </c>
    </row>
    <row r="4728" spans="14:14" ht="15" customHeight="1" x14ac:dyDescent="0.25">
      <c r="N4728" t="s">
        <v>296</v>
      </c>
    </row>
    <row r="4729" spans="14:14" ht="15" customHeight="1" x14ac:dyDescent="0.25">
      <c r="N4729" t="s">
        <v>305</v>
      </c>
    </row>
    <row r="4730" spans="14:14" ht="15" customHeight="1" x14ac:dyDescent="0.25">
      <c r="N4730" t="s">
        <v>247</v>
      </c>
    </row>
    <row r="4731" spans="14:14" ht="15" customHeight="1" x14ac:dyDescent="0.25">
      <c r="N4731" t="s">
        <v>207</v>
      </c>
    </row>
    <row r="4732" spans="14:14" ht="15" customHeight="1" x14ac:dyDescent="0.25">
      <c r="N4732" t="s">
        <v>269</v>
      </c>
    </row>
    <row r="4733" spans="14:14" ht="15" customHeight="1" x14ac:dyDescent="0.25">
      <c r="N4733" t="s">
        <v>305</v>
      </c>
    </row>
    <row r="4734" spans="14:14" ht="15" customHeight="1" x14ac:dyDescent="0.25">
      <c r="N4734" t="s">
        <v>228</v>
      </c>
    </row>
    <row r="4735" spans="14:14" ht="15" customHeight="1" x14ac:dyDescent="0.25">
      <c r="N4735" t="s">
        <v>207</v>
      </c>
    </row>
    <row r="4736" spans="14:14" ht="15" customHeight="1" x14ac:dyDescent="0.25">
      <c r="N4736" t="s">
        <v>293</v>
      </c>
    </row>
    <row r="4737" spans="14:14" ht="15" customHeight="1" x14ac:dyDescent="0.25">
      <c r="N4737" t="s">
        <v>305</v>
      </c>
    </row>
    <row r="4738" spans="14:14" ht="15" customHeight="1" x14ac:dyDescent="0.25">
      <c r="N4738" t="s">
        <v>305</v>
      </c>
    </row>
    <row r="4739" spans="14:14" ht="15" customHeight="1" x14ac:dyDescent="0.25">
      <c r="N4739" t="s">
        <v>293</v>
      </c>
    </row>
    <row r="4740" spans="14:14" ht="15" customHeight="1" x14ac:dyDescent="0.25">
      <c r="N4740" t="s">
        <v>293</v>
      </c>
    </row>
    <row r="4741" spans="14:14" ht="15" customHeight="1" x14ac:dyDescent="0.25">
      <c r="N4741" t="s">
        <v>305</v>
      </c>
    </row>
    <row r="4742" spans="14:14" ht="15" customHeight="1" x14ac:dyDescent="0.25">
      <c r="N4742" t="s">
        <v>305</v>
      </c>
    </row>
    <row r="4743" spans="14:14" ht="15" customHeight="1" x14ac:dyDescent="0.25">
      <c r="N4743" t="s">
        <v>297</v>
      </c>
    </row>
    <row r="4744" spans="14:14" ht="15" customHeight="1" x14ac:dyDescent="0.25">
      <c r="N4744" t="s">
        <v>228</v>
      </c>
    </row>
    <row r="4745" spans="14:14" ht="15" customHeight="1" x14ac:dyDescent="0.25">
      <c r="N4745" t="s">
        <v>297</v>
      </c>
    </row>
    <row r="4746" spans="14:14" ht="15" customHeight="1" x14ac:dyDescent="0.25">
      <c r="N4746" t="s">
        <v>305</v>
      </c>
    </row>
    <row r="4747" spans="14:14" ht="15" customHeight="1" x14ac:dyDescent="0.25">
      <c r="N4747" t="s">
        <v>894</v>
      </c>
    </row>
    <row r="4748" spans="14:14" ht="15" customHeight="1" x14ac:dyDescent="0.25">
      <c r="N4748" t="s">
        <v>897</v>
      </c>
    </row>
    <row r="4749" spans="14:14" ht="15" customHeight="1" x14ac:dyDescent="0.25">
      <c r="N4749" t="s">
        <v>897</v>
      </c>
    </row>
    <row r="4750" spans="14:14" ht="15" customHeight="1" x14ac:dyDescent="0.25">
      <c r="N4750" t="s">
        <v>900</v>
      </c>
    </row>
    <row r="4751" spans="14:14" ht="15" customHeight="1" x14ac:dyDescent="0.25">
      <c r="N4751" t="s">
        <v>900</v>
      </c>
    </row>
    <row r="4752" spans="14:14" ht="15" customHeight="1" x14ac:dyDescent="0.25">
      <c r="N4752" t="s">
        <v>900</v>
      </c>
    </row>
    <row r="4753" spans="14:14" ht="15" customHeight="1" x14ac:dyDescent="0.25">
      <c r="N4753" t="s">
        <v>900</v>
      </c>
    </row>
    <row r="4754" spans="14:14" ht="15" customHeight="1" x14ac:dyDescent="0.25">
      <c r="N4754" t="s">
        <v>900</v>
      </c>
    </row>
    <row r="4755" spans="14:14" ht="15" customHeight="1" x14ac:dyDescent="0.25">
      <c r="N4755" t="s">
        <v>900</v>
      </c>
    </row>
    <row r="4756" spans="14:14" ht="15" customHeight="1" x14ac:dyDescent="0.25">
      <c r="N4756" t="s">
        <v>904</v>
      </c>
    </row>
    <row r="4757" spans="14:14" ht="15" customHeight="1" x14ac:dyDescent="0.25">
      <c r="N4757" t="s">
        <v>904</v>
      </c>
    </row>
    <row r="4758" spans="14:14" ht="15" customHeight="1" x14ac:dyDescent="0.25">
      <c r="N4758" t="s">
        <v>904</v>
      </c>
    </row>
    <row r="4759" spans="14:14" ht="15" customHeight="1" x14ac:dyDescent="0.25">
      <c r="N4759" t="s">
        <v>904</v>
      </c>
    </row>
    <row r="4760" spans="14:14" ht="15" customHeight="1" x14ac:dyDescent="0.25">
      <c r="N4760" t="s">
        <v>904</v>
      </c>
    </row>
    <row r="4761" spans="14:14" ht="15" customHeight="1" x14ac:dyDescent="0.25">
      <c r="N4761" t="s">
        <v>904</v>
      </c>
    </row>
    <row r="4762" spans="14:14" ht="15" customHeight="1" x14ac:dyDescent="0.25">
      <c r="N4762" t="s">
        <v>904</v>
      </c>
    </row>
    <row r="4763" spans="14:14" ht="15" customHeight="1" x14ac:dyDescent="0.25">
      <c r="N4763" t="s">
        <v>904</v>
      </c>
    </row>
    <row r="4764" spans="14:14" ht="15" customHeight="1" x14ac:dyDescent="0.25">
      <c r="N4764" t="s">
        <v>906</v>
      </c>
    </row>
    <row r="4765" spans="14:14" ht="15" customHeight="1" x14ac:dyDescent="0.25">
      <c r="N4765" t="s">
        <v>909</v>
      </c>
    </row>
    <row r="4766" spans="14:14" ht="15" customHeight="1" x14ac:dyDescent="0.25">
      <c r="N4766" t="s">
        <v>912</v>
      </c>
    </row>
    <row r="4767" spans="14:14" ht="15" customHeight="1" x14ac:dyDescent="0.25">
      <c r="N4767" t="s">
        <v>914</v>
      </c>
    </row>
    <row r="4768" spans="14:14" ht="15" customHeight="1" x14ac:dyDescent="0.25">
      <c r="N4768" t="s">
        <v>917</v>
      </c>
    </row>
    <row r="4769" spans="14:14" ht="15" customHeight="1" x14ac:dyDescent="0.25">
      <c r="N4769" t="s">
        <v>901</v>
      </c>
    </row>
    <row r="4770" spans="14:14" ht="15" customHeight="1" x14ac:dyDescent="0.25">
      <c r="N4770" t="s">
        <v>901</v>
      </c>
    </row>
    <row r="4771" spans="14:14" ht="15" customHeight="1" x14ac:dyDescent="0.25">
      <c r="N4771" t="s">
        <v>897</v>
      </c>
    </row>
    <row r="4772" spans="14:14" ht="15" customHeight="1" x14ac:dyDescent="0.25">
      <c r="N4772" t="s">
        <v>897</v>
      </c>
    </row>
    <row r="4773" spans="14:14" ht="15" customHeight="1" x14ac:dyDescent="0.25">
      <c r="N4773" t="s">
        <v>921</v>
      </c>
    </row>
    <row r="4774" spans="14:14" ht="15" customHeight="1" x14ac:dyDescent="0.25">
      <c r="N4774" t="s">
        <v>897</v>
      </c>
    </row>
    <row r="4775" spans="14:14" ht="15" customHeight="1" x14ac:dyDescent="0.25">
      <c r="N4775" t="s">
        <v>909</v>
      </c>
    </row>
    <row r="4776" spans="14:14" ht="15" customHeight="1" x14ac:dyDescent="0.25">
      <c r="N4776" t="s">
        <v>254</v>
      </c>
    </row>
    <row r="4777" spans="14:14" ht="15" customHeight="1" x14ac:dyDescent="0.25">
      <c r="N4777" t="s">
        <v>927</v>
      </c>
    </row>
    <row r="4778" spans="14:14" ht="15" customHeight="1" x14ac:dyDescent="0.25">
      <c r="N4778" t="s">
        <v>914</v>
      </c>
    </row>
    <row r="4779" spans="14:14" ht="15" customHeight="1" x14ac:dyDescent="0.25">
      <c r="N4779" t="s">
        <v>933</v>
      </c>
    </row>
    <row r="4780" spans="14:14" ht="15" customHeight="1" x14ac:dyDescent="0.25">
      <c r="N4780" t="s">
        <v>934</v>
      </c>
    </row>
    <row r="4781" spans="14:14" ht="15" customHeight="1" x14ac:dyDescent="0.25">
      <c r="N4781" t="s">
        <v>914</v>
      </c>
    </row>
    <row r="4782" spans="14:14" ht="15" customHeight="1" x14ac:dyDescent="0.25">
      <c r="N4782" t="s">
        <v>938</v>
      </c>
    </row>
    <row r="4783" spans="14:14" ht="15" customHeight="1" x14ac:dyDescent="0.25">
      <c r="N4783" t="s">
        <v>940</v>
      </c>
    </row>
    <row r="4784" spans="14:14" ht="15" customHeight="1" x14ac:dyDescent="0.25">
      <c r="N4784" t="s">
        <v>942</v>
      </c>
    </row>
    <row r="4785" spans="14:14" ht="15" customHeight="1" x14ac:dyDescent="0.25">
      <c r="N4785" t="s">
        <v>943</v>
      </c>
    </row>
    <row r="4786" spans="14:14" ht="15" customHeight="1" x14ac:dyDescent="0.25">
      <c r="N4786" t="s">
        <v>943</v>
      </c>
    </row>
    <row r="4787" spans="14:14" ht="15" customHeight="1" x14ac:dyDescent="0.25">
      <c r="N4787" t="s">
        <v>943</v>
      </c>
    </row>
    <row r="4788" spans="14:14" ht="15" customHeight="1" x14ac:dyDescent="0.25">
      <c r="N4788" t="s">
        <v>943</v>
      </c>
    </row>
    <row r="4789" spans="14:14" ht="15" customHeight="1" x14ac:dyDescent="0.25">
      <c r="N4789" t="s">
        <v>943</v>
      </c>
    </row>
    <row r="4790" spans="14:14" ht="15" customHeight="1" x14ac:dyDescent="0.25">
      <c r="N4790" t="s">
        <v>943</v>
      </c>
    </row>
    <row r="4791" spans="14:14" ht="15" customHeight="1" x14ac:dyDescent="0.25">
      <c r="N4791" t="s">
        <v>945</v>
      </c>
    </row>
    <row r="4792" spans="14:14" ht="15" customHeight="1" x14ac:dyDescent="0.25">
      <c r="N4792" t="s">
        <v>946</v>
      </c>
    </row>
    <row r="4793" spans="14:14" ht="15" customHeight="1" x14ac:dyDescent="0.25">
      <c r="N4793" t="s">
        <v>914</v>
      </c>
    </row>
    <row r="4794" spans="14:14" ht="15" customHeight="1" x14ac:dyDescent="0.25">
      <c r="N4794" t="s">
        <v>934</v>
      </c>
    </row>
    <row r="4795" spans="14:14" ht="15" customHeight="1" x14ac:dyDescent="0.25">
      <c r="N4795" t="s">
        <v>951</v>
      </c>
    </row>
    <row r="4796" spans="14:14" ht="15" customHeight="1" x14ac:dyDescent="0.25">
      <c r="N4796" t="s">
        <v>894</v>
      </c>
    </row>
    <row r="4797" spans="14:14" ht="15" customHeight="1" x14ac:dyDescent="0.25">
      <c r="N4797" t="s">
        <v>917</v>
      </c>
    </row>
    <row r="4798" spans="14:14" ht="15" customHeight="1" x14ac:dyDescent="0.25">
      <c r="N4798" t="s">
        <v>917</v>
      </c>
    </row>
    <row r="4799" spans="14:14" ht="15" customHeight="1" x14ac:dyDescent="0.25">
      <c r="N4799" t="s">
        <v>914</v>
      </c>
    </row>
    <row r="4800" spans="14:14" ht="15" customHeight="1" x14ac:dyDescent="0.25">
      <c r="N4800" t="s">
        <v>958</v>
      </c>
    </row>
    <row r="4801" spans="14:14" ht="15" customHeight="1" x14ac:dyDescent="0.25">
      <c r="N4801" t="s">
        <v>914</v>
      </c>
    </row>
    <row r="4802" spans="14:14" ht="15" customHeight="1" x14ac:dyDescent="0.25">
      <c r="N4802" t="s">
        <v>961</v>
      </c>
    </row>
    <row r="4803" spans="14:14" ht="15" customHeight="1" x14ac:dyDescent="0.25">
      <c r="N4803" t="s">
        <v>961</v>
      </c>
    </row>
    <row r="4804" spans="14:14" ht="15" customHeight="1" x14ac:dyDescent="0.25">
      <c r="N4804" t="s">
        <v>961</v>
      </c>
    </row>
    <row r="4805" spans="14:14" ht="15" customHeight="1" x14ac:dyDescent="0.25">
      <c r="N4805" t="s">
        <v>914</v>
      </c>
    </row>
    <row r="4806" spans="14:14" ht="15" customHeight="1" x14ac:dyDescent="0.25">
      <c r="N4806" t="s">
        <v>921</v>
      </c>
    </row>
    <row r="4807" spans="14:14" ht="15" customHeight="1" x14ac:dyDescent="0.25">
      <c r="N4807" t="s">
        <v>921</v>
      </c>
    </row>
    <row r="4808" spans="14:14" ht="15" customHeight="1" x14ac:dyDescent="0.25">
      <c r="N4808" t="s">
        <v>969</v>
      </c>
    </row>
    <row r="4809" spans="14:14" ht="15" customHeight="1" x14ac:dyDescent="0.25">
      <c r="N4809" t="s">
        <v>933</v>
      </c>
    </row>
    <row r="4810" spans="14:14" ht="15" customHeight="1" x14ac:dyDescent="0.25">
      <c r="N4810" t="s">
        <v>940</v>
      </c>
    </row>
    <row r="4811" spans="14:14" ht="15" customHeight="1" x14ac:dyDescent="0.25">
      <c r="N4811" t="s">
        <v>940</v>
      </c>
    </row>
    <row r="4812" spans="14:14" ht="15" customHeight="1" x14ac:dyDescent="0.25">
      <c r="N4812" t="s">
        <v>719</v>
      </c>
    </row>
    <row r="4813" spans="14:14" ht="15" customHeight="1" x14ac:dyDescent="0.25">
      <c r="N4813" t="s">
        <v>719</v>
      </c>
    </row>
    <row r="4814" spans="14:14" ht="15" customHeight="1" x14ac:dyDescent="0.25">
      <c r="N4814" t="s">
        <v>719</v>
      </c>
    </row>
    <row r="4815" spans="14:14" ht="15" customHeight="1" x14ac:dyDescent="0.25">
      <c r="N4815" t="s">
        <v>894</v>
      </c>
    </row>
    <row r="4816" spans="14:14" ht="15" customHeight="1" x14ac:dyDescent="0.25">
      <c r="N4816" t="s">
        <v>286</v>
      </c>
    </row>
    <row r="4817" spans="14:14" ht="15" customHeight="1" x14ac:dyDescent="0.25">
      <c r="N4817" t="s">
        <v>286</v>
      </c>
    </row>
    <row r="4818" spans="14:14" ht="15" customHeight="1" x14ac:dyDescent="0.25">
      <c r="N4818" t="s">
        <v>286</v>
      </c>
    </row>
    <row r="4819" spans="14:14" ht="15" customHeight="1" x14ac:dyDescent="0.25">
      <c r="N4819" t="s">
        <v>319</v>
      </c>
    </row>
    <row r="4820" spans="14:14" ht="15" customHeight="1" x14ac:dyDescent="0.25">
      <c r="N4820" t="s">
        <v>249</v>
      </c>
    </row>
    <row r="4821" spans="14:14" ht="15" customHeight="1" x14ac:dyDescent="0.25">
      <c r="N4821" t="s">
        <v>319</v>
      </c>
    </row>
    <row r="4822" spans="14:14" ht="15" customHeight="1" x14ac:dyDescent="0.25">
      <c r="N4822" t="s">
        <v>286</v>
      </c>
    </row>
    <row r="4823" spans="14:14" ht="15" customHeight="1" x14ac:dyDescent="0.25">
      <c r="N4823" t="s">
        <v>224</v>
      </c>
    </row>
    <row r="4824" spans="14:14" ht="15" customHeight="1" x14ac:dyDescent="0.25">
      <c r="N4824" t="s">
        <v>818</v>
      </c>
    </row>
    <row r="4825" spans="14:14" ht="15" customHeight="1" x14ac:dyDescent="0.25">
      <c r="N4825" t="s">
        <v>249</v>
      </c>
    </row>
    <row r="4826" spans="14:14" ht="15" customHeight="1" x14ac:dyDescent="0.25">
      <c r="N4826" t="s">
        <v>249</v>
      </c>
    </row>
    <row r="4827" spans="14:14" ht="15" customHeight="1" x14ac:dyDescent="0.25">
      <c r="N4827" t="s">
        <v>249</v>
      </c>
    </row>
    <row r="4828" spans="14:14" ht="15" customHeight="1" x14ac:dyDescent="0.25">
      <c r="N4828" t="s">
        <v>319</v>
      </c>
    </row>
    <row r="4829" spans="14:14" ht="15" customHeight="1" x14ac:dyDescent="0.25">
      <c r="N4829" t="s">
        <v>319</v>
      </c>
    </row>
    <row r="4830" spans="14:14" ht="15" customHeight="1" x14ac:dyDescent="0.25">
      <c r="N4830" t="s">
        <v>334</v>
      </c>
    </row>
    <row r="4831" spans="14:14" ht="15" customHeight="1" x14ac:dyDescent="0.25">
      <c r="N4831" t="s">
        <v>249</v>
      </c>
    </row>
    <row r="4832" spans="14:14" ht="15" customHeight="1" x14ac:dyDescent="0.25">
      <c r="N4832" t="s">
        <v>719</v>
      </c>
    </row>
    <row r="4833" spans="14:14" ht="15" customHeight="1" x14ac:dyDescent="0.25">
      <c r="N4833" t="s">
        <v>978</v>
      </c>
    </row>
    <row r="4834" spans="14:14" ht="15" customHeight="1" x14ac:dyDescent="0.25">
      <c r="N4834" t="s">
        <v>294</v>
      </c>
    </row>
    <row r="4835" spans="14:14" ht="15" customHeight="1" x14ac:dyDescent="0.25">
      <c r="N4835" t="s">
        <v>319</v>
      </c>
    </row>
    <row r="4836" spans="14:14" ht="15" customHeight="1" x14ac:dyDescent="0.25">
      <c r="N4836" t="s">
        <v>286</v>
      </c>
    </row>
    <row r="4837" spans="14:14" ht="15" customHeight="1" x14ac:dyDescent="0.25">
      <c r="N4837" t="s">
        <v>319</v>
      </c>
    </row>
    <row r="4838" spans="14:14" ht="15" customHeight="1" x14ac:dyDescent="0.25">
      <c r="N4838" t="s">
        <v>319</v>
      </c>
    </row>
    <row r="4839" spans="14:14" ht="15" customHeight="1" x14ac:dyDescent="0.25">
      <c r="N4839" t="s">
        <v>980</v>
      </c>
    </row>
    <row r="4840" spans="14:14" ht="15" customHeight="1" x14ac:dyDescent="0.25">
      <c r="N4840" t="s">
        <v>900</v>
      </c>
    </row>
    <row r="4841" spans="14:14" ht="15" customHeight="1" x14ac:dyDescent="0.25">
      <c r="N4841" t="s">
        <v>900</v>
      </c>
    </row>
    <row r="4842" spans="14:14" ht="15" customHeight="1" x14ac:dyDescent="0.25">
      <c r="N4842" t="s">
        <v>900</v>
      </c>
    </row>
    <row r="4843" spans="14:14" ht="15" customHeight="1" x14ac:dyDescent="0.25">
      <c r="N4843" t="s">
        <v>984</v>
      </c>
    </row>
    <row r="4844" spans="14:14" ht="15" customHeight="1" x14ac:dyDescent="0.25">
      <c r="N4844" t="s">
        <v>900</v>
      </c>
    </row>
    <row r="4845" spans="14:14" ht="15" customHeight="1" x14ac:dyDescent="0.25">
      <c r="N4845" t="s">
        <v>900</v>
      </c>
    </row>
    <row r="4846" spans="14:14" ht="15" customHeight="1" x14ac:dyDescent="0.25">
      <c r="N4846" t="s">
        <v>906</v>
      </c>
    </row>
    <row r="4847" spans="14:14" ht="15" customHeight="1" x14ac:dyDescent="0.25">
      <c r="N4847" t="s">
        <v>988</v>
      </c>
    </row>
    <row r="4848" spans="14:14" ht="15" customHeight="1" x14ac:dyDescent="0.25">
      <c r="N4848" t="s">
        <v>914</v>
      </c>
    </row>
    <row r="4849" spans="14:14" ht="15" customHeight="1" x14ac:dyDescent="0.25">
      <c r="N4849" t="s">
        <v>917</v>
      </c>
    </row>
    <row r="4850" spans="14:14" ht="15" customHeight="1" x14ac:dyDescent="0.25">
      <c r="N4850" t="s">
        <v>933</v>
      </c>
    </row>
    <row r="4851" spans="14:14" ht="15" customHeight="1" x14ac:dyDescent="0.25">
      <c r="N4851" t="s">
        <v>933</v>
      </c>
    </row>
    <row r="4852" spans="14:14" ht="15" customHeight="1" x14ac:dyDescent="0.25">
      <c r="N4852" t="s">
        <v>993</v>
      </c>
    </row>
    <row r="4853" spans="14:14" ht="15" customHeight="1" x14ac:dyDescent="0.25">
      <c r="N4853" t="s">
        <v>993</v>
      </c>
    </row>
    <row r="4854" spans="14:14" ht="15" customHeight="1" x14ac:dyDescent="0.25">
      <c r="N4854" t="s">
        <v>921</v>
      </c>
    </row>
    <row r="4855" spans="14:14" ht="15" customHeight="1" x14ac:dyDescent="0.25">
      <c r="N4855" t="s">
        <v>909</v>
      </c>
    </row>
    <row r="4856" spans="14:14" ht="15" customHeight="1" x14ac:dyDescent="0.25">
      <c r="N4856" t="s">
        <v>254</v>
      </c>
    </row>
    <row r="4857" spans="14:14" ht="15" customHeight="1" x14ac:dyDescent="0.25">
      <c r="N4857" t="s">
        <v>914</v>
      </c>
    </row>
    <row r="4858" spans="14:14" ht="15" customHeight="1" x14ac:dyDescent="0.25">
      <c r="N4858" t="s">
        <v>933</v>
      </c>
    </row>
    <row r="4859" spans="14:14" ht="15" customHeight="1" x14ac:dyDescent="0.25">
      <c r="N4859" t="s">
        <v>998</v>
      </c>
    </row>
    <row r="4860" spans="14:14" ht="15" customHeight="1" x14ac:dyDescent="0.25">
      <c r="N4860" t="s">
        <v>1000</v>
      </c>
    </row>
    <row r="4861" spans="14:14" ht="15" customHeight="1" x14ac:dyDescent="0.25">
      <c r="N4861" t="s">
        <v>914</v>
      </c>
    </row>
    <row r="4862" spans="14:14" ht="15" customHeight="1" x14ac:dyDescent="0.25">
      <c r="N4862" t="s">
        <v>1002</v>
      </c>
    </row>
    <row r="4863" spans="14:14" ht="15" customHeight="1" x14ac:dyDescent="0.25">
      <c r="N4863" t="s">
        <v>942</v>
      </c>
    </row>
    <row r="4864" spans="14:14" ht="15" customHeight="1" x14ac:dyDescent="0.25">
      <c r="N4864" t="s">
        <v>1004</v>
      </c>
    </row>
    <row r="4865" spans="14:14" ht="15" customHeight="1" x14ac:dyDescent="0.25">
      <c r="N4865" t="s">
        <v>1005</v>
      </c>
    </row>
    <row r="4866" spans="14:14" ht="15" customHeight="1" x14ac:dyDescent="0.25">
      <c r="N4866" t="s">
        <v>943</v>
      </c>
    </row>
    <row r="4867" spans="14:14" ht="15" customHeight="1" x14ac:dyDescent="0.25">
      <c r="N4867" t="s">
        <v>943</v>
      </c>
    </row>
    <row r="4868" spans="14:14" ht="15" customHeight="1" x14ac:dyDescent="0.25">
      <c r="N4868" t="s">
        <v>943</v>
      </c>
    </row>
    <row r="4869" spans="14:14" ht="15" customHeight="1" x14ac:dyDescent="0.25">
      <c r="N4869" t="s">
        <v>943</v>
      </c>
    </row>
    <row r="4870" spans="14:14" ht="15" customHeight="1" x14ac:dyDescent="0.25">
      <c r="N4870" t="s">
        <v>943</v>
      </c>
    </row>
    <row r="4871" spans="14:14" ht="15" customHeight="1" x14ac:dyDescent="0.25">
      <c r="N4871" t="s">
        <v>943</v>
      </c>
    </row>
    <row r="4872" spans="14:14" ht="15" customHeight="1" x14ac:dyDescent="0.25">
      <c r="N4872" t="s">
        <v>1007</v>
      </c>
    </row>
    <row r="4873" spans="14:14" ht="15" customHeight="1" x14ac:dyDescent="0.25">
      <c r="N4873" t="s">
        <v>901</v>
      </c>
    </row>
    <row r="4874" spans="14:14" ht="15" customHeight="1" x14ac:dyDescent="0.25">
      <c r="N4874" t="s">
        <v>912</v>
      </c>
    </row>
    <row r="4875" spans="14:14" ht="15" customHeight="1" x14ac:dyDescent="0.25">
      <c r="N4875" t="s">
        <v>901</v>
      </c>
    </row>
    <row r="4876" spans="14:14" ht="15" customHeight="1" x14ac:dyDescent="0.25">
      <c r="N4876" t="s">
        <v>917</v>
      </c>
    </row>
    <row r="4877" spans="14:14" ht="15" customHeight="1" x14ac:dyDescent="0.25">
      <c r="N4877" t="s">
        <v>1011</v>
      </c>
    </row>
    <row r="4878" spans="14:14" ht="15" customHeight="1" x14ac:dyDescent="0.25">
      <c r="N4878" t="s">
        <v>914</v>
      </c>
    </row>
    <row r="4879" spans="14:14" ht="15" customHeight="1" x14ac:dyDescent="0.25">
      <c r="N4879" t="s">
        <v>909</v>
      </c>
    </row>
    <row r="4880" spans="14:14" ht="15" customHeight="1" x14ac:dyDescent="0.25">
      <c r="N4880" t="s">
        <v>914</v>
      </c>
    </row>
    <row r="4881" spans="14:14" ht="15" customHeight="1" x14ac:dyDescent="0.25">
      <c r="N4881" t="s">
        <v>1015</v>
      </c>
    </row>
    <row r="4882" spans="14:14" ht="15" customHeight="1" x14ac:dyDescent="0.25">
      <c r="N4882" t="s">
        <v>1015</v>
      </c>
    </row>
    <row r="4883" spans="14:14" ht="15" customHeight="1" x14ac:dyDescent="0.25">
      <c r="N4883" t="s">
        <v>1015</v>
      </c>
    </row>
    <row r="4884" spans="14:14" ht="15" customHeight="1" x14ac:dyDescent="0.25">
      <c r="N4884" t="s">
        <v>969</v>
      </c>
    </row>
    <row r="4885" spans="14:14" ht="15" customHeight="1" x14ac:dyDescent="0.25">
      <c r="N4885" t="s">
        <v>934</v>
      </c>
    </row>
    <row r="4886" spans="14:14" ht="15" customHeight="1" x14ac:dyDescent="0.25">
      <c r="N4886" t="s">
        <v>894</v>
      </c>
    </row>
    <row r="4887" spans="14:14" ht="15" customHeight="1" x14ac:dyDescent="0.25">
      <c r="N4887" t="s">
        <v>894</v>
      </c>
    </row>
    <row r="4888" spans="14:14" ht="15" customHeight="1" x14ac:dyDescent="0.25">
      <c r="N4888" t="s">
        <v>319</v>
      </c>
    </row>
    <row r="4889" spans="14:14" ht="15" customHeight="1" x14ac:dyDescent="0.25">
      <c r="N4889" t="s">
        <v>319</v>
      </c>
    </row>
    <row r="4890" spans="14:14" ht="15" customHeight="1" x14ac:dyDescent="0.25">
      <c r="N4890" t="s">
        <v>319</v>
      </c>
    </row>
    <row r="4891" spans="14:14" ht="15" customHeight="1" x14ac:dyDescent="0.25">
      <c r="N4891" t="s">
        <v>894</v>
      </c>
    </row>
    <row r="4892" spans="14:14" ht="15" customHeight="1" x14ac:dyDescent="0.25">
      <c r="N4892" t="s">
        <v>254</v>
      </c>
    </row>
    <row r="4893" spans="14:14" ht="15" customHeight="1" x14ac:dyDescent="0.25">
      <c r="N4893" t="s">
        <v>254</v>
      </c>
    </row>
    <row r="4894" spans="14:14" ht="15" customHeight="1" x14ac:dyDescent="0.25">
      <c r="N4894" t="s">
        <v>254</v>
      </c>
    </row>
    <row r="4895" spans="14:14" ht="15" customHeight="1" x14ac:dyDescent="0.25">
      <c r="N4895" t="s">
        <v>249</v>
      </c>
    </row>
    <row r="4896" spans="14:14" ht="15" customHeight="1" x14ac:dyDescent="0.25">
      <c r="N4896" t="s">
        <v>1018</v>
      </c>
    </row>
    <row r="4897" spans="14:14" ht="15" customHeight="1" x14ac:dyDescent="0.25">
      <c r="N4897" t="s">
        <v>1019</v>
      </c>
    </row>
    <row r="4898" spans="14:14" ht="15" customHeight="1" x14ac:dyDescent="0.25">
      <c r="N4898" t="s">
        <v>1021</v>
      </c>
    </row>
    <row r="4899" spans="14:14" ht="15" customHeight="1" x14ac:dyDescent="0.25">
      <c r="N4899" t="s">
        <v>223</v>
      </c>
    </row>
    <row r="4900" spans="14:14" ht="15" customHeight="1" x14ac:dyDescent="0.25">
      <c r="N4900" t="s">
        <v>223</v>
      </c>
    </row>
    <row r="4901" spans="14:14" ht="15" customHeight="1" x14ac:dyDescent="0.25">
      <c r="N4901" t="s">
        <v>223</v>
      </c>
    </row>
    <row r="4902" spans="14:14" ht="15" customHeight="1" x14ac:dyDescent="0.25">
      <c r="N4902" t="s">
        <v>717</v>
      </c>
    </row>
    <row r="4903" spans="14:14" ht="15" customHeight="1" x14ac:dyDescent="0.25">
      <c r="N4903" t="s">
        <v>717</v>
      </c>
    </row>
    <row r="4904" spans="14:14" ht="15" customHeight="1" x14ac:dyDescent="0.25">
      <c r="N4904" t="s">
        <v>294</v>
      </c>
    </row>
    <row r="4905" spans="14:14" ht="15" customHeight="1" x14ac:dyDescent="0.25">
      <c r="N4905" t="s">
        <v>254</v>
      </c>
    </row>
    <row r="4906" spans="14:14" ht="15" customHeight="1" x14ac:dyDescent="0.25">
      <c r="N4906" t="s">
        <v>254</v>
      </c>
    </row>
    <row r="4907" spans="14:14" ht="15" customHeight="1" x14ac:dyDescent="0.25">
      <c r="N4907" t="s">
        <v>254</v>
      </c>
    </row>
    <row r="4908" spans="14:14" ht="15" customHeight="1" x14ac:dyDescent="0.25">
      <c r="N4908" t="s">
        <v>319</v>
      </c>
    </row>
    <row r="4909" spans="14:14" ht="15" customHeight="1" x14ac:dyDescent="0.25">
      <c r="N4909" t="s">
        <v>1005</v>
      </c>
    </row>
    <row r="4910" spans="14:14" ht="15" customHeight="1" x14ac:dyDescent="0.25">
      <c r="N4910" t="s">
        <v>1005</v>
      </c>
    </row>
    <row r="4911" spans="14:14" ht="15" customHeight="1" x14ac:dyDescent="0.25">
      <c r="N4911" t="s">
        <v>1004</v>
      </c>
    </row>
    <row r="4912" spans="14:14" ht="15" customHeight="1" x14ac:dyDescent="0.25">
      <c r="N4912" t="s">
        <v>1004</v>
      </c>
    </row>
    <row r="4913" spans="14:14" ht="15" customHeight="1" x14ac:dyDescent="0.25">
      <c r="N4913" t="s">
        <v>1004</v>
      </c>
    </row>
    <row r="4914" spans="14:14" ht="15" customHeight="1" x14ac:dyDescent="0.25">
      <c r="N4914" t="s">
        <v>1004</v>
      </c>
    </row>
    <row r="4915" spans="14:14" ht="15" customHeight="1" x14ac:dyDescent="0.25">
      <c r="N4915" t="s">
        <v>1004</v>
      </c>
    </row>
    <row r="4916" spans="14:14" ht="15" customHeight="1" x14ac:dyDescent="0.25">
      <c r="N4916" t="s">
        <v>1004</v>
      </c>
    </row>
    <row r="4917" spans="14:14" ht="15" customHeight="1" x14ac:dyDescent="0.25">
      <c r="N4917" t="s">
        <v>1004</v>
      </c>
    </row>
    <row r="4918" spans="14:14" ht="15" customHeight="1" x14ac:dyDescent="0.25">
      <c r="N4918" t="s">
        <v>1004</v>
      </c>
    </row>
    <row r="4919" spans="14:14" ht="15" customHeight="1" x14ac:dyDescent="0.25">
      <c r="N4919" t="s">
        <v>1004</v>
      </c>
    </row>
    <row r="4920" spans="14:14" ht="15" customHeight="1" x14ac:dyDescent="0.25">
      <c r="N4920" t="s">
        <v>1004</v>
      </c>
    </row>
    <row r="4921" spans="14:14" ht="15" customHeight="1" x14ac:dyDescent="0.25">
      <c r="N4921" t="s">
        <v>1023</v>
      </c>
    </row>
    <row r="4922" spans="14:14" ht="15" customHeight="1" x14ac:dyDescent="0.25">
      <c r="N4922" t="s">
        <v>1023</v>
      </c>
    </row>
    <row r="4923" spans="14:14" ht="15" customHeight="1" x14ac:dyDescent="0.25">
      <c r="N4923" t="s">
        <v>1004</v>
      </c>
    </row>
    <row r="4924" spans="14:14" ht="15" customHeight="1" x14ac:dyDescent="0.25">
      <c r="N4924" t="s">
        <v>1027</v>
      </c>
    </row>
    <row r="4925" spans="14:14" ht="15" customHeight="1" x14ac:dyDescent="0.25">
      <c r="N4925" t="s">
        <v>1029</v>
      </c>
    </row>
    <row r="4926" spans="14:14" ht="15" customHeight="1" x14ac:dyDescent="0.25">
      <c r="N4926" t="s">
        <v>1029</v>
      </c>
    </row>
    <row r="4927" spans="14:14" ht="15" customHeight="1" x14ac:dyDescent="0.25">
      <c r="N4927" t="s">
        <v>1029</v>
      </c>
    </row>
    <row r="4928" spans="14:14" ht="15" customHeight="1" x14ac:dyDescent="0.25">
      <c r="N4928" t="s">
        <v>1029</v>
      </c>
    </row>
    <row r="4929" spans="14:14" ht="15" customHeight="1" x14ac:dyDescent="0.25">
      <c r="N4929" t="s">
        <v>1029</v>
      </c>
    </row>
    <row r="4930" spans="14:14" ht="15" customHeight="1" x14ac:dyDescent="0.25">
      <c r="N4930" t="s">
        <v>930</v>
      </c>
    </row>
    <row r="4931" spans="14:14" ht="15" customHeight="1" x14ac:dyDescent="0.25">
      <c r="N4931" t="s">
        <v>971</v>
      </c>
    </row>
    <row r="4932" spans="14:14" ht="15" customHeight="1" x14ac:dyDescent="0.25">
      <c r="N4932" t="s">
        <v>971</v>
      </c>
    </row>
    <row r="4933" spans="14:14" ht="15" customHeight="1" x14ac:dyDescent="0.25">
      <c r="N4933" t="s">
        <v>907</v>
      </c>
    </row>
    <row r="4934" spans="14:14" ht="15" customHeight="1" x14ac:dyDescent="0.25">
      <c r="N4934" t="s">
        <v>1034</v>
      </c>
    </row>
    <row r="4935" spans="14:14" ht="15" customHeight="1" x14ac:dyDescent="0.25">
      <c r="N4935" t="s">
        <v>901</v>
      </c>
    </row>
    <row r="4936" spans="14:14" ht="15" customHeight="1" x14ac:dyDescent="0.25">
      <c r="N4936" t="s">
        <v>1011</v>
      </c>
    </row>
    <row r="4937" spans="14:14" ht="15" customHeight="1" x14ac:dyDescent="0.25">
      <c r="N4937" t="s">
        <v>985</v>
      </c>
    </row>
    <row r="4938" spans="14:14" ht="15" customHeight="1" x14ac:dyDescent="0.25">
      <c r="N4938" t="s">
        <v>985</v>
      </c>
    </row>
    <row r="4939" spans="14:14" ht="15" customHeight="1" x14ac:dyDescent="0.25">
      <c r="N4939" t="s">
        <v>901</v>
      </c>
    </row>
    <row r="4940" spans="14:14" ht="15" customHeight="1" x14ac:dyDescent="0.25">
      <c r="N4940" t="s">
        <v>958</v>
      </c>
    </row>
    <row r="4941" spans="14:14" ht="15" customHeight="1" x14ac:dyDescent="0.25">
      <c r="N4941" t="s">
        <v>1037</v>
      </c>
    </row>
    <row r="4942" spans="14:14" ht="15" customHeight="1" x14ac:dyDescent="0.25">
      <c r="N4942" t="s">
        <v>1039</v>
      </c>
    </row>
    <row r="4943" spans="14:14" ht="15" customHeight="1" x14ac:dyDescent="0.25">
      <c r="N4943" t="s">
        <v>930</v>
      </c>
    </row>
    <row r="4944" spans="14:14" ht="15" customHeight="1" x14ac:dyDescent="0.25">
      <c r="N4944" t="s">
        <v>1042</v>
      </c>
    </row>
    <row r="4945" spans="14:14" ht="15" customHeight="1" x14ac:dyDescent="0.25">
      <c r="N4945" t="s">
        <v>1000</v>
      </c>
    </row>
    <row r="4946" spans="14:14" ht="15" customHeight="1" x14ac:dyDescent="0.25">
      <c r="N4946" t="s">
        <v>894</v>
      </c>
    </row>
    <row r="4947" spans="14:14" ht="15" customHeight="1" x14ac:dyDescent="0.25">
      <c r="N4947" t="s">
        <v>1044</v>
      </c>
    </row>
    <row r="4948" spans="14:14" ht="15" customHeight="1" x14ac:dyDescent="0.25">
      <c r="N4948" t="s">
        <v>958</v>
      </c>
    </row>
    <row r="4949" spans="14:14" ht="15" customHeight="1" x14ac:dyDescent="0.25">
      <c r="N4949" t="s">
        <v>1004</v>
      </c>
    </row>
    <row r="4950" spans="14:14" ht="15" customHeight="1" x14ac:dyDescent="0.25">
      <c r="N4950" t="s">
        <v>1005</v>
      </c>
    </row>
    <row r="4951" spans="14:14" ht="15" customHeight="1" x14ac:dyDescent="0.25">
      <c r="N4951" t="s">
        <v>969</v>
      </c>
    </row>
    <row r="4952" spans="14:14" ht="15" customHeight="1" x14ac:dyDescent="0.25">
      <c r="N4952" t="s">
        <v>969</v>
      </c>
    </row>
    <row r="4953" spans="14:14" ht="15" customHeight="1" x14ac:dyDescent="0.25">
      <c r="N4953" t="s">
        <v>969</v>
      </c>
    </row>
    <row r="4954" spans="14:14" ht="15" customHeight="1" x14ac:dyDescent="0.25">
      <c r="N4954" t="s">
        <v>969</v>
      </c>
    </row>
    <row r="4955" spans="14:14" ht="15" customHeight="1" x14ac:dyDescent="0.25">
      <c r="N4955" t="s">
        <v>969</v>
      </c>
    </row>
    <row r="4956" spans="14:14" ht="15" customHeight="1" x14ac:dyDescent="0.25">
      <c r="N4956" t="s">
        <v>969</v>
      </c>
    </row>
    <row r="4957" spans="14:14" ht="15" customHeight="1" x14ac:dyDescent="0.25">
      <c r="N4957" t="s">
        <v>1007</v>
      </c>
    </row>
    <row r="4958" spans="14:14" ht="15" customHeight="1" x14ac:dyDescent="0.25">
      <c r="N4958" t="s">
        <v>998</v>
      </c>
    </row>
    <row r="4959" spans="14:14" ht="15" customHeight="1" x14ac:dyDescent="0.25">
      <c r="N4959" t="s">
        <v>980</v>
      </c>
    </row>
    <row r="4960" spans="14:14" ht="15" customHeight="1" x14ac:dyDescent="0.25">
      <c r="N4960" t="s">
        <v>1049</v>
      </c>
    </row>
    <row r="4961" spans="14:14" ht="15" customHeight="1" x14ac:dyDescent="0.25">
      <c r="N4961" t="s">
        <v>914</v>
      </c>
    </row>
    <row r="4962" spans="14:14" ht="15" customHeight="1" x14ac:dyDescent="0.25">
      <c r="N4962" t="s">
        <v>901</v>
      </c>
    </row>
    <row r="4963" spans="14:14" ht="15" customHeight="1" x14ac:dyDescent="0.25">
      <c r="N4963" t="s">
        <v>914</v>
      </c>
    </row>
    <row r="4964" spans="14:14" ht="15" customHeight="1" x14ac:dyDescent="0.25">
      <c r="N4964" t="s">
        <v>901</v>
      </c>
    </row>
    <row r="4965" spans="14:14" ht="15" customHeight="1" x14ac:dyDescent="0.25">
      <c r="N4965" t="s">
        <v>901</v>
      </c>
    </row>
    <row r="4966" spans="14:14" ht="15" customHeight="1" x14ac:dyDescent="0.25">
      <c r="N4966" t="s">
        <v>901</v>
      </c>
    </row>
    <row r="4967" spans="14:14" ht="15" customHeight="1" x14ac:dyDescent="0.25">
      <c r="N4967" t="s">
        <v>1055</v>
      </c>
    </row>
    <row r="4968" spans="14:14" ht="15" customHeight="1" x14ac:dyDescent="0.25">
      <c r="N4968" t="s">
        <v>969</v>
      </c>
    </row>
    <row r="4969" spans="14:14" ht="15" customHeight="1" x14ac:dyDescent="0.25">
      <c r="N4969" t="s">
        <v>1042</v>
      </c>
    </row>
    <row r="4970" spans="14:14" ht="15" customHeight="1" x14ac:dyDescent="0.25">
      <c r="N4970" t="s">
        <v>1057</v>
      </c>
    </row>
    <row r="4971" spans="14:14" ht="15" customHeight="1" x14ac:dyDescent="0.25">
      <c r="N4971" t="s">
        <v>1057</v>
      </c>
    </row>
    <row r="4972" spans="14:14" ht="15" customHeight="1" x14ac:dyDescent="0.25">
      <c r="N4972" t="s">
        <v>223</v>
      </c>
    </row>
    <row r="4973" spans="14:14" ht="15" customHeight="1" x14ac:dyDescent="0.25">
      <c r="N4973" t="s">
        <v>223</v>
      </c>
    </row>
    <row r="4974" spans="14:14" ht="15" customHeight="1" x14ac:dyDescent="0.25">
      <c r="N4974" t="s">
        <v>223</v>
      </c>
    </row>
    <row r="4975" spans="14:14" ht="15" customHeight="1" x14ac:dyDescent="0.25">
      <c r="N4975" t="s">
        <v>894</v>
      </c>
    </row>
    <row r="4976" spans="14:14" ht="15" customHeight="1" x14ac:dyDescent="0.25">
      <c r="N4976" t="s">
        <v>273</v>
      </c>
    </row>
    <row r="4977" spans="14:14" ht="15" customHeight="1" x14ac:dyDescent="0.25">
      <c r="N4977" t="s">
        <v>301</v>
      </c>
    </row>
    <row r="4978" spans="14:14" ht="15" customHeight="1" x14ac:dyDescent="0.25">
      <c r="N4978" t="s">
        <v>223</v>
      </c>
    </row>
    <row r="4979" spans="14:14" ht="15" customHeight="1" x14ac:dyDescent="0.25">
      <c r="N4979" t="s">
        <v>231</v>
      </c>
    </row>
    <row r="4980" spans="14:14" ht="15" customHeight="1" x14ac:dyDescent="0.25">
      <c r="N4980" t="s">
        <v>470</v>
      </c>
    </row>
    <row r="4981" spans="14:14" ht="15" customHeight="1" x14ac:dyDescent="0.25">
      <c r="N4981" t="s">
        <v>1062</v>
      </c>
    </row>
    <row r="4982" spans="14:14" ht="15" customHeight="1" x14ac:dyDescent="0.25">
      <c r="N4982" t="s">
        <v>1063</v>
      </c>
    </row>
    <row r="4983" spans="14:14" ht="15" customHeight="1" x14ac:dyDescent="0.25">
      <c r="N4983" t="s">
        <v>1005</v>
      </c>
    </row>
    <row r="4984" spans="14:14" ht="15" customHeight="1" x14ac:dyDescent="0.25">
      <c r="N4984" t="s">
        <v>254</v>
      </c>
    </row>
    <row r="4985" spans="14:14" ht="15" customHeight="1" x14ac:dyDescent="0.25">
      <c r="N4985" t="s">
        <v>254</v>
      </c>
    </row>
    <row r="4986" spans="14:14" ht="15" customHeight="1" x14ac:dyDescent="0.25">
      <c r="N4986" t="s">
        <v>334</v>
      </c>
    </row>
    <row r="4987" spans="14:14" ht="15" customHeight="1" x14ac:dyDescent="0.25">
      <c r="N4987" t="s">
        <v>1005</v>
      </c>
    </row>
    <row r="4988" spans="14:14" ht="15" customHeight="1" x14ac:dyDescent="0.25">
      <c r="N4988" t="s">
        <v>1005</v>
      </c>
    </row>
    <row r="4989" spans="14:14" ht="15" customHeight="1" x14ac:dyDescent="0.25">
      <c r="N4989" t="s">
        <v>1066</v>
      </c>
    </row>
    <row r="4990" spans="14:14" ht="15" customHeight="1" x14ac:dyDescent="0.25">
      <c r="N4990" t="s">
        <v>1066</v>
      </c>
    </row>
    <row r="4991" spans="14:14" ht="15" customHeight="1" x14ac:dyDescent="0.25">
      <c r="N4991" t="s">
        <v>1066</v>
      </c>
    </row>
    <row r="4992" spans="14:14" ht="15" customHeight="1" x14ac:dyDescent="0.25">
      <c r="N4992" t="s">
        <v>1066</v>
      </c>
    </row>
    <row r="4993" spans="14:14" ht="15" customHeight="1" x14ac:dyDescent="0.25">
      <c r="N4993" t="s">
        <v>1066</v>
      </c>
    </row>
    <row r="4994" spans="14:14" ht="15" customHeight="1" x14ac:dyDescent="0.25">
      <c r="N4994" t="s">
        <v>1066</v>
      </c>
    </row>
    <row r="4995" spans="14:14" ht="15" customHeight="1" x14ac:dyDescent="0.25">
      <c r="N4995" t="s">
        <v>1066</v>
      </c>
    </row>
    <row r="4996" spans="14:14" ht="15" customHeight="1" x14ac:dyDescent="0.25">
      <c r="N4996" t="s">
        <v>1066</v>
      </c>
    </row>
    <row r="4997" spans="14:14" ht="15" customHeight="1" x14ac:dyDescent="0.25">
      <c r="N4997" t="s">
        <v>1066</v>
      </c>
    </row>
    <row r="4998" spans="14:14" ht="15" customHeight="1" x14ac:dyDescent="0.25">
      <c r="N4998" t="s">
        <v>1066</v>
      </c>
    </row>
    <row r="4999" spans="14:14" ht="15" customHeight="1" x14ac:dyDescent="0.25">
      <c r="N4999" t="s">
        <v>930</v>
      </c>
    </row>
    <row r="5000" spans="14:14" ht="15" customHeight="1" x14ac:dyDescent="0.25">
      <c r="N5000" t="s">
        <v>930</v>
      </c>
    </row>
    <row r="5001" spans="14:14" ht="15" customHeight="1" x14ac:dyDescent="0.25">
      <c r="N5001" t="s">
        <v>1004</v>
      </c>
    </row>
    <row r="5002" spans="14:14" ht="15" customHeight="1" x14ac:dyDescent="0.25">
      <c r="N5002" t="s">
        <v>901</v>
      </c>
    </row>
    <row r="5003" spans="14:14" ht="15" customHeight="1" x14ac:dyDescent="0.25">
      <c r="N5003" t="s">
        <v>901</v>
      </c>
    </row>
    <row r="5004" spans="14:14" ht="15" customHeight="1" x14ac:dyDescent="0.25">
      <c r="N5004" t="s">
        <v>901</v>
      </c>
    </row>
    <row r="5005" spans="14:14" ht="15" customHeight="1" x14ac:dyDescent="0.25">
      <c r="N5005" t="s">
        <v>901</v>
      </c>
    </row>
    <row r="5006" spans="14:14" ht="15" customHeight="1" x14ac:dyDescent="0.25">
      <c r="N5006" t="s">
        <v>901</v>
      </c>
    </row>
    <row r="5007" spans="14:14" ht="15" customHeight="1" x14ac:dyDescent="0.25">
      <c r="N5007" t="s">
        <v>1068</v>
      </c>
    </row>
    <row r="5008" spans="14:14" ht="15" customHeight="1" x14ac:dyDescent="0.25">
      <c r="N5008" t="s">
        <v>1070</v>
      </c>
    </row>
    <row r="5009" spans="14:14" ht="15" customHeight="1" x14ac:dyDescent="0.25">
      <c r="N5009" t="s">
        <v>1070</v>
      </c>
    </row>
    <row r="5010" spans="14:14" ht="15" customHeight="1" x14ac:dyDescent="0.25">
      <c r="N5010" t="s">
        <v>1072</v>
      </c>
    </row>
    <row r="5011" spans="14:14" ht="15" customHeight="1" x14ac:dyDescent="0.25">
      <c r="N5011" t="s">
        <v>1072</v>
      </c>
    </row>
    <row r="5012" spans="14:14" ht="15" customHeight="1" x14ac:dyDescent="0.25">
      <c r="N5012" t="s">
        <v>894</v>
      </c>
    </row>
    <row r="5013" spans="14:14" ht="15" customHeight="1" x14ac:dyDescent="0.25">
      <c r="N5013" t="s">
        <v>1042</v>
      </c>
    </row>
    <row r="5014" spans="14:14" ht="15" customHeight="1" x14ac:dyDescent="0.25">
      <c r="N5014" t="s">
        <v>1042</v>
      </c>
    </row>
    <row r="5015" spans="14:14" ht="15" customHeight="1" x14ac:dyDescent="0.25">
      <c r="N5015" t="s">
        <v>1004</v>
      </c>
    </row>
    <row r="5016" spans="14:14" ht="15" customHeight="1" x14ac:dyDescent="0.25">
      <c r="N5016" t="s">
        <v>1004</v>
      </c>
    </row>
    <row r="5017" spans="14:14" ht="15" customHeight="1" x14ac:dyDescent="0.25">
      <c r="N5017" t="s">
        <v>901</v>
      </c>
    </row>
    <row r="5018" spans="14:14" ht="15" customHeight="1" x14ac:dyDescent="0.25">
      <c r="N5018" t="s">
        <v>993</v>
      </c>
    </row>
    <row r="5019" spans="14:14" ht="15" customHeight="1" x14ac:dyDescent="0.25">
      <c r="N5019" t="s">
        <v>1074</v>
      </c>
    </row>
    <row r="5020" spans="14:14" ht="15" customHeight="1" x14ac:dyDescent="0.25">
      <c r="N5020" t="s">
        <v>1076</v>
      </c>
    </row>
    <row r="5021" spans="14:14" ht="15" customHeight="1" x14ac:dyDescent="0.25">
      <c r="N5021" t="s">
        <v>1078</v>
      </c>
    </row>
    <row r="5022" spans="14:14" ht="15" customHeight="1" x14ac:dyDescent="0.25">
      <c r="N5022" t="s">
        <v>1042</v>
      </c>
    </row>
    <row r="5023" spans="14:14" ht="15" customHeight="1" x14ac:dyDescent="0.25">
      <c r="N5023" t="s">
        <v>980</v>
      </c>
    </row>
    <row r="5024" spans="14:14" ht="15" customHeight="1" x14ac:dyDescent="0.25">
      <c r="N5024" t="s">
        <v>1082</v>
      </c>
    </row>
    <row r="5025" spans="14:14" ht="15" customHeight="1" x14ac:dyDescent="0.25">
      <c r="N5025" t="s">
        <v>930</v>
      </c>
    </row>
    <row r="5026" spans="14:14" ht="15" customHeight="1" x14ac:dyDescent="0.25">
      <c r="N5026" t="s">
        <v>930</v>
      </c>
    </row>
    <row r="5027" spans="14:14" ht="15" customHeight="1" x14ac:dyDescent="0.25">
      <c r="N5027" t="s">
        <v>910</v>
      </c>
    </row>
    <row r="5028" spans="14:14" ht="15" customHeight="1" x14ac:dyDescent="0.25">
      <c r="N5028" t="s">
        <v>942</v>
      </c>
    </row>
    <row r="5029" spans="14:14" ht="15" customHeight="1" x14ac:dyDescent="0.25">
      <c r="N5029" t="s">
        <v>1087</v>
      </c>
    </row>
    <row r="5030" spans="14:14" ht="15" customHeight="1" x14ac:dyDescent="0.25">
      <c r="N5030" t="s">
        <v>943</v>
      </c>
    </row>
    <row r="5031" spans="14:14" ht="15" customHeight="1" x14ac:dyDescent="0.25">
      <c r="N5031" t="s">
        <v>943</v>
      </c>
    </row>
    <row r="5032" spans="14:14" ht="15" customHeight="1" x14ac:dyDescent="0.25">
      <c r="N5032" t="s">
        <v>943</v>
      </c>
    </row>
    <row r="5033" spans="14:14" ht="15" customHeight="1" x14ac:dyDescent="0.25">
      <c r="N5033" t="s">
        <v>943</v>
      </c>
    </row>
    <row r="5034" spans="14:14" ht="15" customHeight="1" x14ac:dyDescent="0.25">
      <c r="N5034" t="s">
        <v>943</v>
      </c>
    </row>
    <row r="5035" spans="14:14" ht="15" customHeight="1" x14ac:dyDescent="0.25">
      <c r="N5035" t="s">
        <v>943</v>
      </c>
    </row>
    <row r="5036" spans="14:14" ht="15" customHeight="1" x14ac:dyDescent="0.25">
      <c r="N5036" t="s">
        <v>1089</v>
      </c>
    </row>
    <row r="5037" spans="14:14" ht="15" customHeight="1" x14ac:dyDescent="0.25">
      <c r="N5037" t="s">
        <v>1090</v>
      </c>
    </row>
    <row r="5038" spans="14:14" ht="15" customHeight="1" x14ac:dyDescent="0.25">
      <c r="N5038" t="s">
        <v>1092</v>
      </c>
    </row>
    <row r="5039" spans="14:14" ht="15" customHeight="1" x14ac:dyDescent="0.25">
      <c r="N5039" t="s">
        <v>969</v>
      </c>
    </row>
    <row r="5040" spans="14:14" ht="15" customHeight="1" x14ac:dyDescent="0.25">
      <c r="N5040" t="s">
        <v>1034</v>
      </c>
    </row>
    <row r="5041" spans="14:14" ht="15" customHeight="1" x14ac:dyDescent="0.25">
      <c r="N5041" t="s">
        <v>917</v>
      </c>
    </row>
    <row r="5042" spans="14:14" ht="15" customHeight="1" x14ac:dyDescent="0.25">
      <c r="N5042" t="s">
        <v>1078</v>
      </c>
    </row>
    <row r="5043" spans="14:14" ht="15" customHeight="1" x14ac:dyDescent="0.25">
      <c r="N5043" t="s">
        <v>930</v>
      </c>
    </row>
    <row r="5044" spans="14:14" ht="15" customHeight="1" x14ac:dyDescent="0.25">
      <c r="N5044" t="s">
        <v>1100</v>
      </c>
    </row>
    <row r="5045" spans="14:14" ht="15" customHeight="1" x14ac:dyDescent="0.25">
      <c r="N5045" t="s">
        <v>914</v>
      </c>
    </row>
    <row r="5046" spans="14:14" ht="15" customHeight="1" x14ac:dyDescent="0.25">
      <c r="N5046" t="s">
        <v>1103</v>
      </c>
    </row>
    <row r="5047" spans="14:14" ht="15" customHeight="1" x14ac:dyDescent="0.25">
      <c r="N5047" t="s">
        <v>1103</v>
      </c>
    </row>
    <row r="5048" spans="14:14" ht="15" customHeight="1" x14ac:dyDescent="0.25">
      <c r="N5048" t="s">
        <v>1103</v>
      </c>
    </row>
    <row r="5049" spans="14:14" ht="15" customHeight="1" x14ac:dyDescent="0.25">
      <c r="N5049" t="s">
        <v>1072</v>
      </c>
    </row>
    <row r="5050" spans="14:14" ht="15" customHeight="1" x14ac:dyDescent="0.25">
      <c r="N5050" t="s">
        <v>1105</v>
      </c>
    </row>
    <row r="5051" spans="14:14" ht="15" customHeight="1" x14ac:dyDescent="0.25">
      <c r="N5051" t="s">
        <v>969</v>
      </c>
    </row>
    <row r="5052" spans="14:14" ht="15" customHeight="1" x14ac:dyDescent="0.25">
      <c r="N5052" t="s">
        <v>998</v>
      </c>
    </row>
    <row r="5053" spans="14:14" ht="15" customHeight="1" x14ac:dyDescent="0.25">
      <c r="N5053" t="s">
        <v>930</v>
      </c>
    </row>
    <row r="5054" spans="14:14" ht="15" customHeight="1" x14ac:dyDescent="0.25">
      <c r="N5054" t="s">
        <v>930</v>
      </c>
    </row>
    <row r="5055" spans="14:14" ht="15" customHeight="1" x14ac:dyDescent="0.25">
      <c r="N5055" t="s">
        <v>273</v>
      </c>
    </row>
    <row r="5056" spans="14:14" ht="15" customHeight="1" x14ac:dyDescent="0.25">
      <c r="N5056" t="s">
        <v>1070</v>
      </c>
    </row>
    <row r="5057" spans="14:14" ht="15" customHeight="1" x14ac:dyDescent="0.25">
      <c r="N5057" t="s">
        <v>1107</v>
      </c>
    </row>
    <row r="5058" spans="14:14" ht="15" customHeight="1" x14ac:dyDescent="0.25">
      <c r="N5058" t="s">
        <v>1107</v>
      </c>
    </row>
    <row r="5059" spans="14:14" ht="15" customHeight="1" x14ac:dyDescent="0.25">
      <c r="N5059" t="s">
        <v>717</v>
      </c>
    </row>
    <row r="5060" spans="14:14" ht="15" customHeight="1" x14ac:dyDescent="0.25">
      <c r="N5060" t="s">
        <v>717</v>
      </c>
    </row>
    <row r="5061" spans="14:14" ht="15" customHeight="1" x14ac:dyDescent="0.25">
      <c r="N5061" t="s">
        <v>717</v>
      </c>
    </row>
    <row r="5062" spans="14:14" ht="15" customHeight="1" x14ac:dyDescent="0.25">
      <c r="N5062" t="s">
        <v>909</v>
      </c>
    </row>
    <row r="5063" spans="14:14" ht="15" customHeight="1" x14ac:dyDescent="0.25">
      <c r="N5063" t="s">
        <v>231</v>
      </c>
    </row>
    <row r="5064" spans="14:14" ht="15" customHeight="1" x14ac:dyDescent="0.25">
      <c r="N5064" t="s">
        <v>1109</v>
      </c>
    </row>
    <row r="5065" spans="14:14" ht="15" customHeight="1" x14ac:dyDescent="0.25">
      <c r="N5065" t="s">
        <v>1109</v>
      </c>
    </row>
    <row r="5066" spans="14:14" ht="15" customHeight="1" x14ac:dyDescent="0.25">
      <c r="N5066" t="s">
        <v>402</v>
      </c>
    </row>
    <row r="5067" spans="14:14" ht="15" customHeight="1" x14ac:dyDescent="0.25">
      <c r="N5067" t="s">
        <v>717</v>
      </c>
    </row>
    <row r="5068" spans="14:14" ht="15" customHeight="1" x14ac:dyDescent="0.25">
      <c r="N5068" t="s">
        <v>1111</v>
      </c>
    </row>
    <row r="5069" spans="14:14" ht="15" customHeight="1" x14ac:dyDescent="0.25">
      <c r="N5069" t="s">
        <v>286</v>
      </c>
    </row>
    <row r="5070" spans="14:14" ht="15" customHeight="1" x14ac:dyDescent="0.25">
      <c r="N5070" t="s">
        <v>1005</v>
      </c>
    </row>
    <row r="5071" spans="14:14" ht="15" customHeight="1" x14ac:dyDescent="0.25">
      <c r="N5071" t="s">
        <v>254</v>
      </c>
    </row>
    <row r="5072" spans="14:14" ht="15" customHeight="1" x14ac:dyDescent="0.25">
      <c r="N5072" t="s">
        <v>254</v>
      </c>
    </row>
    <row r="5073" spans="14:14" ht="15" customHeight="1" x14ac:dyDescent="0.25">
      <c r="N5073" t="s">
        <v>249</v>
      </c>
    </row>
    <row r="5074" spans="14:14" ht="15" customHeight="1" x14ac:dyDescent="0.25">
      <c r="N5074" t="s">
        <v>1113</v>
      </c>
    </row>
    <row r="5075" spans="14:14" ht="15" customHeight="1" x14ac:dyDescent="0.25">
      <c r="N5075" t="s">
        <v>930</v>
      </c>
    </row>
    <row r="5076" spans="14:14" ht="15" customHeight="1" x14ac:dyDescent="0.25">
      <c r="N5076" t="s">
        <v>930</v>
      </c>
    </row>
    <row r="5077" spans="14:14" ht="15" customHeight="1" x14ac:dyDescent="0.25">
      <c r="N5077" t="s">
        <v>1004</v>
      </c>
    </row>
    <row r="5078" spans="14:14" ht="15" customHeight="1" x14ac:dyDescent="0.25">
      <c r="N5078" t="s">
        <v>984</v>
      </c>
    </row>
    <row r="5079" spans="14:14" ht="15" customHeight="1" x14ac:dyDescent="0.25">
      <c r="N5079" t="s">
        <v>984</v>
      </c>
    </row>
    <row r="5080" spans="14:14" ht="15" customHeight="1" x14ac:dyDescent="0.25">
      <c r="N5080" t="s">
        <v>984</v>
      </c>
    </row>
    <row r="5081" spans="14:14" ht="15" customHeight="1" x14ac:dyDescent="0.25">
      <c r="N5081" t="s">
        <v>984</v>
      </c>
    </row>
    <row r="5082" spans="14:14" ht="15" customHeight="1" x14ac:dyDescent="0.25">
      <c r="N5082" t="s">
        <v>1070</v>
      </c>
    </row>
    <row r="5083" spans="14:14" ht="15" customHeight="1" x14ac:dyDescent="0.25">
      <c r="N5083" t="s">
        <v>1070</v>
      </c>
    </row>
    <row r="5084" spans="14:14" ht="15" customHeight="1" x14ac:dyDescent="0.25">
      <c r="N5084" t="s">
        <v>1105</v>
      </c>
    </row>
    <row r="5085" spans="14:14" ht="15" customHeight="1" x14ac:dyDescent="0.25">
      <c r="N5085" t="s">
        <v>1105</v>
      </c>
    </row>
    <row r="5086" spans="14:14" ht="15" customHeight="1" x14ac:dyDescent="0.25">
      <c r="N5086" t="s">
        <v>1116</v>
      </c>
    </row>
    <row r="5087" spans="14:14" ht="15" customHeight="1" x14ac:dyDescent="0.25">
      <c r="N5087" t="s">
        <v>1116</v>
      </c>
    </row>
    <row r="5088" spans="14:14" ht="15" customHeight="1" x14ac:dyDescent="0.25">
      <c r="N5088" t="s">
        <v>1116</v>
      </c>
    </row>
    <row r="5089" spans="14:14" ht="15" customHeight="1" x14ac:dyDescent="0.25">
      <c r="N5089" t="s">
        <v>1116</v>
      </c>
    </row>
    <row r="5090" spans="14:14" ht="15" customHeight="1" x14ac:dyDescent="0.25">
      <c r="N5090" t="s">
        <v>1116</v>
      </c>
    </row>
    <row r="5091" spans="14:14" ht="15" customHeight="1" x14ac:dyDescent="0.25">
      <c r="N5091" t="s">
        <v>1116</v>
      </c>
    </row>
    <row r="5092" spans="14:14" ht="15" customHeight="1" x14ac:dyDescent="0.25">
      <c r="N5092" t="s">
        <v>1116</v>
      </c>
    </row>
    <row r="5093" spans="14:14" ht="15" customHeight="1" x14ac:dyDescent="0.25">
      <c r="N5093" t="s">
        <v>1116</v>
      </c>
    </row>
    <row r="5094" spans="14:14" ht="15" customHeight="1" x14ac:dyDescent="0.25">
      <c r="N5094" t="s">
        <v>1118</v>
      </c>
    </row>
    <row r="5095" spans="14:14" ht="15" customHeight="1" x14ac:dyDescent="0.25">
      <c r="N5095" t="s">
        <v>914</v>
      </c>
    </row>
    <row r="5096" spans="14:14" ht="15" customHeight="1" x14ac:dyDescent="0.25">
      <c r="N5096" t="s">
        <v>930</v>
      </c>
    </row>
    <row r="5097" spans="14:14" ht="15" customHeight="1" x14ac:dyDescent="0.25">
      <c r="N5097" t="s">
        <v>930</v>
      </c>
    </row>
    <row r="5098" spans="14:14" ht="15" customHeight="1" x14ac:dyDescent="0.25">
      <c r="N5098" t="s">
        <v>930</v>
      </c>
    </row>
    <row r="5099" spans="14:14" ht="15" customHeight="1" x14ac:dyDescent="0.25">
      <c r="N5099" t="s">
        <v>910</v>
      </c>
    </row>
    <row r="5100" spans="14:14" ht="15" customHeight="1" x14ac:dyDescent="0.25">
      <c r="N5100" t="s">
        <v>1004</v>
      </c>
    </row>
    <row r="5101" spans="14:14" ht="15" customHeight="1" x14ac:dyDescent="0.25">
      <c r="N5101" t="s">
        <v>1004</v>
      </c>
    </row>
    <row r="5102" spans="14:14" ht="15" customHeight="1" x14ac:dyDescent="0.25">
      <c r="N5102" t="s">
        <v>901</v>
      </c>
    </row>
    <row r="5103" spans="14:14" ht="15" customHeight="1" x14ac:dyDescent="0.25">
      <c r="N5103" t="s">
        <v>1124</v>
      </c>
    </row>
    <row r="5104" spans="14:14" ht="15" customHeight="1" x14ac:dyDescent="0.25">
      <c r="N5104" t="s">
        <v>1100</v>
      </c>
    </row>
    <row r="5105" spans="14:14" ht="15" customHeight="1" x14ac:dyDescent="0.25">
      <c r="N5105" t="s">
        <v>1068</v>
      </c>
    </row>
    <row r="5106" spans="14:14" ht="15" customHeight="1" x14ac:dyDescent="0.25">
      <c r="N5106" t="s">
        <v>1000</v>
      </c>
    </row>
    <row r="5107" spans="14:14" ht="15" customHeight="1" x14ac:dyDescent="0.25">
      <c r="N5107" t="s">
        <v>1044</v>
      </c>
    </row>
    <row r="5108" spans="14:14" ht="15" customHeight="1" x14ac:dyDescent="0.25">
      <c r="N5108" t="s">
        <v>930</v>
      </c>
    </row>
    <row r="5109" spans="14:14" ht="15" customHeight="1" x14ac:dyDescent="0.25">
      <c r="N5109" t="s">
        <v>930</v>
      </c>
    </row>
    <row r="5110" spans="14:14" ht="15" customHeight="1" x14ac:dyDescent="0.25">
      <c r="N5110" t="s">
        <v>989</v>
      </c>
    </row>
    <row r="5111" spans="14:14" ht="15" customHeight="1" x14ac:dyDescent="0.25">
      <c r="N5111" t="s">
        <v>1004</v>
      </c>
    </row>
    <row r="5112" spans="14:14" ht="15" customHeight="1" x14ac:dyDescent="0.25">
      <c r="N5112" t="s">
        <v>958</v>
      </c>
    </row>
    <row r="5113" spans="14:14" ht="15" customHeight="1" x14ac:dyDescent="0.25">
      <c r="N5113" t="s">
        <v>1087</v>
      </c>
    </row>
    <row r="5114" spans="14:14" ht="15" customHeight="1" x14ac:dyDescent="0.25">
      <c r="N5114" t="s">
        <v>1131</v>
      </c>
    </row>
    <row r="5115" spans="14:14" ht="15" customHeight="1" x14ac:dyDescent="0.25">
      <c r="N5115" t="s">
        <v>1131</v>
      </c>
    </row>
    <row r="5116" spans="14:14" ht="15" customHeight="1" x14ac:dyDescent="0.25">
      <c r="N5116" t="s">
        <v>1131</v>
      </c>
    </row>
    <row r="5117" spans="14:14" ht="15" customHeight="1" x14ac:dyDescent="0.25">
      <c r="N5117" t="s">
        <v>1131</v>
      </c>
    </row>
    <row r="5118" spans="14:14" ht="15" customHeight="1" x14ac:dyDescent="0.25">
      <c r="N5118" t="s">
        <v>1131</v>
      </c>
    </row>
    <row r="5119" spans="14:14" ht="15" customHeight="1" x14ac:dyDescent="0.25">
      <c r="N5119" t="s">
        <v>1131</v>
      </c>
    </row>
    <row r="5120" spans="14:14" ht="15" customHeight="1" x14ac:dyDescent="0.25">
      <c r="N5120" t="s">
        <v>1004</v>
      </c>
    </row>
    <row r="5121" spans="14:14" ht="15" customHeight="1" x14ac:dyDescent="0.25">
      <c r="N5121" t="s">
        <v>1005</v>
      </c>
    </row>
    <row r="5122" spans="14:14" ht="15" customHeight="1" x14ac:dyDescent="0.25">
      <c r="N5122" t="s">
        <v>1078</v>
      </c>
    </row>
    <row r="5123" spans="14:14" ht="15" customHeight="1" x14ac:dyDescent="0.25">
      <c r="N5123" t="s">
        <v>969</v>
      </c>
    </row>
    <row r="5124" spans="14:14" ht="15" customHeight="1" x14ac:dyDescent="0.25">
      <c r="N5124" t="s">
        <v>1011</v>
      </c>
    </row>
    <row r="5125" spans="14:14" ht="15" customHeight="1" x14ac:dyDescent="0.25">
      <c r="N5125" t="s">
        <v>1078</v>
      </c>
    </row>
    <row r="5126" spans="14:14" ht="15" customHeight="1" x14ac:dyDescent="0.25">
      <c r="N5126" t="s">
        <v>1004</v>
      </c>
    </row>
    <row r="5127" spans="14:14" ht="15" customHeight="1" x14ac:dyDescent="0.25">
      <c r="N5127" t="s">
        <v>988</v>
      </c>
    </row>
    <row r="5128" spans="14:14" ht="15" customHeight="1" x14ac:dyDescent="0.25">
      <c r="N5128" t="s">
        <v>1078</v>
      </c>
    </row>
    <row r="5129" spans="14:14" ht="15" customHeight="1" x14ac:dyDescent="0.25">
      <c r="N5129" t="s">
        <v>1141</v>
      </c>
    </row>
    <row r="5130" spans="14:14" ht="15" customHeight="1" x14ac:dyDescent="0.25">
      <c r="N5130" t="s">
        <v>1141</v>
      </c>
    </row>
    <row r="5131" spans="14:14" ht="15" customHeight="1" x14ac:dyDescent="0.25">
      <c r="N5131" t="s">
        <v>1141</v>
      </c>
    </row>
    <row r="5132" spans="14:14" ht="15" customHeight="1" x14ac:dyDescent="0.25">
      <c r="N5132" t="s">
        <v>1116</v>
      </c>
    </row>
    <row r="5133" spans="14:14" ht="15" customHeight="1" x14ac:dyDescent="0.25">
      <c r="N5133" t="s">
        <v>1144</v>
      </c>
    </row>
    <row r="5134" spans="14:14" ht="15" customHeight="1" x14ac:dyDescent="0.25">
      <c r="N5134" t="s">
        <v>1145</v>
      </c>
    </row>
    <row r="5135" spans="14:14" ht="15" customHeight="1" x14ac:dyDescent="0.25">
      <c r="N5135" t="s">
        <v>930</v>
      </c>
    </row>
    <row r="5136" spans="14:14" ht="15" customHeight="1" x14ac:dyDescent="0.25">
      <c r="N5136" t="s">
        <v>930</v>
      </c>
    </row>
    <row r="5137" spans="14:14" ht="15" customHeight="1" x14ac:dyDescent="0.25">
      <c r="N5137" t="s">
        <v>273</v>
      </c>
    </row>
    <row r="5138" spans="14:14" ht="15" customHeight="1" x14ac:dyDescent="0.25">
      <c r="N5138" t="s">
        <v>1070</v>
      </c>
    </row>
    <row r="5139" spans="14:14" ht="15" customHeight="1" x14ac:dyDescent="0.25">
      <c r="N5139" t="s">
        <v>980</v>
      </c>
    </row>
    <row r="5140" spans="14:14" ht="15" customHeight="1" x14ac:dyDescent="0.25">
      <c r="N5140" t="s">
        <v>980</v>
      </c>
    </row>
    <row r="5141" spans="14:14" ht="15" customHeight="1" x14ac:dyDescent="0.25">
      <c r="N5141" t="s">
        <v>1150</v>
      </c>
    </row>
    <row r="5142" spans="14:14" ht="15" customHeight="1" x14ac:dyDescent="0.25">
      <c r="N5142" t="s">
        <v>1109</v>
      </c>
    </row>
    <row r="5143" spans="14:14" ht="15" customHeight="1" x14ac:dyDescent="0.25">
      <c r="N5143" t="s">
        <v>1005</v>
      </c>
    </row>
    <row r="5144" spans="14:14" ht="15" customHeight="1" x14ac:dyDescent="0.25">
      <c r="N5144" t="s">
        <v>1005</v>
      </c>
    </row>
    <row r="5145" spans="14:14" ht="15" customHeight="1" x14ac:dyDescent="0.25">
      <c r="N5145" t="s">
        <v>1005</v>
      </c>
    </row>
    <row r="5146" spans="14:14" ht="15" customHeight="1" x14ac:dyDescent="0.25">
      <c r="N5146" t="s">
        <v>1109</v>
      </c>
    </row>
    <row r="5147" spans="14:14" ht="15" customHeight="1" x14ac:dyDescent="0.25">
      <c r="N5147" t="s">
        <v>1109</v>
      </c>
    </row>
    <row r="5148" spans="14:14" ht="15" customHeight="1" x14ac:dyDescent="0.25">
      <c r="N5148" t="s">
        <v>273</v>
      </c>
    </row>
    <row r="5149" spans="14:14" ht="15" customHeight="1" x14ac:dyDescent="0.25">
      <c r="N5149" t="s">
        <v>1152</v>
      </c>
    </row>
    <row r="5150" spans="14:14" ht="15" customHeight="1" x14ac:dyDescent="0.25">
      <c r="N5150" t="s">
        <v>286</v>
      </c>
    </row>
    <row r="5151" spans="14:14" ht="15" customHeight="1" x14ac:dyDescent="0.25">
      <c r="N5151" t="s">
        <v>1005</v>
      </c>
    </row>
    <row r="5152" spans="14:14" ht="15" customHeight="1" x14ac:dyDescent="0.25">
      <c r="N5152" t="s">
        <v>1153</v>
      </c>
    </row>
    <row r="5153" spans="14:14" ht="15" customHeight="1" x14ac:dyDescent="0.25">
      <c r="N5153" t="s">
        <v>1153</v>
      </c>
    </row>
    <row r="5154" spans="14:14" ht="15" customHeight="1" x14ac:dyDescent="0.25">
      <c r="N5154" t="s">
        <v>1155</v>
      </c>
    </row>
    <row r="5155" spans="14:14" ht="15" customHeight="1" x14ac:dyDescent="0.25">
      <c r="N5155" t="s">
        <v>319</v>
      </c>
    </row>
    <row r="5156" spans="14:14" ht="15" customHeight="1" x14ac:dyDescent="0.25">
      <c r="N5156" t="s">
        <v>895</v>
      </c>
    </row>
    <row r="5157" spans="14:14" ht="15" customHeight="1" x14ac:dyDescent="0.25">
      <c r="N5157" t="s">
        <v>1156</v>
      </c>
    </row>
    <row r="5158" spans="14:14" ht="15" customHeight="1" x14ac:dyDescent="0.25">
      <c r="N5158" t="s">
        <v>1156</v>
      </c>
    </row>
    <row r="5159" spans="14:14" ht="15" customHeight="1" x14ac:dyDescent="0.25">
      <c r="N5159" t="s">
        <v>1004</v>
      </c>
    </row>
    <row r="5160" spans="14:14" ht="15" customHeight="1" x14ac:dyDescent="0.25">
      <c r="N5160" t="s">
        <v>898</v>
      </c>
    </row>
    <row r="5161" spans="14:14" ht="15" customHeight="1" x14ac:dyDescent="0.25">
      <c r="N5161" t="s">
        <v>898</v>
      </c>
    </row>
    <row r="5162" spans="14:14" ht="15" customHeight="1" x14ac:dyDescent="0.25">
      <c r="N5162" t="s">
        <v>1158</v>
      </c>
    </row>
    <row r="5163" spans="14:14" ht="15" customHeight="1" x14ac:dyDescent="0.25">
      <c r="N5163" t="s">
        <v>984</v>
      </c>
    </row>
    <row r="5164" spans="14:14" ht="15" customHeight="1" x14ac:dyDescent="0.25">
      <c r="N5164" t="s">
        <v>984</v>
      </c>
    </row>
    <row r="5165" spans="14:14" ht="15" customHeight="1" x14ac:dyDescent="0.25">
      <c r="N5165" t="s">
        <v>984</v>
      </c>
    </row>
    <row r="5166" spans="14:14" ht="15" customHeight="1" x14ac:dyDescent="0.25">
      <c r="N5166" t="s">
        <v>984</v>
      </c>
    </row>
    <row r="5167" spans="14:14" ht="15" customHeight="1" x14ac:dyDescent="0.25">
      <c r="N5167" t="s">
        <v>930</v>
      </c>
    </row>
    <row r="5168" spans="14:14" ht="15" customHeight="1" x14ac:dyDescent="0.25">
      <c r="N5168" t="s">
        <v>971</v>
      </c>
    </row>
    <row r="5169" spans="14:14" ht="15" customHeight="1" x14ac:dyDescent="0.25">
      <c r="N5169" t="s">
        <v>971</v>
      </c>
    </row>
    <row r="5170" spans="14:14" ht="15" customHeight="1" x14ac:dyDescent="0.25">
      <c r="N5170" t="s">
        <v>930</v>
      </c>
    </row>
    <row r="5171" spans="14:14" ht="15" customHeight="1" x14ac:dyDescent="0.25">
      <c r="N5171" t="s">
        <v>930</v>
      </c>
    </row>
    <row r="5172" spans="14:14" ht="15" customHeight="1" x14ac:dyDescent="0.25">
      <c r="N5172" t="s">
        <v>1072</v>
      </c>
    </row>
    <row r="5173" spans="14:14" ht="15" customHeight="1" x14ac:dyDescent="0.25">
      <c r="N5173" t="s">
        <v>1072</v>
      </c>
    </row>
    <row r="5174" spans="14:14" ht="15" customHeight="1" x14ac:dyDescent="0.25">
      <c r="N5174" t="s">
        <v>1072</v>
      </c>
    </row>
    <row r="5175" spans="14:14" ht="15" customHeight="1" x14ac:dyDescent="0.25">
      <c r="N5175" t="s">
        <v>1072</v>
      </c>
    </row>
    <row r="5176" spans="14:14" ht="15" customHeight="1" x14ac:dyDescent="0.25">
      <c r="N5176" t="s">
        <v>1072</v>
      </c>
    </row>
    <row r="5177" spans="14:14" ht="15" customHeight="1" x14ac:dyDescent="0.25">
      <c r="N5177" t="s">
        <v>1072</v>
      </c>
    </row>
    <row r="5178" spans="14:14" ht="15" customHeight="1" x14ac:dyDescent="0.25">
      <c r="N5178" t="s">
        <v>1072</v>
      </c>
    </row>
    <row r="5179" spans="14:14" ht="15" customHeight="1" x14ac:dyDescent="0.25">
      <c r="N5179" t="s">
        <v>1072</v>
      </c>
    </row>
    <row r="5180" spans="14:14" ht="15" customHeight="1" x14ac:dyDescent="0.25">
      <c r="N5180" t="s">
        <v>1135</v>
      </c>
    </row>
    <row r="5181" spans="14:14" ht="15" customHeight="1" x14ac:dyDescent="0.25">
      <c r="N5181" t="s">
        <v>1083</v>
      </c>
    </row>
    <row r="5182" spans="14:14" ht="15" customHeight="1" x14ac:dyDescent="0.25">
      <c r="N5182" t="s">
        <v>1068</v>
      </c>
    </row>
    <row r="5183" spans="14:14" ht="15" customHeight="1" x14ac:dyDescent="0.25">
      <c r="N5183" t="s">
        <v>1068</v>
      </c>
    </row>
    <row r="5184" spans="14:14" ht="15" customHeight="1" x14ac:dyDescent="0.25">
      <c r="N5184" t="s">
        <v>1068</v>
      </c>
    </row>
    <row r="5185" spans="14:14" ht="15" customHeight="1" x14ac:dyDescent="0.25">
      <c r="N5185" t="s">
        <v>910</v>
      </c>
    </row>
    <row r="5186" spans="14:14" ht="15" customHeight="1" x14ac:dyDescent="0.25">
      <c r="N5186" t="s">
        <v>1087</v>
      </c>
    </row>
    <row r="5187" spans="14:14" ht="15" customHeight="1" x14ac:dyDescent="0.25">
      <c r="N5187" t="s">
        <v>1087</v>
      </c>
    </row>
    <row r="5188" spans="14:14" ht="15" customHeight="1" x14ac:dyDescent="0.25">
      <c r="N5188" t="s">
        <v>1168</v>
      </c>
    </row>
    <row r="5189" spans="14:14" ht="15" customHeight="1" x14ac:dyDescent="0.25">
      <c r="N5189" t="s">
        <v>910</v>
      </c>
    </row>
    <row r="5190" spans="14:14" ht="15" customHeight="1" x14ac:dyDescent="0.25">
      <c r="N5190" t="s">
        <v>1004</v>
      </c>
    </row>
    <row r="5191" spans="14:14" ht="15" customHeight="1" x14ac:dyDescent="0.25">
      <c r="N5191" t="s">
        <v>910</v>
      </c>
    </row>
    <row r="5192" spans="14:14" ht="15" customHeight="1" x14ac:dyDescent="0.25">
      <c r="N5192" t="s">
        <v>1000</v>
      </c>
    </row>
    <row r="5193" spans="14:14" ht="15" customHeight="1" x14ac:dyDescent="0.25">
      <c r="N5193" t="s">
        <v>1085</v>
      </c>
    </row>
    <row r="5194" spans="14:14" ht="15" customHeight="1" x14ac:dyDescent="0.25">
      <c r="N5194" t="s">
        <v>1085</v>
      </c>
    </row>
    <row r="5195" spans="14:14" ht="15" customHeight="1" x14ac:dyDescent="0.25">
      <c r="N5195" t="s">
        <v>1004</v>
      </c>
    </row>
    <row r="5196" spans="14:14" ht="15" customHeight="1" x14ac:dyDescent="0.25">
      <c r="N5196" t="s">
        <v>1107</v>
      </c>
    </row>
    <row r="5197" spans="14:14" ht="15" customHeight="1" x14ac:dyDescent="0.25">
      <c r="N5197" t="s">
        <v>1131</v>
      </c>
    </row>
    <row r="5198" spans="14:14" ht="15" customHeight="1" x14ac:dyDescent="0.25">
      <c r="N5198" t="s">
        <v>1131</v>
      </c>
    </row>
    <row r="5199" spans="14:14" ht="15" customHeight="1" x14ac:dyDescent="0.25">
      <c r="N5199" t="s">
        <v>1131</v>
      </c>
    </row>
    <row r="5200" spans="14:14" ht="15" customHeight="1" x14ac:dyDescent="0.25">
      <c r="N5200" t="s">
        <v>1131</v>
      </c>
    </row>
    <row r="5201" spans="14:14" ht="15" customHeight="1" x14ac:dyDescent="0.25">
      <c r="N5201" t="s">
        <v>1131</v>
      </c>
    </row>
    <row r="5202" spans="14:14" ht="15" customHeight="1" x14ac:dyDescent="0.25">
      <c r="N5202" t="s">
        <v>1131</v>
      </c>
    </row>
    <row r="5203" spans="14:14" ht="15" customHeight="1" x14ac:dyDescent="0.25">
      <c r="N5203" t="s">
        <v>1004</v>
      </c>
    </row>
    <row r="5204" spans="14:14" ht="15" customHeight="1" x14ac:dyDescent="0.25">
      <c r="N5204" t="s">
        <v>1005</v>
      </c>
    </row>
    <row r="5205" spans="14:14" ht="15" customHeight="1" x14ac:dyDescent="0.25">
      <c r="N5205" t="s">
        <v>1172</v>
      </c>
    </row>
    <row r="5206" spans="14:14" ht="15" customHeight="1" x14ac:dyDescent="0.25">
      <c r="N5206" t="s">
        <v>1011</v>
      </c>
    </row>
    <row r="5207" spans="14:14" ht="15" customHeight="1" x14ac:dyDescent="0.25">
      <c r="N5207" t="s">
        <v>1004</v>
      </c>
    </row>
    <row r="5208" spans="14:14" ht="15" customHeight="1" x14ac:dyDescent="0.25">
      <c r="N5208" t="s">
        <v>985</v>
      </c>
    </row>
    <row r="5209" spans="14:14" ht="15" customHeight="1" x14ac:dyDescent="0.25">
      <c r="N5209" t="s">
        <v>1078</v>
      </c>
    </row>
    <row r="5210" spans="14:14" ht="15" customHeight="1" x14ac:dyDescent="0.25">
      <c r="N5210" t="s">
        <v>985</v>
      </c>
    </row>
    <row r="5211" spans="14:14" ht="15" customHeight="1" x14ac:dyDescent="0.25">
      <c r="N5211" t="s">
        <v>985</v>
      </c>
    </row>
    <row r="5212" spans="14:14" ht="15" customHeight="1" x14ac:dyDescent="0.25">
      <c r="N5212" t="s">
        <v>985</v>
      </c>
    </row>
    <row r="5213" spans="14:14" ht="15" customHeight="1" x14ac:dyDescent="0.25">
      <c r="N5213" t="s">
        <v>1178</v>
      </c>
    </row>
    <row r="5214" spans="14:14" ht="15" customHeight="1" x14ac:dyDescent="0.25">
      <c r="N5214" t="s">
        <v>1179</v>
      </c>
    </row>
    <row r="5215" spans="14:14" ht="15" customHeight="1" x14ac:dyDescent="0.25">
      <c r="N5215" t="s">
        <v>1145</v>
      </c>
    </row>
    <row r="5216" spans="14:14" ht="15" customHeight="1" x14ac:dyDescent="0.25">
      <c r="N5216" t="s">
        <v>930</v>
      </c>
    </row>
    <row r="5217" spans="14:14" ht="15" customHeight="1" x14ac:dyDescent="0.25">
      <c r="N5217" t="s">
        <v>930</v>
      </c>
    </row>
    <row r="5218" spans="14:14" ht="15" customHeight="1" x14ac:dyDescent="0.25">
      <c r="N5218" t="s">
        <v>273</v>
      </c>
    </row>
    <row r="5219" spans="14:14" ht="15" customHeight="1" x14ac:dyDescent="0.25">
      <c r="N5219" t="s">
        <v>1004</v>
      </c>
    </row>
    <row r="5220" spans="14:14" ht="15" customHeight="1" x14ac:dyDescent="0.25">
      <c r="N5220" t="s">
        <v>1183</v>
      </c>
    </row>
    <row r="5221" spans="14:14" ht="15" customHeight="1" x14ac:dyDescent="0.25">
      <c r="N5221" t="s">
        <v>1183</v>
      </c>
    </row>
    <row r="5222" spans="14:14" ht="15" customHeight="1" x14ac:dyDescent="0.25">
      <c r="N5222" t="s">
        <v>1150</v>
      </c>
    </row>
    <row r="5223" spans="14:14" ht="15" customHeight="1" x14ac:dyDescent="0.25">
      <c r="N5223" t="s">
        <v>1109</v>
      </c>
    </row>
    <row r="5224" spans="14:14" ht="15" customHeight="1" x14ac:dyDescent="0.25">
      <c r="N5224" t="s">
        <v>1005</v>
      </c>
    </row>
    <row r="5225" spans="14:14" ht="15" customHeight="1" x14ac:dyDescent="0.25">
      <c r="N5225" t="s">
        <v>1005</v>
      </c>
    </row>
    <row r="5226" spans="14:14" ht="15" customHeight="1" x14ac:dyDescent="0.25">
      <c r="N5226" t="s">
        <v>1005</v>
      </c>
    </row>
    <row r="5227" spans="14:14" ht="15" customHeight="1" x14ac:dyDescent="0.25">
      <c r="N5227" t="s">
        <v>273</v>
      </c>
    </row>
    <row r="5228" spans="14:14" ht="15" customHeight="1" x14ac:dyDescent="0.25">
      <c r="N5228" t="s">
        <v>273</v>
      </c>
    </row>
    <row r="5229" spans="14:14" ht="15" customHeight="1" x14ac:dyDescent="0.25">
      <c r="N5229" t="s">
        <v>273</v>
      </c>
    </row>
    <row r="5230" spans="14:14" ht="15" customHeight="1" x14ac:dyDescent="0.25">
      <c r="N5230" t="s">
        <v>273</v>
      </c>
    </row>
    <row r="5231" spans="14:14" ht="15" customHeight="1" x14ac:dyDescent="0.25">
      <c r="N5231" t="s">
        <v>273</v>
      </c>
    </row>
    <row r="5232" spans="14:14" ht="15" customHeight="1" x14ac:dyDescent="0.25">
      <c r="N5232" t="s">
        <v>1062</v>
      </c>
    </row>
    <row r="5233" spans="14:14" ht="15" customHeight="1" x14ac:dyDescent="0.25">
      <c r="N5233" t="s">
        <v>1062</v>
      </c>
    </row>
    <row r="5234" spans="14:14" ht="15" customHeight="1" x14ac:dyDescent="0.25">
      <c r="N5234" t="s">
        <v>1062</v>
      </c>
    </row>
    <row r="5235" spans="14:14" ht="15" customHeight="1" x14ac:dyDescent="0.25">
      <c r="N5235" t="s">
        <v>1062</v>
      </c>
    </row>
    <row r="5236" spans="14:14" ht="15" customHeight="1" x14ac:dyDescent="0.25">
      <c r="N5236" t="s">
        <v>976</v>
      </c>
    </row>
    <row r="5237" spans="14:14" ht="15" customHeight="1" x14ac:dyDescent="0.25">
      <c r="N5237" t="s">
        <v>976</v>
      </c>
    </row>
    <row r="5238" spans="14:14" ht="15" customHeight="1" x14ac:dyDescent="0.25">
      <c r="N5238" t="s">
        <v>976</v>
      </c>
    </row>
    <row r="5239" spans="14:14" ht="15" customHeight="1" x14ac:dyDescent="0.25">
      <c r="N5239" t="s">
        <v>1005</v>
      </c>
    </row>
    <row r="5240" spans="14:14" ht="15" customHeight="1" x14ac:dyDescent="0.25">
      <c r="N5240" t="s">
        <v>273</v>
      </c>
    </row>
    <row r="5241" spans="14:14" ht="15" customHeight="1" x14ac:dyDescent="0.25">
      <c r="N5241" t="s">
        <v>1005</v>
      </c>
    </row>
    <row r="5242" spans="14:14" ht="15" customHeight="1" x14ac:dyDescent="0.25">
      <c r="N5242" t="s">
        <v>1179</v>
      </c>
    </row>
    <row r="5243" spans="14:14" ht="15" customHeight="1" x14ac:dyDescent="0.25">
      <c r="N5243" t="s">
        <v>1068</v>
      </c>
    </row>
    <row r="5244" spans="14:14" ht="15" customHeight="1" x14ac:dyDescent="0.25">
      <c r="N5244" t="s">
        <v>1068</v>
      </c>
    </row>
    <row r="5245" spans="14:14" ht="15" customHeight="1" x14ac:dyDescent="0.25">
      <c r="N5245" t="s">
        <v>1087</v>
      </c>
    </row>
    <row r="5246" spans="14:14" ht="15" customHeight="1" x14ac:dyDescent="0.25">
      <c r="N5246" t="s">
        <v>985</v>
      </c>
    </row>
    <row r="5247" spans="14:14" ht="15" customHeight="1" x14ac:dyDescent="0.25">
      <c r="N5247" t="s">
        <v>985</v>
      </c>
    </row>
    <row r="5248" spans="14:14" ht="15" customHeight="1" x14ac:dyDescent="0.25">
      <c r="N5248" t="s">
        <v>985</v>
      </c>
    </row>
    <row r="5249" spans="14:14" ht="15" customHeight="1" x14ac:dyDescent="0.25">
      <c r="N5249" t="s">
        <v>985</v>
      </c>
    </row>
    <row r="5250" spans="14:14" ht="15" customHeight="1" x14ac:dyDescent="0.25">
      <c r="N5250" t="s">
        <v>1068</v>
      </c>
    </row>
    <row r="5251" spans="14:14" ht="15" customHeight="1" x14ac:dyDescent="0.25">
      <c r="N5251" t="s">
        <v>1070</v>
      </c>
    </row>
    <row r="5252" spans="14:14" ht="15" customHeight="1" x14ac:dyDescent="0.25">
      <c r="N5252" t="s">
        <v>1070</v>
      </c>
    </row>
    <row r="5253" spans="14:14" ht="15" customHeight="1" x14ac:dyDescent="0.25">
      <c r="N5253" t="s">
        <v>1187</v>
      </c>
    </row>
    <row r="5254" spans="14:14" ht="15" customHeight="1" x14ac:dyDescent="0.25">
      <c r="N5254" t="s">
        <v>1187</v>
      </c>
    </row>
    <row r="5255" spans="14:14" ht="15" customHeight="1" x14ac:dyDescent="0.25">
      <c r="N5255" t="s">
        <v>1105</v>
      </c>
    </row>
    <row r="5256" spans="14:14" ht="15" customHeight="1" x14ac:dyDescent="0.25">
      <c r="N5256" t="s">
        <v>1105</v>
      </c>
    </row>
    <row r="5257" spans="14:14" ht="15" customHeight="1" x14ac:dyDescent="0.25">
      <c r="N5257" t="s">
        <v>1105</v>
      </c>
    </row>
    <row r="5258" spans="14:14" ht="15" customHeight="1" x14ac:dyDescent="0.25">
      <c r="N5258" t="s">
        <v>1105</v>
      </c>
    </row>
    <row r="5259" spans="14:14" ht="15" customHeight="1" x14ac:dyDescent="0.25">
      <c r="N5259" t="s">
        <v>1105</v>
      </c>
    </row>
    <row r="5260" spans="14:14" ht="15" customHeight="1" x14ac:dyDescent="0.25">
      <c r="N5260" t="s">
        <v>1105</v>
      </c>
    </row>
    <row r="5261" spans="14:14" ht="15" customHeight="1" x14ac:dyDescent="0.25">
      <c r="N5261" t="s">
        <v>1105</v>
      </c>
    </row>
    <row r="5262" spans="14:14" ht="15" customHeight="1" x14ac:dyDescent="0.25">
      <c r="N5262" t="s">
        <v>1105</v>
      </c>
    </row>
    <row r="5263" spans="14:14" ht="15" customHeight="1" x14ac:dyDescent="0.25">
      <c r="N5263" t="s">
        <v>980</v>
      </c>
    </row>
    <row r="5264" spans="14:14" ht="15" customHeight="1" x14ac:dyDescent="0.25">
      <c r="N5264" t="s">
        <v>985</v>
      </c>
    </row>
    <row r="5265" spans="14:14" ht="15" customHeight="1" x14ac:dyDescent="0.25">
      <c r="N5265" t="s">
        <v>930</v>
      </c>
    </row>
    <row r="5266" spans="14:14" ht="15" customHeight="1" x14ac:dyDescent="0.25">
      <c r="N5266" t="s">
        <v>930</v>
      </c>
    </row>
    <row r="5267" spans="14:14" ht="15" customHeight="1" x14ac:dyDescent="0.25">
      <c r="N5267" t="s">
        <v>989</v>
      </c>
    </row>
    <row r="5268" spans="14:14" ht="15" customHeight="1" x14ac:dyDescent="0.25">
      <c r="N5268" t="s">
        <v>1087</v>
      </c>
    </row>
    <row r="5269" spans="14:14" ht="15" customHeight="1" x14ac:dyDescent="0.25">
      <c r="N5269" t="s">
        <v>1087</v>
      </c>
    </row>
    <row r="5270" spans="14:14" ht="15" customHeight="1" x14ac:dyDescent="0.25">
      <c r="N5270" t="s">
        <v>1004</v>
      </c>
    </row>
    <row r="5271" spans="14:14" ht="15" customHeight="1" x14ac:dyDescent="0.25">
      <c r="N5271" t="s">
        <v>1193</v>
      </c>
    </row>
    <row r="5272" spans="14:14" ht="15" customHeight="1" x14ac:dyDescent="0.25">
      <c r="N5272" t="s">
        <v>910</v>
      </c>
    </row>
    <row r="5273" spans="14:14" ht="15" customHeight="1" x14ac:dyDescent="0.25">
      <c r="N5273" t="s">
        <v>1085</v>
      </c>
    </row>
    <row r="5274" spans="14:14" ht="15" customHeight="1" x14ac:dyDescent="0.25">
      <c r="N5274" t="s">
        <v>1085</v>
      </c>
    </row>
    <row r="5275" spans="14:14" ht="15" customHeight="1" x14ac:dyDescent="0.25">
      <c r="N5275" t="s">
        <v>930</v>
      </c>
    </row>
    <row r="5276" spans="14:14" ht="15" customHeight="1" x14ac:dyDescent="0.25">
      <c r="N5276" t="s">
        <v>942</v>
      </c>
    </row>
    <row r="5277" spans="14:14" ht="15" customHeight="1" x14ac:dyDescent="0.25">
      <c r="N5277" t="s">
        <v>1145</v>
      </c>
    </row>
    <row r="5278" spans="14:14" ht="15" customHeight="1" x14ac:dyDescent="0.25">
      <c r="N5278" t="s">
        <v>1145</v>
      </c>
    </row>
    <row r="5279" spans="14:14" ht="15" customHeight="1" x14ac:dyDescent="0.25">
      <c r="N5279" t="s">
        <v>1145</v>
      </c>
    </row>
    <row r="5280" spans="14:14" ht="15" customHeight="1" x14ac:dyDescent="0.25">
      <c r="N5280" t="s">
        <v>1145</v>
      </c>
    </row>
    <row r="5281" spans="14:14" ht="15" customHeight="1" x14ac:dyDescent="0.25">
      <c r="N5281" t="s">
        <v>1145</v>
      </c>
    </row>
    <row r="5282" spans="14:14" ht="15" customHeight="1" x14ac:dyDescent="0.25">
      <c r="N5282" t="s">
        <v>1145</v>
      </c>
    </row>
    <row r="5283" spans="14:14" ht="15" customHeight="1" x14ac:dyDescent="0.25">
      <c r="N5283" t="s">
        <v>1197</v>
      </c>
    </row>
    <row r="5284" spans="14:14" ht="15" customHeight="1" x14ac:dyDescent="0.25">
      <c r="N5284" t="s">
        <v>1198</v>
      </c>
    </row>
    <row r="5285" spans="14:14" ht="15" customHeight="1" x14ac:dyDescent="0.25">
      <c r="N5285" t="s">
        <v>1172</v>
      </c>
    </row>
    <row r="5286" spans="14:14" ht="15" customHeight="1" x14ac:dyDescent="0.25">
      <c r="N5286" t="s">
        <v>1200</v>
      </c>
    </row>
    <row r="5287" spans="14:14" ht="15" customHeight="1" x14ac:dyDescent="0.25">
      <c r="N5287" t="s">
        <v>1201</v>
      </c>
    </row>
    <row r="5288" spans="14:14" ht="15" customHeight="1" x14ac:dyDescent="0.25">
      <c r="N5288" t="s">
        <v>1203</v>
      </c>
    </row>
    <row r="5289" spans="14:14" ht="15" customHeight="1" x14ac:dyDescent="0.25">
      <c r="N5289" t="s">
        <v>1004</v>
      </c>
    </row>
    <row r="5290" spans="14:14" ht="15" customHeight="1" x14ac:dyDescent="0.25">
      <c r="N5290" t="s">
        <v>1204</v>
      </c>
    </row>
    <row r="5291" spans="14:14" ht="15" customHeight="1" x14ac:dyDescent="0.25">
      <c r="N5291" t="s">
        <v>1204</v>
      </c>
    </row>
    <row r="5292" spans="14:14" ht="15" customHeight="1" x14ac:dyDescent="0.25">
      <c r="N5292" t="s">
        <v>1204</v>
      </c>
    </row>
    <row r="5293" spans="14:14" ht="15" customHeight="1" x14ac:dyDescent="0.25">
      <c r="N5293" t="s">
        <v>1145</v>
      </c>
    </row>
    <row r="5294" spans="14:14" ht="15" customHeight="1" x14ac:dyDescent="0.25">
      <c r="N5294" t="s">
        <v>1004</v>
      </c>
    </row>
    <row r="5295" spans="14:14" ht="15" customHeight="1" x14ac:dyDescent="0.25">
      <c r="N5295" t="s">
        <v>1004</v>
      </c>
    </row>
    <row r="5296" spans="14:14" ht="15" customHeight="1" x14ac:dyDescent="0.25">
      <c r="N5296" t="s">
        <v>1005</v>
      </c>
    </row>
    <row r="5297" spans="14:14" ht="15" customHeight="1" x14ac:dyDescent="0.25">
      <c r="N5297" t="s">
        <v>1004</v>
      </c>
    </row>
    <row r="5298" spans="14:14" ht="15" customHeight="1" x14ac:dyDescent="0.25">
      <c r="N5298" t="s">
        <v>907</v>
      </c>
    </row>
    <row r="5299" spans="14:14" ht="15" customHeight="1" x14ac:dyDescent="0.25">
      <c r="N5299" t="s">
        <v>273</v>
      </c>
    </row>
    <row r="5300" spans="14:14" ht="15" customHeight="1" x14ac:dyDescent="0.25">
      <c r="N5300" t="s">
        <v>1005</v>
      </c>
    </row>
    <row r="5301" spans="14:14" ht="15" customHeight="1" x14ac:dyDescent="0.25">
      <c r="N5301" t="s">
        <v>1005</v>
      </c>
    </row>
    <row r="5302" spans="14:14" ht="15" customHeight="1" x14ac:dyDescent="0.25">
      <c r="N5302" t="s">
        <v>1005</v>
      </c>
    </row>
    <row r="5303" spans="14:14" ht="15" customHeight="1" x14ac:dyDescent="0.25">
      <c r="N5303" t="s">
        <v>1207</v>
      </c>
    </row>
    <row r="5304" spans="14:14" ht="15" customHeight="1" x14ac:dyDescent="0.25">
      <c r="N5304" t="s">
        <v>1207</v>
      </c>
    </row>
    <row r="5305" spans="14:14" ht="15" customHeight="1" x14ac:dyDescent="0.25">
      <c r="N5305" t="s">
        <v>1207</v>
      </c>
    </row>
    <row r="5306" spans="14:14" ht="15" customHeight="1" x14ac:dyDescent="0.25">
      <c r="N5306" t="s">
        <v>273</v>
      </c>
    </row>
    <row r="5307" spans="14:14" ht="15" customHeight="1" x14ac:dyDescent="0.25">
      <c r="N5307" t="s">
        <v>273</v>
      </c>
    </row>
    <row r="5308" spans="14:14" ht="15" customHeight="1" x14ac:dyDescent="0.25">
      <c r="N5308" t="s">
        <v>1111</v>
      </c>
    </row>
    <row r="5309" spans="14:14" ht="15" customHeight="1" x14ac:dyDescent="0.25">
      <c r="N5309" t="s">
        <v>273</v>
      </c>
    </row>
    <row r="5310" spans="14:14" ht="15" customHeight="1" x14ac:dyDescent="0.25">
      <c r="N5310" t="s">
        <v>273</v>
      </c>
    </row>
    <row r="5311" spans="14:14" ht="15" customHeight="1" x14ac:dyDescent="0.25">
      <c r="N5311" t="s">
        <v>1211</v>
      </c>
    </row>
    <row r="5312" spans="14:14" ht="15" customHeight="1" x14ac:dyDescent="0.25">
      <c r="N5312" t="s">
        <v>1213</v>
      </c>
    </row>
    <row r="5313" spans="14:14" ht="15" customHeight="1" x14ac:dyDescent="0.25">
      <c r="N5313" t="s">
        <v>1005</v>
      </c>
    </row>
    <row r="5314" spans="14:14" ht="15" customHeight="1" x14ac:dyDescent="0.25">
      <c r="N5314" t="s">
        <v>789</v>
      </c>
    </row>
    <row r="5315" spans="14:14" ht="15" customHeight="1" x14ac:dyDescent="0.25">
      <c r="N5315" t="s">
        <v>1087</v>
      </c>
    </row>
    <row r="5316" spans="14:14" ht="15" customHeight="1" x14ac:dyDescent="0.25">
      <c r="N5316" t="s">
        <v>1004</v>
      </c>
    </row>
    <row r="5317" spans="14:14" ht="15" customHeight="1" x14ac:dyDescent="0.25">
      <c r="N5317" t="s">
        <v>1004</v>
      </c>
    </row>
    <row r="5318" spans="14:14" ht="15" customHeight="1" x14ac:dyDescent="0.25">
      <c r="N5318" t="s">
        <v>1214</v>
      </c>
    </row>
    <row r="5319" spans="14:14" ht="15" customHeight="1" x14ac:dyDescent="0.25">
      <c r="N5319" t="s">
        <v>1214</v>
      </c>
    </row>
    <row r="5320" spans="14:14" ht="15" customHeight="1" x14ac:dyDescent="0.25">
      <c r="N5320" t="s">
        <v>1068</v>
      </c>
    </row>
    <row r="5321" spans="14:14" ht="15" customHeight="1" x14ac:dyDescent="0.25">
      <c r="N5321" t="s">
        <v>1068</v>
      </c>
    </row>
    <row r="5322" spans="14:14" ht="15" customHeight="1" x14ac:dyDescent="0.25">
      <c r="N5322" t="s">
        <v>1187</v>
      </c>
    </row>
    <row r="5323" spans="14:14" ht="15" customHeight="1" x14ac:dyDescent="0.25">
      <c r="N5323" t="s">
        <v>1187</v>
      </c>
    </row>
    <row r="5324" spans="14:14" ht="15" customHeight="1" x14ac:dyDescent="0.25">
      <c r="N5324" t="s">
        <v>1187</v>
      </c>
    </row>
    <row r="5325" spans="14:14" ht="15" customHeight="1" x14ac:dyDescent="0.25">
      <c r="N5325" t="s">
        <v>1187</v>
      </c>
    </row>
    <row r="5326" spans="14:14" ht="15" customHeight="1" x14ac:dyDescent="0.25">
      <c r="N5326" t="s">
        <v>1187</v>
      </c>
    </row>
    <row r="5327" spans="14:14" ht="15" customHeight="1" x14ac:dyDescent="0.25">
      <c r="N5327" t="s">
        <v>1187</v>
      </c>
    </row>
    <row r="5328" spans="14:14" ht="15" customHeight="1" x14ac:dyDescent="0.25">
      <c r="N5328" t="s">
        <v>1187</v>
      </c>
    </row>
    <row r="5329" spans="14:14" ht="15" customHeight="1" x14ac:dyDescent="0.25">
      <c r="N5329" t="s">
        <v>1187</v>
      </c>
    </row>
    <row r="5330" spans="14:14" ht="15" customHeight="1" x14ac:dyDescent="0.25">
      <c r="N5330" t="s">
        <v>1089</v>
      </c>
    </row>
    <row r="5331" spans="14:14" ht="15" customHeight="1" x14ac:dyDescent="0.25">
      <c r="N5331" t="s">
        <v>1089</v>
      </c>
    </row>
    <row r="5332" spans="14:14" ht="15" customHeight="1" x14ac:dyDescent="0.25">
      <c r="N5332" t="s">
        <v>1215</v>
      </c>
    </row>
    <row r="5333" spans="14:14" ht="15" customHeight="1" x14ac:dyDescent="0.25">
      <c r="N5333" t="s">
        <v>985</v>
      </c>
    </row>
    <row r="5334" spans="14:14" ht="15" customHeight="1" x14ac:dyDescent="0.25">
      <c r="N5334" t="s">
        <v>930</v>
      </c>
    </row>
    <row r="5335" spans="14:14" ht="15" customHeight="1" x14ac:dyDescent="0.25">
      <c r="N5335" t="s">
        <v>930</v>
      </c>
    </row>
    <row r="5336" spans="14:14" ht="15" customHeight="1" x14ac:dyDescent="0.25">
      <c r="N5336" t="s">
        <v>910</v>
      </c>
    </row>
    <row r="5337" spans="14:14" ht="15" customHeight="1" x14ac:dyDescent="0.25">
      <c r="N5337" t="s">
        <v>1124</v>
      </c>
    </row>
    <row r="5338" spans="14:14" ht="15" customHeight="1" x14ac:dyDescent="0.25">
      <c r="N5338" t="s">
        <v>1089</v>
      </c>
    </row>
    <row r="5339" spans="14:14" ht="15" customHeight="1" x14ac:dyDescent="0.25">
      <c r="N5339" t="s">
        <v>1068</v>
      </c>
    </row>
    <row r="5340" spans="14:14" ht="15" customHeight="1" x14ac:dyDescent="0.25">
      <c r="N5340" t="s">
        <v>1068</v>
      </c>
    </row>
    <row r="5341" spans="14:14" ht="15" customHeight="1" x14ac:dyDescent="0.25">
      <c r="N5341" t="s">
        <v>930</v>
      </c>
    </row>
    <row r="5342" spans="14:14" ht="15" customHeight="1" x14ac:dyDescent="0.25">
      <c r="N5342" t="s">
        <v>1100</v>
      </c>
    </row>
    <row r="5343" spans="14:14" ht="15" customHeight="1" x14ac:dyDescent="0.25">
      <c r="N5343" t="s">
        <v>1087</v>
      </c>
    </row>
    <row r="5344" spans="14:14" ht="15" customHeight="1" x14ac:dyDescent="0.25">
      <c r="N5344" t="s">
        <v>1220</v>
      </c>
    </row>
    <row r="5345" spans="14:14" ht="15" customHeight="1" x14ac:dyDescent="0.25">
      <c r="N5345" t="s">
        <v>985</v>
      </c>
    </row>
    <row r="5346" spans="14:14" ht="15" customHeight="1" x14ac:dyDescent="0.25">
      <c r="N5346" t="s">
        <v>1011</v>
      </c>
    </row>
    <row r="5347" spans="14:14" ht="15" customHeight="1" x14ac:dyDescent="0.25">
      <c r="N5347" t="s">
        <v>1004</v>
      </c>
    </row>
    <row r="5348" spans="14:14" ht="15" customHeight="1" x14ac:dyDescent="0.25">
      <c r="N5348" t="s">
        <v>1224</v>
      </c>
    </row>
    <row r="5349" spans="14:14" ht="15" customHeight="1" x14ac:dyDescent="0.25">
      <c r="N5349" t="s">
        <v>1224</v>
      </c>
    </row>
    <row r="5350" spans="14:14" ht="15" customHeight="1" x14ac:dyDescent="0.25">
      <c r="N5350" t="s">
        <v>1224</v>
      </c>
    </row>
    <row r="5351" spans="14:14" ht="15" customHeight="1" x14ac:dyDescent="0.25">
      <c r="N5351" t="s">
        <v>1004</v>
      </c>
    </row>
    <row r="5352" spans="14:14" ht="15" customHeight="1" x14ac:dyDescent="0.25">
      <c r="N5352" t="s">
        <v>1004</v>
      </c>
    </row>
    <row r="5353" spans="14:14" ht="15" customHeight="1" x14ac:dyDescent="0.25">
      <c r="N5353" t="s">
        <v>1005</v>
      </c>
    </row>
    <row r="5354" spans="14:14" ht="15" customHeight="1" x14ac:dyDescent="0.25">
      <c r="N5354" t="s">
        <v>1070</v>
      </c>
    </row>
    <row r="5355" spans="14:14" ht="15" customHeight="1" x14ac:dyDescent="0.25">
      <c r="N5355" t="s">
        <v>273</v>
      </c>
    </row>
    <row r="5356" spans="14:14" ht="15" customHeight="1" x14ac:dyDescent="0.25">
      <c r="N5356" t="s">
        <v>1005</v>
      </c>
    </row>
    <row r="5357" spans="14:14" ht="15" customHeight="1" x14ac:dyDescent="0.25">
      <c r="N5357" t="s">
        <v>1005</v>
      </c>
    </row>
    <row r="5358" spans="14:14" ht="15" customHeight="1" x14ac:dyDescent="0.25">
      <c r="N5358" t="s">
        <v>1005</v>
      </c>
    </row>
    <row r="5359" spans="14:14" ht="15" customHeight="1" x14ac:dyDescent="0.25">
      <c r="N5359" t="s">
        <v>1090</v>
      </c>
    </row>
    <row r="5360" spans="14:14" ht="15" customHeight="1" x14ac:dyDescent="0.25">
      <c r="N5360" t="s">
        <v>1090</v>
      </c>
    </row>
    <row r="5361" spans="14:14" ht="15" customHeight="1" x14ac:dyDescent="0.25">
      <c r="N5361" t="s">
        <v>1090</v>
      </c>
    </row>
    <row r="5362" spans="14:14" ht="15" customHeight="1" x14ac:dyDescent="0.25">
      <c r="N5362" t="s">
        <v>231</v>
      </c>
    </row>
    <row r="5363" spans="14:14" ht="15" customHeight="1" x14ac:dyDescent="0.25">
      <c r="N5363" t="s">
        <v>1109</v>
      </c>
    </row>
    <row r="5364" spans="14:14" ht="15" customHeight="1" x14ac:dyDescent="0.25">
      <c r="N5364" t="s">
        <v>1062</v>
      </c>
    </row>
    <row r="5365" spans="14:14" ht="15" customHeight="1" x14ac:dyDescent="0.25">
      <c r="N5365" t="s">
        <v>1062</v>
      </c>
    </row>
    <row r="5366" spans="14:14" ht="15" customHeight="1" x14ac:dyDescent="0.25">
      <c r="N5366" t="s">
        <v>1063</v>
      </c>
    </row>
    <row r="5367" spans="14:14" ht="15" customHeight="1" x14ac:dyDescent="0.25">
      <c r="N5367" t="s">
        <v>1226</v>
      </c>
    </row>
    <row r="5368" spans="14:14" ht="15" customHeight="1" x14ac:dyDescent="0.25">
      <c r="N5368" t="s">
        <v>273</v>
      </c>
    </row>
    <row r="5369" spans="14:14" ht="15" customHeight="1" x14ac:dyDescent="0.25">
      <c r="N5369" t="s">
        <v>1005</v>
      </c>
    </row>
    <row r="5370" spans="14:14" ht="15" customHeight="1" x14ac:dyDescent="0.25">
      <c r="N5370" t="s">
        <v>273</v>
      </c>
    </row>
    <row r="5371" spans="14:14" ht="15" customHeight="1" x14ac:dyDescent="0.25">
      <c r="N5371" t="s">
        <v>890</v>
      </c>
    </row>
    <row r="5372" spans="14:14" ht="15" customHeight="1" x14ac:dyDescent="0.25">
      <c r="N5372" t="s">
        <v>1087</v>
      </c>
    </row>
    <row r="5373" spans="14:14" ht="15" customHeight="1" x14ac:dyDescent="0.25">
      <c r="N5373" t="s">
        <v>1004</v>
      </c>
    </row>
    <row r="5374" spans="14:14" ht="15" customHeight="1" x14ac:dyDescent="0.25">
      <c r="N5374" t="s">
        <v>1004</v>
      </c>
    </row>
    <row r="5375" spans="14:14" ht="15" customHeight="1" x14ac:dyDescent="0.25">
      <c r="N5375" t="s">
        <v>1179</v>
      </c>
    </row>
    <row r="5376" spans="14:14" ht="15" customHeight="1" x14ac:dyDescent="0.25">
      <c r="N5376" t="s">
        <v>1179</v>
      </c>
    </row>
    <row r="5377" spans="14:14" ht="15" customHeight="1" x14ac:dyDescent="0.25">
      <c r="N5377" t="s">
        <v>1179</v>
      </c>
    </row>
    <row r="5378" spans="14:14" ht="15" customHeight="1" x14ac:dyDescent="0.25">
      <c r="N5378" t="s">
        <v>1179</v>
      </c>
    </row>
    <row r="5379" spans="14:14" ht="15" customHeight="1" x14ac:dyDescent="0.25">
      <c r="N5379" t="s">
        <v>1179</v>
      </c>
    </row>
    <row r="5380" spans="14:14" ht="15" customHeight="1" x14ac:dyDescent="0.25">
      <c r="N5380" t="s">
        <v>1179</v>
      </c>
    </row>
    <row r="5381" spans="14:14" ht="15" customHeight="1" x14ac:dyDescent="0.25">
      <c r="N5381" t="s">
        <v>1179</v>
      </c>
    </row>
    <row r="5382" spans="14:14" ht="15" customHeight="1" x14ac:dyDescent="0.25">
      <c r="N5382" t="s">
        <v>1179</v>
      </c>
    </row>
    <row r="5383" spans="14:14" ht="15" customHeight="1" x14ac:dyDescent="0.25">
      <c r="N5383" t="s">
        <v>1179</v>
      </c>
    </row>
    <row r="5384" spans="14:14" ht="15" customHeight="1" x14ac:dyDescent="0.25">
      <c r="N5384" t="s">
        <v>1179</v>
      </c>
    </row>
    <row r="5385" spans="14:14" ht="15" customHeight="1" x14ac:dyDescent="0.25">
      <c r="N5385" t="s">
        <v>907</v>
      </c>
    </row>
    <row r="5386" spans="14:14" ht="15" customHeight="1" x14ac:dyDescent="0.25">
      <c r="N5386" t="s">
        <v>1124</v>
      </c>
    </row>
    <row r="5387" spans="14:14" ht="15" customHeight="1" x14ac:dyDescent="0.25">
      <c r="N5387" t="s">
        <v>1078</v>
      </c>
    </row>
    <row r="5388" spans="14:14" ht="15" customHeight="1" x14ac:dyDescent="0.25">
      <c r="N5388" t="s">
        <v>1068</v>
      </c>
    </row>
    <row r="5389" spans="14:14" ht="15" customHeight="1" x14ac:dyDescent="0.25">
      <c r="N5389" t="s">
        <v>1068</v>
      </c>
    </row>
    <row r="5390" spans="14:14" ht="15" customHeight="1" x14ac:dyDescent="0.25">
      <c r="N5390" t="s">
        <v>985</v>
      </c>
    </row>
    <row r="5391" spans="14:14" ht="15" customHeight="1" x14ac:dyDescent="0.25">
      <c r="N5391" t="s">
        <v>1087</v>
      </c>
    </row>
    <row r="5392" spans="14:14" ht="15" customHeight="1" x14ac:dyDescent="0.25">
      <c r="N5392" t="s">
        <v>1068</v>
      </c>
    </row>
    <row r="5393" spans="14:14" ht="15" customHeight="1" x14ac:dyDescent="0.25">
      <c r="N5393" t="s">
        <v>989</v>
      </c>
    </row>
    <row r="5394" spans="14:14" ht="15" customHeight="1" x14ac:dyDescent="0.25">
      <c r="N5394" t="s">
        <v>1234</v>
      </c>
    </row>
    <row r="5395" spans="14:14" ht="15" customHeight="1" x14ac:dyDescent="0.25">
      <c r="N5395" t="s">
        <v>1004</v>
      </c>
    </row>
    <row r="5396" spans="14:14" ht="15" customHeight="1" x14ac:dyDescent="0.25">
      <c r="N5396" t="s">
        <v>1068</v>
      </c>
    </row>
    <row r="5397" spans="14:14" ht="15" customHeight="1" x14ac:dyDescent="0.25">
      <c r="N5397" t="s">
        <v>1068</v>
      </c>
    </row>
    <row r="5398" spans="14:14" ht="15" customHeight="1" x14ac:dyDescent="0.25">
      <c r="N5398" t="s">
        <v>1087</v>
      </c>
    </row>
    <row r="5399" spans="14:14" ht="15" customHeight="1" x14ac:dyDescent="0.25">
      <c r="N5399" t="s">
        <v>1100</v>
      </c>
    </row>
    <row r="5400" spans="14:14" ht="15" customHeight="1" x14ac:dyDescent="0.25">
      <c r="N5400" t="s">
        <v>1087</v>
      </c>
    </row>
    <row r="5401" spans="14:14" ht="15" customHeight="1" x14ac:dyDescent="0.25">
      <c r="N5401" t="s">
        <v>1145</v>
      </c>
    </row>
    <row r="5402" spans="14:14" ht="15" customHeight="1" x14ac:dyDescent="0.25">
      <c r="N5402" t="s">
        <v>930</v>
      </c>
    </row>
    <row r="5403" spans="14:14" ht="15" customHeight="1" x14ac:dyDescent="0.25">
      <c r="N5403" t="s">
        <v>1004</v>
      </c>
    </row>
    <row r="5404" spans="14:14" ht="15" customHeight="1" x14ac:dyDescent="0.25">
      <c r="N5404" t="s">
        <v>1070</v>
      </c>
    </row>
    <row r="5405" spans="14:14" ht="15" customHeight="1" x14ac:dyDescent="0.25">
      <c r="N5405" t="s">
        <v>1068</v>
      </c>
    </row>
    <row r="5406" spans="14:14" ht="15" customHeight="1" x14ac:dyDescent="0.25">
      <c r="N5406" t="s">
        <v>1068</v>
      </c>
    </row>
    <row r="5407" spans="14:14" ht="15" customHeight="1" x14ac:dyDescent="0.25">
      <c r="N5407" t="s">
        <v>1087</v>
      </c>
    </row>
    <row r="5408" spans="14:14" ht="15" customHeight="1" x14ac:dyDescent="0.25">
      <c r="N5408" t="s">
        <v>273</v>
      </c>
    </row>
    <row r="5409" spans="14:14" ht="15" customHeight="1" x14ac:dyDescent="0.25">
      <c r="N5409" t="s">
        <v>1238</v>
      </c>
    </row>
    <row r="5410" spans="14:14" ht="15" customHeight="1" x14ac:dyDescent="0.25">
      <c r="N5410" t="s">
        <v>1238</v>
      </c>
    </row>
    <row r="5411" spans="14:14" ht="15" customHeight="1" x14ac:dyDescent="0.25">
      <c r="N5411" t="s">
        <v>1238</v>
      </c>
    </row>
    <row r="5412" spans="14:14" ht="15" customHeight="1" x14ac:dyDescent="0.25">
      <c r="N5412" t="s">
        <v>148</v>
      </c>
    </row>
    <row r="5413" spans="14:14" ht="15" customHeight="1" x14ac:dyDescent="0.25">
      <c r="N5413" t="s">
        <v>273</v>
      </c>
    </row>
    <row r="5414" spans="14:14" ht="15" customHeight="1" x14ac:dyDescent="0.25">
      <c r="N5414" t="s">
        <v>1109</v>
      </c>
    </row>
    <row r="5415" spans="14:14" ht="15" customHeight="1" x14ac:dyDescent="0.25">
      <c r="N5415" t="s">
        <v>273</v>
      </c>
    </row>
    <row r="5416" spans="14:14" ht="15" customHeight="1" x14ac:dyDescent="0.25">
      <c r="N5416" t="s">
        <v>273</v>
      </c>
    </row>
    <row r="5417" spans="14:14" ht="15" customHeight="1" x14ac:dyDescent="0.25">
      <c r="N5417" t="s">
        <v>1239</v>
      </c>
    </row>
    <row r="5418" spans="14:14" ht="15" customHeight="1" x14ac:dyDescent="0.25">
      <c r="N5418" t="s">
        <v>1005</v>
      </c>
    </row>
    <row r="5419" spans="14:14" ht="15" customHeight="1" x14ac:dyDescent="0.25">
      <c r="N5419" t="s">
        <v>273</v>
      </c>
    </row>
    <row r="5420" spans="14:14" ht="15" customHeight="1" x14ac:dyDescent="0.25">
      <c r="N5420" t="s">
        <v>1005</v>
      </c>
    </row>
    <row r="5421" spans="14:14" ht="15" customHeight="1" x14ac:dyDescent="0.25">
      <c r="N5421" t="s">
        <v>1064</v>
      </c>
    </row>
    <row r="5422" spans="14:14" ht="15" customHeight="1" x14ac:dyDescent="0.25">
      <c r="N5422" t="s">
        <v>273</v>
      </c>
    </row>
    <row r="5423" spans="14:14" ht="15" customHeight="1" x14ac:dyDescent="0.25">
      <c r="N5423" t="s">
        <v>1087</v>
      </c>
    </row>
    <row r="5424" spans="14:14" ht="15" customHeight="1" x14ac:dyDescent="0.25">
      <c r="N5424" t="s">
        <v>1087</v>
      </c>
    </row>
    <row r="5425" spans="14:14" ht="15" customHeight="1" x14ac:dyDescent="0.25">
      <c r="N5425" t="s">
        <v>1087</v>
      </c>
    </row>
    <row r="5426" spans="14:14" ht="15" customHeight="1" x14ac:dyDescent="0.25">
      <c r="N5426" t="s">
        <v>930</v>
      </c>
    </row>
    <row r="5427" spans="14:14" ht="15" customHeight="1" x14ac:dyDescent="0.25">
      <c r="N5427" t="s">
        <v>1197</v>
      </c>
    </row>
    <row r="5428" spans="14:14" ht="15" customHeight="1" x14ac:dyDescent="0.25">
      <c r="N5428" t="s">
        <v>1197</v>
      </c>
    </row>
    <row r="5429" spans="14:14" ht="15" customHeight="1" x14ac:dyDescent="0.25">
      <c r="N5429" t="s">
        <v>1214</v>
      </c>
    </row>
    <row r="5430" spans="14:14" ht="15" customHeight="1" x14ac:dyDescent="0.25">
      <c r="N5430" t="s">
        <v>1087</v>
      </c>
    </row>
    <row r="5431" spans="14:14" ht="15" customHeight="1" x14ac:dyDescent="0.25">
      <c r="N5431" t="s">
        <v>1004</v>
      </c>
    </row>
    <row r="5432" spans="14:14" ht="15" customHeight="1" x14ac:dyDescent="0.25">
      <c r="N5432" t="s">
        <v>1087</v>
      </c>
    </row>
    <row r="5433" spans="14:14" ht="15" customHeight="1" x14ac:dyDescent="0.25">
      <c r="N5433" t="s">
        <v>1183</v>
      </c>
    </row>
    <row r="5434" spans="14:14" ht="15" customHeight="1" x14ac:dyDescent="0.25">
      <c r="N5434" t="s">
        <v>1214</v>
      </c>
    </row>
    <row r="5435" spans="14:14" ht="15" customHeight="1" x14ac:dyDescent="0.25">
      <c r="N5435" t="s">
        <v>1241</v>
      </c>
    </row>
    <row r="5436" spans="14:14" ht="15" customHeight="1" x14ac:dyDescent="0.25">
      <c r="N5436" t="s">
        <v>1068</v>
      </c>
    </row>
    <row r="5437" spans="14:14" ht="15" customHeight="1" x14ac:dyDescent="0.25">
      <c r="N5437" t="s">
        <v>1004</v>
      </c>
    </row>
    <row r="5438" spans="14:14" ht="15" customHeight="1" x14ac:dyDescent="0.25">
      <c r="N5438" t="s">
        <v>1070</v>
      </c>
    </row>
    <row r="5439" spans="14:14" ht="15" customHeight="1" x14ac:dyDescent="0.25">
      <c r="N5439" t="s">
        <v>1068</v>
      </c>
    </row>
    <row r="5440" spans="14:14" ht="15" customHeight="1" x14ac:dyDescent="0.25">
      <c r="N5440" t="s">
        <v>1068</v>
      </c>
    </row>
    <row r="5441" spans="14:14" ht="15" customHeight="1" x14ac:dyDescent="0.25">
      <c r="N5441" t="s">
        <v>1087</v>
      </c>
    </row>
    <row r="5442" spans="14:14" ht="15" customHeight="1" x14ac:dyDescent="0.25">
      <c r="N5442" t="s">
        <v>273</v>
      </c>
    </row>
    <row r="5443" spans="14:14" ht="15" customHeight="1" x14ac:dyDescent="0.25">
      <c r="N5443" t="s">
        <v>1198</v>
      </c>
    </row>
    <row r="5444" spans="14:14" ht="15" customHeight="1" x14ac:dyDescent="0.25">
      <c r="N5444" t="s">
        <v>1198</v>
      </c>
    </row>
    <row r="5445" spans="14:14" ht="15" customHeight="1" x14ac:dyDescent="0.25">
      <c r="N5445" t="s">
        <v>1198</v>
      </c>
    </row>
    <row r="5446" spans="14:14" ht="15" customHeight="1" x14ac:dyDescent="0.25">
      <c r="N5446" t="s">
        <v>1005</v>
      </c>
    </row>
    <row r="5447" spans="14:14" ht="15" customHeight="1" x14ac:dyDescent="0.25">
      <c r="N5447" t="s">
        <v>1227</v>
      </c>
    </row>
    <row r="5448" spans="14:14" ht="15" customHeight="1" x14ac:dyDescent="0.25">
      <c r="N5448" t="s">
        <v>273</v>
      </c>
    </row>
    <row r="5449" spans="14:14" ht="15" customHeight="1" x14ac:dyDescent="0.25">
      <c r="N5449" t="s">
        <v>1087</v>
      </c>
    </row>
    <row r="5450" spans="14:14" ht="15" customHeight="1" x14ac:dyDescent="0.25">
      <c r="N5450" t="s">
        <v>1087</v>
      </c>
    </row>
    <row r="5451" spans="14:14" ht="15" customHeight="1" x14ac:dyDescent="0.25">
      <c r="N5451" t="s">
        <v>1004</v>
      </c>
    </row>
    <row r="5452" spans="14:14" ht="15" customHeight="1" x14ac:dyDescent="0.25">
      <c r="N5452" t="s">
        <v>1214</v>
      </c>
    </row>
    <row r="5453" spans="14:14" ht="15" customHeight="1" x14ac:dyDescent="0.25">
      <c r="N5453" t="s">
        <v>1214</v>
      </c>
    </row>
    <row r="5454" spans="14:14" ht="15" customHeight="1" x14ac:dyDescent="0.25">
      <c r="N5454" t="s">
        <v>1068</v>
      </c>
    </row>
    <row r="5455" spans="14:14" ht="15" customHeight="1" x14ac:dyDescent="0.25">
      <c r="N5455" t="s">
        <v>1004</v>
      </c>
    </row>
    <row r="5456" spans="14:14" ht="15" customHeight="1" x14ac:dyDescent="0.25">
      <c r="N5456" t="s">
        <v>1068</v>
      </c>
    </row>
    <row r="5457" spans="14:14" ht="15" customHeight="1" x14ac:dyDescent="0.25">
      <c r="N5457" t="s">
        <v>1072</v>
      </c>
    </row>
    <row r="5458" spans="14:14" ht="15" customHeight="1" x14ac:dyDescent="0.25">
      <c r="N5458" t="s">
        <v>1072</v>
      </c>
    </row>
    <row r="5459" spans="14:14" ht="15" customHeight="1" x14ac:dyDescent="0.25">
      <c r="N5459" t="s">
        <v>1072</v>
      </c>
    </row>
    <row r="5460" spans="14:14" ht="15" customHeight="1" x14ac:dyDescent="0.25">
      <c r="N5460" t="s">
        <v>1072</v>
      </c>
    </row>
    <row r="5461" spans="14:14" ht="15" customHeight="1" x14ac:dyDescent="0.25">
      <c r="N5461" t="s">
        <v>1072</v>
      </c>
    </row>
    <row r="5462" spans="14:14" ht="15" customHeight="1" x14ac:dyDescent="0.25">
      <c r="N5462" t="s">
        <v>1072</v>
      </c>
    </row>
    <row r="5463" spans="14:14" ht="15" customHeight="1" x14ac:dyDescent="0.25">
      <c r="N5463" t="s">
        <v>1087</v>
      </c>
    </row>
    <row r="5464" spans="14:14" ht="15" customHeight="1" x14ac:dyDescent="0.25">
      <c r="N5464" t="s">
        <v>1087</v>
      </c>
    </row>
    <row r="5465" spans="14:14" ht="15" customHeight="1" x14ac:dyDescent="0.25">
      <c r="N5465" t="s">
        <v>1068</v>
      </c>
    </row>
    <row r="5466" spans="14:14" ht="15" customHeight="1" x14ac:dyDescent="0.25">
      <c r="N5466" t="s">
        <v>1068</v>
      </c>
    </row>
    <row r="5467" spans="14:14" ht="15" customHeight="1" x14ac:dyDescent="0.25">
      <c r="N5467" t="s">
        <v>148</v>
      </c>
    </row>
    <row r="5468" spans="14:14" ht="15" customHeight="1" x14ac:dyDescent="0.25">
      <c r="N5468" t="s">
        <v>1005</v>
      </c>
    </row>
    <row r="5469" spans="14:14" ht="15" customHeight="1" x14ac:dyDescent="0.25">
      <c r="N5469" t="s">
        <v>1090</v>
      </c>
    </row>
    <row r="5470" spans="14:14" ht="15" customHeight="1" x14ac:dyDescent="0.25">
      <c r="N5470" t="s">
        <v>1105</v>
      </c>
    </row>
    <row r="5471" spans="14:14" ht="15" customHeight="1" x14ac:dyDescent="0.25">
      <c r="N5471" t="s">
        <v>1004</v>
      </c>
    </row>
    <row r="5472" spans="14:14" ht="15" customHeight="1" x14ac:dyDescent="0.25">
      <c r="N5472" t="s">
        <v>1250</v>
      </c>
    </row>
    <row r="5473" spans="14:14" ht="15" customHeight="1" x14ac:dyDescent="0.25">
      <c r="N5473" t="s">
        <v>1004</v>
      </c>
    </row>
    <row r="5474" spans="14:14" ht="15" customHeight="1" x14ac:dyDescent="0.25">
      <c r="N5474" t="s">
        <v>1068</v>
      </c>
    </row>
    <row r="5475" spans="14:14" ht="15" customHeight="1" x14ac:dyDescent="0.25">
      <c r="N5475" t="s">
        <v>1116</v>
      </c>
    </row>
    <row r="5476" spans="14:14" ht="15" customHeight="1" x14ac:dyDescent="0.25">
      <c r="N5476" t="s">
        <v>1116</v>
      </c>
    </row>
    <row r="5477" spans="14:14" ht="15" customHeight="1" x14ac:dyDescent="0.25">
      <c r="N5477" t="s">
        <v>1116</v>
      </c>
    </row>
    <row r="5478" spans="14:14" ht="15" customHeight="1" x14ac:dyDescent="0.25">
      <c r="N5478" t="s">
        <v>1116</v>
      </c>
    </row>
    <row r="5479" spans="14:14" ht="15" customHeight="1" x14ac:dyDescent="0.25">
      <c r="N5479" t="s">
        <v>1116</v>
      </c>
    </row>
    <row r="5480" spans="14:14" ht="15" customHeight="1" x14ac:dyDescent="0.25">
      <c r="N5480" t="s">
        <v>1116</v>
      </c>
    </row>
    <row r="5481" spans="14:14" ht="15" customHeight="1" x14ac:dyDescent="0.25">
      <c r="N5481" t="s">
        <v>1087</v>
      </c>
    </row>
    <row r="5482" spans="14:14" ht="15" customHeight="1" x14ac:dyDescent="0.25">
      <c r="N5482" t="s">
        <v>1087</v>
      </c>
    </row>
    <row r="5483" spans="14:14" ht="15" customHeight="1" x14ac:dyDescent="0.25">
      <c r="N5483" t="s">
        <v>1070</v>
      </c>
    </row>
    <row r="5484" spans="14:14" ht="15" customHeight="1" x14ac:dyDescent="0.25">
      <c r="N5484" t="s">
        <v>1087</v>
      </c>
    </row>
    <row r="5485" spans="14:14" ht="15" customHeight="1" x14ac:dyDescent="0.25">
      <c r="N5485" t="s">
        <v>1087</v>
      </c>
    </row>
    <row r="5486" spans="14:14" ht="15" customHeight="1" x14ac:dyDescent="0.25">
      <c r="N5486" t="s">
        <v>1253</v>
      </c>
    </row>
    <row r="5487" spans="14:14" ht="15" customHeight="1" x14ac:dyDescent="0.25">
      <c r="N5487" t="s">
        <v>1241</v>
      </c>
    </row>
    <row r="5488" spans="14:14" ht="15" customHeight="1" x14ac:dyDescent="0.25">
      <c r="N5488" t="s">
        <v>1144</v>
      </c>
    </row>
    <row r="5489" spans="14:14" ht="15" customHeight="1" x14ac:dyDescent="0.25">
      <c r="N5489" t="s">
        <v>1254</v>
      </c>
    </row>
    <row r="5490" spans="14:14" ht="15" customHeight="1" x14ac:dyDescent="0.25">
      <c r="N5490" t="s">
        <v>273</v>
      </c>
    </row>
    <row r="5491" spans="14:14" ht="15" customHeight="1" x14ac:dyDescent="0.25">
      <c r="N5491" t="s">
        <v>1004</v>
      </c>
    </row>
    <row r="5492" spans="14:14" ht="15" customHeight="1" x14ac:dyDescent="0.25">
      <c r="N5492" t="s">
        <v>1105</v>
      </c>
    </row>
    <row r="5493" spans="14:14" ht="15" customHeight="1" x14ac:dyDescent="0.25">
      <c r="N5493" t="s">
        <v>1105</v>
      </c>
    </row>
    <row r="5494" spans="14:14" ht="15" customHeight="1" x14ac:dyDescent="0.25">
      <c r="N5494" t="s">
        <v>1105</v>
      </c>
    </row>
    <row r="5495" spans="14:14" ht="15" customHeight="1" x14ac:dyDescent="0.25">
      <c r="N5495" t="s">
        <v>1105</v>
      </c>
    </row>
    <row r="5496" spans="14:14" ht="15" customHeight="1" x14ac:dyDescent="0.25">
      <c r="N5496" t="s">
        <v>1105</v>
      </c>
    </row>
    <row r="5497" spans="14:14" ht="15" customHeight="1" x14ac:dyDescent="0.25">
      <c r="N5497" t="s">
        <v>1105</v>
      </c>
    </row>
    <row r="5498" spans="14:14" ht="15" customHeight="1" x14ac:dyDescent="0.25">
      <c r="N5498" t="s">
        <v>1087</v>
      </c>
    </row>
    <row r="5499" spans="14:14" ht="15" customHeight="1" x14ac:dyDescent="0.25">
      <c r="N5499" t="s">
        <v>1214</v>
      </c>
    </row>
    <row r="5500" spans="14:14" ht="15" customHeight="1" x14ac:dyDescent="0.25">
      <c r="N5500" t="s">
        <v>1087</v>
      </c>
    </row>
    <row r="5501" spans="14:14" ht="15" customHeight="1" x14ac:dyDescent="0.25">
      <c r="N5501" t="s">
        <v>1087</v>
      </c>
    </row>
    <row r="5502" spans="14:14" ht="15" customHeight="1" x14ac:dyDescent="0.25">
      <c r="N5502" t="s">
        <v>1241</v>
      </c>
    </row>
    <row r="5503" spans="14:14" ht="15" customHeight="1" x14ac:dyDescent="0.25">
      <c r="N5503" t="s">
        <v>1241</v>
      </c>
    </row>
    <row r="5504" spans="14:14" ht="15" customHeight="1" x14ac:dyDescent="0.25">
      <c r="N5504" t="s">
        <v>1241</v>
      </c>
    </row>
    <row r="5505" spans="14:14" ht="15" customHeight="1" x14ac:dyDescent="0.25">
      <c r="N5505" t="s">
        <v>1256</v>
      </c>
    </row>
    <row r="5506" spans="14:14" ht="15" customHeight="1" x14ac:dyDescent="0.25">
      <c r="N5506" t="s">
        <v>1257</v>
      </c>
    </row>
    <row r="5507" spans="14:14" ht="15" customHeight="1" x14ac:dyDescent="0.25">
      <c r="N5507" t="s">
        <v>1258</v>
      </c>
    </row>
    <row r="5508" spans="14:14" ht="15" customHeight="1" x14ac:dyDescent="0.25">
      <c r="N5508" t="s">
        <v>989</v>
      </c>
    </row>
    <row r="5509" spans="14:14" ht="15" customHeight="1" x14ac:dyDescent="0.25">
      <c r="N5509" t="s">
        <v>1072</v>
      </c>
    </row>
    <row r="5510" spans="14:14" ht="15" customHeight="1" x14ac:dyDescent="0.25">
      <c r="N5510" t="s">
        <v>1072</v>
      </c>
    </row>
    <row r="5511" spans="14:14" ht="15" customHeight="1" x14ac:dyDescent="0.25">
      <c r="N5511" t="s">
        <v>1072</v>
      </c>
    </row>
    <row r="5512" spans="14:14" ht="15" customHeight="1" x14ac:dyDescent="0.25">
      <c r="N5512" t="s">
        <v>1072</v>
      </c>
    </row>
    <row r="5513" spans="14:14" ht="15" customHeight="1" x14ac:dyDescent="0.25">
      <c r="N5513" t="s">
        <v>1072</v>
      </c>
    </row>
    <row r="5514" spans="14:14" ht="15" customHeight="1" x14ac:dyDescent="0.25">
      <c r="N5514" t="s">
        <v>1072</v>
      </c>
    </row>
    <row r="5515" spans="14:14" ht="15" customHeight="1" x14ac:dyDescent="0.25">
      <c r="N5515" t="s">
        <v>1087</v>
      </c>
    </row>
    <row r="5516" spans="14:14" ht="15" customHeight="1" x14ac:dyDescent="0.25">
      <c r="N5516" t="s">
        <v>1215</v>
      </c>
    </row>
    <row r="5517" spans="14:14" ht="15" customHeight="1" x14ac:dyDescent="0.25">
      <c r="N5517" t="s">
        <v>1241</v>
      </c>
    </row>
    <row r="5518" spans="14:14" ht="15" customHeight="1" x14ac:dyDescent="0.25">
      <c r="N5518" t="s">
        <v>1234</v>
      </c>
    </row>
    <row r="5519" spans="14:14" ht="15" customHeight="1" x14ac:dyDescent="0.25">
      <c r="N5519" t="s">
        <v>1260</v>
      </c>
    </row>
    <row r="5520" spans="14:14" ht="15" customHeight="1" x14ac:dyDescent="0.25">
      <c r="N5520" t="s">
        <v>245</v>
      </c>
    </row>
    <row r="5521" spans="14:14" ht="15" customHeight="1" x14ac:dyDescent="0.25">
      <c r="N5521" t="s">
        <v>1197</v>
      </c>
    </row>
    <row r="5522" spans="14:14" ht="15" customHeight="1" x14ac:dyDescent="0.25">
      <c r="N5522" t="s">
        <v>1187</v>
      </c>
    </row>
    <row r="5523" spans="14:14" ht="15" customHeight="1" x14ac:dyDescent="0.25">
      <c r="N5523" t="s">
        <v>1187</v>
      </c>
    </row>
    <row r="5524" spans="14:14" ht="15" customHeight="1" x14ac:dyDescent="0.25">
      <c r="N5524" t="s">
        <v>1187</v>
      </c>
    </row>
    <row r="5525" spans="14:14" ht="15" customHeight="1" x14ac:dyDescent="0.25">
      <c r="N5525" t="s">
        <v>1187</v>
      </c>
    </row>
    <row r="5526" spans="14:14" ht="15" customHeight="1" x14ac:dyDescent="0.25">
      <c r="N5526" t="s">
        <v>1187</v>
      </c>
    </row>
    <row r="5527" spans="14:14" ht="15" customHeight="1" x14ac:dyDescent="0.25">
      <c r="N5527" t="s">
        <v>1187</v>
      </c>
    </row>
    <row r="5528" spans="14:14" ht="15" customHeight="1" x14ac:dyDescent="0.25">
      <c r="N5528" t="s">
        <v>1068</v>
      </c>
    </row>
    <row r="5529" spans="14:14" ht="15" customHeight="1" x14ac:dyDescent="0.25">
      <c r="N5529" t="s">
        <v>294</v>
      </c>
    </row>
    <row r="5530" spans="14:14" ht="15" customHeight="1" x14ac:dyDescent="0.25">
      <c r="N5530" t="s">
        <v>1068</v>
      </c>
    </row>
    <row r="5531" spans="14:14" ht="15" customHeight="1" x14ac:dyDescent="0.25">
      <c r="N5531" t="s">
        <v>1087</v>
      </c>
    </row>
    <row r="5532" spans="14:14" ht="15" customHeight="1" x14ac:dyDescent="0.25">
      <c r="N5532" t="s">
        <v>1178</v>
      </c>
    </row>
    <row r="5533" spans="14:14" ht="15" customHeight="1" x14ac:dyDescent="0.25">
      <c r="N5533" t="s">
        <v>1178</v>
      </c>
    </row>
    <row r="5534" spans="14:14" ht="15" customHeight="1" x14ac:dyDescent="0.25">
      <c r="N5534" t="s">
        <v>1178</v>
      </c>
    </row>
    <row r="5535" spans="14:14" ht="15" customHeight="1" x14ac:dyDescent="0.25">
      <c r="N5535" t="s">
        <v>1178</v>
      </c>
    </row>
    <row r="5536" spans="14:14" ht="15" customHeight="1" x14ac:dyDescent="0.25">
      <c r="N5536" t="s">
        <v>1178</v>
      </c>
    </row>
    <row r="5537" spans="14:14" ht="15" customHeight="1" x14ac:dyDescent="0.25">
      <c r="N5537" t="s">
        <v>1178</v>
      </c>
    </row>
    <row r="5538" spans="14:14" ht="15" customHeight="1" x14ac:dyDescent="0.25">
      <c r="N5538" t="s">
        <v>203</v>
      </c>
    </row>
    <row r="5539" spans="14:14" ht="15" customHeight="1" x14ac:dyDescent="0.25">
      <c r="N5539" t="s">
        <v>1087</v>
      </c>
    </row>
    <row r="5540" spans="14:14" ht="15" customHeight="1" x14ac:dyDescent="0.25">
      <c r="N5540" t="s">
        <v>1087</v>
      </c>
    </row>
    <row r="5541" spans="14:14" ht="15" customHeight="1" x14ac:dyDescent="0.25">
      <c r="N5541" t="s">
        <v>789</v>
      </c>
    </row>
    <row r="5542" spans="14:14" ht="15" customHeight="1" x14ac:dyDescent="0.25">
      <c r="N5542" t="s">
        <v>1109</v>
      </c>
    </row>
    <row r="5543" spans="14:14" ht="15" customHeight="1" x14ac:dyDescent="0.25">
      <c r="N5543" t="s">
        <v>1087</v>
      </c>
    </row>
    <row r="5544" spans="14:14" ht="15" customHeight="1" x14ac:dyDescent="0.25">
      <c r="N5544" t="s">
        <v>1250</v>
      </c>
    </row>
    <row r="5545" spans="14:14" ht="15" customHeight="1" x14ac:dyDescent="0.25">
      <c r="N5545" t="s">
        <v>1087</v>
      </c>
    </row>
    <row r="5546" spans="14:14" ht="15" customHeight="1" x14ac:dyDescent="0.25">
      <c r="N5546" t="s">
        <v>294</v>
      </c>
    </row>
    <row r="5547" spans="14:14" ht="15" customHeight="1" x14ac:dyDescent="0.25">
      <c r="N5547" t="s">
        <v>1109</v>
      </c>
    </row>
    <row r="5548" spans="14:14" ht="15" customHeight="1" x14ac:dyDescent="0.25">
      <c r="N5548" t="s">
        <v>1214</v>
      </c>
    </row>
    <row r="5549" spans="14:14" ht="15" customHeight="1" x14ac:dyDescent="0.25">
      <c r="N5549" t="s">
        <v>203</v>
      </c>
    </row>
    <row r="5550" spans="14:14" ht="15" customHeight="1" x14ac:dyDescent="0.25">
      <c r="N5550" t="s">
        <v>1262</v>
      </c>
    </row>
    <row r="5551" spans="14:14" ht="15" customHeight="1" x14ac:dyDescent="0.25">
      <c r="N5551" t="s">
        <v>1112</v>
      </c>
    </row>
    <row r="5552" spans="14:14" ht="15" customHeight="1" x14ac:dyDescent="0.25">
      <c r="N5552" t="s">
        <v>895</v>
      </c>
    </row>
    <row r="5553" spans="14:14" ht="15" customHeight="1" x14ac:dyDescent="0.25">
      <c r="N5553" t="s">
        <v>898</v>
      </c>
    </row>
    <row r="5554" spans="14:14" ht="15" customHeight="1" x14ac:dyDescent="0.25">
      <c r="N5554" t="s">
        <v>898</v>
      </c>
    </row>
    <row r="5555" spans="14:14" ht="15" customHeight="1" x14ac:dyDescent="0.25">
      <c r="N5555" t="s">
        <v>901</v>
      </c>
    </row>
    <row r="5556" spans="14:14" ht="15" customHeight="1" x14ac:dyDescent="0.25">
      <c r="N5556" t="s">
        <v>901</v>
      </c>
    </row>
    <row r="5557" spans="14:14" ht="15" customHeight="1" x14ac:dyDescent="0.25">
      <c r="N5557" t="s">
        <v>901</v>
      </c>
    </row>
    <row r="5558" spans="14:14" ht="15" customHeight="1" x14ac:dyDescent="0.25">
      <c r="N5558" t="s">
        <v>901</v>
      </c>
    </row>
    <row r="5559" spans="14:14" ht="15" customHeight="1" x14ac:dyDescent="0.25">
      <c r="N5559" t="s">
        <v>901</v>
      </c>
    </row>
    <row r="5560" spans="14:14" ht="15" customHeight="1" x14ac:dyDescent="0.25">
      <c r="N5560" t="s">
        <v>901</v>
      </c>
    </row>
    <row r="5561" spans="14:14" ht="15" customHeight="1" x14ac:dyDescent="0.25">
      <c r="N5561" t="s">
        <v>907</v>
      </c>
    </row>
    <row r="5562" spans="14:14" ht="15" customHeight="1" x14ac:dyDescent="0.25">
      <c r="N5562" t="s">
        <v>910</v>
      </c>
    </row>
    <row r="5563" spans="14:14" ht="15" customHeight="1" x14ac:dyDescent="0.25">
      <c r="N5563" t="s">
        <v>915</v>
      </c>
    </row>
    <row r="5564" spans="14:14" ht="15" customHeight="1" x14ac:dyDescent="0.25">
      <c r="N5564" t="s">
        <v>910</v>
      </c>
    </row>
    <row r="5565" spans="14:14" ht="15" customHeight="1" x14ac:dyDescent="0.25">
      <c r="N5565" t="s">
        <v>910</v>
      </c>
    </row>
    <row r="5566" spans="14:14" ht="15" customHeight="1" x14ac:dyDescent="0.25">
      <c r="N5566" t="s">
        <v>922</v>
      </c>
    </row>
    <row r="5567" spans="14:14" ht="15" customHeight="1" x14ac:dyDescent="0.25">
      <c r="N5567" t="s">
        <v>923</v>
      </c>
    </row>
    <row r="5568" spans="14:14" ht="15" customHeight="1" x14ac:dyDescent="0.25">
      <c r="N5568" t="s">
        <v>925</v>
      </c>
    </row>
    <row r="5569" spans="14:14" ht="15" customHeight="1" x14ac:dyDescent="0.25">
      <c r="N5569" t="s">
        <v>245</v>
      </c>
    </row>
    <row r="5570" spans="14:14" ht="15" customHeight="1" x14ac:dyDescent="0.25">
      <c r="N5570" t="s">
        <v>929</v>
      </c>
    </row>
    <row r="5571" spans="14:14" ht="15" customHeight="1" x14ac:dyDescent="0.25">
      <c r="N5571" t="s">
        <v>936</v>
      </c>
    </row>
    <row r="5572" spans="14:14" ht="15" customHeight="1" x14ac:dyDescent="0.25">
      <c r="N5572" t="s">
        <v>915</v>
      </c>
    </row>
    <row r="5573" spans="14:14" ht="15" customHeight="1" x14ac:dyDescent="0.25">
      <c r="N5573" t="s">
        <v>910</v>
      </c>
    </row>
    <row r="5574" spans="14:14" ht="15" customHeight="1" x14ac:dyDescent="0.25">
      <c r="N5574" t="s">
        <v>933</v>
      </c>
    </row>
    <row r="5575" spans="14:14" ht="15" customHeight="1" x14ac:dyDescent="0.25">
      <c r="N5575" t="s">
        <v>944</v>
      </c>
    </row>
    <row r="5576" spans="14:14" ht="15" customHeight="1" x14ac:dyDescent="0.25">
      <c r="N5576" t="s">
        <v>944</v>
      </c>
    </row>
    <row r="5577" spans="14:14" ht="15" customHeight="1" x14ac:dyDescent="0.25">
      <c r="N5577" t="s">
        <v>944</v>
      </c>
    </row>
    <row r="5578" spans="14:14" ht="15" customHeight="1" x14ac:dyDescent="0.25">
      <c r="N5578" t="s">
        <v>944</v>
      </c>
    </row>
    <row r="5579" spans="14:14" ht="15" customHeight="1" x14ac:dyDescent="0.25">
      <c r="N5579" t="s">
        <v>944</v>
      </c>
    </row>
    <row r="5580" spans="14:14" ht="15" customHeight="1" x14ac:dyDescent="0.25">
      <c r="N5580" t="s">
        <v>944</v>
      </c>
    </row>
    <row r="5581" spans="14:14" ht="15" customHeight="1" x14ac:dyDescent="0.25">
      <c r="N5581" t="s">
        <v>901</v>
      </c>
    </row>
    <row r="5582" spans="14:14" ht="15" customHeight="1" x14ac:dyDescent="0.25">
      <c r="N5582" t="s">
        <v>286</v>
      </c>
    </row>
    <row r="5583" spans="14:14" ht="15" customHeight="1" x14ac:dyDescent="0.25">
      <c r="N5583" t="s">
        <v>948</v>
      </c>
    </row>
    <row r="5584" spans="14:14" ht="15" customHeight="1" x14ac:dyDescent="0.25">
      <c r="N5584" t="s">
        <v>895</v>
      </c>
    </row>
    <row r="5585" spans="14:14" ht="15" customHeight="1" x14ac:dyDescent="0.25">
      <c r="N5585" t="s">
        <v>956</v>
      </c>
    </row>
    <row r="5586" spans="14:14" ht="15" customHeight="1" x14ac:dyDescent="0.25">
      <c r="N5586" t="s">
        <v>933</v>
      </c>
    </row>
    <row r="5587" spans="14:14" ht="15" customHeight="1" x14ac:dyDescent="0.25">
      <c r="N5587" t="s">
        <v>956</v>
      </c>
    </row>
    <row r="5588" spans="14:14" ht="15" customHeight="1" x14ac:dyDescent="0.25">
      <c r="N5588" t="s">
        <v>963</v>
      </c>
    </row>
    <row r="5589" spans="14:14" ht="15" customHeight="1" x14ac:dyDescent="0.25">
      <c r="N5589" t="s">
        <v>964</v>
      </c>
    </row>
    <row r="5590" spans="14:14" ht="15" customHeight="1" x14ac:dyDescent="0.25">
      <c r="N5590" t="s">
        <v>966</v>
      </c>
    </row>
    <row r="5591" spans="14:14" ht="15" customHeight="1" x14ac:dyDescent="0.25">
      <c r="N5591" t="s">
        <v>930</v>
      </c>
    </row>
    <row r="5592" spans="14:14" ht="15" customHeight="1" x14ac:dyDescent="0.25">
      <c r="N5592" t="s">
        <v>930</v>
      </c>
    </row>
    <row r="5593" spans="14:14" ht="15" customHeight="1" x14ac:dyDescent="0.25">
      <c r="N5593" t="s">
        <v>273</v>
      </c>
    </row>
    <row r="5594" spans="14:14" ht="15" customHeight="1" x14ac:dyDescent="0.25">
      <c r="N5594" t="s">
        <v>273</v>
      </c>
    </row>
    <row r="5595" spans="14:14" ht="15" customHeight="1" x14ac:dyDescent="0.25">
      <c r="N5595" t="s">
        <v>273</v>
      </c>
    </row>
    <row r="5596" spans="14:14" ht="15" customHeight="1" x14ac:dyDescent="0.25">
      <c r="N5596" t="s">
        <v>907</v>
      </c>
    </row>
    <row r="5597" spans="14:14" ht="15" customHeight="1" x14ac:dyDescent="0.25">
      <c r="N5597" t="s">
        <v>231</v>
      </c>
    </row>
    <row r="5598" spans="14:14" ht="15" customHeight="1" x14ac:dyDescent="0.25">
      <c r="N5598" t="s">
        <v>773</v>
      </c>
    </row>
    <row r="5599" spans="14:14" ht="15" customHeight="1" x14ac:dyDescent="0.25">
      <c r="N5599" t="s">
        <v>975</v>
      </c>
    </row>
    <row r="5600" spans="14:14" ht="15" customHeight="1" x14ac:dyDescent="0.25">
      <c r="N5600" t="s">
        <v>976</v>
      </c>
    </row>
    <row r="5601" spans="14:14" ht="15" customHeight="1" x14ac:dyDescent="0.25">
      <c r="N5601" t="s">
        <v>976</v>
      </c>
    </row>
    <row r="5602" spans="14:14" ht="15" customHeight="1" x14ac:dyDescent="0.25">
      <c r="N5602" t="s">
        <v>976</v>
      </c>
    </row>
    <row r="5603" spans="14:14" ht="15" customHeight="1" x14ac:dyDescent="0.25">
      <c r="N5603" t="s">
        <v>294</v>
      </c>
    </row>
    <row r="5604" spans="14:14" ht="15" customHeight="1" x14ac:dyDescent="0.25">
      <c r="N5604" t="s">
        <v>273</v>
      </c>
    </row>
    <row r="5605" spans="14:14" ht="15" customHeight="1" x14ac:dyDescent="0.25">
      <c r="N5605" t="s">
        <v>247</v>
      </c>
    </row>
    <row r="5606" spans="14:14" ht="15" customHeight="1" x14ac:dyDescent="0.25">
      <c r="N5606" t="s">
        <v>273</v>
      </c>
    </row>
    <row r="5607" spans="14:14" ht="15" customHeight="1" x14ac:dyDescent="0.25">
      <c r="N5607" t="s">
        <v>273</v>
      </c>
    </row>
    <row r="5608" spans="14:14" ht="15" customHeight="1" x14ac:dyDescent="0.25">
      <c r="N5608" t="s">
        <v>981</v>
      </c>
    </row>
    <row r="5609" spans="14:14" ht="15" customHeight="1" x14ac:dyDescent="0.25">
      <c r="N5609" t="s">
        <v>901</v>
      </c>
    </row>
    <row r="5610" spans="14:14" ht="15" customHeight="1" x14ac:dyDescent="0.25">
      <c r="N5610" t="s">
        <v>901</v>
      </c>
    </row>
    <row r="5611" spans="14:14" ht="15" customHeight="1" x14ac:dyDescent="0.25">
      <c r="N5611" t="s">
        <v>901</v>
      </c>
    </row>
    <row r="5612" spans="14:14" ht="15" customHeight="1" x14ac:dyDescent="0.25">
      <c r="N5612" t="s">
        <v>985</v>
      </c>
    </row>
    <row r="5613" spans="14:14" ht="15" customHeight="1" x14ac:dyDescent="0.25">
      <c r="N5613" t="s">
        <v>901</v>
      </c>
    </row>
    <row r="5614" spans="14:14" ht="15" customHeight="1" x14ac:dyDescent="0.25">
      <c r="N5614" t="s">
        <v>901</v>
      </c>
    </row>
    <row r="5615" spans="14:14" ht="15" customHeight="1" x14ac:dyDescent="0.25">
      <c r="N5615" t="s">
        <v>907</v>
      </c>
    </row>
    <row r="5616" spans="14:14" ht="15" customHeight="1" x14ac:dyDescent="0.25">
      <c r="N5616" t="s">
        <v>989</v>
      </c>
    </row>
    <row r="5617" spans="14:14" ht="15" customHeight="1" x14ac:dyDescent="0.25">
      <c r="N5617" t="s">
        <v>915</v>
      </c>
    </row>
    <row r="5618" spans="14:14" ht="15" customHeight="1" x14ac:dyDescent="0.25">
      <c r="N5618" t="s">
        <v>989</v>
      </c>
    </row>
    <row r="5619" spans="14:14" ht="15" customHeight="1" x14ac:dyDescent="0.25">
      <c r="N5619" t="s">
        <v>989</v>
      </c>
    </row>
    <row r="5620" spans="14:14" ht="15" customHeight="1" x14ac:dyDescent="0.25">
      <c r="N5620" t="s">
        <v>922</v>
      </c>
    </row>
    <row r="5621" spans="14:14" ht="15" customHeight="1" x14ac:dyDescent="0.25">
      <c r="N5621" t="s">
        <v>910</v>
      </c>
    </row>
    <row r="5622" spans="14:14" ht="15" customHeight="1" x14ac:dyDescent="0.25">
      <c r="N5622" t="s">
        <v>273</v>
      </c>
    </row>
    <row r="5623" spans="14:14" ht="15" customHeight="1" x14ac:dyDescent="0.25">
      <c r="N5623" t="s">
        <v>929</v>
      </c>
    </row>
    <row r="5624" spans="14:14" ht="15" customHeight="1" x14ac:dyDescent="0.25">
      <c r="N5624" t="s">
        <v>915</v>
      </c>
    </row>
    <row r="5625" spans="14:14" ht="15" customHeight="1" x14ac:dyDescent="0.25">
      <c r="N5625" t="s">
        <v>936</v>
      </c>
    </row>
    <row r="5626" spans="14:14" ht="15" customHeight="1" x14ac:dyDescent="0.25">
      <c r="N5626" t="s">
        <v>915</v>
      </c>
    </row>
    <row r="5627" spans="14:14" ht="15" customHeight="1" x14ac:dyDescent="0.25">
      <c r="N5627" t="s">
        <v>933</v>
      </c>
    </row>
    <row r="5628" spans="14:14" ht="15" customHeight="1" x14ac:dyDescent="0.25">
      <c r="N5628" t="s">
        <v>933</v>
      </c>
    </row>
    <row r="5629" spans="14:14" ht="15" customHeight="1" x14ac:dyDescent="0.25">
      <c r="N5629" t="s">
        <v>254</v>
      </c>
    </row>
    <row r="5630" spans="14:14" ht="15" customHeight="1" x14ac:dyDescent="0.25">
      <c r="N5630" t="s">
        <v>944</v>
      </c>
    </row>
    <row r="5631" spans="14:14" ht="15" customHeight="1" x14ac:dyDescent="0.25">
      <c r="N5631" t="s">
        <v>944</v>
      </c>
    </row>
    <row r="5632" spans="14:14" ht="15" customHeight="1" x14ac:dyDescent="0.25">
      <c r="N5632" t="s">
        <v>944</v>
      </c>
    </row>
    <row r="5633" spans="14:14" ht="15" customHeight="1" x14ac:dyDescent="0.25">
      <c r="N5633" t="s">
        <v>944</v>
      </c>
    </row>
    <row r="5634" spans="14:14" ht="15" customHeight="1" x14ac:dyDescent="0.25">
      <c r="N5634" t="s">
        <v>944</v>
      </c>
    </row>
    <row r="5635" spans="14:14" ht="15" customHeight="1" x14ac:dyDescent="0.25">
      <c r="N5635" t="s">
        <v>944</v>
      </c>
    </row>
    <row r="5636" spans="14:14" ht="15" customHeight="1" x14ac:dyDescent="0.25">
      <c r="N5636" t="s">
        <v>948</v>
      </c>
    </row>
    <row r="5637" spans="14:14" ht="15" customHeight="1" x14ac:dyDescent="0.25">
      <c r="N5637" t="s">
        <v>1012</v>
      </c>
    </row>
    <row r="5638" spans="14:14" ht="15" customHeight="1" x14ac:dyDescent="0.25">
      <c r="N5638" t="s">
        <v>930</v>
      </c>
    </row>
    <row r="5639" spans="14:14" ht="15" customHeight="1" x14ac:dyDescent="0.25">
      <c r="N5639" t="s">
        <v>1012</v>
      </c>
    </row>
    <row r="5640" spans="14:14" ht="15" customHeight="1" x14ac:dyDescent="0.25">
      <c r="N5640" t="s">
        <v>930</v>
      </c>
    </row>
    <row r="5641" spans="14:14" ht="15" customHeight="1" x14ac:dyDescent="0.25">
      <c r="N5641" t="s">
        <v>930</v>
      </c>
    </row>
    <row r="5642" spans="14:14" ht="15" customHeight="1" x14ac:dyDescent="0.25">
      <c r="N5642" t="s">
        <v>273</v>
      </c>
    </row>
    <row r="5643" spans="14:14" ht="15" customHeight="1" x14ac:dyDescent="0.25">
      <c r="N5643" t="s">
        <v>273</v>
      </c>
    </row>
    <row r="5644" spans="14:14" ht="15" customHeight="1" x14ac:dyDescent="0.25">
      <c r="N5644" t="s">
        <v>273</v>
      </c>
    </row>
    <row r="5645" spans="14:14" ht="15" customHeight="1" x14ac:dyDescent="0.25">
      <c r="N5645" t="s">
        <v>907</v>
      </c>
    </row>
    <row r="5646" spans="14:14" ht="15" customHeight="1" x14ac:dyDescent="0.25">
      <c r="N5646" t="s">
        <v>231</v>
      </c>
    </row>
    <row r="5647" spans="14:14" ht="15" customHeight="1" x14ac:dyDescent="0.25">
      <c r="N5647" t="s">
        <v>1022</v>
      </c>
    </row>
    <row r="5648" spans="14:14" ht="15" customHeight="1" x14ac:dyDescent="0.25">
      <c r="N5648" t="s">
        <v>217</v>
      </c>
    </row>
    <row r="5649" spans="14:14" ht="15" customHeight="1" x14ac:dyDescent="0.25">
      <c r="N5649" t="s">
        <v>217</v>
      </c>
    </row>
    <row r="5650" spans="14:14" ht="15" customHeight="1" x14ac:dyDescent="0.25">
      <c r="N5650" t="s">
        <v>247</v>
      </c>
    </row>
    <row r="5651" spans="14:14" ht="15" customHeight="1" x14ac:dyDescent="0.25">
      <c r="N5651" t="s">
        <v>890</v>
      </c>
    </row>
    <row r="5652" spans="14:14" ht="15" customHeight="1" x14ac:dyDescent="0.25">
      <c r="N5652" t="s">
        <v>273</v>
      </c>
    </row>
    <row r="5653" spans="14:14" ht="15" customHeight="1" x14ac:dyDescent="0.25">
      <c r="N5653" t="s">
        <v>273</v>
      </c>
    </row>
    <row r="5654" spans="14:14" ht="15" customHeight="1" x14ac:dyDescent="0.25">
      <c r="N5654" t="s">
        <v>910</v>
      </c>
    </row>
    <row r="5655" spans="14:14" ht="15" customHeight="1" x14ac:dyDescent="0.25">
      <c r="N5655" t="s">
        <v>910</v>
      </c>
    </row>
    <row r="5656" spans="14:14" ht="15" customHeight="1" x14ac:dyDescent="0.25">
      <c r="N5656" t="s">
        <v>910</v>
      </c>
    </row>
    <row r="5657" spans="14:14" ht="15" customHeight="1" x14ac:dyDescent="0.25">
      <c r="N5657" t="s">
        <v>910</v>
      </c>
    </row>
    <row r="5658" spans="14:14" ht="15" customHeight="1" x14ac:dyDescent="0.25">
      <c r="N5658" t="s">
        <v>910</v>
      </c>
    </row>
    <row r="5659" spans="14:14" ht="15" customHeight="1" x14ac:dyDescent="0.25">
      <c r="N5659" t="s">
        <v>910</v>
      </c>
    </row>
    <row r="5660" spans="14:14" ht="15" customHeight="1" x14ac:dyDescent="0.25">
      <c r="N5660" t="s">
        <v>910</v>
      </c>
    </row>
    <row r="5661" spans="14:14" ht="15" customHeight="1" x14ac:dyDescent="0.25">
      <c r="N5661" t="s">
        <v>910</v>
      </c>
    </row>
    <row r="5662" spans="14:14" ht="15" customHeight="1" x14ac:dyDescent="0.25">
      <c r="N5662" t="s">
        <v>910</v>
      </c>
    </row>
    <row r="5663" spans="14:14" ht="15" customHeight="1" x14ac:dyDescent="0.25">
      <c r="N5663" t="s">
        <v>910</v>
      </c>
    </row>
    <row r="5664" spans="14:14" ht="15" customHeight="1" x14ac:dyDescent="0.25">
      <c r="N5664" t="s">
        <v>1024</v>
      </c>
    </row>
    <row r="5665" spans="14:14" ht="15" customHeight="1" x14ac:dyDescent="0.25">
      <c r="N5665" t="s">
        <v>1024</v>
      </c>
    </row>
    <row r="5666" spans="14:14" ht="15" customHeight="1" x14ac:dyDescent="0.25">
      <c r="N5666" t="s">
        <v>934</v>
      </c>
    </row>
    <row r="5667" spans="14:14" ht="15" customHeight="1" x14ac:dyDescent="0.25">
      <c r="N5667" t="s">
        <v>901</v>
      </c>
    </row>
    <row r="5668" spans="14:14" ht="15" customHeight="1" x14ac:dyDescent="0.25">
      <c r="N5668" t="s">
        <v>901</v>
      </c>
    </row>
    <row r="5669" spans="14:14" ht="15" customHeight="1" x14ac:dyDescent="0.25">
      <c r="N5669" t="s">
        <v>901</v>
      </c>
    </row>
    <row r="5670" spans="14:14" ht="15" customHeight="1" x14ac:dyDescent="0.25">
      <c r="N5670" t="s">
        <v>901</v>
      </c>
    </row>
    <row r="5671" spans="14:14" ht="15" customHeight="1" x14ac:dyDescent="0.25">
      <c r="N5671" t="s">
        <v>901</v>
      </c>
    </row>
    <row r="5672" spans="14:14" ht="15" customHeight="1" x14ac:dyDescent="0.25">
      <c r="N5672" t="s">
        <v>1030</v>
      </c>
    </row>
    <row r="5673" spans="14:14" ht="15" customHeight="1" x14ac:dyDescent="0.25">
      <c r="N5673" t="s">
        <v>933</v>
      </c>
    </row>
    <row r="5674" spans="14:14" ht="15" customHeight="1" x14ac:dyDescent="0.25">
      <c r="N5674" t="s">
        <v>254</v>
      </c>
    </row>
    <row r="5675" spans="14:14" ht="15" customHeight="1" x14ac:dyDescent="0.25">
      <c r="N5675" t="s">
        <v>931</v>
      </c>
    </row>
    <row r="5676" spans="14:14" ht="15" customHeight="1" x14ac:dyDescent="0.25">
      <c r="N5676" t="s">
        <v>915</v>
      </c>
    </row>
    <row r="5677" spans="14:14" ht="15" customHeight="1" x14ac:dyDescent="0.25">
      <c r="N5677" t="s">
        <v>910</v>
      </c>
    </row>
    <row r="5678" spans="14:14" ht="15" customHeight="1" x14ac:dyDescent="0.25">
      <c r="N5678" t="s">
        <v>915</v>
      </c>
    </row>
    <row r="5679" spans="14:14" ht="15" customHeight="1" x14ac:dyDescent="0.25">
      <c r="N5679" t="s">
        <v>933</v>
      </c>
    </row>
    <row r="5680" spans="14:14" ht="15" customHeight="1" x14ac:dyDescent="0.25">
      <c r="N5680" t="s">
        <v>934</v>
      </c>
    </row>
    <row r="5681" spans="14:14" ht="15" customHeight="1" x14ac:dyDescent="0.25">
      <c r="N5681" t="s">
        <v>319</v>
      </c>
    </row>
    <row r="5682" spans="14:14" ht="15" customHeight="1" x14ac:dyDescent="0.25">
      <c r="N5682" t="s">
        <v>948</v>
      </c>
    </row>
    <row r="5683" spans="14:14" ht="15" customHeight="1" x14ac:dyDescent="0.25">
      <c r="N5683" t="s">
        <v>981</v>
      </c>
    </row>
    <row r="5684" spans="14:14" ht="15" customHeight="1" x14ac:dyDescent="0.25">
      <c r="N5684" t="s">
        <v>956</v>
      </c>
    </row>
    <row r="5685" spans="14:14" ht="15" customHeight="1" x14ac:dyDescent="0.25">
      <c r="N5685" t="s">
        <v>956</v>
      </c>
    </row>
    <row r="5686" spans="14:14" ht="15" customHeight="1" x14ac:dyDescent="0.25">
      <c r="N5686" t="s">
        <v>940</v>
      </c>
    </row>
    <row r="5687" spans="14:14" ht="15" customHeight="1" x14ac:dyDescent="0.25">
      <c r="N5687" t="s">
        <v>940</v>
      </c>
    </row>
    <row r="5688" spans="14:14" ht="15" customHeight="1" x14ac:dyDescent="0.25">
      <c r="N5688" t="s">
        <v>719</v>
      </c>
    </row>
    <row r="5689" spans="14:14" ht="15" customHeight="1" x14ac:dyDescent="0.25">
      <c r="N5689" t="s">
        <v>719</v>
      </c>
    </row>
    <row r="5690" spans="14:14" ht="15" customHeight="1" x14ac:dyDescent="0.25">
      <c r="N5690" t="s">
        <v>719</v>
      </c>
    </row>
    <row r="5691" spans="14:14" ht="15" customHeight="1" x14ac:dyDescent="0.25">
      <c r="N5691" t="s">
        <v>907</v>
      </c>
    </row>
    <row r="5692" spans="14:14" ht="15" customHeight="1" x14ac:dyDescent="0.25">
      <c r="N5692" t="s">
        <v>1059</v>
      </c>
    </row>
    <row r="5693" spans="14:14" ht="15" customHeight="1" x14ac:dyDescent="0.25">
      <c r="N5693" t="s">
        <v>319</v>
      </c>
    </row>
    <row r="5694" spans="14:14" ht="15" customHeight="1" x14ac:dyDescent="0.25">
      <c r="N5694" t="s">
        <v>773</v>
      </c>
    </row>
    <row r="5695" spans="14:14" ht="15" customHeight="1" x14ac:dyDescent="0.25">
      <c r="N5695" t="s">
        <v>286</v>
      </c>
    </row>
    <row r="5696" spans="14:14" ht="15" customHeight="1" x14ac:dyDescent="0.25">
      <c r="N5696" t="s">
        <v>254</v>
      </c>
    </row>
    <row r="5697" spans="14:14" ht="15" customHeight="1" x14ac:dyDescent="0.25">
      <c r="N5697" t="s">
        <v>1064</v>
      </c>
    </row>
    <row r="5698" spans="14:14" ht="15" customHeight="1" x14ac:dyDescent="0.25">
      <c r="N5698" t="s">
        <v>1030</v>
      </c>
    </row>
    <row r="5699" spans="14:14" ht="15" customHeight="1" x14ac:dyDescent="0.25">
      <c r="N5699" t="s">
        <v>1030</v>
      </c>
    </row>
    <row r="5700" spans="14:14" ht="15" customHeight="1" x14ac:dyDescent="0.25">
      <c r="N5700" t="s">
        <v>933</v>
      </c>
    </row>
    <row r="5701" spans="14:14" ht="15" customHeight="1" x14ac:dyDescent="0.25">
      <c r="N5701" t="s">
        <v>1069</v>
      </c>
    </row>
    <row r="5702" spans="14:14" ht="15" customHeight="1" x14ac:dyDescent="0.25">
      <c r="N5702" t="s">
        <v>909</v>
      </c>
    </row>
    <row r="5703" spans="14:14" ht="15" customHeight="1" x14ac:dyDescent="0.25">
      <c r="N5703" t="s">
        <v>909</v>
      </c>
    </row>
    <row r="5704" spans="14:14" ht="15" customHeight="1" x14ac:dyDescent="0.25">
      <c r="N5704" t="s">
        <v>967</v>
      </c>
    </row>
    <row r="5705" spans="14:14" ht="15" customHeight="1" x14ac:dyDescent="0.25">
      <c r="N5705" t="s">
        <v>904</v>
      </c>
    </row>
    <row r="5706" spans="14:14" ht="15" customHeight="1" x14ac:dyDescent="0.25">
      <c r="N5706" t="s">
        <v>904</v>
      </c>
    </row>
    <row r="5707" spans="14:14" ht="15" customHeight="1" x14ac:dyDescent="0.25">
      <c r="N5707" t="s">
        <v>923</v>
      </c>
    </row>
    <row r="5708" spans="14:14" ht="15" customHeight="1" x14ac:dyDescent="0.25">
      <c r="N5708" t="s">
        <v>934</v>
      </c>
    </row>
    <row r="5709" spans="14:14" ht="15" customHeight="1" x14ac:dyDescent="0.25">
      <c r="N5709" t="s">
        <v>319</v>
      </c>
    </row>
    <row r="5710" spans="14:14" ht="15" customHeight="1" x14ac:dyDescent="0.25">
      <c r="N5710" t="s">
        <v>929</v>
      </c>
    </row>
    <row r="5711" spans="14:14" ht="15" customHeight="1" x14ac:dyDescent="0.25">
      <c r="N5711" t="s">
        <v>989</v>
      </c>
    </row>
    <row r="5712" spans="14:14" ht="15" customHeight="1" x14ac:dyDescent="0.25">
      <c r="N5712" t="s">
        <v>1083</v>
      </c>
    </row>
    <row r="5713" spans="14:14" ht="15" customHeight="1" x14ac:dyDescent="0.25">
      <c r="N5713" t="s">
        <v>1084</v>
      </c>
    </row>
    <row r="5714" spans="14:14" ht="15" customHeight="1" x14ac:dyDescent="0.25">
      <c r="N5714" t="s">
        <v>1084</v>
      </c>
    </row>
    <row r="5715" spans="14:14" ht="15" customHeight="1" x14ac:dyDescent="0.25">
      <c r="N5715" t="s">
        <v>933</v>
      </c>
    </row>
    <row r="5716" spans="14:14" ht="15" customHeight="1" x14ac:dyDescent="0.25">
      <c r="N5716" t="s">
        <v>1042</v>
      </c>
    </row>
    <row r="5717" spans="14:14" ht="15" customHeight="1" x14ac:dyDescent="0.25">
      <c r="N5717" t="s">
        <v>944</v>
      </c>
    </row>
    <row r="5718" spans="14:14" ht="15" customHeight="1" x14ac:dyDescent="0.25">
      <c r="N5718" t="s">
        <v>944</v>
      </c>
    </row>
    <row r="5719" spans="14:14" ht="15" customHeight="1" x14ac:dyDescent="0.25">
      <c r="N5719" t="s">
        <v>944</v>
      </c>
    </row>
    <row r="5720" spans="14:14" ht="15" customHeight="1" x14ac:dyDescent="0.25">
      <c r="N5720" t="s">
        <v>944</v>
      </c>
    </row>
    <row r="5721" spans="14:14" ht="15" customHeight="1" x14ac:dyDescent="0.25">
      <c r="N5721" t="s">
        <v>944</v>
      </c>
    </row>
    <row r="5722" spans="14:14" ht="15" customHeight="1" x14ac:dyDescent="0.25">
      <c r="N5722" t="s">
        <v>944</v>
      </c>
    </row>
    <row r="5723" spans="14:14" ht="15" customHeight="1" x14ac:dyDescent="0.25">
      <c r="N5723" t="s">
        <v>901</v>
      </c>
    </row>
    <row r="5724" spans="14:14" ht="15" customHeight="1" x14ac:dyDescent="0.25">
      <c r="N5724" t="s">
        <v>1097</v>
      </c>
    </row>
    <row r="5725" spans="14:14" ht="15" customHeight="1" x14ac:dyDescent="0.25">
      <c r="N5725" t="s">
        <v>1098</v>
      </c>
    </row>
    <row r="5726" spans="14:14" ht="15" customHeight="1" x14ac:dyDescent="0.25">
      <c r="N5726" t="s">
        <v>1042</v>
      </c>
    </row>
    <row r="5727" spans="14:14" ht="15" customHeight="1" x14ac:dyDescent="0.25">
      <c r="N5727" t="s">
        <v>1012</v>
      </c>
    </row>
    <row r="5728" spans="14:14" ht="15" customHeight="1" x14ac:dyDescent="0.25">
      <c r="N5728" t="s">
        <v>967</v>
      </c>
    </row>
    <row r="5729" spans="14:14" ht="15" customHeight="1" x14ac:dyDescent="0.25">
      <c r="N5729" t="s">
        <v>1106</v>
      </c>
    </row>
    <row r="5730" spans="14:14" ht="15" customHeight="1" x14ac:dyDescent="0.25">
      <c r="N5730" t="s">
        <v>1106</v>
      </c>
    </row>
    <row r="5731" spans="14:14" ht="15" customHeight="1" x14ac:dyDescent="0.25">
      <c r="N5731" t="s">
        <v>334</v>
      </c>
    </row>
    <row r="5732" spans="14:14" ht="15" customHeight="1" x14ac:dyDescent="0.25">
      <c r="N5732" t="s">
        <v>933</v>
      </c>
    </row>
    <row r="5733" spans="14:14" ht="15" customHeight="1" x14ac:dyDescent="0.25">
      <c r="N5733" t="s">
        <v>909</v>
      </c>
    </row>
    <row r="5734" spans="14:14" ht="15" customHeight="1" x14ac:dyDescent="0.25">
      <c r="N5734" t="s">
        <v>909</v>
      </c>
    </row>
    <row r="5735" spans="14:14" ht="15" customHeight="1" x14ac:dyDescent="0.25">
      <c r="N5735" t="s">
        <v>254</v>
      </c>
    </row>
    <row r="5736" spans="14:14" ht="15" customHeight="1" x14ac:dyDescent="0.25">
      <c r="N5736" t="s">
        <v>254</v>
      </c>
    </row>
    <row r="5737" spans="14:14" ht="15" customHeight="1" x14ac:dyDescent="0.25">
      <c r="N5737" t="s">
        <v>254</v>
      </c>
    </row>
    <row r="5738" spans="14:14" ht="15" customHeight="1" x14ac:dyDescent="0.25">
      <c r="N5738" t="s">
        <v>907</v>
      </c>
    </row>
    <row r="5739" spans="14:14" ht="15" customHeight="1" x14ac:dyDescent="0.25">
      <c r="N5739" t="s">
        <v>371</v>
      </c>
    </row>
    <row r="5740" spans="14:14" ht="15" customHeight="1" x14ac:dyDescent="0.25">
      <c r="N5740" t="s">
        <v>254</v>
      </c>
    </row>
    <row r="5741" spans="14:14" ht="15" customHeight="1" x14ac:dyDescent="0.25">
      <c r="N5741" t="s">
        <v>254</v>
      </c>
    </row>
    <row r="5742" spans="14:14" ht="15" customHeight="1" x14ac:dyDescent="0.25">
      <c r="N5742" t="s">
        <v>254</v>
      </c>
    </row>
    <row r="5743" spans="14:14" ht="15" customHeight="1" x14ac:dyDescent="0.25">
      <c r="N5743" t="s">
        <v>273</v>
      </c>
    </row>
    <row r="5744" spans="14:14" ht="15" customHeight="1" x14ac:dyDescent="0.25">
      <c r="N5744" t="s">
        <v>286</v>
      </c>
    </row>
    <row r="5745" spans="14:14" ht="15" customHeight="1" x14ac:dyDescent="0.25">
      <c r="N5745" t="s">
        <v>273</v>
      </c>
    </row>
    <row r="5746" spans="14:14" ht="15" customHeight="1" x14ac:dyDescent="0.25">
      <c r="N5746" t="s">
        <v>273</v>
      </c>
    </row>
    <row r="5747" spans="14:14" ht="15" customHeight="1" x14ac:dyDescent="0.25">
      <c r="N5747" t="s">
        <v>1112</v>
      </c>
    </row>
    <row r="5748" spans="14:14" ht="15" customHeight="1" x14ac:dyDescent="0.25">
      <c r="N5748" t="s">
        <v>895</v>
      </c>
    </row>
    <row r="5749" spans="14:14" ht="15" customHeight="1" x14ac:dyDescent="0.25">
      <c r="N5749" t="s">
        <v>912</v>
      </c>
    </row>
    <row r="5750" spans="14:14" ht="15" customHeight="1" x14ac:dyDescent="0.25">
      <c r="N5750" t="s">
        <v>912</v>
      </c>
    </row>
    <row r="5751" spans="14:14" ht="15" customHeight="1" x14ac:dyDescent="0.25">
      <c r="N5751" t="s">
        <v>1114</v>
      </c>
    </row>
    <row r="5752" spans="14:14" ht="15" customHeight="1" x14ac:dyDescent="0.25">
      <c r="N5752" t="s">
        <v>985</v>
      </c>
    </row>
    <row r="5753" spans="14:14" ht="15" customHeight="1" x14ac:dyDescent="0.25">
      <c r="N5753" t="s">
        <v>985</v>
      </c>
    </row>
    <row r="5754" spans="14:14" ht="15" customHeight="1" x14ac:dyDescent="0.25">
      <c r="N5754" t="s">
        <v>985</v>
      </c>
    </row>
    <row r="5755" spans="14:14" ht="15" customHeight="1" x14ac:dyDescent="0.25">
      <c r="N5755" t="s">
        <v>985</v>
      </c>
    </row>
    <row r="5756" spans="14:14" ht="15" customHeight="1" x14ac:dyDescent="0.25">
      <c r="N5756" t="s">
        <v>894</v>
      </c>
    </row>
    <row r="5757" spans="14:14" ht="15" customHeight="1" x14ac:dyDescent="0.25">
      <c r="N5757" t="s">
        <v>894</v>
      </c>
    </row>
    <row r="5758" spans="14:14" ht="15" customHeight="1" x14ac:dyDescent="0.25">
      <c r="N5758" t="s">
        <v>1106</v>
      </c>
    </row>
    <row r="5759" spans="14:14" ht="15" customHeight="1" x14ac:dyDescent="0.25">
      <c r="N5759" t="s">
        <v>1106</v>
      </c>
    </row>
    <row r="5760" spans="14:14" ht="15" customHeight="1" x14ac:dyDescent="0.25">
      <c r="N5760" t="s">
        <v>1119</v>
      </c>
    </row>
    <row r="5761" spans="14:14" ht="15" customHeight="1" x14ac:dyDescent="0.25">
      <c r="N5761" t="s">
        <v>915</v>
      </c>
    </row>
    <row r="5762" spans="14:14" ht="15" customHeight="1" x14ac:dyDescent="0.25">
      <c r="N5762" t="s">
        <v>1084</v>
      </c>
    </row>
    <row r="5763" spans="14:14" ht="15" customHeight="1" x14ac:dyDescent="0.25">
      <c r="N5763" t="s">
        <v>1084</v>
      </c>
    </row>
    <row r="5764" spans="14:14" ht="15" customHeight="1" x14ac:dyDescent="0.25">
      <c r="N5764" t="s">
        <v>1084</v>
      </c>
    </row>
    <row r="5765" spans="14:14" ht="15" customHeight="1" x14ac:dyDescent="0.25">
      <c r="N5765" t="s">
        <v>934</v>
      </c>
    </row>
    <row r="5766" spans="14:14" ht="15" customHeight="1" x14ac:dyDescent="0.25">
      <c r="N5766" t="s">
        <v>934</v>
      </c>
    </row>
    <row r="5767" spans="14:14" ht="15" customHeight="1" x14ac:dyDescent="0.25">
      <c r="N5767" t="s">
        <v>1125</v>
      </c>
    </row>
    <row r="5768" spans="14:14" ht="15" customHeight="1" x14ac:dyDescent="0.25">
      <c r="N5768" t="s">
        <v>1042</v>
      </c>
    </row>
    <row r="5769" spans="14:14" ht="15" customHeight="1" x14ac:dyDescent="0.25">
      <c r="N5769" t="s">
        <v>1079</v>
      </c>
    </row>
    <row r="5770" spans="14:14" ht="15" customHeight="1" x14ac:dyDescent="0.25">
      <c r="N5770" t="s">
        <v>1083</v>
      </c>
    </row>
    <row r="5771" spans="14:14" ht="15" customHeight="1" x14ac:dyDescent="0.25">
      <c r="N5771" t="s">
        <v>1083</v>
      </c>
    </row>
    <row r="5772" spans="14:14" ht="15" customHeight="1" x14ac:dyDescent="0.25">
      <c r="N5772" t="s">
        <v>1084</v>
      </c>
    </row>
    <row r="5773" spans="14:14" ht="15" customHeight="1" x14ac:dyDescent="0.25">
      <c r="N5773" t="s">
        <v>1084</v>
      </c>
    </row>
    <row r="5774" spans="14:14" ht="15" customHeight="1" x14ac:dyDescent="0.25">
      <c r="N5774" t="s">
        <v>897</v>
      </c>
    </row>
    <row r="5775" spans="14:14" ht="15" customHeight="1" x14ac:dyDescent="0.25">
      <c r="N5775" t="s">
        <v>933</v>
      </c>
    </row>
    <row r="5776" spans="14:14" ht="15" customHeight="1" x14ac:dyDescent="0.25">
      <c r="N5776" t="s">
        <v>998</v>
      </c>
    </row>
    <row r="5777" spans="14:14" ht="15" customHeight="1" x14ac:dyDescent="0.25">
      <c r="N5777" t="s">
        <v>1132</v>
      </c>
    </row>
    <row r="5778" spans="14:14" ht="15" customHeight="1" x14ac:dyDescent="0.25">
      <c r="N5778" t="s">
        <v>1132</v>
      </c>
    </row>
    <row r="5779" spans="14:14" ht="15" customHeight="1" x14ac:dyDescent="0.25">
      <c r="N5779" t="s">
        <v>1132</v>
      </c>
    </row>
    <row r="5780" spans="14:14" ht="15" customHeight="1" x14ac:dyDescent="0.25">
      <c r="N5780" t="s">
        <v>1132</v>
      </c>
    </row>
    <row r="5781" spans="14:14" ht="15" customHeight="1" x14ac:dyDescent="0.25">
      <c r="N5781" t="s">
        <v>1132</v>
      </c>
    </row>
    <row r="5782" spans="14:14" ht="15" customHeight="1" x14ac:dyDescent="0.25">
      <c r="N5782" t="s">
        <v>1132</v>
      </c>
    </row>
    <row r="5783" spans="14:14" ht="15" customHeight="1" x14ac:dyDescent="0.25">
      <c r="N5783" t="s">
        <v>933</v>
      </c>
    </row>
    <row r="5784" spans="14:14" ht="15" customHeight="1" x14ac:dyDescent="0.25">
      <c r="N5784" t="s">
        <v>254</v>
      </c>
    </row>
    <row r="5785" spans="14:14" ht="15" customHeight="1" x14ac:dyDescent="0.25">
      <c r="N5785" t="s">
        <v>1135</v>
      </c>
    </row>
    <row r="5786" spans="14:14" ht="15" customHeight="1" x14ac:dyDescent="0.25">
      <c r="N5786" t="s">
        <v>1138</v>
      </c>
    </row>
    <row r="5787" spans="14:14" ht="15" customHeight="1" x14ac:dyDescent="0.25">
      <c r="N5787" t="s">
        <v>904</v>
      </c>
    </row>
    <row r="5788" spans="14:14" ht="15" customHeight="1" x14ac:dyDescent="0.25">
      <c r="N5788" t="s">
        <v>1068</v>
      </c>
    </row>
    <row r="5789" spans="14:14" ht="15" customHeight="1" x14ac:dyDescent="0.25">
      <c r="N5789" t="s">
        <v>1097</v>
      </c>
    </row>
    <row r="5790" spans="14:14" ht="15" customHeight="1" x14ac:dyDescent="0.25">
      <c r="N5790" t="s">
        <v>967</v>
      </c>
    </row>
    <row r="5791" spans="14:14" ht="15" customHeight="1" x14ac:dyDescent="0.25">
      <c r="N5791" t="s">
        <v>1146</v>
      </c>
    </row>
    <row r="5792" spans="14:14" ht="15" customHeight="1" x14ac:dyDescent="0.25">
      <c r="N5792" t="s">
        <v>1146</v>
      </c>
    </row>
    <row r="5793" spans="14:14" ht="15" customHeight="1" x14ac:dyDescent="0.25">
      <c r="N5793" t="s">
        <v>1147</v>
      </c>
    </row>
    <row r="5794" spans="14:14" ht="15" customHeight="1" x14ac:dyDescent="0.25">
      <c r="N5794" t="s">
        <v>934</v>
      </c>
    </row>
    <row r="5795" spans="14:14" ht="15" customHeight="1" x14ac:dyDescent="0.25">
      <c r="N5795" t="s">
        <v>1068</v>
      </c>
    </row>
    <row r="5796" spans="14:14" ht="15" customHeight="1" x14ac:dyDescent="0.25">
      <c r="N5796" t="s">
        <v>1068</v>
      </c>
    </row>
    <row r="5797" spans="14:14" ht="15" customHeight="1" x14ac:dyDescent="0.25">
      <c r="N5797" t="s">
        <v>998</v>
      </c>
    </row>
    <row r="5798" spans="14:14" ht="15" customHeight="1" x14ac:dyDescent="0.25">
      <c r="N5798" t="s">
        <v>319</v>
      </c>
    </row>
    <row r="5799" spans="14:14" ht="15" customHeight="1" x14ac:dyDescent="0.25">
      <c r="N5799" t="s">
        <v>319</v>
      </c>
    </row>
    <row r="5800" spans="14:14" ht="15" customHeight="1" x14ac:dyDescent="0.25">
      <c r="N5800" t="s">
        <v>319</v>
      </c>
    </row>
    <row r="5801" spans="14:14" ht="15" customHeight="1" x14ac:dyDescent="0.25">
      <c r="N5801" t="s">
        <v>319</v>
      </c>
    </row>
    <row r="5802" spans="14:14" ht="15" customHeight="1" x14ac:dyDescent="0.25">
      <c r="N5802" t="s">
        <v>286</v>
      </c>
    </row>
    <row r="5803" spans="14:14" ht="15" customHeight="1" x14ac:dyDescent="0.25">
      <c r="N5803" t="s">
        <v>286</v>
      </c>
    </row>
    <row r="5804" spans="14:14" ht="15" customHeight="1" x14ac:dyDescent="0.25">
      <c r="N5804" t="s">
        <v>334</v>
      </c>
    </row>
    <row r="5805" spans="14:14" ht="15" customHeight="1" x14ac:dyDescent="0.25">
      <c r="N5805" t="s">
        <v>298</v>
      </c>
    </row>
    <row r="5806" spans="14:14" ht="15" customHeight="1" x14ac:dyDescent="0.25">
      <c r="N5806" t="s">
        <v>254</v>
      </c>
    </row>
    <row r="5807" spans="14:14" ht="15" customHeight="1" x14ac:dyDescent="0.25">
      <c r="N5807" t="s">
        <v>1154</v>
      </c>
    </row>
    <row r="5808" spans="14:14" ht="15" customHeight="1" x14ac:dyDescent="0.25">
      <c r="N5808" t="s">
        <v>1154</v>
      </c>
    </row>
    <row r="5809" spans="14:14" ht="15" customHeight="1" x14ac:dyDescent="0.25">
      <c r="N5809" t="s">
        <v>1024</v>
      </c>
    </row>
    <row r="5810" spans="14:14" ht="15" customHeight="1" x14ac:dyDescent="0.25">
      <c r="N5810" t="s">
        <v>1024</v>
      </c>
    </row>
    <row r="5811" spans="14:14" ht="15" customHeight="1" x14ac:dyDescent="0.25">
      <c r="N5811" t="s">
        <v>1106</v>
      </c>
    </row>
    <row r="5812" spans="14:14" ht="15" customHeight="1" x14ac:dyDescent="0.25">
      <c r="N5812" t="s">
        <v>985</v>
      </c>
    </row>
    <row r="5813" spans="14:14" ht="15" customHeight="1" x14ac:dyDescent="0.25">
      <c r="N5813" t="s">
        <v>985</v>
      </c>
    </row>
    <row r="5814" spans="14:14" ht="15" customHeight="1" x14ac:dyDescent="0.25">
      <c r="N5814" t="s">
        <v>985</v>
      </c>
    </row>
    <row r="5815" spans="14:14" ht="15" customHeight="1" x14ac:dyDescent="0.25">
      <c r="N5815" t="s">
        <v>985</v>
      </c>
    </row>
    <row r="5816" spans="14:14" ht="15" customHeight="1" x14ac:dyDescent="0.25">
      <c r="N5816" t="s">
        <v>1030</v>
      </c>
    </row>
    <row r="5817" spans="14:14" ht="15" customHeight="1" x14ac:dyDescent="0.25">
      <c r="N5817" t="s">
        <v>1030</v>
      </c>
    </row>
    <row r="5818" spans="14:14" ht="15" customHeight="1" x14ac:dyDescent="0.25">
      <c r="N5818" t="s">
        <v>1030</v>
      </c>
    </row>
    <row r="5819" spans="14:14" ht="15" customHeight="1" x14ac:dyDescent="0.25">
      <c r="N5819" t="s">
        <v>1163</v>
      </c>
    </row>
    <row r="5820" spans="14:14" ht="15" customHeight="1" x14ac:dyDescent="0.25">
      <c r="N5820" t="s">
        <v>1163</v>
      </c>
    </row>
    <row r="5821" spans="14:14" ht="15" customHeight="1" x14ac:dyDescent="0.25">
      <c r="N5821" t="s">
        <v>1163</v>
      </c>
    </row>
    <row r="5822" spans="14:14" ht="15" customHeight="1" x14ac:dyDescent="0.25">
      <c r="N5822" t="s">
        <v>1166</v>
      </c>
    </row>
    <row r="5823" spans="14:14" ht="15" customHeight="1" x14ac:dyDescent="0.25">
      <c r="N5823" t="s">
        <v>1166</v>
      </c>
    </row>
    <row r="5824" spans="14:14" ht="15" customHeight="1" x14ac:dyDescent="0.25">
      <c r="N5824" t="s">
        <v>904</v>
      </c>
    </row>
    <row r="5825" spans="14:14" ht="15" customHeight="1" x14ac:dyDescent="0.25">
      <c r="N5825" t="s">
        <v>1083</v>
      </c>
    </row>
    <row r="5826" spans="14:14" ht="15" customHeight="1" x14ac:dyDescent="0.25">
      <c r="N5826" t="s">
        <v>894</v>
      </c>
    </row>
    <row r="5827" spans="14:14" ht="15" customHeight="1" x14ac:dyDescent="0.25">
      <c r="N5827" t="s">
        <v>933</v>
      </c>
    </row>
    <row r="5828" spans="14:14" ht="15" customHeight="1" x14ac:dyDescent="0.25">
      <c r="N5828" t="s">
        <v>1132</v>
      </c>
    </row>
    <row r="5829" spans="14:14" ht="15" customHeight="1" x14ac:dyDescent="0.25">
      <c r="N5829" t="s">
        <v>1132</v>
      </c>
    </row>
    <row r="5830" spans="14:14" ht="15" customHeight="1" x14ac:dyDescent="0.25">
      <c r="N5830" t="s">
        <v>1132</v>
      </c>
    </row>
    <row r="5831" spans="14:14" ht="15" customHeight="1" x14ac:dyDescent="0.25">
      <c r="N5831" t="s">
        <v>1132</v>
      </c>
    </row>
    <row r="5832" spans="14:14" ht="15" customHeight="1" x14ac:dyDescent="0.25">
      <c r="N5832" t="s">
        <v>1132</v>
      </c>
    </row>
    <row r="5833" spans="14:14" ht="15" customHeight="1" x14ac:dyDescent="0.25">
      <c r="N5833" t="s">
        <v>1132</v>
      </c>
    </row>
    <row r="5834" spans="14:14" ht="15" customHeight="1" x14ac:dyDescent="0.25">
      <c r="N5834" t="s">
        <v>901</v>
      </c>
    </row>
    <row r="5835" spans="14:14" ht="15" customHeight="1" x14ac:dyDescent="0.25">
      <c r="N5835" t="s">
        <v>286</v>
      </c>
    </row>
    <row r="5836" spans="14:14" ht="15" customHeight="1" x14ac:dyDescent="0.25">
      <c r="N5836" t="s">
        <v>1135</v>
      </c>
    </row>
    <row r="5837" spans="14:14" ht="15" customHeight="1" x14ac:dyDescent="0.25">
      <c r="N5837" t="s">
        <v>934</v>
      </c>
    </row>
    <row r="5838" spans="14:14" ht="15" customHeight="1" x14ac:dyDescent="0.25">
      <c r="N5838" t="s">
        <v>1138</v>
      </c>
    </row>
    <row r="5839" spans="14:14" ht="15" customHeight="1" x14ac:dyDescent="0.25">
      <c r="N5839" t="s">
        <v>1181</v>
      </c>
    </row>
    <row r="5840" spans="14:14" ht="15" customHeight="1" x14ac:dyDescent="0.25">
      <c r="N5840" t="s">
        <v>1181</v>
      </c>
    </row>
    <row r="5841" spans="14:14" ht="15" customHeight="1" x14ac:dyDescent="0.25">
      <c r="N5841" t="s">
        <v>1182</v>
      </c>
    </row>
    <row r="5842" spans="14:14" ht="15" customHeight="1" x14ac:dyDescent="0.25">
      <c r="N5842" t="s">
        <v>1125</v>
      </c>
    </row>
    <row r="5843" spans="14:14" ht="15" customHeight="1" x14ac:dyDescent="0.25">
      <c r="N5843" t="s">
        <v>988</v>
      </c>
    </row>
    <row r="5844" spans="14:14" ht="15" customHeight="1" x14ac:dyDescent="0.25">
      <c r="N5844" t="s">
        <v>988</v>
      </c>
    </row>
    <row r="5845" spans="14:14" ht="15" customHeight="1" x14ac:dyDescent="0.25">
      <c r="N5845" t="s">
        <v>1042</v>
      </c>
    </row>
    <row r="5846" spans="14:14" ht="15" customHeight="1" x14ac:dyDescent="0.25">
      <c r="N5846" t="s">
        <v>249</v>
      </c>
    </row>
    <row r="5847" spans="14:14" ht="15" customHeight="1" x14ac:dyDescent="0.25">
      <c r="N5847" t="s">
        <v>249</v>
      </c>
    </row>
    <row r="5848" spans="14:14" ht="15" customHeight="1" x14ac:dyDescent="0.25">
      <c r="N5848" t="s">
        <v>249</v>
      </c>
    </row>
    <row r="5849" spans="14:14" ht="15" customHeight="1" x14ac:dyDescent="0.25">
      <c r="N5849" t="s">
        <v>249</v>
      </c>
    </row>
    <row r="5850" spans="14:14" ht="15" customHeight="1" x14ac:dyDescent="0.25">
      <c r="N5850" t="s">
        <v>1185</v>
      </c>
    </row>
    <row r="5851" spans="14:14" ht="15" customHeight="1" x14ac:dyDescent="0.25">
      <c r="N5851" t="s">
        <v>1185</v>
      </c>
    </row>
    <row r="5852" spans="14:14" ht="15" customHeight="1" x14ac:dyDescent="0.25">
      <c r="N5852" t="s">
        <v>773</v>
      </c>
    </row>
    <row r="5853" spans="14:14" ht="15" customHeight="1" x14ac:dyDescent="0.25">
      <c r="N5853" t="s">
        <v>773</v>
      </c>
    </row>
    <row r="5854" spans="14:14" ht="15" customHeight="1" x14ac:dyDescent="0.25">
      <c r="N5854" t="s">
        <v>773</v>
      </c>
    </row>
    <row r="5855" spans="14:14" ht="15" customHeight="1" x14ac:dyDescent="0.25">
      <c r="N5855" t="s">
        <v>773</v>
      </c>
    </row>
    <row r="5856" spans="14:14" ht="15" customHeight="1" x14ac:dyDescent="0.25">
      <c r="N5856" t="s">
        <v>286</v>
      </c>
    </row>
    <row r="5857" spans="14:14" ht="15" customHeight="1" x14ac:dyDescent="0.25">
      <c r="N5857" t="s">
        <v>1069</v>
      </c>
    </row>
    <row r="5858" spans="14:14" ht="15" customHeight="1" x14ac:dyDescent="0.25">
      <c r="N5858" t="s">
        <v>1069</v>
      </c>
    </row>
    <row r="5859" spans="14:14" ht="15" customHeight="1" x14ac:dyDescent="0.25">
      <c r="N5859" t="s">
        <v>998</v>
      </c>
    </row>
    <row r="5860" spans="14:14" ht="15" customHeight="1" x14ac:dyDescent="0.25">
      <c r="N5860" t="s">
        <v>1069</v>
      </c>
    </row>
    <row r="5861" spans="14:14" ht="15" customHeight="1" x14ac:dyDescent="0.25">
      <c r="N5861" t="s">
        <v>988</v>
      </c>
    </row>
    <row r="5862" spans="14:14" ht="15" customHeight="1" x14ac:dyDescent="0.25">
      <c r="N5862" t="s">
        <v>988</v>
      </c>
    </row>
    <row r="5863" spans="14:14" ht="15" customHeight="1" x14ac:dyDescent="0.25">
      <c r="N5863" t="s">
        <v>1188</v>
      </c>
    </row>
    <row r="5864" spans="14:14" ht="15" customHeight="1" x14ac:dyDescent="0.25">
      <c r="N5864" t="s">
        <v>1188</v>
      </c>
    </row>
    <row r="5865" spans="14:14" ht="15" customHeight="1" x14ac:dyDescent="0.25">
      <c r="N5865" t="s">
        <v>1106</v>
      </c>
    </row>
    <row r="5866" spans="14:14" ht="15" customHeight="1" x14ac:dyDescent="0.25">
      <c r="N5866" t="s">
        <v>1106</v>
      </c>
    </row>
    <row r="5867" spans="14:14" ht="15" customHeight="1" x14ac:dyDescent="0.25">
      <c r="N5867" t="s">
        <v>1106</v>
      </c>
    </row>
    <row r="5868" spans="14:14" ht="15" customHeight="1" x14ac:dyDescent="0.25">
      <c r="N5868" t="s">
        <v>1106</v>
      </c>
    </row>
    <row r="5869" spans="14:14" ht="15" customHeight="1" x14ac:dyDescent="0.25">
      <c r="N5869" t="s">
        <v>1106</v>
      </c>
    </row>
    <row r="5870" spans="14:14" ht="15" customHeight="1" x14ac:dyDescent="0.25">
      <c r="N5870" t="s">
        <v>1106</v>
      </c>
    </row>
    <row r="5871" spans="14:14" ht="15" customHeight="1" x14ac:dyDescent="0.25">
      <c r="N5871" t="s">
        <v>1106</v>
      </c>
    </row>
    <row r="5872" spans="14:14" ht="15" customHeight="1" x14ac:dyDescent="0.25">
      <c r="N5872" t="s">
        <v>1106</v>
      </c>
    </row>
    <row r="5873" spans="14:14" ht="15" customHeight="1" x14ac:dyDescent="0.25">
      <c r="N5873" t="s">
        <v>1119</v>
      </c>
    </row>
    <row r="5874" spans="14:14" ht="15" customHeight="1" x14ac:dyDescent="0.25">
      <c r="N5874" t="s">
        <v>1191</v>
      </c>
    </row>
    <row r="5875" spans="14:14" ht="15" customHeight="1" x14ac:dyDescent="0.25">
      <c r="N5875" t="s">
        <v>1191</v>
      </c>
    </row>
    <row r="5876" spans="14:14" ht="15" customHeight="1" x14ac:dyDescent="0.25">
      <c r="N5876" t="s">
        <v>998</v>
      </c>
    </row>
    <row r="5877" spans="14:14" ht="15" customHeight="1" x14ac:dyDescent="0.25">
      <c r="N5877" t="s">
        <v>998</v>
      </c>
    </row>
    <row r="5878" spans="14:14" ht="15" customHeight="1" x14ac:dyDescent="0.25">
      <c r="N5878" t="s">
        <v>934</v>
      </c>
    </row>
    <row r="5879" spans="14:14" ht="15" customHeight="1" x14ac:dyDescent="0.25">
      <c r="N5879" t="s">
        <v>1195</v>
      </c>
    </row>
    <row r="5880" spans="14:14" ht="15" customHeight="1" x14ac:dyDescent="0.25">
      <c r="N5880" t="s">
        <v>1042</v>
      </c>
    </row>
    <row r="5881" spans="14:14" ht="15" customHeight="1" x14ac:dyDescent="0.25">
      <c r="N5881" t="s">
        <v>1135</v>
      </c>
    </row>
    <row r="5882" spans="14:14" ht="15" customHeight="1" x14ac:dyDescent="0.25">
      <c r="N5882" t="s">
        <v>933</v>
      </c>
    </row>
    <row r="5883" spans="14:14" ht="15" customHeight="1" x14ac:dyDescent="0.25">
      <c r="N5883" t="s">
        <v>904</v>
      </c>
    </row>
    <row r="5884" spans="14:14" ht="15" customHeight="1" x14ac:dyDescent="0.25">
      <c r="N5884" t="s">
        <v>904</v>
      </c>
    </row>
    <row r="5885" spans="14:14" ht="15" customHeight="1" x14ac:dyDescent="0.25">
      <c r="N5885" t="s">
        <v>249</v>
      </c>
    </row>
    <row r="5886" spans="14:14" ht="15" customHeight="1" x14ac:dyDescent="0.25">
      <c r="N5886" t="s">
        <v>1205</v>
      </c>
    </row>
    <row r="5887" spans="14:14" ht="15" customHeight="1" x14ac:dyDescent="0.25">
      <c r="N5887" t="s">
        <v>1147</v>
      </c>
    </row>
    <row r="5888" spans="14:14" ht="15" customHeight="1" x14ac:dyDescent="0.25">
      <c r="N5888" t="s">
        <v>254</v>
      </c>
    </row>
    <row r="5889" spans="14:14" ht="15" customHeight="1" x14ac:dyDescent="0.25">
      <c r="N5889" t="s">
        <v>254</v>
      </c>
    </row>
    <row r="5890" spans="14:14" ht="15" customHeight="1" x14ac:dyDescent="0.25">
      <c r="N5890" t="s">
        <v>254</v>
      </c>
    </row>
    <row r="5891" spans="14:14" ht="15" customHeight="1" x14ac:dyDescent="0.25">
      <c r="N5891" t="s">
        <v>1208</v>
      </c>
    </row>
    <row r="5892" spans="14:14" ht="15" customHeight="1" x14ac:dyDescent="0.25">
      <c r="N5892" t="s">
        <v>480</v>
      </c>
    </row>
    <row r="5893" spans="14:14" ht="15" customHeight="1" x14ac:dyDescent="0.25">
      <c r="N5893" t="s">
        <v>1209</v>
      </c>
    </row>
    <row r="5894" spans="14:14" ht="15" customHeight="1" x14ac:dyDescent="0.25">
      <c r="N5894" t="s">
        <v>480</v>
      </c>
    </row>
    <row r="5895" spans="14:14" ht="15" customHeight="1" x14ac:dyDescent="0.25">
      <c r="N5895" t="s">
        <v>777</v>
      </c>
    </row>
    <row r="5896" spans="14:14" ht="15" customHeight="1" x14ac:dyDescent="0.25">
      <c r="N5896" t="s">
        <v>1209</v>
      </c>
    </row>
    <row r="5897" spans="14:14" ht="15" customHeight="1" x14ac:dyDescent="0.25">
      <c r="N5897" t="s">
        <v>254</v>
      </c>
    </row>
    <row r="5898" spans="14:14" ht="15" customHeight="1" x14ac:dyDescent="0.25">
      <c r="N5898" t="s">
        <v>885</v>
      </c>
    </row>
    <row r="5899" spans="14:14" ht="15" customHeight="1" x14ac:dyDescent="0.25">
      <c r="N5899" t="s">
        <v>1042</v>
      </c>
    </row>
    <row r="5900" spans="14:14" ht="15" customHeight="1" x14ac:dyDescent="0.25">
      <c r="N5900" t="s">
        <v>904</v>
      </c>
    </row>
    <row r="5901" spans="14:14" ht="15" customHeight="1" x14ac:dyDescent="0.25">
      <c r="N5901" t="s">
        <v>904</v>
      </c>
    </row>
    <row r="5902" spans="14:14" ht="15" customHeight="1" x14ac:dyDescent="0.25">
      <c r="N5902" t="s">
        <v>1069</v>
      </c>
    </row>
    <row r="5903" spans="14:14" ht="15" customHeight="1" x14ac:dyDescent="0.25">
      <c r="N5903" t="s">
        <v>1069</v>
      </c>
    </row>
    <row r="5904" spans="14:14" ht="15" customHeight="1" x14ac:dyDescent="0.25">
      <c r="N5904" t="s">
        <v>1188</v>
      </c>
    </row>
    <row r="5905" spans="14:14" ht="15" customHeight="1" x14ac:dyDescent="0.25">
      <c r="N5905" t="s">
        <v>1188</v>
      </c>
    </row>
    <row r="5906" spans="14:14" ht="15" customHeight="1" x14ac:dyDescent="0.25">
      <c r="N5906" t="s">
        <v>1188</v>
      </c>
    </row>
    <row r="5907" spans="14:14" ht="15" customHeight="1" x14ac:dyDescent="0.25">
      <c r="N5907" t="s">
        <v>1188</v>
      </c>
    </row>
    <row r="5908" spans="14:14" ht="15" customHeight="1" x14ac:dyDescent="0.25">
      <c r="N5908" t="s">
        <v>1188</v>
      </c>
    </row>
    <row r="5909" spans="14:14" ht="15" customHeight="1" x14ac:dyDescent="0.25">
      <c r="N5909" t="s">
        <v>1188</v>
      </c>
    </row>
    <row r="5910" spans="14:14" ht="15" customHeight="1" x14ac:dyDescent="0.25">
      <c r="N5910" t="s">
        <v>1188</v>
      </c>
    </row>
    <row r="5911" spans="14:14" ht="15" customHeight="1" x14ac:dyDescent="0.25">
      <c r="N5911" t="s">
        <v>1188</v>
      </c>
    </row>
    <row r="5912" spans="14:14" ht="15" customHeight="1" x14ac:dyDescent="0.25">
      <c r="N5912" t="s">
        <v>1216</v>
      </c>
    </row>
    <row r="5913" spans="14:14" ht="15" customHeight="1" x14ac:dyDescent="0.25">
      <c r="N5913" t="s">
        <v>1030</v>
      </c>
    </row>
    <row r="5914" spans="14:14" ht="15" customHeight="1" x14ac:dyDescent="0.25">
      <c r="N5914" t="s">
        <v>1049</v>
      </c>
    </row>
    <row r="5915" spans="14:14" ht="15" customHeight="1" x14ac:dyDescent="0.25">
      <c r="N5915" t="s">
        <v>1163</v>
      </c>
    </row>
    <row r="5916" spans="14:14" ht="15" customHeight="1" x14ac:dyDescent="0.25">
      <c r="N5916" t="s">
        <v>1163</v>
      </c>
    </row>
    <row r="5917" spans="14:14" ht="15" customHeight="1" x14ac:dyDescent="0.25">
      <c r="N5917" t="s">
        <v>1218</v>
      </c>
    </row>
    <row r="5918" spans="14:14" ht="15" customHeight="1" x14ac:dyDescent="0.25">
      <c r="N5918" t="s">
        <v>1042</v>
      </c>
    </row>
    <row r="5919" spans="14:14" ht="15" customHeight="1" x14ac:dyDescent="0.25">
      <c r="N5919" t="s">
        <v>1042</v>
      </c>
    </row>
    <row r="5920" spans="14:14" ht="15" customHeight="1" x14ac:dyDescent="0.25">
      <c r="N5920" t="s">
        <v>985</v>
      </c>
    </row>
    <row r="5921" spans="14:14" ht="15" customHeight="1" x14ac:dyDescent="0.25">
      <c r="N5921" t="s">
        <v>934</v>
      </c>
    </row>
    <row r="5922" spans="14:14" ht="15" customHeight="1" x14ac:dyDescent="0.25">
      <c r="N5922" t="s">
        <v>934</v>
      </c>
    </row>
    <row r="5923" spans="14:14" ht="15" customHeight="1" x14ac:dyDescent="0.25">
      <c r="N5923" t="s">
        <v>934</v>
      </c>
    </row>
    <row r="5924" spans="14:14" ht="15" customHeight="1" x14ac:dyDescent="0.25">
      <c r="N5924" t="s">
        <v>319</v>
      </c>
    </row>
    <row r="5925" spans="14:14" ht="15" customHeight="1" x14ac:dyDescent="0.25">
      <c r="N5925" t="s">
        <v>1042</v>
      </c>
    </row>
    <row r="5926" spans="14:14" ht="15" customHeight="1" x14ac:dyDescent="0.25">
      <c r="N5926" t="s">
        <v>1225</v>
      </c>
    </row>
    <row r="5927" spans="14:14" ht="15" customHeight="1" x14ac:dyDescent="0.25">
      <c r="N5927" t="s">
        <v>249</v>
      </c>
    </row>
    <row r="5928" spans="14:14" ht="15" customHeight="1" x14ac:dyDescent="0.25">
      <c r="N5928" t="s">
        <v>249</v>
      </c>
    </row>
    <row r="5929" spans="14:14" ht="15" customHeight="1" x14ac:dyDescent="0.25">
      <c r="N5929" t="s">
        <v>249</v>
      </c>
    </row>
    <row r="5930" spans="14:14" ht="15" customHeight="1" x14ac:dyDescent="0.25">
      <c r="N5930" t="s">
        <v>371</v>
      </c>
    </row>
    <row r="5931" spans="14:14" ht="15" customHeight="1" x14ac:dyDescent="0.25">
      <c r="N5931" t="s">
        <v>319</v>
      </c>
    </row>
    <row r="5932" spans="14:14" ht="15" customHeight="1" x14ac:dyDescent="0.25">
      <c r="N5932" t="s">
        <v>773</v>
      </c>
    </row>
    <row r="5933" spans="14:14" ht="15" customHeight="1" x14ac:dyDescent="0.25">
      <c r="N5933" t="s">
        <v>773</v>
      </c>
    </row>
    <row r="5934" spans="14:14" ht="15" customHeight="1" x14ac:dyDescent="0.25">
      <c r="N5934" t="s">
        <v>719</v>
      </c>
    </row>
    <row r="5935" spans="14:14" ht="15" customHeight="1" x14ac:dyDescent="0.25">
      <c r="N5935" t="s">
        <v>1228</v>
      </c>
    </row>
    <row r="5936" spans="14:14" ht="15" customHeight="1" x14ac:dyDescent="0.25">
      <c r="N5936" t="s">
        <v>934</v>
      </c>
    </row>
    <row r="5937" spans="14:14" ht="15" customHeight="1" x14ac:dyDescent="0.25">
      <c r="N5937" t="s">
        <v>934</v>
      </c>
    </row>
    <row r="5938" spans="14:14" ht="15" customHeight="1" x14ac:dyDescent="0.25">
      <c r="N5938" t="s">
        <v>1230</v>
      </c>
    </row>
    <row r="5939" spans="14:14" ht="15" customHeight="1" x14ac:dyDescent="0.25">
      <c r="N5939" t="s">
        <v>1083</v>
      </c>
    </row>
    <row r="5940" spans="14:14" ht="15" customHeight="1" x14ac:dyDescent="0.25">
      <c r="N5940" t="s">
        <v>1232</v>
      </c>
    </row>
    <row r="5941" spans="14:14" ht="15" customHeight="1" x14ac:dyDescent="0.25">
      <c r="N5941" t="s">
        <v>1232</v>
      </c>
    </row>
    <row r="5942" spans="14:14" ht="15" customHeight="1" x14ac:dyDescent="0.25">
      <c r="N5942" t="s">
        <v>1166</v>
      </c>
    </row>
    <row r="5943" spans="14:14" ht="15" customHeight="1" x14ac:dyDescent="0.25">
      <c r="N5943" t="s">
        <v>1069</v>
      </c>
    </row>
    <row r="5944" spans="14:14" ht="15" customHeight="1" x14ac:dyDescent="0.25">
      <c r="N5944" t="s">
        <v>1201</v>
      </c>
    </row>
    <row r="5945" spans="14:14" ht="15" customHeight="1" x14ac:dyDescent="0.25">
      <c r="N5945" t="s">
        <v>912</v>
      </c>
    </row>
    <row r="5946" spans="14:14" ht="15" customHeight="1" x14ac:dyDescent="0.25">
      <c r="N5946" t="s">
        <v>1163</v>
      </c>
    </row>
    <row r="5947" spans="14:14" ht="15" customHeight="1" x14ac:dyDescent="0.25">
      <c r="N5947" t="s">
        <v>1163</v>
      </c>
    </row>
    <row r="5948" spans="14:14" ht="15" customHeight="1" x14ac:dyDescent="0.25">
      <c r="N5948" t="s">
        <v>993</v>
      </c>
    </row>
    <row r="5949" spans="14:14" ht="15" customHeight="1" x14ac:dyDescent="0.25">
      <c r="N5949" t="s">
        <v>1042</v>
      </c>
    </row>
    <row r="5950" spans="14:14" ht="15" customHeight="1" x14ac:dyDescent="0.25">
      <c r="N5950" t="s">
        <v>985</v>
      </c>
    </row>
    <row r="5951" spans="14:14" ht="15" customHeight="1" x14ac:dyDescent="0.25">
      <c r="N5951" t="s">
        <v>1236</v>
      </c>
    </row>
    <row r="5952" spans="14:14" ht="15" customHeight="1" x14ac:dyDescent="0.25">
      <c r="N5952" t="s">
        <v>934</v>
      </c>
    </row>
    <row r="5953" spans="14:14" ht="15" customHeight="1" x14ac:dyDescent="0.25">
      <c r="N5953" t="s">
        <v>894</v>
      </c>
    </row>
    <row r="5954" spans="14:14" ht="15" customHeight="1" x14ac:dyDescent="0.25">
      <c r="N5954" t="s">
        <v>1188</v>
      </c>
    </row>
    <row r="5955" spans="14:14" ht="15" customHeight="1" x14ac:dyDescent="0.25">
      <c r="N5955" t="s">
        <v>1188</v>
      </c>
    </row>
    <row r="5956" spans="14:14" ht="15" customHeight="1" x14ac:dyDescent="0.25">
      <c r="N5956" t="s">
        <v>1125</v>
      </c>
    </row>
    <row r="5957" spans="14:14" ht="15" customHeight="1" x14ac:dyDescent="0.25">
      <c r="N5957" t="s">
        <v>1237</v>
      </c>
    </row>
    <row r="5958" spans="14:14" ht="15" customHeight="1" x14ac:dyDescent="0.25">
      <c r="N5958" t="s">
        <v>1185</v>
      </c>
    </row>
    <row r="5959" spans="14:14" ht="15" customHeight="1" x14ac:dyDescent="0.25">
      <c r="N5959" t="s">
        <v>249</v>
      </c>
    </row>
    <row r="5960" spans="14:14" ht="15" customHeight="1" x14ac:dyDescent="0.25">
      <c r="N5960" t="s">
        <v>777</v>
      </c>
    </row>
    <row r="5961" spans="14:14" ht="15" customHeight="1" x14ac:dyDescent="0.25">
      <c r="N5961" t="s">
        <v>480</v>
      </c>
    </row>
    <row r="5962" spans="14:14" ht="15" customHeight="1" x14ac:dyDescent="0.25">
      <c r="N5962" t="s">
        <v>319</v>
      </c>
    </row>
    <row r="5963" spans="14:14" ht="15" customHeight="1" x14ac:dyDescent="0.25">
      <c r="N5963" t="s">
        <v>334</v>
      </c>
    </row>
    <row r="5964" spans="14:14" ht="15" customHeight="1" x14ac:dyDescent="0.25">
      <c r="N5964" t="s">
        <v>254</v>
      </c>
    </row>
    <row r="5965" spans="14:14" ht="15" customHeight="1" x14ac:dyDescent="0.25">
      <c r="N5965" t="s">
        <v>1188</v>
      </c>
    </row>
    <row r="5966" spans="14:14" ht="15" customHeight="1" x14ac:dyDescent="0.25">
      <c r="N5966" t="s">
        <v>1166</v>
      </c>
    </row>
    <row r="5967" spans="14:14" ht="15" customHeight="1" x14ac:dyDescent="0.25">
      <c r="N5967" t="s">
        <v>1166</v>
      </c>
    </row>
    <row r="5968" spans="14:14" ht="15" customHeight="1" x14ac:dyDescent="0.25">
      <c r="N5968" t="s">
        <v>1240</v>
      </c>
    </row>
    <row r="5969" spans="14:14" ht="15" customHeight="1" x14ac:dyDescent="0.25">
      <c r="N5969" t="s">
        <v>998</v>
      </c>
    </row>
    <row r="5970" spans="14:14" ht="15" customHeight="1" x14ac:dyDescent="0.25">
      <c r="N5970" t="s">
        <v>933</v>
      </c>
    </row>
    <row r="5971" spans="14:14" ht="15" customHeight="1" x14ac:dyDescent="0.25">
      <c r="N5971" t="s">
        <v>980</v>
      </c>
    </row>
    <row r="5972" spans="14:14" ht="15" customHeight="1" x14ac:dyDescent="0.25">
      <c r="N5972" t="s">
        <v>1042</v>
      </c>
    </row>
    <row r="5973" spans="14:14" ht="15" customHeight="1" x14ac:dyDescent="0.25">
      <c r="N5973" t="s">
        <v>1242</v>
      </c>
    </row>
    <row r="5974" spans="14:14" ht="15" customHeight="1" x14ac:dyDescent="0.25">
      <c r="N5974" t="s">
        <v>933</v>
      </c>
    </row>
    <row r="5975" spans="14:14" ht="15" customHeight="1" x14ac:dyDescent="0.25">
      <c r="N5975" t="s">
        <v>909</v>
      </c>
    </row>
    <row r="5976" spans="14:14" ht="15" customHeight="1" x14ac:dyDescent="0.25">
      <c r="N5976" t="s">
        <v>1243</v>
      </c>
    </row>
    <row r="5977" spans="14:14" ht="15" customHeight="1" x14ac:dyDescent="0.25">
      <c r="N5977" t="s">
        <v>1243</v>
      </c>
    </row>
    <row r="5978" spans="14:14" ht="15" customHeight="1" x14ac:dyDescent="0.25">
      <c r="N5978" t="s">
        <v>1205</v>
      </c>
    </row>
    <row r="5979" spans="14:14" ht="15" customHeight="1" x14ac:dyDescent="0.25">
      <c r="N5979" t="s">
        <v>334</v>
      </c>
    </row>
    <row r="5980" spans="14:14" ht="15" customHeight="1" x14ac:dyDescent="0.25">
      <c r="N5980" t="s">
        <v>818</v>
      </c>
    </row>
    <row r="5981" spans="14:14" ht="15" customHeight="1" x14ac:dyDescent="0.25">
      <c r="N5981" t="s">
        <v>247</v>
      </c>
    </row>
    <row r="5982" spans="14:14" ht="15" customHeight="1" x14ac:dyDescent="0.25">
      <c r="N5982" t="s">
        <v>998</v>
      </c>
    </row>
    <row r="5983" spans="14:14" ht="15" customHeight="1" x14ac:dyDescent="0.25">
      <c r="N5983" t="s">
        <v>998</v>
      </c>
    </row>
    <row r="5984" spans="14:14" ht="15" customHeight="1" x14ac:dyDescent="0.25">
      <c r="N5984" t="s">
        <v>933</v>
      </c>
    </row>
    <row r="5985" spans="14:14" ht="15" customHeight="1" x14ac:dyDescent="0.25">
      <c r="N5985" t="s">
        <v>1244</v>
      </c>
    </row>
    <row r="5986" spans="14:14" ht="15" customHeight="1" x14ac:dyDescent="0.25">
      <c r="N5986" t="s">
        <v>934</v>
      </c>
    </row>
    <row r="5987" spans="14:14" ht="15" customHeight="1" x14ac:dyDescent="0.25">
      <c r="N5987" t="s">
        <v>1195</v>
      </c>
    </row>
    <row r="5988" spans="14:14" ht="15" customHeight="1" x14ac:dyDescent="0.25">
      <c r="N5988" t="s">
        <v>1166</v>
      </c>
    </row>
    <row r="5989" spans="14:14" ht="15" customHeight="1" x14ac:dyDescent="0.25">
      <c r="N5989" t="s">
        <v>998</v>
      </c>
    </row>
    <row r="5990" spans="14:14" ht="15" customHeight="1" x14ac:dyDescent="0.25">
      <c r="N5990" t="s">
        <v>1245</v>
      </c>
    </row>
    <row r="5991" spans="14:14" ht="15" customHeight="1" x14ac:dyDescent="0.25">
      <c r="N5991" t="s">
        <v>1245</v>
      </c>
    </row>
    <row r="5992" spans="14:14" ht="15" customHeight="1" x14ac:dyDescent="0.25">
      <c r="N5992" t="s">
        <v>1247</v>
      </c>
    </row>
    <row r="5993" spans="14:14" ht="15" customHeight="1" x14ac:dyDescent="0.25">
      <c r="N5993" t="s">
        <v>273</v>
      </c>
    </row>
    <row r="5994" spans="14:14" ht="15" customHeight="1" x14ac:dyDescent="0.25">
      <c r="N5994" t="s">
        <v>907</v>
      </c>
    </row>
    <row r="5995" spans="14:14" ht="15" customHeight="1" x14ac:dyDescent="0.25">
      <c r="N5995" t="s">
        <v>901</v>
      </c>
    </row>
    <row r="5996" spans="14:14" ht="15" customHeight="1" x14ac:dyDescent="0.25">
      <c r="N5996" t="s">
        <v>1251</v>
      </c>
    </row>
    <row r="5997" spans="14:14" ht="15" customHeight="1" x14ac:dyDescent="0.25">
      <c r="N5997" t="s">
        <v>1252</v>
      </c>
    </row>
    <row r="5998" spans="14:14" ht="15" customHeight="1" x14ac:dyDescent="0.25">
      <c r="N5998" t="s">
        <v>998</v>
      </c>
    </row>
    <row r="5999" spans="14:14" ht="15" customHeight="1" x14ac:dyDescent="0.25">
      <c r="N5999" t="s">
        <v>1042</v>
      </c>
    </row>
    <row r="6000" spans="14:14" ht="15" customHeight="1" x14ac:dyDescent="0.25">
      <c r="N6000" t="s">
        <v>988</v>
      </c>
    </row>
    <row r="6001" spans="14:14" ht="15" customHeight="1" x14ac:dyDescent="0.25">
      <c r="N6001" t="s">
        <v>1166</v>
      </c>
    </row>
    <row r="6002" spans="14:14" ht="15" customHeight="1" x14ac:dyDescent="0.25">
      <c r="N6002" t="s">
        <v>1166</v>
      </c>
    </row>
    <row r="6003" spans="14:14" ht="15" customHeight="1" x14ac:dyDescent="0.25">
      <c r="N6003" t="s">
        <v>1247</v>
      </c>
    </row>
    <row r="6004" spans="14:14" ht="15" customHeight="1" x14ac:dyDescent="0.25">
      <c r="N6004" t="s">
        <v>907</v>
      </c>
    </row>
    <row r="6005" spans="14:14" ht="15" customHeight="1" x14ac:dyDescent="0.25">
      <c r="N6005" t="s">
        <v>1185</v>
      </c>
    </row>
    <row r="6006" spans="14:14" ht="15" customHeight="1" x14ac:dyDescent="0.25">
      <c r="N6006" t="s">
        <v>934</v>
      </c>
    </row>
    <row r="6007" spans="14:14" ht="15" customHeight="1" x14ac:dyDescent="0.25">
      <c r="N6007" t="s">
        <v>1106</v>
      </c>
    </row>
    <row r="6008" spans="14:14" ht="15" customHeight="1" x14ac:dyDescent="0.25">
      <c r="N6008" t="s">
        <v>1106</v>
      </c>
    </row>
    <row r="6009" spans="14:14" ht="15" customHeight="1" x14ac:dyDescent="0.25">
      <c r="N6009" t="s">
        <v>1106</v>
      </c>
    </row>
    <row r="6010" spans="14:14" ht="15" customHeight="1" x14ac:dyDescent="0.25">
      <c r="N6010" t="s">
        <v>1106</v>
      </c>
    </row>
    <row r="6011" spans="14:14" ht="15" customHeight="1" x14ac:dyDescent="0.25">
      <c r="N6011" t="s">
        <v>1106</v>
      </c>
    </row>
    <row r="6012" spans="14:14" ht="15" customHeight="1" x14ac:dyDescent="0.25">
      <c r="N6012" t="s">
        <v>1106</v>
      </c>
    </row>
    <row r="6013" spans="14:14" ht="15" customHeight="1" x14ac:dyDescent="0.25">
      <c r="N6013" t="s">
        <v>1042</v>
      </c>
    </row>
    <row r="6014" spans="14:14" ht="15" customHeight="1" x14ac:dyDescent="0.25">
      <c r="N6014" t="s">
        <v>998</v>
      </c>
    </row>
    <row r="6015" spans="14:14" ht="15" customHeight="1" x14ac:dyDescent="0.25">
      <c r="N6015" t="s">
        <v>998</v>
      </c>
    </row>
    <row r="6016" spans="14:14" ht="15" customHeight="1" x14ac:dyDescent="0.25">
      <c r="N6016" t="s">
        <v>998</v>
      </c>
    </row>
    <row r="6017" spans="14:14" ht="15" customHeight="1" x14ac:dyDescent="0.25">
      <c r="N6017" t="s">
        <v>1230</v>
      </c>
    </row>
    <row r="6018" spans="14:14" ht="15" customHeight="1" x14ac:dyDescent="0.25">
      <c r="N6018" t="s">
        <v>1188</v>
      </c>
    </row>
    <row r="6019" spans="14:14" ht="15" customHeight="1" x14ac:dyDescent="0.25">
      <c r="N6019" t="s">
        <v>1188</v>
      </c>
    </row>
    <row r="6020" spans="14:14" ht="15" customHeight="1" x14ac:dyDescent="0.25">
      <c r="N6020" t="s">
        <v>1188</v>
      </c>
    </row>
    <row r="6021" spans="14:14" ht="15" customHeight="1" x14ac:dyDescent="0.25">
      <c r="N6021" t="s">
        <v>1188</v>
      </c>
    </row>
    <row r="6022" spans="14:14" ht="15" customHeight="1" x14ac:dyDescent="0.25">
      <c r="N6022" t="s">
        <v>1188</v>
      </c>
    </row>
    <row r="6023" spans="14:14" ht="15" customHeight="1" x14ac:dyDescent="0.25">
      <c r="N6023" t="s">
        <v>1188</v>
      </c>
    </row>
    <row r="6024" spans="14:14" ht="15" customHeight="1" x14ac:dyDescent="0.25">
      <c r="N6024" t="s">
        <v>1261</v>
      </c>
    </row>
    <row r="6025" spans="14:14" ht="15" customHeight="1" x14ac:dyDescent="0.25">
      <c r="N6025" t="s">
        <v>1240</v>
      </c>
    </row>
    <row r="6026" spans="14:14" ht="15" customHeight="1" x14ac:dyDescent="0.25">
      <c r="N6026" t="s">
        <v>1042</v>
      </c>
    </row>
    <row r="6027" spans="14:14" ht="15" customHeight="1" x14ac:dyDescent="0.25">
      <c r="N6027" t="s">
        <v>1042</v>
      </c>
    </row>
    <row r="6028" spans="14:14" ht="15" customHeight="1" x14ac:dyDescent="0.25">
      <c r="N6028" t="s">
        <v>998</v>
      </c>
    </row>
    <row r="6029" spans="14:14" ht="15" customHeight="1" x14ac:dyDescent="0.25">
      <c r="N6029" t="s">
        <v>302</v>
      </c>
    </row>
    <row r="6030" spans="14:14" ht="15" customHeight="1" x14ac:dyDescent="0.25">
      <c r="N6030" t="s">
        <v>319</v>
      </c>
    </row>
    <row r="6031" spans="14:14" ht="15" customHeight="1" x14ac:dyDescent="0.25">
      <c r="N6031" t="s">
        <v>985</v>
      </c>
    </row>
    <row r="6032" spans="14:14" ht="15" customHeight="1" x14ac:dyDescent="0.25">
      <c r="N6032" t="s">
        <v>1263</v>
      </c>
    </row>
    <row r="6033" spans="14:14" ht="15" customHeight="1" x14ac:dyDescent="0.25">
      <c r="N6033" t="s">
        <v>302</v>
      </c>
    </row>
    <row r="6034" spans="14:14" ht="15" customHeight="1" x14ac:dyDescent="0.25">
      <c r="N6034" t="s">
        <v>249</v>
      </c>
    </row>
    <row r="6035" spans="14:14" ht="15" customHeight="1" x14ac:dyDescent="0.25">
      <c r="N6035" t="s">
        <v>302</v>
      </c>
    </row>
    <row r="6036" spans="14:14" ht="15" customHeight="1" x14ac:dyDescent="0.25">
      <c r="N6036" t="s">
        <v>930</v>
      </c>
    </row>
    <row r="6037" spans="14:14" ht="15" customHeight="1" x14ac:dyDescent="0.25">
      <c r="N6037" t="s">
        <v>910</v>
      </c>
    </row>
    <row r="6038" spans="14:14" ht="15" customHeight="1" x14ac:dyDescent="0.25">
      <c r="N6038" t="s">
        <v>967</v>
      </c>
    </row>
    <row r="6039" spans="14:14" ht="15" customHeight="1" x14ac:dyDescent="0.25">
      <c r="N6039" t="s">
        <v>971</v>
      </c>
    </row>
    <row r="6040" spans="14:14" ht="15" customHeight="1" x14ac:dyDescent="0.25">
      <c r="N6040" t="s">
        <v>971</v>
      </c>
    </row>
    <row r="6041" spans="14:14" ht="15" customHeight="1" x14ac:dyDescent="0.25">
      <c r="N6041" t="s">
        <v>247</v>
      </c>
    </row>
    <row r="6042" spans="14:14" ht="15" customHeight="1" x14ac:dyDescent="0.25">
      <c r="N6042" t="s">
        <v>247</v>
      </c>
    </row>
    <row r="6043" spans="14:14" ht="15" customHeight="1" x14ac:dyDescent="0.25">
      <c r="N6043" t="s">
        <v>247</v>
      </c>
    </row>
    <row r="6044" spans="14:14" ht="15" customHeight="1" x14ac:dyDescent="0.25">
      <c r="N6044" t="s">
        <v>207</v>
      </c>
    </row>
    <row r="6045" spans="14:14" ht="15" customHeight="1" x14ac:dyDescent="0.25">
      <c r="N6045" t="s">
        <v>975</v>
      </c>
    </row>
    <row r="6046" spans="14:14" ht="15" customHeight="1" x14ac:dyDescent="0.25">
      <c r="N6046" t="s">
        <v>931</v>
      </c>
    </row>
    <row r="6047" spans="14:14" ht="15" customHeight="1" x14ac:dyDescent="0.25">
      <c r="N6047" t="s">
        <v>967</v>
      </c>
    </row>
    <row r="6048" spans="14:14" ht="15" customHeight="1" x14ac:dyDescent="0.25">
      <c r="N6048" t="s">
        <v>912</v>
      </c>
    </row>
    <row r="6049" spans="14:14" ht="15" customHeight="1" x14ac:dyDescent="0.25">
      <c r="N6049" t="s">
        <v>1014</v>
      </c>
    </row>
    <row r="6050" spans="14:14" ht="15" customHeight="1" x14ac:dyDescent="0.25">
      <c r="N6050" t="s">
        <v>971</v>
      </c>
    </row>
    <row r="6051" spans="14:14" ht="15" customHeight="1" x14ac:dyDescent="0.25">
      <c r="N6051" t="s">
        <v>971</v>
      </c>
    </row>
    <row r="6052" spans="14:14" ht="15" customHeight="1" x14ac:dyDescent="0.25">
      <c r="N6052" t="s">
        <v>247</v>
      </c>
    </row>
    <row r="6053" spans="14:14" ht="15" customHeight="1" x14ac:dyDescent="0.25">
      <c r="N6053" t="s">
        <v>247</v>
      </c>
    </row>
    <row r="6054" spans="14:14" ht="15" customHeight="1" x14ac:dyDescent="0.25">
      <c r="N6054" t="s">
        <v>247</v>
      </c>
    </row>
    <row r="6055" spans="14:14" ht="15" customHeight="1" x14ac:dyDescent="0.25">
      <c r="N6055" t="s">
        <v>251</v>
      </c>
    </row>
    <row r="6056" spans="14:14" ht="15" customHeight="1" x14ac:dyDescent="0.25">
      <c r="N6056" t="s">
        <v>971</v>
      </c>
    </row>
    <row r="6057" spans="14:14" ht="15" customHeight="1" x14ac:dyDescent="0.25">
      <c r="N6057" t="s">
        <v>971</v>
      </c>
    </row>
    <row r="6058" spans="14:14" ht="15" customHeight="1" x14ac:dyDescent="0.25">
      <c r="N6058" t="s">
        <v>247</v>
      </c>
    </row>
    <row r="6059" spans="14:14" ht="15" customHeight="1" x14ac:dyDescent="0.25">
      <c r="N6059" t="s">
        <v>247</v>
      </c>
    </row>
    <row r="6060" spans="14:14" ht="15" customHeight="1" x14ac:dyDescent="0.25">
      <c r="N6060" t="s">
        <v>247</v>
      </c>
    </row>
    <row r="6061" spans="14:14" ht="15" customHeight="1" x14ac:dyDescent="0.25">
      <c r="N6061" t="s">
        <v>971</v>
      </c>
    </row>
    <row r="6062" spans="14:14" ht="15" customHeight="1" x14ac:dyDescent="0.25">
      <c r="N6062" t="s">
        <v>971</v>
      </c>
    </row>
    <row r="6063" spans="14:14" ht="15" customHeight="1" x14ac:dyDescent="0.25">
      <c r="N6063" t="s">
        <v>1079</v>
      </c>
    </row>
    <row r="6064" spans="14:14" ht="15" customHeight="1" x14ac:dyDescent="0.25">
      <c r="N6064" t="s">
        <v>1085</v>
      </c>
    </row>
    <row r="6065" spans="14:14" ht="15" customHeight="1" x14ac:dyDescent="0.25">
      <c r="N6065" t="s">
        <v>1085</v>
      </c>
    </row>
    <row r="6066" spans="14:14" ht="15" customHeight="1" x14ac:dyDescent="0.25">
      <c r="N6066" t="s">
        <v>1014</v>
      </c>
    </row>
    <row r="6067" spans="14:14" ht="15" customHeight="1" x14ac:dyDescent="0.25">
      <c r="N6067" t="s">
        <v>971</v>
      </c>
    </row>
    <row r="6068" spans="14:14" ht="15" customHeight="1" x14ac:dyDescent="0.25">
      <c r="N6068" t="s">
        <v>971</v>
      </c>
    </row>
    <row r="6069" spans="14:14" ht="15" customHeight="1" x14ac:dyDescent="0.25">
      <c r="N6069" t="s">
        <v>247</v>
      </c>
    </row>
    <row r="6070" spans="14:14" ht="15" customHeight="1" x14ac:dyDescent="0.25">
      <c r="N6070" t="s">
        <v>247</v>
      </c>
    </row>
    <row r="6071" spans="14:14" ht="15" customHeight="1" x14ac:dyDescent="0.25">
      <c r="N6071" t="s">
        <v>247</v>
      </c>
    </row>
    <row r="6072" spans="14:14" ht="15" customHeight="1" x14ac:dyDescent="0.25">
      <c r="N6072" t="s">
        <v>302</v>
      </c>
    </row>
    <row r="6073" spans="14:14" ht="15" customHeight="1" x14ac:dyDescent="0.25">
      <c r="N6073" t="s">
        <v>302</v>
      </c>
    </row>
    <row r="6074" spans="14:14" ht="15" customHeight="1" x14ac:dyDescent="0.25">
      <c r="N6074" t="s">
        <v>302</v>
      </c>
    </row>
    <row r="6075" spans="14:14" ht="15" customHeight="1" x14ac:dyDescent="0.25">
      <c r="N6075" t="s">
        <v>971</v>
      </c>
    </row>
    <row r="6076" spans="14:14" ht="15" customHeight="1" x14ac:dyDescent="0.25">
      <c r="N6076" t="s">
        <v>971</v>
      </c>
    </row>
    <row r="6077" spans="14:14" ht="15" customHeight="1" x14ac:dyDescent="0.25">
      <c r="N6077" t="s">
        <v>1121</v>
      </c>
    </row>
    <row r="6078" spans="14:14" ht="15" customHeight="1" x14ac:dyDescent="0.25">
      <c r="N6078" t="s">
        <v>1121</v>
      </c>
    </row>
    <row r="6079" spans="14:14" ht="15" customHeight="1" x14ac:dyDescent="0.25">
      <c r="N6079" t="s">
        <v>1121</v>
      </c>
    </row>
    <row r="6080" spans="14:14" ht="15" customHeight="1" x14ac:dyDescent="0.25">
      <c r="N6080" t="s">
        <v>971</v>
      </c>
    </row>
    <row r="6081" spans="14:14" ht="15" customHeight="1" x14ac:dyDescent="0.25">
      <c r="N6081" t="s">
        <v>971</v>
      </c>
    </row>
    <row r="6082" spans="14:14" ht="15" customHeight="1" x14ac:dyDescent="0.25">
      <c r="N6082" t="s">
        <v>971</v>
      </c>
    </row>
    <row r="6083" spans="14:14" ht="15" customHeight="1" x14ac:dyDescent="0.25">
      <c r="N6083" t="s">
        <v>1119</v>
      </c>
    </row>
    <row r="6084" spans="14:14" ht="15" customHeight="1" x14ac:dyDescent="0.25">
      <c r="N6084" t="s">
        <v>1034</v>
      </c>
    </row>
    <row r="6085" spans="14:14" ht="15" customHeight="1" x14ac:dyDescent="0.25">
      <c r="N6085" t="s">
        <v>971</v>
      </c>
    </row>
    <row r="6086" spans="14:14" ht="15" customHeight="1" x14ac:dyDescent="0.25">
      <c r="N6086" t="s">
        <v>971</v>
      </c>
    </row>
    <row r="6087" spans="14:14" ht="15" customHeight="1" x14ac:dyDescent="0.25">
      <c r="N6087" t="s">
        <v>273</v>
      </c>
    </row>
    <row r="6088" spans="14:14" ht="15" customHeight="1" x14ac:dyDescent="0.25">
      <c r="N6088" t="s">
        <v>247</v>
      </c>
    </row>
    <row r="6089" spans="14:14" ht="15" customHeight="1" x14ac:dyDescent="0.25">
      <c r="N6089" t="s">
        <v>247</v>
      </c>
    </row>
    <row r="6090" spans="14:14" ht="15" customHeight="1" x14ac:dyDescent="0.25">
      <c r="N6090" t="s">
        <v>247</v>
      </c>
    </row>
    <row r="6091" spans="14:14" ht="15" customHeight="1" x14ac:dyDescent="0.25">
      <c r="N6091" t="s">
        <v>402</v>
      </c>
    </row>
    <row r="6092" spans="14:14" ht="15" customHeight="1" x14ac:dyDescent="0.25">
      <c r="N6092" t="s">
        <v>823</v>
      </c>
    </row>
    <row r="6093" spans="14:14" ht="15" customHeight="1" x14ac:dyDescent="0.25">
      <c r="N6093" t="s">
        <v>1164</v>
      </c>
    </row>
    <row r="6094" spans="14:14" ht="15" customHeight="1" x14ac:dyDescent="0.25">
      <c r="N6094" t="s">
        <v>1164</v>
      </c>
    </row>
    <row r="6095" spans="14:14" ht="15" customHeight="1" x14ac:dyDescent="0.25">
      <c r="N6095" t="s">
        <v>1164</v>
      </c>
    </row>
    <row r="6096" spans="14:14" ht="15" customHeight="1" x14ac:dyDescent="0.25">
      <c r="N6096" t="s">
        <v>971</v>
      </c>
    </row>
    <row r="6097" spans="14:14" ht="15" customHeight="1" x14ac:dyDescent="0.25">
      <c r="N6097" t="s">
        <v>1175</v>
      </c>
    </row>
    <row r="6098" spans="14:14" ht="15" customHeight="1" x14ac:dyDescent="0.25">
      <c r="N6098" t="s">
        <v>971</v>
      </c>
    </row>
    <row r="6099" spans="14:14" ht="15" customHeight="1" x14ac:dyDescent="0.25">
      <c r="N6099" t="s">
        <v>971</v>
      </c>
    </row>
    <row r="6100" spans="14:14" ht="15" customHeight="1" x14ac:dyDescent="0.25">
      <c r="N6100" t="s">
        <v>273</v>
      </c>
    </row>
    <row r="6101" spans="14:14" ht="15" customHeight="1" x14ac:dyDescent="0.25">
      <c r="N6101" t="s">
        <v>247</v>
      </c>
    </row>
    <row r="6102" spans="14:14" ht="15" customHeight="1" x14ac:dyDescent="0.25">
      <c r="N6102" t="s">
        <v>247</v>
      </c>
    </row>
    <row r="6103" spans="14:14" ht="15" customHeight="1" x14ac:dyDescent="0.25">
      <c r="N6103" t="s">
        <v>247</v>
      </c>
    </row>
    <row r="6104" spans="14:14" ht="15" customHeight="1" x14ac:dyDescent="0.25">
      <c r="N6104" t="s">
        <v>971</v>
      </c>
    </row>
    <row r="6105" spans="14:14" ht="15" customHeight="1" x14ac:dyDescent="0.25">
      <c r="N6105" t="s">
        <v>971</v>
      </c>
    </row>
    <row r="6106" spans="14:14" ht="15" customHeight="1" x14ac:dyDescent="0.25">
      <c r="N6106" t="s">
        <v>971</v>
      </c>
    </row>
    <row r="6107" spans="14:14" ht="15" customHeight="1" x14ac:dyDescent="0.25">
      <c r="N6107" t="s">
        <v>247</v>
      </c>
    </row>
    <row r="6108" spans="14:14" ht="15" customHeight="1" x14ac:dyDescent="0.25">
      <c r="N6108" t="s">
        <v>247</v>
      </c>
    </row>
    <row r="6109" spans="14:14" ht="15" customHeight="1" x14ac:dyDescent="0.25">
      <c r="N6109" t="s">
        <v>247</v>
      </c>
    </row>
    <row r="6110" spans="14:14" ht="15" customHeight="1" x14ac:dyDescent="0.25">
      <c r="N6110" t="s">
        <v>301</v>
      </c>
    </row>
    <row r="6111" spans="14:14" ht="15" customHeight="1" x14ac:dyDescent="0.25">
      <c r="N6111" t="s">
        <v>247</v>
      </c>
    </row>
    <row r="6112" spans="14:14" ht="15" customHeight="1" x14ac:dyDescent="0.25">
      <c r="N6112" t="s">
        <v>247</v>
      </c>
    </row>
    <row r="6113" spans="14:14" ht="15" customHeight="1" x14ac:dyDescent="0.25">
      <c r="N6113" t="s">
        <v>247</v>
      </c>
    </row>
    <row r="6114" spans="14:14" ht="15" customHeight="1" x14ac:dyDescent="0.25">
      <c r="N6114" t="s">
        <v>1217</v>
      </c>
    </row>
    <row r="6115" spans="14:14" ht="15" customHeight="1" x14ac:dyDescent="0.25">
      <c r="N6115" t="s">
        <v>1217</v>
      </c>
    </row>
    <row r="6116" spans="14:14" ht="15" customHeight="1" x14ac:dyDescent="0.25">
      <c r="N6116" t="s">
        <v>971</v>
      </c>
    </row>
    <row r="6117" spans="14:14" ht="15" customHeight="1" x14ac:dyDescent="0.25">
      <c r="N6117" t="s">
        <v>247</v>
      </c>
    </row>
    <row r="6118" spans="14:14" ht="15" customHeight="1" x14ac:dyDescent="0.25">
      <c r="N6118" t="s">
        <v>247</v>
      </c>
    </row>
    <row r="6119" spans="14:14" ht="15" customHeight="1" x14ac:dyDescent="0.25">
      <c r="N6119" t="s">
        <v>247</v>
      </c>
    </row>
    <row r="6120" spans="14:14" ht="15" customHeight="1" x14ac:dyDescent="0.25">
      <c r="N6120" t="s">
        <v>971</v>
      </c>
    </row>
    <row r="6121" spans="14:14" ht="15" customHeight="1" x14ac:dyDescent="0.25">
      <c r="N6121" t="s">
        <v>971</v>
      </c>
    </row>
    <row r="6122" spans="14:14" ht="15" customHeight="1" x14ac:dyDescent="0.25">
      <c r="N6122" t="s">
        <v>971</v>
      </c>
    </row>
    <row r="6123" spans="14:14" ht="15" customHeight="1" x14ac:dyDescent="0.25">
      <c r="N6123" t="s">
        <v>971</v>
      </c>
    </row>
    <row r="6124" spans="14:14" ht="15" customHeight="1" x14ac:dyDescent="0.25">
      <c r="N6124" t="s">
        <v>247</v>
      </c>
    </row>
    <row r="6125" spans="14:14" ht="15" customHeight="1" x14ac:dyDescent="0.25">
      <c r="N6125" t="s">
        <v>1085</v>
      </c>
    </row>
    <row r="6126" spans="14:14" ht="15" customHeight="1" x14ac:dyDescent="0.25">
      <c r="N6126" t="s">
        <v>971</v>
      </c>
    </row>
    <row r="6127" spans="14:14" ht="15" customHeight="1" x14ac:dyDescent="0.25">
      <c r="N6127" t="s">
        <v>971</v>
      </c>
    </row>
    <row r="6128" spans="14:14" ht="15" customHeight="1" x14ac:dyDescent="0.25">
      <c r="N6128" t="s">
        <v>971</v>
      </c>
    </row>
    <row r="6129" spans="14:14" ht="15" customHeight="1" x14ac:dyDescent="0.25">
      <c r="N6129" t="s">
        <v>971</v>
      </c>
    </row>
    <row r="6130" spans="14:14" ht="15" customHeight="1" x14ac:dyDescent="0.25">
      <c r="N6130" t="s">
        <v>971</v>
      </c>
    </row>
    <row r="6131" spans="14:14" ht="15" customHeight="1" x14ac:dyDescent="0.25">
      <c r="N6131" t="s">
        <v>1217</v>
      </c>
    </row>
    <row r="6132" spans="14:14" ht="15" customHeight="1" x14ac:dyDescent="0.25">
      <c r="N6132" t="s">
        <v>931</v>
      </c>
    </row>
    <row r="6133" spans="14:14" ht="15" customHeight="1" x14ac:dyDescent="0.25">
      <c r="N6133" t="s">
        <v>971</v>
      </c>
    </row>
    <row r="6134" spans="14:14" ht="15" customHeight="1" x14ac:dyDescent="0.25">
      <c r="N6134" t="s">
        <v>971</v>
      </c>
    </row>
    <row r="6135" spans="14:14" ht="15" customHeight="1" x14ac:dyDescent="0.25">
      <c r="N6135" t="s">
        <v>971</v>
      </c>
    </row>
    <row r="6136" spans="14:14" ht="15" customHeight="1" x14ac:dyDescent="0.25">
      <c r="N6136" t="s">
        <v>247</v>
      </c>
    </row>
    <row r="6137" spans="14:14" ht="15" customHeight="1" x14ac:dyDescent="0.25">
      <c r="N6137" t="s">
        <v>971</v>
      </c>
    </row>
    <row r="6138" spans="14:14" ht="15" customHeight="1" x14ac:dyDescent="0.25">
      <c r="N6138" t="s">
        <v>971</v>
      </c>
    </row>
    <row r="6139" spans="14:14" ht="15" customHeight="1" x14ac:dyDescent="0.25">
      <c r="N6139" t="s">
        <v>971</v>
      </c>
    </row>
    <row r="6140" spans="14:14" ht="15" customHeight="1" x14ac:dyDescent="0.25">
      <c r="N6140" t="s">
        <v>894</v>
      </c>
    </row>
    <row r="6141" spans="14:14" ht="15" customHeight="1" x14ac:dyDescent="0.25">
      <c r="N6141" t="s">
        <v>897</v>
      </c>
    </row>
    <row r="6142" spans="14:14" ht="15" customHeight="1" x14ac:dyDescent="0.25">
      <c r="N6142" t="s">
        <v>897</v>
      </c>
    </row>
    <row r="6143" spans="14:14" ht="15" customHeight="1" x14ac:dyDescent="0.25">
      <c r="N6143" t="s">
        <v>900</v>
      </c>
    </row>
    <row r="6144" spans="14:14" ht="15" customHeight="1" x14ac:dyDescent="0.25">
      <c r="N6144" t="s">
        <v>900</v>
      </c>
    </row>
    <row r="6145" spans="14:14" ht="15" customHeight="1" x14ac:dyDescent="0.25">
      <c r="N6145" t="s">
        <v>900</v>
      </c>
    </row>
    <row r="6146" spans="14:14" ht="15" customHeight="1" x14ac:dyDescent="0.25">
      <c r="N6146" t="s">
        <v>900</v>
      </c>
    </row>
    <row r="6147" spans="14:14" ht="15" customHeight="1" x14ac:dyDescent="0.25">
      <c r="N6147" t="s">
        <v>900</v>
      </c>
    </row>
    <row r="6148" spans="14:14" ht="15" customHeight="1" x14ac:dyDescent="0.25">
      <c r="N6148" t="s">
        <v>900</v>
      </c>
    </row>
    <row r="6149" spans="14:14" ht="15" customHeight="1" x14ac:dyDescent="0.25">
      <c r="N6149" t="s">
        <v>904</v>
      </c>
    </row>
    <row r="6150" spans="14:14" ht="15" customHeight="1" x14ac:dyDescent="0.25">
      <c r="N6150" t="s">
        <v>904</v>
      </c>
    </row>
    <row r="6151" spans="14:14" ht="15" customHeight="1" x14ac:dyDescent="0.25">
      <c r="N6151" t="s">
        <v>904</v>
      </c>
    </row>
    <row r="6152" spans="14:14" ht="15" customHeight="1" x14ac:dyDescent="0.25">
      <c r="N6152" t="s">
        <v>904</v>
      </c>
    </row>
    <row r="6153" spans="14:14" ht="15" customHeight="1" x14ac:dyDescent="0.25">
      <c r="N6153" t="s">
        <v>904</v>
      </c>
    </row>
    <row r="6154" spans="14:14" ht="15" customHeight="1" x14ac:dyDescent="0.25">
      <c r="N6154" t="s">
        <v>904</v>
      </c>
    </row>
    <row r="6155" spans="14:14" ht="15" customHeight="1" x14ac:dyDescent="0.25">
      <c r="N6155" t="s">
        <v>904</v>
      </c>
    </row>
    <row r="6156" spans="14:14" ht="15" customHeight="1" x14ac:dyDescent="0.25">
      <c r="N6156" t="s">
        <v>904</v>
      </c>
    </row>
    <row r="6157" spans="14:14" ht="15" customHeight="1" x14ac:dyDescent="0.25">
      <c r="N6157" t="s">
        <v>906</v>
      </c>
    </row>
    <row r="6158" spans="14:14" ht="15" customHeight="1" x14ac:dyDescent="0.25">
      <c r="N6158" t="s">
        <v>909</v>
      </c>
    </row>
    <row r="6159" spans="14:14" ht="15" customHeight="1" x14ac:dyDescent="0.25">
      <c r="N6159" t="s">
        <v>912</v>
      </c>
    </row>
    <row r="6160" spans="14:14" ht="15" customHeight="1" x14ac:dyDescent="0.25">
      <c r="N6160" t="s">
        <v>914</v>
      </c>
    </row>
    <row r="6161" spans="14:14" ht="15" customHeight="1" x14ac:dyDescent="0.25">
      <c r="N6161" t="s">
        <v>917</v>
      </c>
    </row>
    <row r="6162" spans="14:14" ht="15" customHeight="1" x14ac:dyDescent="0.25">
      <c r="N6162" t="s">
        <v>901</v>
      </c>
    </row>
    <row r="6163" spans="14:14" ht="15" customHeight="1" x14ac:dyDescent="0.25">
      <c r="N6163" t="s">
        <v>901</v>
      </c>
    </row>
    <row r="6164" spans="14:14" ht="15" customHeight="1" x14ac:dyDescent="0.25">
      <c r="N6164" t="s">
        <v>897</v>
      </c>
    </row>
    <row r="6165" spans="14:14" ht="15" customHeight="1" x14ac:dyDescent="0.25">
      <c r="N6165" t="s">
        <v>897</v>
      </c>
    </row>
    <row r="6166" spans="14:14" ht="15" customHeight="1" x14ac:dyDescent="0.25">
      <c r="N6166" t="s">
        <v>921</v>
      </c>
    </row>
    <row r="6167" spans="14:14" ht="15" customHeight="1" x14ac:dyDescent="0.25">
      <c r="N6167" t="s">
        <v>897</v>
      </c>
    </row>
    <row r="6168" spans="14:14" ht="15" customHeight="1" x14ac:dyDescent="0.25">
      <c r="N6168" t="s">
        <v>909</v>
      </c>
    </row>
    <row r="6169" spans="14:14" ht="15" customHeight="1" x14ac:dyDescent="0.25">
      <c r="N6169" t="s">
        <v>254</v>
      </c>
    </row>
    <row r="6170" spans="14:14" ht="15" customHeight="1" x14ac:dyDescent="0.25">
      <c r="N6170" t="s">
        <v>927</v>
      </c>
    </row>
    <row r="6171" spans="14:14" ht="15" customHeight="1" x14ac:dyDescent="0.25">
      <c r="N6171" t="s">
        <v>914</v>
      </c>
    </row>
    <row r="6172" spans="14:14" ht="15" customHeight="1" x14ac:dyDescent="0.25">
      <c r="N6172" t="s">
        <v>933</v>
      </c>
    </row>
    <row r="6173" spans="14:14" ht="15" customHeight="1" x14ac:dyDescent="0.25">
      <c r="N6173" t="s">
        <v>934</v>
      </c>
    </row>
    <row r="6174" spans="14:14" ht="15" customHeight="1" x14ac:dyDescent="0.25">
      <c r="N6174" t="s">
        <v>914</v>
      </c>
    </row>
    <row r="6175" spans="14:14" ht="15" customHeight="1" x14ac:dyDescent="0.25">
      <c r="N6175" t="s">
        <v>938</v>
      </c>
    </row>
    <row r="6176" spans="14:14" ht="15" customHeight="1" x14ac:dyDescent="0.25">
      <c r="N6176" t="s">
        <v>940</v>
      </c>
    </row>
    <row r="6177" spans="14:14" ht="15" customHeight="1" x14ac:dyDescent="0.25">
      <c r="N6177" t="s">
        <v>942</v>
      </c>
    </row>
    <row r="6178" spans="14:14" ht="15" customHeight="1" x14ac:dyDescent="0.25">
      <c r="N6178" t="s">
        <v>943</v>
      </c>
    </row>
    <row r="6179" spans="14:14" ht="15" customHeight="1" x14ac:dyDescent="0.25">
      <c r="N6179" t="s">
        <v>943</v>
      </c>
    </row>
    <row r="6180" spans="14:14" ht="15" customHeight="1" x14ac:dyDescent="0.25">
      <c r="N6180" t="s">
        <v>943</v>
      </c>
    </row>
    <row r="6181" spans="14:14" ht="15" customHeight="1" x14ac:dyDescent="0.25">
      <c r="N6181" t="s">
        <v>943</v>
      </c>
    </row>
    <row r="6182" spans="14:14" ht="15" customHeight="1" x14ac:dyDescent="0.25">
      <c r="N6182" t="s">
        <v>943</v>
      </c>
    </row>
    <row r="6183" spans="14:14" ht="15" customHeight="1" x14ac:dyDescent="0.25">
      <c r="N6183" t="s">
        <v>943</v>
      </c>
    </row>
    <row r="6184" spans="14:14" ht="15" customHeight="1" x14ac:dyDescent="0.25">
      <c r="N6184" t="s">
        <v>945</v>
      </c>
    </row>
    <row r="6185" spans="14:14" ht="15" customHeight="1" x14ac:dyDescent="0.25">
      <c r="N6185" t="s">
        <v>946</v>
      </c>
    </row>
    <row r="6186" spans="14:14" ht="15" customHeight="1" x14ac:dyDescent="0.25">
      <c r="N6186" t="s">
        <v>914</v>
      </c>
    </row>
    <row r="6187" spans="14:14" ht="15" customHeight="1" x14ac:dyDescent="0.25">
      <c r="N6187" t="s">
        <v>934</v>
      </c>
    </row>
    <row r="6188" spans="14:14" ht="15" customHeight="1" x14ac:dyDescent="0.25">
      <c r="N6188" t="s">
        <v>951</v>
      </c>
    </row>
    <row r="6189" spans="14:14" ht="15" customHeight="1" x14ac:dyDescent="0.25">
      <c r="N6189" t="s">
        <v>894</v>
      </c>
    </row>
    <row r="6190" spans="14:14" ht="15" customHeight="1" x14ac:dyDescent="0.25">
      <c r="N6190" t="s">
        <v>917</v>
      </c>
    </row>
    <row r="6191" spans="14:14" ht="15" customHeight="1" x14ac:dyDescent="0.25">
      <c r="N6191" t="s">
        <v>917</v>
      </c>
    </row>
    <row r="6192" spans="14:14" ht="15" customHeight="1" x14ac:dyDescent="0.25">
      <c r="N6192" t="s">
        <v>914</v>
      </c>
    </row>
    <row r="6193" spans="14:14" ht="15" customHeight="1" x14ac:dyDescent="0.25">
      <c r="N6193" t="s">
        <v>958</v>
      </c>
    </row>
    <row r="6194" spans="14:14" ht="15" customHeight="1" x14ac:dyDescent="0.25">
      <c r="N6194" t="s">
        <v>914</v>
      </c>
    </row>
    <row r="6195" spans="14:14" ht="15" customHeight="1" x14ac:dyDescent="0.25">
      <c r="N6195" t="s">
        <v>961</v>
      </c>
    </row>
    <row r="6196" spans="14:14" ht="15" customHeight="1" x14ac:dyDescent="0.25">
      <c r="N6196" t="s">
        <v>961</v>
      </c>
    </row>
    <row r="6197" spans="14:14" ht="15" customHeight="1" x14ac:dyDescent="0.25">
      <c r="N6197" t="s">
        <v>961</v>
      </c>
    </row>
    <row r="6198" spans="14:14" ht="15" customHeight="1" x14ac:dyDescent="0.25">
      <c r="N6198" t="s">
        <v>914</v>
      </c>
    </row>
    <row r="6199" spans="14:14" ht="15" customHeight="1" x14ac:dyDescent="0.25">
      <c r="N6199" t="s">
        <v>921</v>
      </c>
    </row>
    <row r="6200" spans="14:14" ht="15" customHeight="1" x14ac:dyDescent="0.25">
      <c r="N6200" t="s">
        <v>921</v>
      </c>
    </row>
    <row r="6201" spans="14:14" ht="15" customHeight="1" x14ac:dyDescent="0.25">
      <c r="N6201" t="s">
        <v>969</v>
      </c>
    </row>
    <row r="6202" spans="14:14" ht="15" customHeight="1" x14ac:dyDescent="0.25">
      <c r="N6202" t="s">
        <v>933</v>
      </c>
    </row>
    <row r="6203" spans="14:14" ht="15" customHeight="1" x14ac:dyDescent="0.25">
      <c r="N6203" t="s">
        <v>940</v>
      </c>
    </row>
    <row r="6204" spans="14:14" ht="15" customHeight="1" x14ac:dyDescent="0.25">
      <c r="N6204" t="s">
        <v>940</v>
      </c>
    </row>
    <row r="6205" spans="14:14" ht="15" customHeight="1" x14ac:dyDescent="0.25">
      <c r="N6205" t="s">
        <v>719</v>
      </c>
    </row>
    <row r="6206" spans="14:14" ht="15" customHeight="1" x14ac:dyDescent="0.25">
      <c r="N6206" t="s">
        <v>719</v>
      </c>
    </row>
    <row r="6207" spans="14:14" ht="15" customHeight="1" x14ac:dyDescent="0.25">
      <c r="N6207" t="s">
        <v>719</v>
      </c>
    </row>
    <row r="6208" spans="14:14" ht="15" customHeight="1" x14ac:dyDescent="0.25">
      <c r="N6208" t="s">
        <v>894</v>
      </c>
    </row>
    <row r="6209" spans="14:14" ht="15" customHeight="1" x14ac:dyDescent="0.25">
      <c r="N6209" t="s">
        <v>286</v>
      </c>
    </row>
    <row r="6210" spans="14:14" ht="15" customHeight="1" x14ac:dyDescent="0.25">
      <c r="N6210" t="s">
        <v>286</v>
      </c>
    </row>
    <row r="6211" spans="14:14" ht="15" customHeight="1" x14ac:dyDescent="0.25">
      <c r="N6211" t="s">
        <v>286</v>
      </c>
    </row>
    <row r="6212" spans="14:14" ht="15" customHeight="1" x14ac:dyDescent="0.25">
      <c r="N6212" t="s">
        <v>319</v>
      </c>
    </row>
    <row r="6213" spans="14:14" ht="15" customHeight="1" x14ac:dyDescent="0.25">
      <c r="N6213" t="s">
        <v>249</v>
      </c>
    </row>
    <row r="6214" spans="14:14" ht="15" customHeight="1" x14ac:dyDescent="0.25">
      <c r="N6214" t="s">
        <v>319</v>
      </c>
    </row>
    <row r="6215" spans="14:14" ht="15" customHeight="1" x14ac:dyDescent="0.25">
      <c r="N6215" t="s">
        <v>286</v>
      </c>
    </row>
    <row r="6216" spans="14:14" ht="15" customHeight="1" x14ac:dyDescent="0.25">
      <c r="N6216" t="s">
        <v>224</v>
      </c>
    </row>
    <row r="6217" spans="14:14" ht="15" customHeight="1" x14ac:dyDescent="0.25">
      <c r="N6217" t="s">
        <v>818</v>
      </c>
    </row>
    <row r="6218" spans="14:14" ht="15" customHeight="1" x14ac:dyDescent="0.25">
      <c r="N6218" t="s">
        <v>249</v>
      </c>
    </row>
    <row r="6219" spans="14:14" ht="15" customHeight="1" x14ac:dyDescent="0.25">
      <c r="N6219" t="s">
        <v>249</v>
      </c>
    </row>
    <row r="6220" spans="14:14" ht="15" customHeight="1" x14ac:dyDescent="0.25">
      <c r="N6220" t="s">
        <v>249</v>
      </c>
    </row>
    <row r="6221" spans="14:14" ht="15" customHeight="1" x14ac:dyDescent="0.25">
      <c r="N6221" t="s">
        <v>319</v>
      </c>
    </row>
    <row r="6222" spans="14:14" ht="15" customHeight="1" x14ac:dyDescent="0.25">
      <c r="N6222" t="s">
        <v>319</v>
      </c>
    </row>
    <row r="6223" spans="14:14" ht="15" customHeight="1" x14ac:dyDescent="0.25">
      <c r="N6223" t="s">
        <v>334</v>
      </c>
    </row>
    <row r="6224" spans="14:14" ht="15" customHeight="1" x14ac:dyDescent="0.25">
      <c r="N6224" t="s">
        <v>249</v>
      </c>
    </row>
    <row r="6225" spans="14:14" ht="15" customHeight="1" x14ac:dyDescent="0.25">
      <c r="N6225" t="s">
        <v>719</v>
      </c>
    </row>
    <row r="6226" spans="14:14" ht="15" customHeight="1" x14ac:dyDescent="0.25">
      <c r="N6226" t="s">
        <v>719</v>
      </c>
    </row>
    <row r="6227" spans="14:14" ht="15" customHeight="1" x14ac:dyDescent="0.25">
      <c r="N6227" t="s">
        <v>978</v>
      </c>
    </row>
    <row r="6228" spans="14:14" ht="15" customHeight="1" x14ac:dyDescent="0.25">
      <c r="N6228" t="s">
        <v>294</v>
      </c>
    </row>
    <row r="6229" spans="14:14" ht="15" customHeight="1" x14ac:dyDescent="0.25">
      <c r="N6229" t="s">
        <v>319</v>
      </c>
    </row>
    <row r="6230" spans="14:14" ht="15" customHeight="1" x14ac:dyDescent="0.25">
      <c r="N6230" t="s">
        <v>286</v>
      </c>
    </row>
    <row r="6231" spans="14:14" ht="15" customHeight="1" x14ac:dyDescent="0.25">
      <c r="N6231" t="s">
        <v>319</v>
      </c>
    </row>
    <row r="6232" spans="14:14" ht="15" customHeight="1" x14ac:dyDescent="0.25">
      <c r="N6232" t="s">
        <v>319</v>
      </c>
    </row>
    <row r="6233" spans="14:14" ht="15" customHeight="1" x14ac:dyDescent="0.25">
      <c r="N6233" t="s">
        <v>286</v>
      </c>
    </row>
    <row r="6234" spans="14:14" ht="15" customHeight="1" x14ac:dyDescent="0.25">
      <c r="N6234" t="s">
        <v>286</v>
      </c>
    </row>
    <row r="6235" spans="14:14" ht="15" customHeight="1" x14ac:dyDescent="0.25">
      <c r="N6235" t="s">
        <v>719</v>
      </c>
    </row>
    <row r="6236" spans="14:14" ht="15" customHeight="1" x14ac:dyDescent="0.25">
      <c r="N6236" t="s">
        <v>273</v>
      </c>
    </row>
    <row r="6237" spans="14:14" ht="15" customHeight="1" x14ac:dyDescent="0.25">
      <c r="N6237" t="s">
        <v>249</v>
      </c>
    </row>
    <row r="6238" spans="14:14" ht="15" customHeight="1" x14ac:dyDescent="0.25">
      <c r="N6238" t="s">
        <v>319</v>
      </c>
    </row>
    <row r="6239" spans="14:14" ht="15" customHeight="1" x14ac:dyDescent="0.25">
      <c r="N6239" t="s">
        <v>254</v>
      </c>
    </row>
    <row r="6240" spans="14:14" ht="15" customHeight="1" x14ac:dyDescent="0.25">
      <c r="N6240" t="s">
        <v>1151</v>
      </c>
    </row>
    <row r="6241" spans="14:14" ht="15" customHeight="1" x14ac:dyDescent="0.25">
      <c r="N6241" t="s">
        <v>980</v>
      </c>
    </row>
    <row r="6242" spans="14:14" ht="15" customHeight="1" x14ac:dyDescent="0.25">
      <c r="N6242" t="s">
        <v>900</v>
      </c>
    </row>
    <row r="6243" spans="14:14" ht="15" customHeight="1" x14ac:dyDescent="0.25">
      <c r="N6243" t="s">
        <v>900</v>
      </c>
    </row>
    <row r="6244" spans="14:14" ht="15" customHeight="1" x14ac:dyDescent="0.25">
      <c r="N6244" t="s">
        <v>900</v>
      </c>
    </row>
    <row r="6245" spans="14:14" ht="15" customHeight="1" x14ac:dyDescent="0.25">
      <c r="N6245" t="s">
        <v>984</v>
      </c>
    </row>
    <row r="6246" spans="14:14" ht="15" customHeight="1" x14ac:dyDescent="0.25">
      <c r="N6246" t="s">
        <v>900</v>
      </c>
    </row>
    <row r="6247" spans="14:14" ht="15" customHeight="1" x14ac:dyDescent="0.25">
      <c r="N6247" t="s">
        <v>900</v>
      </c>
    </row>
    <row r="6248" spans="14:14" ht="15" customHeight="1" x14ac:dyDescent="0.25">
      <c r="N6248" t="s">
        <v>906</v>
      </c>
    </row>
    <row r="6249" spans="14:14" ht="15" customHeight="1" x14ac:dyDescent="0.25">
      <c r="N6249" t="s">
        <v>988</v>
      </c>
    </row>
    <row r="6250" spans="14:14" ht="15" customHeight="1" x14ac:dyDescent="0.25">
      <c r="N6250" t="s">
        <v>914</v>
      </c>
    </row>
    <row r="6251" spans="14:14" ht="15" customHeight="1" x14ac:dyDescent="0.25">
      <c r="N6251" t="s">
        <v>917</v>
      </c>
    </row>
    <row r="6252" spans="14:14" ht="15" customHeight="1" x14ac:dyDescent="0.25">
      <c r="N6252" t="s">
        <v>933</v>
      </c>
    </row>
    <row r="6253" spans="14:14" ht="15" customHeight="1" x14ac:dyDescent="0.25">
      <c r="N6253" t="s">
        <v>933</v>
      </c>
    </row>
    <row r="6254" spans="14:14" ht="15" customHeight="1" x14ac:dyDescent="0.25">
      <c r="N6254" t="s">
        <v>993</v>
      </c>
    </row>
    <row r="6255" spans="14:14" ht="15" customHeight="1" x14ac:dyDescent="0.25">
      <c r="N6255" t="s">
        <v>993</v>
      </c>
    </row>
    <row r="6256" spans="14:14" ht="15" customHeight="1" x14ac:dyDescent="0.25">
      <c r="N6256" t="s">
        <v>921</v>
      </c>
    </row>
    <row r="6257" spans="14:14" ht="15" customHeight="1" x14ac:dyDescent="0.25">
      <c r="N6257" t="s">
        <v>909</v>
      </c>
    </row>
    <row r="6258" spans="14:14" ht="15" customHeight="1" x14ac:dyDescent="0.25">
      <c r="N6258" t="s">
        <v>254</v>
      </c>
    </row>
    <row r="6259" spans="14:14" ht="15" customHeight="1" x14ac:dyDescent="0.25">
      <c r="N6259" t="s">
        <v>914</v>
      </c>
    </row>
    <row r="6260" spans="14:14" ht="15" customHeight="1" x14ac:dyDescent="0.25">
      <c r="N6260" t="s">
        <v>933</v>
      </c>
    </row>
    <row r="6261" spans="14:14" ht="15" customHeight="1" x14ac:dyDescent="0.25">
      <c r="N6261" t="s">
        <v>998</v>
      </c>
    </row>
    <row r="6262" spans="14:14" ht="15" customHeight="1" x14ac:dyDescent="0.25">
      <c r="N6262" t="s">
        <v>1000</v>
      </c>
    </row>
    <row r="6263" spans="14:14" ht="15" customHeight="1" x14ac:dyDescent="0.25">
      <c r="N6263" t="s">
        <v>914</v>
      </c>
    </row>
    <row r="6264" spans="14:14" ht="15" customHeight="1" x14ac:dyDescent="0.25">
      <c r="N6264" t="s">
        <v>1002</v>
      </c>
    </row>
    <row r="6265" spans="14:14" ht="15" customHeight="1" x14ac:dyDescent="0.25">
      <c r="N6265" t="s">
        <v>942</v>
      </c>
    </row>
    <row r="6266" spans="14:14" ht="15" customHeight="1" x14ac:dyDescent="0.25">
      <c r="N6266" t="s">
        <v>1004</v>
      </c>
    </row>
    <row r="6267" spans="14:14" ht="15" customHeight="1" x14ac:dyDescent="0.25">
      <c r="N6267" t="s">
        <v>1005</v>
      </c>
    </row>
    <row r="6268" spans="14:14" ht="15" customHeight="1" x14ac:dyDescent="0.25">
      <c r="N6268" t="s">
        <v>943</v>
      </c>
    </row>
    <row r="6269" spans="14:14" ht="15" customHeight="1" x14ac:dyDescent="0.25">
      <c r="N6269" t="s">
        <v>943</v>
      </c>
    </row>
    <row r="6270" spans="14:14" ht="15" customHeight="1" x14ac:dyDescent="0.25">
      <c r="N6270" t="s">
        <v>943</v>
      </c>
    </row>
    <row r="6271" spans="14:14" ht="15" customHeight="1" x14ac:dyDescent="0.25">
      <c r="N6271" t="s">
        <v>943</v>
      </c>
    </row>
    <row r="6272" spans="14:14" ht="15" customHeight="1" x14ac:dyDescent="0.25">
      <c r="N6272" t="s">
        <v>943</v>
      </c>
    </row>
    <row r="6273" spans="14:14" ht="15" customHeight="1" x14ac:dyDescent="0.25">
      <c r="N6273" t="s">
        <v>943</v>
      </c>
    </row>
    <row r="6274" spans="14:14" ht="15" customHeight="1" x14ac:dyDescent="0.25">
      <c r="N6274" t="s">
        <v>1007</v>
      </c>
    </row>
    <row r="6275" spans="14:14" ht="15" customHeight="1" x14ac:dyDescent="0.25">
      <c r="N6275" t="s">
        <v>901</v>
      </c>
    </row>
    <row r="6276" spans="14:14" ht="15" customHeight="1" x14ac:dyDescent="0.25">
      <c r="N6276" t="s">
        <v>912</v>
      </c>
    </row>
    <row r="6277" spans="14:14" ht="15" customHeight="1" x14ac:dyDescent="0.25">
      <c r="N6277" t="s">
        <v>901</v>
      </c>
    </row>
    <row r="6278" spans="14:14" ht="15" customHeight="1" x14ac:dyDescent="0.25">
      <c r="N6278" t="s">
        <v>917</v>
      </c>
    </row>
    <row r="6279" spans="14:14" ht="15" customHeight="1" x14ac:dyDescent="0.25">
      <c r="N6279" t="s">
        <v>1011</v>
      </c>
    </row>
    <row r="6280" spans="14:14" ht="15" customHeight="1" x14ac:dyDescent="0.25">
      <c r="N6280" t="s">
        <v>914</v>
      </c>
    </row>
    <row r="6281" spans="14:14" ht="15" customHeight="1" x14ac:dyDescent="0.25">
      <c r="N6281" t="s">
        <v>909</v>
      </c>
    </row>
    <row r="6282" spans="14:14" ht="15" customHeight="1" x14ac:dyDescent="0.25">
      <c r="N6282" t="s">
        <v>914</v>
      </c>
    </row>
    <row r="6283" spans="14:14" ht="15" customHeight="1" x14ac:dyDescent="0.25">
      <c r="N6283" t="s">
        <v>1015</v>
      </c>
    </row>
    <row r="6284" spans="14:14" ht="15" customHeight="1" x14ac:dyDescent="0.25">
      <c r="N6284" t="s">
        <v>1015</v>
      </c>
    </row>
    <row r="6285" spans="14:14" ht="15" customHeight="1" x14ac:dyDescent="0.25">
      <c r="N6285" t="s">
        <v>1015</v>
      </c>
    </row>
    <row r="6286" spans="14:14" ht="15" customHeight="1" x14ac:dyDescent="0.25">
      <c r="N6286" t="s">
        <v>969</v>
      </c>
    </row>
    <row r="6287" spans="14:14" ht="15" customHeight="1" x14ac:dyDescent="0.25">
      <c r="N6287" t="s">
        <v>934</v>
      </c>
    </row>
    <row r="6288" spans="14:14" ht="15" customHeight="1" x14ac:dyDescent="0.25">
      <c r="N6288" t="s">
        <v>894</v>
      </c>
    </row>
    <row r="6289" spans="14:14" ht="15" customHeight="1" x14ac:dyDescent="0.25">
      <c r="N6289" t="s">
        <v>894</v>
      </c>
    </row>
    <row r="6290" spans="14:14" ht="15" customHeight="1" x14ac:dyDescent="0.25">
      <c r="N6290" t="s">
        <v>319</v>
      </c>
    </row>
    <row r="6291" spans="14:14" ht="15" customHeight="1" x14ac:dyDescent="0.25">
      <c r="N6291" t="s">
        <v>319</v>
      </c>
    </row>
    <row r="6292" spans="14:14" ht="15" customHeight="1" x14ac:dyDescent="0.25">
      <c r="N6292" t="s">
        <v>319</v>
      </c>
    </row>
    <row r="6293" spans="14:14" ht="15" customHeight="1" x14ac:dyDescent="0.25">
      <c r="N6293" t="s">
        <v>894</v>
      </c>
    </row>
    <row r="6294" spans="14:14" ht="15" customHeight="1" x14ac:dyDescent="0.25">
      <c r="N6294" t="s">
        <v>254</v>
      </c>
    </row>
    <row r="6295" spans="14:14" ht="15" customHeight="1" x14ac:dyDescent="0.25">
      <c r="N6295" t="s">
        <v>254</v>
      </c>
    </row>
    <row r="6296" spans="14:14" ht="15" customHeight="1" x14ac:dyDescent="0.25">
      <c r="N6296" t="s">
        <v>254</v>
      </c>
    </row>
    <row r="6297" spans="14:14" ht="15" customHeight="1" x14ac:dyDescent="0.25">
      <c r="N6297" t="s">
        <v>249</v>
      </c>
    </row>
    <row r="6298" spans="14:14" ht="15" customHeight="1" x14ac:dyDescent="0.25">
      <c r="N6298" t="s">
        <v>1018</v>
      </c>
    </row>
    <row r="6299" spans="14:14" ht="15" customHeight="1" x14ac:dyDescent="0.25">
      <c r="N6299" t="s">
        <v>1019</v>
      </c>
    </row>
    <row r="6300" spans="14:14" ht="15" customHeight="1" x14ac:dyDescent="0.25">
      <c r="N6300" t="s">
        <v>1021</v>
      </c>
    </row>
    <row r="6301" spans="14:14" ht="15" customHeight="1" x14ac:dyDescent="0.25">
      <c r="N6301" t="s">
        <v>223</v>
      </c>
    </row>
    <row r="6302" spans="14:14" ht="15" customHeight="1" x14ac:dyDescent="0.25">
      <c r="N6302" t="s">
        <v>223</v>
      </c>
    </row>
    <row r="6303" spans="14:14" ht="15" customHeight="1" x14ac:dyDescent="0.25">
      <c r="N6303" t="s">
        <v>223</v>
      </c>
    </row>
    <row r="6304" spans="14:14" ht="15" customHeight="1" x14ac:dyDescent="0.25">
      <c r="N6304" t="s">
        <v>717</v>
      </c>
    </row>
    <row r="6305" spans="14:14" ht="15" customHeight="1" x14ac:dyDescent="0.25">
      <c r="N6305" t="s">
        <v>717</v>
      </c>
    </row>
    <row r="6306" spans="14:14" ht="15" customHeight="1" x14ac:dyDescent="0.25">
      <c r="N6306" t="s">
        <v>294</v>
      </c>
    </row>
    <row r="6307" spans="14:14" ht="15" customHeight="1" x14ac:dyDescent="0.25">
      <c r="N6307" t="s">
        <v>254</v>
      </c>
    </row>
    <row r="6308" spans="14:14" ht="15" customHeight="1" x14ac:dyDescent="0.25">
      <c r="N6308" t="s">
        <v>254</v>
      </c>
    </row>
    <row r="6309" spans="14:14" ht="15" customHeight="1" x14ac:dyDescent="0.25">
      <c r="N6309" t="s">
        <v>254</v>
      </c>
    </row>
    <row r="6310" spans="14:14" ht="15" customHeight="1" x14ac:dyDescent="0.25">
      <c r="N6310" t="s">
        <v>319</v>
      </c>
    </row>
    <row r="6311" spans="14:14" ht="15" customHeight="1" x14ac:dyDescent="0.25">
      <c r="N6311" t="s">
        <v>273</v>
      </c>
    </row>
    <row r="6312" spans="14:14" ht="15" customHeight="1" x14ac:dyDescent="0.25">
      <c r="N6312" t="s">
        <v>319</v>
      </c>
    </row>
    <row r="6313" spans="14:14" ht="15" customHeight="1" x14ac:dyDescent="0.25">
      <c r="N6313" t="s">
        <v>1329</v>
      </c>
    </row>
    <row r="6314" spans="14:14" ht="15" customHeight="1" x14ac:dyDescent="0.25">
      <c r="N6314" t="s">
        <v>319</v>
      </c>
    </row>
    <row r="6315" spans="14:14" ht="15" customHeight="1" x14ac:dyDescent="0.25">
      <c r="N6315" t="s">
        <v>254</v>
      </c>
    </row>
    <row r="6316" spans="14:14" ht="15" customHeight="1" x14ac:dyDescent="0.25">
      <c r="N6316" t="s">
        <v>1005</v>
      </c>
    </row>
    <row r="6317" spans="14:14" ht="15" customHeight="1" x14ac:dyDescent="0.25">
      <c r="N6317" t="s">
        <v>1005</v>
      </c>
    </row>
    <row r="6318" spans="14:14" ht="15" customHeight="1" x14ac:dyDescent="0.25">
      <c r="N6318" t="s">
        <v>1004</v>
      </c>
    </row>
    <row r="6319" spans="14:14" ht="15" customHeight="1" x14ac:dyDescent="0.25">
      <c r="N6319" t="s">
        <v>1004</v>
      </c>
    </row>
    <row r="6320" spans="14:14" ht="15" customHeight="1" x14ac:dyDescent="0.25">
      <c r="N6320" t="s">
        <v>1004</v>
      </c>
    </row>
    <row r="6321" spans="14:14" ht="15" customHeight="1" x14ac:dyDescent="0.25">
      <c r="N6321" t="s">
        <v>1004</v>
      </c>
    </row>
    <row r="6322" spans="14:14" ht="15" customHeight="1" x14ac:dyDescent="0.25">
      <c r="N6322" t="s">
        <v>1004</v>
      </c>
    </row>
    <row r="6323" spans="14:14" ht="15" customHeight="1" x14ac:dyDescent="0.25">
      <c r="N6323" t="s">
        <v>1004</v>
      </c>
    </row>
    <row r="6324" spans="14:14" ht="15" customHeight="1" x14ac:dyDescent="0.25">
      <c r="N6324" t="s">
        <v>1004</v>
      </c>
    </row>
    <row r="6325" spans="14:14" ht="15" customHeight="1" x14ac:dyDescent="0.25">
      <c r="N6325" t="s">
        <v>1004</v>
      </c>
    </row>
    <row r="6326" spans="14:14" ht="15" customHeight="1" x14ac:dyDescent="0.25">
      <c r="N6326" t="s">
        <v>1004</v>
      </c>
    </row>
    <row r="6327" spans="14:14" ht="15" customHeight="1" x14ac:dyDescent="0.25">
      <c r="N6327" t="s">
        <v>1004</v>
      </c>
    </row>
    <row r="6328" spans="14:14" ht="15" customHeight="1" x14ac:dyDescent="0.25">
      <c r="N6328" t="s">
        <v>1023</v>
      </c>
    </row>
    <row r="6329" spans="14:14" ht="15" customHeight="1" x14ac:dyDescent="0.25">
      <c r="N6329" t="s">
        <v>1023</v>
      </c>
    </row>
    <row r="6330" spans="14:14" ht="15" customHeight="1" x14ac:dyDescent="0.25">
      <c r="N6330" t="s">
        <v>1004</v>
      </c>
    </row>
    <row r="6331" spans="14:14" ht="15" customHeight="1" x14ac:dyDescent="0.25">
      <c r="N6331" t="s">
        <v>1027</v>
      </c>
    </row>
    <row r="6332" spans="14:14" ht="15" customHeight="1" x14ac:dyDescent="0.25">
      <c r="N6332" t="s">
        <v>1029</v>
      </c>
    </row>
    <row r="6333" spans="14:14" ht="15" customHeight="1" x14ac:dyDescent="0.25">
      <c r="N6333" t="s">
        <v>1029</v>
      </c>
    </row>
    <row r="6334" spans="14:14" ht="15" customHeight="1" x14ac:dyDescent="0.25">
      <c r="N6334" t="s">
        <v>1029</v>
      </c>
    </row>
    <row r="6335" spans="14:14" ht="15" customHeight="1" x14ac:dyDescent="0.25">
      <c r="N6335" t="s">
        <v>1029</v>
      </c>
    </row>
    <row r="6336" spans="14:14" ht="15" customHeight="1" x14ac:dyDescent="0.25">
      <c r="N6336" t="s">
        <v>1029</v>
      </c>
    </row>
    <row r="6337" spans="14:14" ht="15" customHeight="1" x14ac:dyDescent="0.25">
      <c r="N6337" t="s">
        <v>930</v>
      </c>
    </row>
    <row r="6338" spans="14:14" ht="15" customHeight="1" x14ac:dyDescent="0.25">
      <c r="N6338" t="s">
        <v>971</v>
      </c>
    </row>
    <row r="6339" spans="14:14" ht="15" customHeight="1" x14ac:dyDescent="0.25">
      <c r="N6339" t="s">
        <v>971</v>
      </c>
    </row>
    <row r="6340" spans="14:14" ht="15" customHeight="1" x14ac:dyDescent="0.25">
      <c r="N6340" t="s">
        <v>907</v>
      </c>
    </row>
    <row r="6341" spans="14:14" ht="15" customHeight="1" x14ac:dyDescent="0.25">
      <c r="N6341" t="s">
        <v>1034</v>
      </c>
    </row>
    <row r="6342" spans="14:14" ht="15" customHeight="1" x14ac:dyDescent="0.25">
      <c r="N6342" t="s">
        <v>901</v>
      </c>
    </row>
    <row r="6343" spans="14:14" ht="15" customHeight="1" x14ac:dyDescent="0.25">
      <c r="N6343" t="s">
        <v>1011</v>
      </c>
    </row>
    <row r="6344" spans="14:14" ht="15" customHeight="1" x14ac:dyDescent="0.25">
      <c r="N6344" t="s">
        <v>985</v>
      </c>
    </row>
    <row r="6345" spans="14:14" ht="15" customHeight="1" x14ac:dyDescent="0.25">
      <c r="N6345" t="s">
        <v>985</v>
      </c>
    </row>
    <row r="6346" spans="14:14" ht="15" customHeight="1" x14ac:dyDescent="0.25">
      <c r="N6346" t="s">
        <v>901</v>
      </c>
    </row>
    <row r="6347" spans="14:14" ht="15" customHeight="1" x14ac:dyDescent="0.25">
      <c r="N6347" t="s">
        <v>958</v>
      </c>
    </row>
    <row r="6348" spans="14:14" ht="15" customHeight="1" x14ac:dyDescent="0.25">
      <c r="N6348" t="s">
        <v>1037</v>
      </c>
    </row>
    <row r="6349" spans="14:14" ht="15" customHeight="1" x14ac:dyDescent="0.25">
      <c r="N6349" t="s">
        <v>1039</v>
      </c>
    </row>
    <row r="6350" spans="14:14" ht="15" customHeight="1" x14ac:dyDescent="0.25">
      <c r="N6350" t="s">
        <v>930</v>
      </c>
    </row>
    <row r="6351" spans="14:14" ht="15" customHeight="1" x14ac:dyDescent="0.25">
      <c r="N6351" t="s">
        <v>1042</v>
      </c>
    </row>
    <row r="6352" spans="14:14" ht="15" customHeight="1" x14ac:dyDescent="0.25">
      <c r="N6352" t="s">
        <v>1000</v>
      </c>
    </row>
    <row r="6353" spans="14:14" ht="15" customHeight="1" x14ac:dyDescent="0.25">
      <c r="N6353" t="s">
        <v>894</v>
      </c>
    </row>
    <row r="6354" spans="14:14" ht="15" customHeight="1" x14ac:dyDescent="0.25">
      <c r="N6354" t="s">
        <v>1044</v>
      </c>
    </row>
    <row r="6355" spans="14:14" ht="15" customHeight="1" x14ac:dyDescent="0.25">
      <c r="N6355" t="s">
        <v>958</v>
      </c>
    </row>
    <row r="6356" spans="14:14" ht="15" customHeight="1" x14ac:dyDescent="0.25">
      <c r="N6356" t="s">
        <v>1004</v>
      </c>
    </row>
    <row r="6357" spans="14:14" ht="15" customHeight="1" x14ac:dyDescent="0.25">
      <c r="N6357" t="s">
        <v>1005</v>
      </c>
    </row>
    <row r="6358" spans="14:14" ht="15" customHeight="1" x14ac:dyDescent="0.25">
      <c r="N6358" t="s">
        <v>969</v>
      </c>
    </row>
    <row r="6359" spans="14:14" ht="15" customHeight="1" x14ac:dyDescent="0.25">
      <c r="N6359" t="s">
        <v>969</v>
      </c>
    </row>
    <row r="6360" spans="14:14" ht="15" customHeight="1" x14ac:dyDescent="0.25">
      <c r="N6360" t="s">
        <v>969</v>
      </c>
    </row>
    <row r="6361" spans="14:14" ht="15" customHeight="1" x14ac:dyDescent="0.25">
      <c r="N6361" t="s">
        <v>969</v>
      </c>
    </row>
    <row r="6362" spans="14:14" ht="15" customHeight="1" x14ac:dyDescent="0.25">
      <c r="N6362" t="s">
        <v>969</v>
      </c>
    </row>
    <row r="6363" spans="14:14" ht="15" customHeight="1" x14ac:dyDescent="0.25">
      <c r="N6363" t="s">
        <v>969</v>
      </c>
    </row>
    <row r="6364" spans="14:14" ht="15" customHeight="1" x14ac:dyDescent="0.25">
      <c r="N6364" t="s">
        <v>1007</v>
      </c>
    </row>
    <row r="6365" spans="14:14" ht="15" customHeight="1" x14ac:dyDescent="0.25">
      <c r="N6365" t="s">
        <v>998</v>
      </c>
    </row>
    <row r="6366" spans="14:14" ht="15" customHeight="1" x14ac:dyDescent="0.25">
      <c r="N6366" t="s">
        <v>980</v>
      </c>
    </row>
    <row r="6367" spans="14:14" ht="15" customHeight="1" x14ac:dyDescent="0.25">
      <c r="N6367" t="s">
        <v>1049</v>
      </c>
    </row>
    <row r="6368" spans="14:14" ht="15" customHeight="1" x14ac:dyDescent="0.25">
      <c r="N6368" t="s">
        <v>914</v>
      </c>
    </row>
    <row r="6369" spans="14:14" ht="15" customHeight="1" x14ac:dyDescent="0.25">
      <c r="N6369" t="s">
        <v>901</v>
      </c>
    </row>
    <row r="6370" spans="14:14" ht="15" customHeight="1" x14ac:dyDescent="0.25">
      <c r="N6370" t="s">
        <v>914</v>
      </c>
    </row>
    <row r="6371" spans="14:14" ht="15" customHeight="1" x14ac:dyDescent="0.25">
      <c r="N6371" t="s">
        <v>901</v>
      </c>
    </row>
    <row r="6372" spans="14:14" ht="15" customHeight="1" x14ac:dyDescent="0.25">
      <c r="N6372" t="s">
        <v>901</v>
      </c>
    </row>
    <row r="6373" spans="14:14" ht="15" customHeight="1" x14ac:dyDescent="0.25">
      <c r="N6373" t="s">
        <v>901</v>
      </c>
    </row>
    <row r="6374" spans="14:14" ht="15" customHeight="1" x14ac:dyDescent="0.25">
      <c r="N6374" t="s">
        <v>1055</v>
      </c>
    </row>
    <row r="6375" spans="14:14" ht="15" customHeight="1" x14ac:dyDescent="0.25">
      <c r="N6375" t="s">
        <v>969</v>
      </c>
    </row>
    <row r="6376" spans="14:14" ht="15" customHeight="1" x14ac:dyDescent="0.25">
      <c r="N6376" t="s">
        <v>1042</v>
      </c>
    </row>
    <row r="6377" spans="14:14" ht="15" customHeight="1" x14ac:dyDescent="0.25">
      <c r="N6377" t="s">
        <v>1057</v>
      </c>
    </row>
    <row r="6378" spans="14:14" ht="15" customHeight="1" x14ac:dyDescent="0.25">
      <c r="N6378" t="s">
        <v>1057</v>
      </c>
    </row>
    <row r="6379" spans="14:14" ht="15" customHeight="1" x14ac:dyDescent="0.25">
      <c r="N6379" t="s">
        <v>223</v>
      </c>
    </row>
    <row r="6380" spans="14:14" ht="15" customHeight="1" x14ac:dyDescent="0.25">
      <c r="N6380" t="s">
        <v>223</v>
      </c>
    </row>
    <row r="6381" spans="14:14" ht="15" customHeight="1" x14ac:dyDescent="0.25">
      <c r="N6381" t="s">
        <v>223</v>
      </c>
    </row>
    <row r="6382" spans="14:14" ht="15" customHeight="1" x14ac:dyDescent="0.25">
      <c r="N6382" t="s">
        <v>894</v>
      </c>
    </row>
    <row r="6383" spans="14:14" ht="15" customHeight="1" x14ac:dyDescent="0.25">
      <c r="N6383" t="s">
        <v>273</v>
      </c>
    </row>
    <row r="6384" spans="14:14" ht="15" customHeight="1" x14ac:dyDescent="0.25">
      <c r="N6384" t="s">
        <v>301</v>
      </c>
    </row>
    <row r="6385" spans="14:14" ht="15" customHeight="1" x14ac:dyDescent="0.25">
      <c r="N6385" t="s">
        <v>223</v>
      </c>
    </row>
    <row r="6386" spans="14:14" ht="15" customHeight="1" x14ac:dyDescent="0.25">
      <c r="N6386" t="s">
        <v>231</v>
      </c>
    </row>
    <row r="6387" spans="14:14" ht="15" customHeight="1" x14ac:dyDescent="0.25">
      <c r="N6387" t="s">
        <v>470</v>
      </c>
    </row>
    <row r="6388" spans="14:14" ht="15" customHeight="1" x14ac:dyDescent="0.25">
      <c r="N6388" t="s">
        <v>1062</v>
      </c>
    </row>
    <row r="6389" spans="14:14" ht="15" customHeight="1" x14ac:dyDescent="0.25">
      <c r="N6389" t="s">
        <v>1063</v>
      </c>
    </row>
    <row r="6390" spans="14:14" ht="15" customHeight="1" x14ac:dyDescent="0.25">
      <c r="N6390" t="s">
        <v>1005</v>
      </c>
    </row>
    <row r="6391" spans="14:14" ht="15" customHeight="1" x14ac:dyDescent="0.25">
      <c r="N6391" t="s">
        <v>254</v>
      </c>
    </row>
    <row r="6392" spans="14:14" ht="15" customHeight="1" x14ac:dyDescent="0.25">
      <c r="N6392" t="s">
        <v>254</v>
      </c>
    </row>
    <row r="6393" spans="14:14" ht="15" customHeight="1" x14ac:dyDescent="0.25">
      <c r="N6393" t="s">
        <v>334</v>
      </c>
    </row>
    <row r="6394" spans="14:14" ht="15" customHeight="1" x14ac:dyDescent="0.25">
      <c r="N6394" t="s">
        <v>273</v>
      </c>
    </row>
    <row r="6395" spans="14:14" ht="15" customHeight="1" x14ac:dyDescent="0.25">
      <c r="N6395" t="s">
        <v>319</v>
      </c>
    </row>
    <row r="6396" spans="14:14" ht="15" customHeight="1" x14ac:dyDescent="0.25">
      <c r="N6396" t="s">
        <v>1331</v>
      </c>
    </row>
    <row r="6397" spans="14:14" ht="15" customHeight="1" x14ac:dyDescent="0.25">
      <c r="N6397" t="s">
        <v>319</v>
      </c>
    </row>
    <row r="6398" spans="14:14" ht="15" customHeight="1" x14ac:dyDescent="0.25">
      <c r="N6398" t="s">
        <v>1005</v>
      </c>
    </row>
    <row r="6399" spans="14:14" ht="15" customHeight="1" x14ac:dyDescent="0.25">
      <c r="N6399" t="s">
        <v>1005</v>
      </c>
    </row>
    <row r="6400" spans="14:14" ht="15" customHeight="1" x14ac:dyDescent="0.25">
      <c r="N6400" t="s">
        <v>1005</v>
      </c>
    </row>
    <row r="6401" spans="14:14" ht="15" customHeight="1" x14ac:dyDescent="0.25">
      <c r="N6401" t="s">
        <v>1066</v>
      </c>
    </row>
    <row r="6402" spans="14:14" ht="15" customHeight="1" x14ac:dyDescent="0.25">
      <c r="N6402" t="s">
        <v>1066</v>
      </c>
    </row>
    <row r="6403" spans="14:14" ht="15" customHeight="1" x14ac:dyDescent="0.25">
      <c r="N6403" t="s">
        <v>1066</v>
      </c>
    </row>
    <row r="6404" spans="14:14" ht="15" customHeight="1" x14ac:dyDescent="0.25">
      <c r="N6404" t="s">
        <v>1066</v>
      </c>
    </row>
    <row r="6405" spans="14:14" ht="15" customHeight="1" x14ac:dyDescent="0.25">
      <c r="N6405" t="s">
        <v>1066</v>
      </c>
    </row>
    <row r="6406" spans="14:14" ht="15" customHeight="1" x14ac:dyDescent="0.25">
      <c r="N6406" t="s">
        <v>1066</v>
      </c>
    </row>
    <row r="6407" spans="14:14" ht="15" customHeight="1" x14ac:dyDescent="0.25">
      <c r="N6407" t="s">
        <v>1066</v>
      </c>
    </row>
    <row r="6408" spans="14:14" ht="15" customHeight="1" x14ac:dyDescent="0.25">
      <c r="N6408" t="s">
        <v>1066</v>
      </c>
    </row>
    <row r="6409" spans="14:14" ht="15" customHeight="1" x14ac:dyDescent="0.25">
      <c r="N6409" t="s">
        <v>1066</v>
      </c>
    </row>
    <row r="6410" spans="14:14" ht="15" customHeight="1" x14ac:dyDescent="0.25">
      <c r="N6410" t="s">
        <v>1066</v>
      </c>
    </row>
    <row r="6411" spans="14:14" ht="15" customHeight="1" x14ac:dyDescent="0.25">
      <c r="N6411" t="s">
        <v>930</v>
      </c>
    </row>
    <row r="6412" spans="14:14" ht="15" customHeight="1" x14ac:dyDescent="0.25">
      <c r="N6412" t="s">
        <v>930</v>
      </c>
    </row>
    <row r="6413" spans="14:14" ht="15" customHeight="1" x14ac:dyDescent="0.25">
      <c r="N6413" t="s">
        <v>1004</v>
      </c>
    </row>
    <row r="6414" spans="14:14" ht="15" customHeight="1" x14ac:dyDescent="0.25">
      <c r="N6414" t="s">
        <v>901</v>
      </c>
    </row>
    <row r="6415" spans="14:14" ht="15" customHeight="1" x14ac:dyDescent="0.25">
      <c r="N6415" t="s">
        <v>901</v>
      </c>
    </row>
    <row r="6416" spans="14:14" ht="15" customHeight="1" x14ac:dyDescent="0.25">
      <c r="N6416" t="s">
        <v>901</v>
      </c>
    </row>
    <row r="6417" spans="14:14" ht="15" customHeight="1" x14ac:dyDescent="0.25">
      <c r="N6417" t="s">
        <v>901</v>
      </c>
    </row>
    <row r="6418" spans="14:14" ht="15" customHeight="1" x14ac:dyDescent="0.25">
      <c r="N6418" t="s">
        <v>901</v>
      </c>
    </row>
    <row r="6419" spans="14:14" ht="15" customHeight="1" x14ac:dyDescent="0.25">
      <c r="N6419" t="s">
        <v>1068</v>
      </c>
    </row>
    <row r="6420" spans="14:14" ht="15" customHeight="1" x14ac:dyDescent="0.25">
      <c r="N6420" t="s">
        <v>1070</v>
      </c>
    </row>
    <row r="6421" spans="14:14" ht="15" customHeight="1" x14ac:dyDescent="0.25">
      <c r="N6421" t="s">
        <v>1070</v>
      </c>
    </row>
    <row r="6422" spans="14:14" ht="15" customHeight="1" x14ac:dyDescent="0.25">
      <c r="N6422" t="s">
        <v>1072</v>
      </c>
    </row>
    <row r="6423" spans="14:14" ht="15" customHeight="1" x14ac:dyDescent="0.25">
      <c r="N6423" t="s">
        <v>1072</v>
      </c>
    </row>
    <row r="6424" spans="14:14" ht="15" customHeight="1" x14ac:dyDescent="0.25">
      <c r="N6424" t="s">
        <v>894</v>
      </c>
    </row>
    <row r="6425" spans="14:14" ht="15" customHeight="1" x14ac:dyDescent="0.25">
      <c r="N6425" t="s">
        <v>1042</v>
      </c>
    </row>
    <row r="6426" spans="14:14" ht="15" customHeight="1" x14ac:dyDescent="0.25">
      <c r="N6426" t="s">
        <v>1042</v>
      </c>
    </row>
    <row r="6427" spans="14:14" ht="15" customHeight="1" x14ac:dyDescent="0.25">
      <c r="N6427" t="s">
        <v>1004</v>
      </c>
    </row>
    <row r="6428" spans="14:14" ht="15" customHeight="1" x14ac:dyDescent="0.25">
      <c r="N6428" t="s">
        <v>1004</v>
      </c>
    </row>
    <row r="6429" spans="14:14" ht="15" customHeight="1" x14ac:dyDescent="0.25">
      <c r="N6429" t="s">
        <v>901</v>
      </c>
    </row>
    <row r="6430" spans="14:14" ht="15" customHeight="1" x14ac:dyDescent="0.25">
      <c r="N6430" t="s">
        <v>993</v>
      </c>
    </row>
    <row r="6431" spans="14:14" ht="15" customHeight="1" x14ac:dyDescent="0.25">
      <c r="N6431" t="s">
        <v>1074</v>
      </c>
    </row>
    <row r="6432" spans="14:14" ht="15" customHeight="1" x14ac:dyDescent="0.25">
      <c r="N6432" t="s">
        <v>1076</v>
      </c>
    </row>
    <row r="6433" spans="14:14" ht="15" customHeight="1" x14ac:dyDescent="0.25">
      <c r="N6433" t="s">
        <v>1078</v>
      </c>
    </row>
    <row r="6434" spans="14:14" ht="15" customHeight="1" x14ac:dyDescent="0.25">
      <c r="N6434" t="s">
        <v>1042</v>
      </c>
    </row>
    <row r="6435" spans="14:14" ht="15" customHeight="1" x14ac:dyDescent="0.25">
      <c r="N6435" t="s">
        <v>980</v>
      </c>
    </row>
    <row r="6436" spans="14:14" ht="15" customHeight="1" x14ac:dyDescent="0.25">
      <c r="N6436" t="s">
        <v>1082</v>
      </c>
    </row>
    <row r="6437" spans="14:14" ht="15" customHeight="1" x14ac:dyDescent="0.25">
      <c r="N6437" t="s">
        <v>930</v>
      </c>
    </row>
    <row r="6438" spans="14:14" ht="15" customHeight="1" x14ac:dyDescent="0.25">
      <c r="N6438" t="s">
        <v>930</v>
      </c>
    </row>
    <row r="6439" spans="14:14" ht="15" customHeight="1" x14ac:dyDescent="0.25">
      <c r="N6439" t="s">
        <v>910</v>
      </c>
    </row>
    <row r="6440" spans="14:14" ht="15" customHeight="1" x14ac:dyDescent="0.25">
      <c r="N6440" t="s">
        <v>942</v>
      </c>
    </row>
    <row r="6441" spans="14:14" ht="15" customHeight="1" x14ac:dyDescent="0.25">
      <c r="N6441" t="s">
        <v>1087</v>
      </c>
    </row>
    <row r="6442" spans="14:14" ht="15" customHeight="1" x14ac:dyDescent="0.25">
      <c r="N6442" t="s">
        <v>943</v>
      </c>
    </row>
    <row r="6443" spans="14:14" ht="15" customHeight="1" x14ac:dyDescent="0.25">
      <c r="N6443" t="s">
        <v>943</v>
      </c>
    </row>
    <row r="6444" spans="14:14" ht="15" customHeight="1" x14ac:dyDescent="0.25">
      <c r="N6444" t="s">
        <v>943</v>
      </c>
    </row>
    <row r="6445" spans="14:14" ht="15" customHeight="1" x14ac:dyDescent="0.25">
      <c r="N6445" t="s">
        <v>943</v>
      </c>
    </row>
    <row r="6446" spans="14:14" ht="15" customHeight="1" x14ac:dyDescent="0.25">
      <c r="N6446" t="s">
        <v>943</v>
      </c>
    </row>
    <row r="6447" spans="14:14" ht="15" customHeight="1" x14ac:dyDescent="0.25">
      <c r="N6447" t="s">
        <v>943</v>
      </c>
    </row>
    <row r="6448" spans="14:14" ht="15" customHeight="1" x14ac:dyDescent="0.25">
      <c r="N6448" t="s">
        <v>1089</v>
      </c>
    </row>
    <row r="6449" spans="14:14" ht="15" customHeight="1" x14ac:dyDescent="0.25">
      <c r="N6449" t="s">
        <v>1090</v>
      </c>
    </row>
    <row r="6450" spans="14:14" ht="15" customHeight="1" x14ac:dyDescent="0.25">
      <c r="N6450" t="s">
        <v>1092</v>
      </c>
    </row>
    <row r="6451" spans="14:14" ht="15" customHeight="1" x14ac:dyDescent="0.25">
      <c r="N6451" t="s">
        <v>969</v>
      </c>
    </row>
    <row r="6452" spans="14:14" ht="15" customHeight="1" x14ac:dyDescent="0.25">
      <c r="N6452" t="s">
        <v>1034</v>
      </c>
    </row>
    <row r="6453" spans="14:14" ht="15" customHeight="1" x14ac:dyDescent="0.25">
      <c r="N6453" t="s">
        <v>917</v>
      </c>
    </row>
    <row r="6454" spans="14:14" ht="15" customHeight="1" x14ac:dyDescent="0.25">
      <c r="N6454" t="s">
        <v>1078</v>
      </c>
    </row>
    <row r="6455" spans="14:14" ht="15" customHeight="1" x14ac:dyDescent="0.25">
      <c r="N6455" t="s">
        <v>930</v>
      </c>
    </row>
    <row r="6456" spans="14:14" ht="15" customHeight="1" x14ac:dyDescent="0.25">
      <c r="N6456" t="s">
        <v>1100</v>
      </c>
    </row>
    <row r="6457" spans="14:14" ht="15" customHeight="1" x14ac:dyDescent="0.25">
      <c r="N6457" t="s">
        <v>914</v>
      </c>
    </row>
    <row r="6458" spans="14:14" ht="15" customHeight="1" x14ac:dyDescent="0.25">
      <c r="N6458" t="s">
        <v>1103</v>
      </c>
    </row>
    <row r="6459" spans="14:14" ht="15" customHeight="1" x14ac:dyDescent="0.25">
      <c r="N6459" t="s">
        <v>1103</v>
      </c>
    </row>
    <row r="6460" spans="14:14" ht="15" customHeight="1" x14ac:dyDescent="0.25">
      <c r="N6460" t="s">
        <v>1103</v>
      </c>
    </row>
    <row r="6461" spans="14:14" ht="15" customHeight="1" x14ac:dyDescent="0.25">
      <c r="N6461" t="s">
        <v>1072</v>
      </c>
    </row>
    <row r="6462" spans="14:14" ht="15" customHeight="1" x14ac:dyDescent="0.25">
      <c r="N6462" t="s">
        <v>1105</v>
      </c>
    </row>
    <row r="6463" spans="14:14" ht="15" customHeight="1" x14ac:dyDescent="0.25">
      <c r="N6463" t="s">
        <v>969</v>
      </c>
    </row>
    <row r="6464" spans="14:14" ht="15" customHeight="1" x14ac:dyDescent="0.25">
      <c r="N6464" t="s">
        <v>998</v>
      </c>
    </row>
    <row r="6465" spans="14:14" ht="15" customHeight="1" x14ac:dyDescent="0.25">
      <c r="N6465" t="s">
        <v>930</v>
      </c>
    </row>
    <row r="6466" spans="14:14" ht="15" customHeight="1" x14ac:dyDescent="0.25">
      <c r="N6466" t="s">
        <v>930</v>
      </c>
    </row>
    <row r="6467" spans="14:14" ht="15" customHeight="1" x14ac:dyDescent="0.25">
      <c r="N6467" t="s">
        <v>273</v>
      </c>
    </row>
    <row r="6468" spans="14:14" ht="15" customHeight="1" x14ac:dyDescent="0.25">
      <c r="N6468" t="s">
        <v>1070</v>
      </c>
    </row>
    <row r="6469" spans="14:14" ht="15" customHeight="1" x14ac:dyDescent="0.25">
      <c r="N6469" t="s">
        <v>1107</v>
      </c>
    </row>
    <row r="6470" spans="14:14" ht="15" customHeight="1" x14ac:dyDescent="0.25">
      <c r="N6470" t="s">
        <v>1107</v>
      </c>
    </row>
    <row r="6471" spans="14:14" ht="15" customHeight="1" x14ac:dyDescent="0.25">
      <c r="N6471" t="s">
        <v>717</v>
      </c>
    </row>
    <row r="6472" spans="14:14" ht="15" customHeight="1" x14ac:dyDescent="0.25">
      <c r="N6472" t="s">
        <v>717</v>
      </c>
    </row>
    <row r="6473" spans="14:14" ht="15" customHeight="1" x14ac:dyDescent="0.25">
      <c r="N6473" t="s">
        <v>717</v>
      </c>
    </row>
    <row r="6474" spans="14:14" ht="15" customHeight="1" x14ac:dyDescent="0.25">
      <c r="N6474" t="s">
        <v>909</v>
      </c>
    </row>
    <row r="6475" spans="14:14" ht="15" customHeight="1" x14ac:dyDescent="0.25">
      <c r="N6475" t="s">
        <v>231</v>
      </c>
    </row>
    <row r="6476" spans="14:14" ht="15" customHeight="1" x14ac:dyDescent="0.25">
      <c r="N6476" t="s">
        <v>1109</v>
      </c>
    </row>
    <row r="6477" spans="14:14" ht="15" customHeight="1" x14ac:dyDescent="0.25">
      <c r="N6477" t="s">
        <v>1109</v>
      </c>
    </row>
    <row r="6478" spans="14:14" ht="15" customHeight="1" x14ac:dyDescent="0.25">
      <c r="N6478" t="s">
        <v>402</v>
      </c>
    </row>
    <row r="6479" spans="14:14" ht="15" customHeight="1" x14ac:dyDescent="0.25">
      <c r="N6479" t="s">
        <v>717</v>
      </c>
    </row>
    <row r="6480" spans="14:14" ht="15" customHeight="1" x14ac:dyDescent="0.25">
      <c r="N6480" t="s">
        <v>1111</v>
      </c>
    </row>
    <row r="6481" spans="14:14" ht="15" customHeight="1" x14ac:dyDescent="0.25">
      <c r="N6481" t="s">
        <v>286</v>
      </c>
    </row>
    <row r="6482" spans="14:14" ht="15" customHeight="1" x14ac:dyDescent="0.25">
      <c r="N6482" t="s">
        <v>1005</v>
      </c>
    </row>
    <row r="6483" spans="14:14" ht="15" customHeight="1" x14ac:dyDescent="0.25">
      <c r="N6483" t="s">
        <v>254</v>
      </c>
    </row>
    <row r="6484" spans="14:14" ht="15" customHeight="1" x14ac:dyDescent="0.25">
      <c r="N6484" t="s">
        <v>254</v>
      </c>
    </row>
    <row r="6485" spans="14:14" ht="15" customHeight="1" x14ac:dyDescent="0.25">
      <c r="N6485" t="s">
        <v>249</v>
      </c>
    </row>
    <row r="6486" spans="14:14" ht="15" customHeight="1" x14ac:dyDescent="0.25">
      <c r="N6486" t="s">
        <v>273</v>
      </c>
    </row>
    <row r="6487" spans="14:14" ht="15" customHeight="1" x14ac:dyDescent="0.25">
      <c r="N6487" t="s">
        <v>319</v>
      </c>
    </row>
    <row r="6488" spans="14:14" ht="15" customHeight="1" x14ac:dyDescent="0.25">
      <c r="N6488" t="s">
        <v>1333</v>
      </c>
    </row>
    <row r="6489" spans="14:14" ht="15" customHeight="1" x14ac:dyDescent="0.25">
      <c r="N6489" t="s">
        <v>1005</v>
      </c>
    </row>
    <row r="6490" spans="14:14" ht="15" customHeight="1" x14ac:dyDescent="0.25">
      <c r="N6490" t="s">
        <v>789</v>
      </c>
    </row>
    <row r="6491" spans="14:14" ht="15" customHeight="1" x14ac:dyDescent="0.25">
      <c r="N6491" t="s">
        <v>1113</v>
      </c>
    </row>
    <row r="6492" spans="14:14" ht="15" customHeight="1" x14ac:dyDescent="0.25">
      <c r="N6492" t="s">
        <v>930</v>
      </c>
    </row>
    <row r="6493" spans="14:14" ht="15" customHeight="1" x14ac:dyDescent="0.25">
      <c r="N6493" t="s">
        <v>930</v>
      </c>
    </row>
    <row r="6494" spans="14:14" ht="15" customHeight="1" x14ac:dyDescent="0.25">
      <c r="N6494" t="s">
        <v>1004</v>
      </c>
    </row>
    <row r="6495" spans="14:14" ht="15" customHeight="1" x14ac:dyDescent="0.25">
      <c r="N6495" t="s">
        <v>984</v>
      </c>
    </row>
    <row r="6496" spans="14:14" ht="15" customHeight="1" x14ac:dyDescent="0.25">
      <c r="N6496" t="s">
        <v>984</v>
      </c>
    </row>
    <row r="6497" spans="14:14" ht="15" customHeight="1" x14ac:dyDescent="0.25">
      <c r="N6497" t="s">
        <v>984</v>
      </c>
    </row>
    <row r="6498" spans="14:14" ht="15" customHeight="1" x14ac:dyDescent="0.25">
      <c r="N6498" t="s">
        <v>984</v>
      </c>
    </row>
    <row r="6499" spans="14:14" ht="15" customHeight="1" x14ac:dyDescent="0.25">
      <c r="N6499" t="s">
        <v>1070</v>
      </c>
    </row>
    <row r="6500" spans="14:14" ht="15" customHeight="1" x14ac:dyDescent="0.25">
      <c r="N6500" t="s">
        <v>1070</v>
      </c>
    </row>
    <row r="6501" spans="14:14" ht="15" customHeight="1" x14ac:dyDescent="0.25">
      <c r="N6501" t="s">
        <v>1105</v>
      </c>
    </row>
    <row r="6502" spans="14:14" ht="15" customHeight="1" x14ac:dyDescent="0.25">
      <c r="N6502" t="s">
        <v>1105</v>
      </c>
    </row>
    <row r="6503" spans="14:14" ht="15" customHeight="1" x14ac:dyDescent="0.25">
      <c r="N6503" t="s">
        <v>1116</v>
      </c>
    </row>
    <row r="6504" spans="14:14" ht="15" customHeight="1" x14ac:dyDescent="0.25">
      <c r="N6504" t="s">
        <v>1116</v>
      </c>
    </row>
    <row r="6505" spans="14:14" ht="15" customHeight="1" x14ac:dyDescent="0.25">
      <c r="N6505" t="s">
        <v>1116</v>
      </c>
    </row>
    <row r="6506" spans="14:14" ht="15" customHeight="1" x14ac:dyDescent="0.25">
      <c r="N6506" t="s">
        <v>1116</v>
      </c>
    </row>
    <row r="6507" spans="14:14" ht="15" customHeight="1" x14ac:dyDescent="0.25">
      <c r="N6507" t="s">
        <v>1116</v>
      </c>
    </row>
    <row r="6508" spans="14:14" ht="15" customHeight="1" x14ac:dyDescent="0.25">
      <c r="N6508" t="s">
        <v>1116</v>
      </c>
    </row>
    <row r="6509" spans="14:14" ht="15" customHeight="1" x14ac:dyDescent="0.25">
      <c r="N6509" t="s">
        <v>1116</v>
      </c>
    </row>
    <row r="6510" spans="14:14" ht="15" customHeight="1" x14ac:dyDescent="0.25">
      <c r="N6510" t="s">
        <v>1116</v>
      </c>
    </row>
    <row r="6511" spans="14:14" ht="15" customHeight="1" x14ac:dyDescent="0.25">
      <c r="N6511" t="s">
        <v>1118</v>
      </c>
    </row>
    <row r="6512" spans="14:14" ht="15" customHeight="1" x14ac:dyDescent="0.25">
      <c r="N6512" t="s">
        <v>914</v>
      </c>
    </row>
    <row r="6513" spans="14:14" ht="15" customHeight="1" x14ac:dyDescent="0.25">
      <c r="N6513" t="s">
        <v>930</v>
      </c>
    </row>
    <row r="6514" spans="14:14" ht="15" customHeight="1" x14ac:dyDescent="0.25">
      <c r="N6514" t="s">
        <v>930</v>
      </c>
    </row>
    <row r="6515" spans="14:14" ht="15" customHeight="1" x14ac:dyDescent="0.25">
      <c r="N6515" t="s">
        <v>930</v>
      </c>
    </row>
    <row r="6516" spans="14:14" ht="15" customHeight="1" x14ac:dyDescent="0.25">
      <c r="N6516" t="s">
        <v>910</v>
      </c>
    </row>
    <row r="6517" spans="14:14" ht="15" customHeight="1" x14ac:dyDescent="0.25">
      <c r="N6517" t="s">
        <v>1004</v>
      </c>
    </row>
    <row r="6518" spans="14:14" ht="15" customHeight="1" x14ac:dyDescent="0.25">
      <c r="N6518" t="s">
        <v>1004</v>
      </c>
    </row>
    <row r="6519" spans="14:14" ht="15" customHeight="1" x14ac:dyDescent="0.25">
      <c r="N6519" t="s">
        <v>901</v>
      </c>
    </row>
    <row r="6520" spans="14:14" ht="15" customHeight="1" x14ac:dyDescent="0.25">
      <c r="N6520" t="s">
        <v>1124</v>
      </c>
    </row>
    <row r="6521" spans="14:14" ht="15" customHeight="1" x14ac:dyDescent="0.25">
      <c r="N6521" t="s">
        <v>1100</v>
      </c>
    </row>
    <row r="6522" spans="14:14" ht="15" customHeight="1" x14ac:dyDescent="0.25">
      <c r="N6522" t="s">
        <v>1068</v>
      </c>
    </row>
    <row r="6523" spans="14:14" ht="15" customHeight="1" x14ac:dyDescent="0.25">
      <c r="N6523" t="s">
        <v>1000</v>
      </c>
    </row>
    <row r="6524" spans="14:14" ht="15" customHeight="1" x14ac:dyDescent="0.25">
      <c r="N6524" t="s">
        <v>1044</v>
      </c>
    </row>
    <row r="6525" spans="14:14" ht="15" customHeight="1" x14ac:dyDescent="0.25">
      <c r="N6525" t="s">
        <v>930</v>
      </c>
    </row>
    <row r="6526" spans="14:14" ht="15" customHeight="1" x14ac:dyDescent="0.25">
      <c r="N6526" t="s">
        <v>930</v>
      </c>
    </row>
    <row r="6527" spans="14:14" ht="15" customHeight="1" x14ac:dyDescent="0.25">
      <c r="N6527" t="s">
        <v>989</v>
      </c>
    </row>
    <row r="6528" spans="14:14" ht="15" customHeight="1" x14ac:dyDescent="0.25">
      <c r="N6528" t="s">
        <v>1004</v>
      </c>
    </row>
    <row r="6529" spans="14:14" ht="15" customHeight="1" x14ac:dyDescent="0.25">
      <c r="N6529" t="s">
        <v>958</v>
      </c>
    </row>
    <row r="6530" spans="14:14" ht="15" customHeight="1" x14ac:dyDescent="0.25">
      <c r="N6530" t="s">
        <v>1087</v>
      </c>
    </row>
    <row r="6531" spans="14:14" ht="15" customHeight="1" x14ac:dyDescent="0.25">
      <c r="N6531" t="s">
        <v>1131</v>
      </c>
    </row>
    <row r="6532" spans="14:14" ht="15" customHeight="1" x14ac:dyDescent="0.25">
      <c r="N6532" t="s">
        <v>1131</v>
      </c>
    </row>
    <row r="6533" spans="14:14" ht="15" customHeight="1" x14ac:dyDescent="0.25">
      <c r="N6533" t="s">
        <v>1131</v>
      </c>
    </row>
    <row r="6534" spans="14:14" ht="15" customHeight="1" x14ac:dyDescent="0.25">
      <c r="N6534" t="s">
        <v>1131</v>
      </c>
    </row>
    <row r="6535" spans="14:14" ht="15" customHeight="1" x14ac:dyDescent="0.25">
      <c r="N6535" t="s">
        <v>1131</v>
      </c>
    </row>
    <row r="6536" spans="14:14" ht="15" customHeight="1" x14ac:dyDescent="0.25">
      <c r="N6536" t="s">
        <v>1131</v>
      </c>
    </row>
    <row r="6537" spans="14:14" ht="15" customHeight="1" x14ac:dyDescent="0.25">
      <c r="N6537" t="s">
        <v>1004</v>
      </c>
    </row>
    <row r="6538" spans="14:14" ht="15" customHeight="1" x14ac:dyDescent="0.25">
      <c r="N6538" t="s">
        <v>1005</v>
      </c>
    </row>
    <row r="6539" spans="14:14" ht="15" customHeight="1" x14ac:dyDescent="0.25">
      <c r="N6539" t="s">
        <v>1078</v>
      </c>
    </row>
    <row r="6540" spans="14:14" ht="15" customHeight="1" x14ac:dyDescent="0.25">
      <c r="N6540" t="s">
        <v>969</v>
      </c>
    </row>
    <row r="6541" spans="14:14" ht="15" customHeight="1" x14ac:dyDescent="0.25">
      <c r="N6541" t="s">
        <v>1011</v>
      </c>
    </row>
    <row r="6542" spans="14:14" ht="15" customHeight="1" x14ac:dyDescent="0.25">
      <c r="N6542" t="s">
        <v>1078</v>
      </c>
    </row>
    <row r="6543" spans="14:14" ht="15" customHeight="1" x14ac:dyDescent="0.25">
      <c r="N6543" t="s">
        <v>1004</v>
      </c>
    </row>
    <row r="6544" spans="14:14" ht="15" customHeight="1" x14ac:dyDescent="0.25">
      <c r="N6544" t="s">
        <v>988</v>
      </c>
    </row>
    <row r="6545" spans="14:14" ht="15" customHeight="1" x14ac:dyDescent="0.25">
      <c r="N6545" t="s">
        <v>1078</v>
      </c>
    </row>
    <row r="6546" spans="14:14" ht="15" customHeight="1" x14ac:dyDescent="0.25">
      <c r="N6546" t="s">
        <v>1141</v>
      </c>
    </row>
    <row r="6547" spans="14:14" ht="15" customHeight="1" x14ac:dyDescent="0.25">
      <c r="N6547" t="s">
        <v>1141</v>
      </c>
    </row>
    <row r="6548" spans="14:14" ht="15" customHeight="1" x14ac:dyDescent="0.25">
      <c r="N6548" t="s">
        <v>1141</v>
      </c>
    </row>
    <row r="6549" spans="14:14" ht="15" customHeight="1" x14ac:dyDescent="0.25">
      <c r="N6549" t="s">
        <v>1116</v>
      </c>
    </row>
    <row r="6550" spans="14:14" ht="15" customHeight="1" x14ac:dyDescent="0.25">
      <c r="N6550" t="s">
        <v>1144</v>
      </c>
    </row>
    <row r="6551" spans="14:14" ht="15" customHeight="1" x14ac:dyDescent="0.25">
      <c r="N6551" t="s">
        <v>1145</v>
      </c>
    </row>
    <row r="6552" spans="14:14" ht="15" customHeight="1" x14ac:dyDescent="0.25">
      <c r="N6552" t="s">
        <v>930</v>
      </c>
    </row>
    <row r="6553" spans="14:14" ht="15" customHeight="1" x14ac:dyDescent="0.25">
      <c r="N6553" t="s">
        <v>930</v>
      </c>
    </row>
    <row r="6554" spans="14:14" ht="15" customHeight="1" x14ac:dyDescent="0.25">
      <c r="N6554" t="s">
        <v>273</v>
      </c>
    </row>
    <row r="6555" spans="14:14" ht="15" customHeight="1" x14ac:dyDescent="0.25">
      <c r="N6555" t="s">
        <v>1070</v>
      </c>
    </row>
    <row r="6556" spans="14:14" ht="15" customHeight="1" x14ac:dyDescent="0.25">
      <c r="N6556" t="s">
        <v>980</v>
      </c>
    </row>
    <row r="6557" spans="14:14" ht="15" customHeight="1" x14ac:dyDescent="0.25">
      <c r="N6557" t="s">
        <v>980</v>
      </c>
    </row>
    <row r="6558" spans="14:14" ht="15" customHeight="1" x14ac:dyDescent="0.25">
      <c r="N6558" t="s">
        <v>1150</v>
      </c>
    </row>
    <row r="6559" spans="14:14" ht="15" customHeight="1" x14ac:dyDescent="0.25">
      <c r="N6559" t="s">
        <v>1109</v>
      </c>
    </row>
    <row r="6560" spans="14:14" ht="15" customHeight="1" x14ac:dyDescent="0.25">
      <c r="N6560" t="s">
        <v>1005</v>
      </c>
    </row>
    <row r="6561" spans="14:14" ht="15" customHeight="1" x14ac:dyDescent="0.25">
      <c r="N6561" t="s">
        <v>1005</v>
      </c>
    </row>
    <row r="6562" spans="14:14" ht="15" customHeight="1" x14ac:dyDescent="0.25">
      <c r="N6562" t="s">
        <v>1005</v>
      </c>
    </row>
    <row r="6563" spans="14:14" ht="15" customHeight="1" x14ac:dyDescent="0.25">
      <c r="N6563" t="s">
        <v>1109</v>
      </c>
    </row>
    <row r="6564" spans="14:14" ht="15" customHeight="1" x14ac:dyDescent="0.25">
      <c r="N6564" t="s">
        <v>1109</v>
      </c>
    </row>
    <row r="6565" spans="14:14" ht="15" customHeight="1" x14ac:dyDescent="0.25">
      <c r="N6565" t="s">
        <v>273</v>
      </c>
    </row>
    <row r="6566" spans="14:14" ht="15" customHeight="1" x14ac:dyDescent="0.25">
      <c r="N6566" t="s">
        <v>1152</v>
      </c>
    </row>
    <row r="6567" spans="14:14" ht="15" customHeight="1" x14ac:dyDescent="0.25">
      <c r="N6567" t="s">
        <v>286</v>
      </c>
    </row>
    <row r="6568" spans="14:14" ht="15" customHeight="1" x14ac:dyDescent="0.25">
      <c r="N6568" t="s">
        <v>1005</v>
      </c>
    </row>
    <row r="6569" spans="14:14" ht="15" customHeight="1" x14ac:dyDescent="0.25">
      <c r="N6569" t="s">
        <v>1153</v>
      </c>
    </row>
    <row r="6570" spans="14:14" ht="15" customHeight="1" x14ac:dyDescent="0.25">
      <c r="N6570" t="s">
        <v>1153</v>
      </c>
    </row>
    <row r="6571" spans="14:14" ht="15" customHeight="1" x14ac:dyDescent="0.25">
      <c r="N6571" t="s">
        <v>1155</v>
      </c>
    </row>
    <row r="6572" spans="14:14" ht="15" customHeight="1" x14ac:dyDescent="0.25">
      <c r="N6572" t="s">
        <v>319</v>
      </c>
    </row>
    <row r="6573" spans="14:14" ht="15" customHeight="1" x14ac:dyDescent="0.25">
      <c r="N6573" t="s">
        <v>1207</v>
      </c>
    </row>
    <row r="6574" spans="14:14" ht="15" customHeight="1" x14ac:dyDescent="0.25">
      <c r="N6574" t="s">
        <v>1207</v>
      </c>
    </row>
    <row r="6575" spans="14:14" ht="15" customHeight="1" x14ac:dyDescent="0.25">
      <c r="N6575" t="s">
        <v>1005</v>
      </c>
    </row>
    <row r="6576" spans="14:14" ht="15" customHeight="1" x14ac:dyDescent="0.25">
      <c r="N6576" t="s">
        <v>273</v>
      </c>
    </row>
    <row r="6577" spans="14:14" ht="15" customHeight="1" x14ac:dyDescent="0.25">
      <c r="N6577" t="s">
        <v>895</v>
      </c>
    </row>
    <row r="6578" spans="14:14" ht="15" customHeight="1" x14ac:dyDescent="0.25">
      <c r="N6578" t="s">
        <v>1156</v>
      </c>
    </row>
    <row r="6579" spans="14:14" ht="15" customHeight="1" x14ac:dyDescent="0.25">
      <c r="N6579" t="s">
        <v>1156</v>
      </c>
    </row>
    <row r="6580" spans="14:14" ht="15" customHeight="1" x14ac:dyDescent="0.25">
      <c r="N6580" t="s">
        <v>1004</v>
      </c>
    </row>
    <row r="6581" spans="14:14" ht="15" customHeight="1" x14ac:dyDescent="0.25">
      <c r="N6581" t="s">
        <v>898</v>
      </c>
    </row>
    <row r="6582" spans="14:14" ht="15" customHeight="1" x14ac:dyDescent="0.25">
      <c r="N6582" t="s">
        <v>898</v>
      </c>
    </row>
    <row r="6583" spans="14:14" ht="15" customHeight="1" x14ac:dyDescent="0.25">
      <c r="N6583" t="s">
        <v>1158</v>
      </c>
    </row>
    <row r="6584" spans="14:14" ht="15" customHeight="1" x14ac:dyDescent="0.25">
      <c r="N6584" t="s">
        <v>984</v>
      </c>
    </row>
    <row r="6585" spans="14:14" ht="15" customHeight="1" x14ac:dyDescent="0.25">
      <c r="N6585" t="s">
        <v>984</v>
      </c>
    </row>
    <row r="6586" spans="14:14" ht="15" customHeight="1" x14ac:dyDescent="0.25">
      <c r="N6586" t="s">
        <v>984</v>
      </c>
    </row>
    <row r="6587" spans="14:14" ht="15" customHeight="1" x14ac:dyDescent="0.25">
      <c r="N6587" t="s">
        <v>984</v>
      </c>
    </row>
    <row r="6588" spans="14:14" ht="15" customHeight="1" x14ac:dyDescent="0.25">
      <c r="N6588" t="s">
        <v>930</v>
      </c>
    </row>
    <row r="6589" spans="14:14" ht="15" customHeight="1" x14ac:dyDescent="0.25">
      <c r="N6589" t="s">
        <v>971</v>
      </c>
    </row>
    <row r="6590" spans="14:14" ht="15" customHeight="1" x14ac:dyDescent="0.25">
      <c r="N6590" t="s">
        <v>971</v>
      </c>
    </row>
    <row r="6591" spans="14:14" ht="15" customHeight="1" x14ac:dyDescent="0.25">
      <c r="N6591" t="s">
        <v>930</v>
      </c>
    </row>
    <row r="6592" spans="14:14" ht="15" customHeight="1" x14ac:dyDescent="0.25">
      <c r="N6592" t="s">
        <v>930</v>
      </c>
    </row>
    <row r="6593" spans="14:14" ht="15" customHeight="1" x14ac:dyDescent="0.25">
      <c r="N6593" t="s">
        <v>1072</v>
      </c>
    </row>
    <row r="6594" spans="14:14" ht="15" customHeight="1" x14ac:dyDescent="0.25">
      <c r="N6594" t="s">
        <v>1072</v>
      </c>
    </row>
    <row r="6595" spans="14:14" ht="15" customHeight="1" x14ac:dyDescent="0.25">
      <c r="N6595" t="s">
        <v>1072</v>
      </c>
    </row>
    <row r="6596" spans="14:14" ht="15" customHeight="1" x14ac:dyDescent="0.25">
      <c r="N6596" t="s">
        <v>1072</v>
      </c>
    </row>
    <row r="6597" spans="14:14" ht="15" customHeight="1" x14ac:dyDescent="0.25">
      <c r="N6597" t="s">
        <v>1072</v>
      </c>
    </row>
    <row r="6598" spans="14:14" ht="15" customHeight="1" x14ac:dyDescent="0.25">
      <c r="N6598" t="s">
        <v>1072</v>
      </c>
    </row>
    <row r="6599" spans="14:14" ht="15" customHeight="1" x14ac:dyDescent="0.25">
      <c r="N6599" t="s">
        <v>1072</v>
      </c>
    </row>
    <row r="6600" spans="14:14" ht="15" customHeight="1" x14ac:dyDescent="0.25">
      <c r="N6600" t="s">
        <v>1072</v>
      </c>
    </row>
    <row r="6601" spans="14:14" ht="15" customHeight="1" x14ac:dyDescent="0.25">
      <c r="N6601" t="s">
        <v>1135</v>
      </c>
    </row>
    <row r="6602" spans="14:14" ht="15" customHeight="1" x14ac:dyDescent="0.25">
      <c r="N6602" t="s">
        <v>1083</v>
      </c>
    </row>
    <row r="6603" spans="14:14" ht="15" customHeight="1" x14ac:dyDescent="0.25">
      <c r="N6603" t="s">
        <v>1068</v>
      </c>
    </row>
    <row r="6604" spans="14:14" ht="15" customHeight="1" x14ac:dyDescent="0.25">
      <c r="N6604" t="s">
        <v>1068</v>
      </c>
    </row>
    <row r="6605" spans="14:14" ht="15" customHeight="1" x14ac:dyDescent="0.25">
      <c r="N6605" t="s">
        <v>1068</v>
      </c>
    </row>
    <row r="6606" spans="14:14" ht="15" customHeight="1" x14ac:dyDescent="0.25">
      <c r="N6606" t="s">
        <v>910</v>
      </c>
    </row>
    <row r="6607" spans="14:14" ht="15" customHeight="1" x14ac:dyDescent="0.25">
      <c r="N6607" t="s">
        <v>1087</v>
      </c>
    </row>
    <row r="6608" spans="14:14" ht="15" customHeight="1" x14ac:dyDescent="0.25">
      <c r="N6608" t="s">
        <v>1087</v>
      </c>
    </row>
    <row r="6609" spans="14:14" ht="15" customHeight="1" x14ac:dyDescent="0.25">
      <c r="N6609" t="s">
        <v>1168</v>
      </c>
    </row>
    <row r="6610" spans="14:14" ht="15" customHeight="1" x14ac:dyDescent="0.25">
      <c r="N6610" t="s">
        <v>910</v>
      </c>
    </row>
    <row r="6611" spans="14:14" ht="15" customHeight="1" x14ac:dyDescent="0.25">
      <c r="N6611" t="s">
        <v>1004</v>
      </c>
    </row>
    <row r="6612" spans="14:14" ht="15" customHeight="1" x14ac:dyDescent="0.25">
      <c r="N6612" t="s">
        <v>910</v>
      </c>
    </row>
    <row r="6613" spans="14:14" ht="15" customHeight="1" x14ac:dyDescent="0.25">
      <c r="N6613" t="s">
        <v>1000</v>
      </c>
    </row>
    <row r="6614" spans="14:14" ht="15" customHeight="1" x14ac:dyDescent="0.25">
      <c r="N6614" t="s">
        <v>1085</v>
      </c>
    </row>
    <row r="6615" spans="14:14" ht="15" customHeight="1" x14ac:dyDescent="0.25">
      <c r="N6615" t="s">
        <v>1085</v>
      </c>
    </row>
    <row r="6616" spans="14:14" ht="15" customHeight="1" x14ac:dyDescent="0.25">
      <c r="N6616" t="s">
        <v>1004</v>
      </c>
    </row>
    <row r="6617" spans="14:14" ht="15" customHeight="1" x14ac:dyDescent="0.25">
      <c r="N6617" t="s">
        <v>1107</v>
      </c>
    </row>
    <row r="6618" spans="14:14" ht="15" customHeight="1" x14ac:dyDescent="0.25">
      <c r="N6618" t="s">
        <v>1131</v>
      </c>
    </row>
    <row r="6619" spans="14:14" ht="15" customHeight="1" x14ac:dyDescent="0.25">
      <c r="N6619" t="s">
        <v>1131</v>
      </c>
    </row>
    <row r="6620" spans="14:14" ht="15" customHeight="1" x14ac:dyDescent="0.25">
      <c r="N6620" t="s">
        <v>1131</v>
      </c>
    </row>
    <row r="6621" spans="14:14" ht="15" customHeight="1" x14ac:dyDescent="0.25">
      <c r="N6621" t="s">
        <v>1131</v>
      </c>
    </row>
    <row r="6622" spans="14:14" ht="15" customHeight="1" x14ac:dyDescent="0.25">
      <c r="N6622" t="s">
        <v>1131</v>
      </c>
    </row>
    <row r="6623" spans="14:14" ht="15" customHeight="1" x14ac:dyDescent="0.25">
      <c r="N6623" t="s">
        <v>1131</v>
      </c>
    </row>
    <row r="6624" spans="14:14" ht="15" customHeight="1" x14ac:dyDescent="0.25">
      <c r="N6624" t="s">
        <v>1004</v>
      </c>
    </row>
    <row r="6625" spans="14:14" ht="15" customHeight="1" x14ac:dyDescent="0.25">
      <c r="N6625" t="s">
        <v>1005</v>
      </c>
    </row>
    <row r="6626" spans="14:14" ht="15" customHeight="1" x14ac:dyDescent="0.25">
      <c r="N6626" t="s">
        <v>1172</v>
      </c>
    </row>
    <row r="6627" spans="14:14" ht="15" customHeight="1" x14ac:dyDescent="0.25">
      <c r="N6627" t="s">
        <v>1011</v>
      </c>
    </row>
    <row r="6628" spans="14:14" ht="15" customHeight="1" x14ac:dyDescent="0.25">
      <c r="N6628" t="s">
        <v>1004</v>
      </c>
    </row>
    <row r="6629" spans="14:14" ht="15" customHeight="1" x14ac:dyDescent="0.25">
      <c r="N6629" t="s">
        <v>985</v>
      </c>
    </row>
    <row r="6630" spans="14:14" ht="15" customHeight="1" x14ac:dyDescent="0.25">
      <c r="N6630" t="s">
        <v>1078</v>
      </c>
    </row>
    <row r="6631" spans="14:14" ht="15" customHeight="1" x14ac:dyDescent="0.25">
      <c r="N6631" t="s">
        <v>985</v>
      </c>
    </row>
    <row r="6632" spans="14:14" ht="15" customHeight="1" x14ac:dyDescent="0.25">
      <c r="N6632" t="s">
        <v>985</v>
      </c>
    </row>
    <row r="6633" spans="14:14" ht="15" customHeight="1" x14ac:dyDescent="0.25">
      <c r="N6633" t="s">
        <v>985</v>
      </c>
    </row>
    <row r="6634" spans="14:14" ht="15" customHeight="1" x14ac:dyDescent="0.25">
      <c r="N6634" t="s">
        <v>1178</v>
      </c>
    </row>
    <row r="6635" spans="14:14" ht="15" customHeight="1" x14ac:dyDescent="0.25">
      <c r="N6635" t="s">
        <v>1179</v>
      </c>
    </row>
    <row r="6636" spans="14:14" ht="15" customHeight="1" x14ac:dyDescent="0.25">
      <c r="N6636" t="s">
        <v>1145</v>
      </c>
    </row>
    <row r="6637" spans="14:14" ht="15" customHeight="1" x14ac:dyDescent="0.25">
      <c r="N6637" t="s">
        <v>930</v>
      </c>
    </row>
    <row r="6638" spans="14:14" ht="15" customHeight="1" x14ac:dyDescent="0.25">
      <c r="N6638" t="s">
        <v>930</v>
      </c>
    </row>
    <row r="6639" spans="14:14" ht="15" customHeight="1" x14ac:dyDescent="0.25">
      <c r="N6639" t="s">
        <v>273</v>
      </c>
    </row>
    <row r="6640" spans="14:14" ht="15" customHeight="1" x14ac:dyDescent="0.25">
      <c r="N6640" t="s">
        <v>1004</v>
      </c>
    </row>
    <row r="6641" spans="14:14" ht="15" customHeight="1" x14ac:dyDescent="0.25">
      <c r="N6641" t="s">
        <v>1183</v>
      </c>
    </row>
    <row r="6642" spans="14:14" ht="15" customHeight="1" x14ac:dyDescent="0.25">
      <c r="N6642" t="s">
        <v>1183</v>
      </c>
    </row>
    <row r="6643" spans="14:14" ht="15" customHeight="1" x14ac:dyDescent="0.25">
      <c r="N6643" t="s">
        <v>1150</v>
      </c>
    </row>
    <row r="6644" spans="14:14" ht="15" customHeight="1" x14ac:dyDescent="0.25">
      <c r="N6644" t="s">
        <v>1109</v>
      </c>
    </row>
    <row r="6645" spans="14:14" ht="15" customHeight="1" x14ac:dyDescent="0.25">
      <c r="N6645" t="s">
        <v>1005</v>
      </c>
    </row>
    <row r="6646" spans="14:14" ht="15" customHeight="1" x14ac:dyDescent="0.25">
      <c r="N6646" t="s">
        <v>1005</v>
      </c>
    </row>
    <row r="6647" spans="14:14" ht="15" customHeight="1" x14ac:dyDescent="0.25">
      <c r="N6647" t="s">
        <v>1005</v>
      </c>
    </row>
    <row r="6648" spans="14:14" ht="15" customHeight="1" x14ac:dyDescent="0.25">
      <c r="N6648" t="s">
        <v>273</v>
      </c>
    </row>
    <row r="6649" spans="14:14" ht="15" customHeight="1" x14ac:dyDescent="0.25">
      <c r="N6649" t="s">
        <v>273</v>
      </c>
    </row>
    <row r="6650" spans="14:14" ht="15" customHeight="1" x14ac:dyDescent="0.25">
      <c r="N6650" t="s">
        <v>273</v>
      </c>
    </row>
    <row r="6651" spans="14:14" ht="15" customHeight="1" x14ac:dyDescent="0.25">
      <c r="N6651" t="s">
        <v>273</v>
      </c>
    </row>
    <row r="6652" spans="14:14" ht="15" customHeight="1" x14ac:dyDescent="0.25">
      <c r="N6652" t="s">
        <v>273</v>
      </c>
    </row>
    <row r="6653" spans="14:14" ht="15" customHeight="1" x14ac:dyDescent="0.25">
      <c r="N6653" t="s">
        <v>1062</v>
      </c>
    </row>
    <row r="6654" spans="14:14" ht="15" customHeight="1" x14ac:dyDescent="0.25">
      <c r="N6654" t="s">
        <v>1062</v>
      </c>
    </row>
    <row r="6655" spans="14:14" ht="15" customHeight="1" x14ac:dyDescent="0.25">
      <c r="N6655" t="s">
        <v>1062</v>
      </c>
    </row>
    <row r="6656" spans="14:14" ht="15" customHeight="1" x14ac:dyDescent="0.25">
      <c r="N6656" t="s">
        <v>1062</v>
      </c>
    </row>
    <row r="6657" spans="14:14" ht="15" customHeight="1" x14ac:dyDescent="0.25">
      <c r="N6657" t="s">
        <v>976</v>
      </c>
    </row>
    <row r="6658" spans="14:14" ht="15" customHeight="1" x14ac:dyDescent="0.25">
      <c r="N6658" t="s">
        <v>976</v>
      </c>
    </row>
    <row r="6659" spans="14:14" ht="15" customHeight="1" x14ac:dyDescent="0.25">
      <c r="N6659" t="s">
        <v>976</v>
      </c>
    </row>
    <row r="6660" spans="14:14" ht="15" customHeight="1" x14ac:dyDescent="0.25">
      <c r="N6660" t="s">
        <v>1005</v>
      </c>
    </row>
    <row r="6661" spans="14:14" ht="15" customHeight="1" x14ac:dyDescent="0.25">
      <c r="N6661" t="s">
        <v>1005</v>
      </c>
    </row>
    <row r="6662" spans="14:14" ht="15" customHeight="1" x14ac:dyDescent="0.25">
      <c r="N6662" t="s">
        <v>273</v>
      </c>
    </row>
    <row r="6663" spans="14:14" ht="15" customHeight="1" x14ac:dyDescent="0.25">
      <c r="N6663" t="s">
        <v>1005</v>
      </c>
    </row>
    <row r="6664" spans="14:14" ht="15" customHeight="1" x14ac:dyDescent="0.25">
      <c r="N6664" t="s">
        <v>273</v>
      </c>
    </row>
    <row r="6665" spans="14:14" ht="15" customHeight="1" x14ac:dyDescent="0.25">
      <c r="N6665" t="s">
        <v>273</v>
      </c>
    </row>
    <row r="6666" spans="14:14" ht="15" customHeight="1" x14ac:dyDescent="0.25">
      <c r="N6666" t="s">
        <v>319</v>
      </c>
    </row>
    <row r="6667" spans="14:14" ht="15" customHeight="1" x14ac:dyDescent="0.25">
      <c r="N6667" t="s">
        <v>273</v>
      </c>
    </row>
    <row r="6668" spans="14:14" ht="15" customHeight="1" x14ac:dyDescent="0.25">
      <c r="N6668" t="s">
        <v>789</v>
      </c>
    </row>
    <row r="6669" spans="14:14" ht="15" customHeight="1" x14ac:dyDescent="0.25">
      <c r="N6669" t="s">
        <v>1179</v>
      </c>
    </row>
    <row r="6670" spans="14:14" ht="15" customHeight="1" x14ac:dyDescent="0.25">
      <c r="N6670" t="s">
        <v>1068</v>
      </c>
    </row>
    <row r="6671" spans="14:14" ht="15" customHeight="1" x14ac:dyDescent="0.25">
      <c r="N6671" t="s">
        <v>1068</v>
      </c>
    </row>
    <row r="6672" spans="14:14" ht="15" customHeight="1" x14ac:dyDescent="0.25">
      <c r="N6672" t="s">
        <v>1087</v>
      </c>
    </row>
    <row r="6673" spans="14:14" ht="15" customHeight="1" x14ac:dyDescent="0.25">
      <c r="N6673" t="s">
        <v>985</v>
      </c>
    </row>
    <row r="6674" spans="14:14" ht="15" customHeight="1" x14ac:dyDescent="0.25">
      <c r="N6674" t="s">
        <v>985</v>
      </c>
    </row>
    <row r="6675" spans="14:14" ht="15" customHeight="1" x14ac:dyDescent="0.25">
      <c r="N6675" t="s">
        <v>985</v>
      </c>
    </row>
    <row r="6676" spans="14:14" ht="15" customHeight="1" x14ac:dyDescent="0.25">
      <c r="N6676" t="s">
        <v>985</v>
      </c>
    </row>
    <row r="6677" spans="14:14" ht="15" customHeight="1" x14ac:dyDescent="0.25">
      <c r="N6677" t="s">
        <v>1068</v>
      </c>
    </row>
    <row r="6678" spans="14:14" ht="15" customHeight="1" x14ac:dyDescent="0.25">
      <c r="N6678" t="s">
        <v>1070</v>
      </c>
    </row>
    <row r="6679" spans="14:14" ht="15" customHeight="1" x14ac:dyDescent="0.25">
      <c r="N6679" t="s">
        <v>1070</v>
      </c>
    </row>
    <row r="6680" spans="14:14" ht="15" customHeight="1" x14ac:dyDescent="0.25">
      <c r="N6680" t="s">
        <v>1187</v>
      </c>
    </row>
    <row r="6681" spans="14:14" ht="15" customHeight="1" x14ac:dyDescent="0.25">
      <c r="N6681" t="s">
        <v>1187</v>
      </c>
    </row>
    <row r="6682" spans="14:14" ht="15" customHeight="1" x14ac:dyDescent="0.25">
      <c r="N6682" t="s">
        <v>1105</v>
      </c>
    </row>
    <row r="6683" spans="14:14" ht="15" customHeight="1" x14ac:dyDescent="0.25">
      <c r="N6683" t="s">
        <v>1105</v>
      </c>
    </row>
    <row r="6684" spans="14:14" ht="15" customHeight="1" x14ac:dyDescent="0.25">
      <c r="N6684" t="s">
        <v>1105</v>
      </c>
    </row>
    <row r="6685" spans="14:14" ht="15" customHeight="1" x14ac:dyDescent="0.25">
      <c r="N6685" t="s">
        <v>1105</v>
      </c>
    </row>
    <row r="6686" spans="14:14" ht="15" customHeight="1" x14ac:dyDescent="0.25">
      <c r="N6686" t="s">
        <v>1105</v>
      </c>
    </row>
    <row r="6687" spans="14:14" ht="15" customHeight="1" x14ac:dyDescent="0.25">
      <c r="N6687" t="s">
        <v>1105</v>
      </c>
    </row>
    <row r="6688" spans="14:14" ht="15" customHeight="1" x14ac:dyDescent="0.25">
      <c r="N6688" t="s">
        <v>1105</v>
      </c>
    </row>
    <row r="6689" spans="14:14" ht="15" customHeight="1" x14ac:dyDescent="0.25">
      <c r="N6689" t="s">
        <v>1105</v>
      </c>
    </row>
    <row r="6690" spans="14:14" ht="15" customHeight="1" x14ac:dyDescent="0.25">
      <c r="N6690" t="s">
        <v>980</v>
      </c>
    </row>
    <row r="6691" spans="14:14" ht="15" customHeight="1" x14ac:dyDescent="0.25">
      <c r="N6691" t="s">
        <v>985</v>
      </c>
    </row>
    <row r="6692" spans="14:14" ht="15" customHeight="1" x14ac:dyDescent="0.25">
      <c r="N6692" t="s">
        <v>930</v>
      </c>
    </row>
    <row r="6693" spans="14:14" ht="15" customHeight="1" x14ac:dyDescent="0.25">
      <c r="N6693" t="s">
        <v>930</v>
      </c>
    </row>
    <row r="6694" spans="14:14" ht="15" customHeight="1" x14ac:dyDescent="0.25">
      <c r="N6694" t="s">
        <v>989</v>
      </c>
    </row>
    <row r="6695" spans="14:14" ht="15" customHeight="1" x14ac:dyDescent="0.25">
      <c r="N6695" t="s">
        <v>1087</v>
      </c>
    </row>
    <row r="6696" spans="14:14" ht="15" customHeight="1" x14ac:dyDescent="0.25">
      <c r="N6696" t="s">
        <v>1087</v>
      </c>
    </row>
    <row r="6697" spans="14:14" ht="15" customHeight="1" x14ac:dyDescent="0.25">
      <c r="N6697" t="s">
        <v>1004</v>
      </c>
    </row>
    <row r="6698" spans="14:14" ht="15" customHeight="1" x14ac:dyDescent="0.25">
      <c r="N6698" t="s">
        <v>1193</v>
      </c>
    </row>
    <row r="6699" spans="14:14" ht="15" customHeight="1" x14ac:dyDescent="0.25">
      <c r="N6699" t="s">
        <v>910</v>
      </c>
    </row>
    <row r="6700" spans="14:14" ht="15" customHeight="1" x14ac:dyDescent="0.25">
      <c r="N6700" t="s">
        <v>1085</v>
      </c>
    </row>
    <row r="6701" spans="14:14" ht="15" customHeight="1" x14ac:dyDescent="0.25">
      <c r="N6701" t="s">
        <v>1085</v>
      </c>
    </row>
    <row r="6702" spans="14:14" ht="15" customHeight="1" x14ac:dyDescent="0.25">
      <c r="N6702" t="s">
        <v>930</v>
      </c>
    </row>
    <row r="6703" spans="14:14" ht="15" customHeight="1" x14ac:dyDescent="0.25">
      <c r="N6703" t="s">
        <v>942</v>
      </c>
    </row>
    <row r="6704" spans="14:14" ht="15" customHeight="1" x14ac:dyDescent="0.25">
      <c r="N6704" t="s">
        <v>1145</v>
      </c>
    </row>
    <row r="6705" spans="14:14" ht="15" customHeight="1" x14ac:dyDescent="0.25">
      <c r="N6705" t="s">
        <v>1145</v>
      </c>
    </row>
    <row r="6706" spans="14:14" ht="15" customHeight="1" x14ac:dyDescent="0.25">
      <c r="N6706" t="s">
        <v>1145</v>
      </c>
    </row>
    <row r="6707" spans="14:14" ht="15" customHeight="1" x14ac:dyDescent="0.25">
      <c r="N6707" t="s">
        <v>1145</v>
      </c>
    </row>
    <row r="6708" spans="14:14" ht="15" customHeight="1" x14ac:dyDescent="0.25">
      <c r="N6708" t="s">
        <v>1145</v>
      </c>
    </row>
    <row r="6709" spans="14:14" ht="15" customHeight="1" x14ac:dyDescent="0.25">
      <c r="N6709" t="s">
        <v>1145</v>
      </c>
    </row>
    <row r="6710" spans="14:14" ht="15" customHeight="1" x14ac:dyDescent="0.25">
      <c r="N6710" t="s">
        <v>1197</v>
      </c>
    </row>
    <row r="6711" spans="14:14" ht="15" customHeight="1" x14ac:dyDescent="0.25">
      <c r="N6711" t="s">
        <v>1198</v>
      </c>
    </row>
    <row r="6712" spans="14:14" ht="15" customHeight="1" x14ac:dyDescent="0.25">
      <c r="N6712" t="s">
        <v>1172</v>
      </c>
    </row>
    <row r="6713" spans="14:14" ht="15" customHeight="1" x14ac:dyDescent="0.25">
      <c r="N6713" t="s">
        <v>1200</v>
      </c>
    </row>
    <row r="6714" spans="14:14" ht="15" customHeight="1" x14ac:dyDescent="0.25">
      <c r="N6714" t="s">
        <v>1201</v>
      </c>
    </row>
    <row r="6715" spans="14:14" ht="15" customHeight="1" x14ac:dyDescent="0.25">
      <c r="N6715" t="s">
        <v>1203</v>
      </c>
    </row>
    <row r="6716" spans="14:14" ht="15" customHeight="1" x14ac:dyDescent="0.25">
      <c r="N6716" t="s">
        <v>1004</v>
      </c>
    </row>
    <row r="6717" spans="14:14" ht="15" customHeight="1" x14ac:dyDescent="0.25">
      <c r="N6717" t="s">
        <v>1204</v>
      </c>
    </row>
    <row r="6718" spans="14:14" ht="15" customHeight="1" x14ac:dyDescent="0.25">
      <c r="N6718" t="s">
        <v>1204</v>
      </c>
    </row>
    <row r="6719" spans="14:14" ht="15" customHeight="1" x14ac:dyDescent="0.25">
      <c r="N6719" t="s">
        <v>1204</v>
      </c>
    </row>
    <row r="6720" spans="14:14" ht="15" customHeight="1" x14ac:dyDescent="0.25">
      <c r="N6720" t="s">
        <v>1145</v>
      </c>
    </row>
    <row r="6721" spans="14:14" ht="15" customHeight="1" x14ac:dyDescent="0.25">
      <c r="N6721" t="s">
        <v>1004</v>
      </c>
    </row>
    <row r="6722" spans="14:14" ht="15" customHeight="1" x14ac:dyDescent="0.25">
      <c r="N6722" t="s">
        <v>1004</v>
      </c>
    </row>
    <row r="6723" spans="14:14" ht="15" customHeight="1" x14ac:dyDescent="0.25">
      <c r="N6723" t="s">
        <v>1005</v>
      </c>
    </row>
    <row r="6724" spans="14:14" ht="15" customHeight="1" x14ac:dyDescent="0.25">
      <c r="N6724" t="s">
        <v>1004</v>
      </c>
    </row>
    <row r="6725" spans="14:14" ht="15" customHeight="1" x14ac:dyDescent="0.25">
      <c r="N6725" t="s">
        <v>907</v>
      </c>
    </row>
    <row r="6726" spans="14:14" ht="15" customHeight="1" x14ac:dyDescent="0.25">
      <c r="N6726" t="s">
        <v>273</v>
      </c>
    </row>
    <row r="6727" spans="14:14" ht="15" customHeight="1" x14ac:dyDescent="0.25">
      <c r="N6727" t="s">
        <v>1005</v>
      </c>
    </row>
    <row r="6728" spans="14:14" ht="15" customHeight="1" x14ac:dyDescent="0.25">
      <c r="N6728" t="s">
        <v>1005</v>
      </c>
    </row>
    <row r="6729" spans="14:14" ht="15" customHeight="1" x14ac:dyDescent="0.25">
      <c r="N6729" t="s">
        <v>1005</v>
      </c>
    </row>
    <row r="6730" spans="14:14" ht="15" customHeight="1" x14ac:dyDescent="0.25">
      <c r="N6730" t="s">
        <v>1207</v>
      </c>
    </row>
    <row r="6731" spans="14:14" ht="15" customHeight="1" x14ac:dyDescent="0.25">
      <c r="N6731" t="s">
        <v>1207</v>
      </c>
    </row>
    <row r="6732" spans="14:14" ht="15" customHeight="1" x14ac:dyDescent="0.25">
      <c r="N6732" t="s">
        <v>1207</v>
      </c>
    </row>
    <row r="6733" spans="14:14" ht="15" customHeight="1" x14ac:dyDescent="0.25">
      <c r="N6733" t="s">
        <v>273</v>
      </c>
    </row>
    <row r="6734" spans="14:14" ht="15" customHeight="1" x14ac:dyDescent="0.25">
      <c r="N6734" t="s">
        <v>273</v>
      </c>
    </row>
    <row r="6735" spans="14:14" ht="15" customHeight="1" x14ac:dyDescent="0.25">
      <c r="N6735" t="s">
        <v>1111</v>
      </c>
    </row>
    <row r="6736" spans="14:14" ht="15" customHeight="1" x14ac:dyDescent="0.25">
      <c r="N6736" t="s">
        <v>273</v>
      </c>
    </row>
    <row r="6737" spans="14:14" ht="15" customHeight="1" x14ac:dyDescent="0.25">
      <c r="N6737" t="s">
        <v>273</v>
      </c>
    </row>
    <row r="6738" spans="14:14" ht="15" customHeight="1" x14ac:dyDescent="0.25">
      <c r="N6738" t="s">
        <v>1211</v>
      </c>
    </row>
    <row r="6739" spans="14:14" ht="15" customHeight="1" x14ac:dyDescent="0.25">
      <c r="N6739" t="s">
        <v>1213</v>
      </c>
    </row>
    <row r="6740" spans="14:14" ht="15" customHeight="1" x14ac:dyDescent="0.25">
      <c r="N6740" t="s">
        <v>1005</v>
      </c>
    </row>
    <row r="6741" spans="14:14" ht="15" customHeight="1" x14ac:dyDescent="0.25">
      <c r="N6741" t="s">
        <v>789</v>
      </c>
    </row>
    <row r="6742" spans="14:14" ht="15" customHeight="1" x14ac:dyDescent="0.25">
      <c r="N6742" t="s">
        <v>1090</v>
      </c>
    </row>
    <row r="6743" spans="14:14" ht="15" customHeight="1" x14ac:dyDescent="0.25">
      <c r="N6743" t="s">
        <v>1090</v>
      </c>
    </row>
    <row r="6744" spans="14:14" ht="15" customHeight="1" x14ac:dyDescent="0.25">
      <c r="N6744" t="s">
        <v>1318</v>
      </c>
    </row>
    <row r="6745" spans="14:14" ht="15" customHeight="1" x14ac:dyDescent="0.25">
      <c r="N6745" t="s">
        <v>294</v>
      </c>
    </row>
    <row r="6746" spans="14:14" ht="15" customHeight="1" x14ac:dyDescent="0.25">
      <c r="N6746" t="s">
        <v>1087</v>
      </c>
    </row>
    <row r="6747" spans="14:14" ht="15" customHeight="1" x14ac:dyDescent="0.25">
      <c r="N6747" t="s">
        <v>1004</v>
      </c>
    </row>
    <row r="6748" spans="14:14" ht="15" customHeight="1" x14ac:dyDescent="0.25">
      <c r="N6748" t="s">
        <v>1004</v>
      </c>
    </row>
    <row r="6749" spans="14:14" ht="15" customHeight="1" x14ac:dyDescent="0.25">
      <c r="N6749" t="s">
        <v>1214</v>
      </c>
    </row>
    <row r="6750" spans="14:14" ht="15" customHeight="1" x14ac:dyDescent="0.25">
      <c r="N6750" t="s">
        <v>1214</v>
      </c>
    </row>
    <row r="6751" spans="14:14" ht="15" customHeight="1" x14ac:dyDescent="0.25">
      <c r="N6751" t="s">
        <v>1068</v>
      </c>
    </row>
    <row r="6752" spans="14:14" ht="15" customHeight="1" x14ac:dyDescent="0.25">
      <c r="N6752" t="s">
        <v>1068</v>
      </c>
    </row>
    <row r="6753" spans="14:14" ht="15" customHeight="1" x14ac:dyDescent="0.25">
      <c r="N6753" t="s">
        <v>1187</v>
      </c>
    </row>
    <row r="6754" spans="14:14" ht="15" customHeight="1" x14ac:dyDescent="0.25">
      <c r="N6754" t="s">
        <v>1187</v>
      </c>
    </row>
    <row r="6755" spans="14:14" ht="15" customHeight="1" x14ac:dyDescent="0.25">
      <c r="N6755" t="s">
        <v>1187</v>
      </c>
    </row>
    <row r="6756" spans="14:14" ht="15" customHeight="1" x14ac:dyDescent="0.25">
      <c r="N6756" t="s">
        <v>1187</v>
      </c>
    </row>
    <row r="6757" spans="14:14" ht="15" customHeight="1" x14ac:dyDescent="0.25">
      <c r="N6757" t="s">
        <v>1187</v>
      </c>
    </row>
    <row r="6758" spans="14:14" ht="15" customHeight="1" x14ac:dyDescent="0.25">
      <c r="N6758" t="s">
        <v>1187</v>
      </c>
    </row>
    <row r="6759" spans="14:14" ht="15" customHeight="1" x14ac:dyDescent="0.25">
      <c r="N6759" t="s">
        <v>1187</v>
      </c>
    </row>
    <row r="6760" spans="14:14" ht="15" customHeight="1" x14ac:dyDescent="0.25">
      <c r="N6760" t="s">
        <v>1187</v>
      </c>
    </row>
    <row r="6761" spans="14:14" ht="15" customHeight="1" x14ac:dyDescent="0.25">
      <c r="N6761" t="s">
        <v>1089</v>
      </c>
    </row>
    <row r="6762" spans="14:14" ht="15" customHeight="1" x14ac:dyDescent="0.25">
      <c r="N6762" t="s">
        <v>1089</v>
      </c>
    </row>
    <row r="6763" spans="14:14" ht="15" customHeight="1" x14ac:dyDescent="0.25">
      <c r="N6763" t="s">
        <v>1215</v>
      </c>
    </row>
    <row r="6764" spans="14:14" ht="15" customHeight="1" x14ac:dyDescent="0.25">
      <c r="N6764" t="s">
        <v>985</v>
      </c>
    </row>
    <row r="6765" spans="14:14" ht="15" customHeight="1" x14ac:dyDescent="0.25">
      <c r="N6765" t="s">
        <v>930</v>
      </c>
    </row>
    <row r="6766" spans="14:14" ht="15" customHeight="1" x14ac:dyDescent="0.25">
      <c r="N6766" t="s">
        <v>930</v>
      </c>
    </row>
    <row r="6767" spans="14:14" ht="15" customHeight="1" x14ac:dyDescent="0.25">
      <c r="N6767" t="s">
        <v>910</v>
      </c>
    </row>
    <row r="6768" spans="14:14" ht="15" customHeight="1" x14ac:dyDescent="0.25">
      <c r="N6768" t="s">
        <v>1124</v>
      </c>
    </row>
    <row r="6769" spans="14:14" ht="15" customHeight="1" x14ac:dyDescent="0.25">
      <c r="N6769" t="s">
        <v>1089</v>
      </c>
    </row>
    <row r="6770" spans="14:14" ht="15" customHeight="1" x14ac:dyDescent="0.25">
      <c r="N6770" t="s">
        <v>1068</v>
      </c>
    </row>
    <row r="6771" spans="14:14" ht="15" customHeight="1" x14ac:dyDescent="0.25">
      <c r="N6771" t="s">
        <v>1068</v>
      </c>
    </row>
    <row r="6772" spans="14:14" ht="15" customHeight="1" x14ac:dyDescent="0.25">
      <c r="N6772" t="s">
        <v>930</v>
      </c>
    </row>
    <row r="6773" spans="14:14" ht="15" customHeight="1" x14ac:dyDescent="0.25">
      <c r="N6773" t="s">
        <v>1100</v>
      </c>
    </row>
    <row r="6774" spans="14:14" ht="15" customHeight="1" x14ac:dyDescent="0.25">
      <c r="N6774" t="s">
        <v>1087</v>
      </c>
    </row>
    <row r="6775" spans="14:14" ht="15" customHeight="1" x14ac:dyDescent="0.25">
      <c r="N6775" t="s">
        <v>1220</v>
      </c>
    </row>
    <row r="6776" spans="14:14" ht="15" customHeight="1" x14ac:dyDescent="0.25">
      <c r="N6776" t="s">
        <v>985</v>
      </c>
    </row>
    <row r="6777" spans="14:14" ht="15" customHeight="1" x14ac:dyDescent="0.25">
      <c r="N6777" t="s">
        <v>1011</v>
      </c>
    </row>
    <row r="6778" spans="14:14" ht="15" customHeight="1" x14ac:dyDescent="0.25">
      <c r="N6778" t="s">
        <v>1004</v>
      </c>
    </row>
    <row r="6779" spans="14:14" ht="15" customHeight="1" x14ac:dyDescent="0.25">
      <c r="N6779" t="s">
        <v>1224</v>
      </c>
    </row>
    <row r="6780" spans="14:14" ht="15" customHeight="1" x14ac:dyDescent="0.25">
      <c r="N6780" t="s">
        <v>1224</v>
      </c>
    </row>
    <row r="6781" spans="14:14" ht="15" customHeight="1" x14ac:dyDescent="0.25">
      <c r="N6781" t="s">
        <v>1224</v>
      </c>
    </row>
    <row r="6782" spans="14:14" ht="15" customHeight="1" x14ac:dyDescent="0.25">
      <c r="N6782" t="s">
        <v>1004</v>
      </c>
    </row>
    <row r="6783" spans="14:14" ht="15" customHeight="1" x14ac:dyDescent="0.25">
      <c r="N6783" t="s">
        <v>1004</v>
      </c>
    </row>
    <row r="6784" spans="14:14" ht="15" customHeight="1" x14ac:dyDescent="0.25">
      <c r="N6784" t="s">
        <v>1005</v>
      </c>
    </row>
    <row r="6785" spans="14:14" ht="15" customHeight="1" x14ac:dyDescent="0.25">
      <c r="N6785" t="s">
        <v>1070</v>
      </c>
    </row>
    <row r="6786" spans="14:14" ht="15" customHeight="1" x14ac:dyDescent="0.25">
      <c r="N6786" t="s">
        <v>273</v>
      </c>
    </row>
    <row r="6787" spans="14:14" ht="15" customHeight="1" x14ac:dyDescent="0.25">
      <c r="N6787" t="s">
        <v>1005</v>
      </c>
    </row>
    <row r="6788" spans="14:14" ht="15" customHeight="1" x14ac:dyDescent="0.25">
      <c r="N6788" t="s">
        <v>1005</v>
      </c>
    </row>
    <row r="6789" spans="14:14" ht="15" customHeight="1" x14ac:dyDescent="0.25">
      <c r="N6789" t="s">
        <v>1005</v>
      </c>
    </row>
    <row r="6790" spans="14:14" ht="15" customHeight="1" x14ac:dyDescent="0.25">
      <c r="N6790" t="s">
        <v>1090</v>
      </c>
    </row>
    <row r="6791" spans="14:14" ht="15" customHeight="1" x14ac:dyDescent="0.25">
      <c r="N6791" t="s">
        <v>1090</v>
      </c>
    </row>
    <row r="6792" spans="14:14" ht="15" customHeight="1" x14ac:dyDescent="0.25">
      <c r="N6792" t="s">
        <v>1090</v>
      </c>
    </row>
    <row r="6793" spans="14:14" ht="15" customHeight="1" x14ac:dyDescent="0.25">
      <c r="N6793" t="s">
        <v>231</v>
      </c>
    </row>
    <row r="6794" spans="14:14" ht="15" customHeight="1" x14ac:dyDescent="0.25">
      <c r="N6794" t="s">
        <v>1109</v>
      </c>
    </row>
    <row r="6795" spans="14:14" ht="15" customHeight="1" x14ac:dyDescent="0.25">
      <c r="N6795" t="s">
        <v>1062</v>
      </c>
    </row>
    <row r="6796" spans="14:14" ht="15" customHeight="1" x14ac:dyDescent="0.25">
      <c r="N6796" t="s">
        <v>1062</v>
      </c>
    </row>
    <row r="6797" spans="14:14" ht="15" customHeight="1" x14ac:dyDescent="0.25">
      <c r="N6797" t="s">
        <v>1063</v>
      </c>
    </row>
    <row r="6798" spans="14:14" ht="15" customHeight="1" x14ac:dyDescent="0.25">
      <c r="N6798" t="s">
        <v>1226</v>
      </c>
    </row>
    <row r="6799" spans="14:14" ht="15" customHeight="1" x14ac:dyDescent="0.25">
      <c r="N6799" t="s">
        <v>273</v>
      </c>
    </row>
    <row r="6800" spans="14:14" ht="15" customHeight="1" x14ac:dyDescent="0.25">
      <c r="N6800" t="s">
        <v>1005</v>
      </c>
    </row>
    <row r="6801" spans="14:14" ht="15" customHeight="1" x14ac:dyDescent="0.25">
      <c r="N6801" t="s">
        <v>273</v>
      </c>
    </row>
    <row r="6802" spans="14:14" ht="15" customHeight="1" x14ac:dyDescent="0.25">
      <c r="N6802" t="s">
        <v>890</v>
      </c>
    </row>
    <row r="6803" spans="14:14" ht="15" customHeight="1" x14ac:dyDescent="0.25">
      <c r="N6803" t="s">
        <v>1238</v>
      </c>
    </row>
    <row r="6804" spans="14:14" ht="15" customHeight="1" x14ac:dyDescent="0.25">
      <c r="N6804" t="s">
        <v>1238</v>
      </c>
    </row>
    <row r="6805" spans="14:14" ht="15" customHeight="1" x14ac:dyDescent="0.25">
      <c r="N6805" t="s">
        <v>1087</v>
      </c>
    </row>
    <row r="6806" spans="14:14" ht="15" customHeight="1" x14ac:dyDescent="0.25">
      <c r="N6806" t="s">
        <v>1004</v>
      </c>
    </row>
    <row r="6807" spans="14:14" ht="15" customHeight="1" x14ac:dyDescent="0.25">
      <c r="N6807" t="s">
        <v>1004</v>
      </c>
    </row>
    <row r="6808" spans="14:14" ht="15" customHeight="1" x14ac:dyDescent="0.25">
      <c r="N6808" t="s">
        <v>1179</v>
      </c>
    </row>
    <row r="6809" spans="14:14" ht="15" customHeight="1" x14ac:dyDescent="0.25">
      <c r="N6809" t="s">
        <v>1179</v>
      </c>
    </row>
    <row r="6810" spans="14:14" ht="15" customHeight="1" x14ac:dyDescent="0.25">
      <c r="N6810" t="s">
        <v>1179</v>
      </c>
    </row>
    <row r="6811" spans="14:14" ht="15" customHeight="1" x14ac:dyDescent="0.25">
      <c r="N6811" t="s">
        <v>1179</v>
      </c>
    </row>
    <row r="6812" spans="14:14" ht="15" customHeight="1" x14ac:dyDescent="0.25">
      <c r="N6812" t="s">
        <v>1179</v>
      </c>
    </row>
    <row r="6813" spans="14:14" ht="15" customHeight="1" x14ac:dyDescent="0.25">
      <c r="N6813" t="s">
        <v>1179</v>
      </c>
    </row>
    <row r="6814" spans="14:14" ht="15" customHeight="1" x14ac:dyDescent="0.25">
      <c r="N6814" t="s">
        <v>1179</v>
      </c>
    </row>
    <row r="6815" spans="14:14" ht="15" customHeight="1" x14ac:dyDescent="0.25">
      <c r="N6815" t="s">
        <v>1179</v>
      </c>
    </row>
    <row r="6816" spans="14:14" ht="15" customHeight="1" x14ac:dyDescent="0.25">
      <c r="N6816" t="s">
        <v>1179</v>
      </c>
    </row>
    <row r="6817" spans="14:14" ht="15" customHeight="1" x14ac:dyDescent="0.25">
      <c r="N6817" t="s">
        <v>1179</v>
      </c>
    </row>
    <row r="6818" spans="14:14" ht="15" customHeight="1" x14ac:dyDescent="0.25">
      <c r="N6818" t="s">
        <v>907</v>
      </c>
    </row>
    <row r="6819" spans="14:14" ht="15" customHeight="1" x14ac:dyDescent="0.25">
      <c r="N6819" t="s">
        <v>1124</v>
      </c>
    </row>
    <row r="6820" spans="14:14" ht="15" customHeight="1" x14ac:dyDescent="0.25">
      <c r="N6820" t="s">
        <v>1078</v>
      </c>
    </row>
    <row r="6821" spans="14:14" ht="15" customHeight="1" x14ac:dyDescent="0.25">
      <c r="N6821" t="s">
        <v>1068</v>
      </c>
    </row>
    <row r="6822" spans="14:14" ht="15" customHeight="1" x14ac:dyDescent="0.25">
      <c r="N6822" t="s">
        <v>1068</v>
      </c>
    </row>
    <row r="6823" spans="14:14" ht="15" customHeight="1" x14ac:dyDescent="0.25">
      <c r="N6823" t="s">
        <v>985</v>
      </c>
    </row>
    <row r="6824" spans="14:14" ht="15" customHeight="1" x14ac:dyDescent="0.25">
      <c r="N6824" t="s">
        <v>1087</v>
      </c>
    </row>
    <row r="6825" spans="14:14" ht="15" customHeight="1" x14ac:dyDescent="0.25">
      <c r="N6825" t="s">
        <v>1068</v>
      </c>
    </row>
    <row r="6826" spans="14:14" ht="15" customHeight="1" x14ac:dyDescent="0.25">
      <c r="N6826" t="s">
        <v>989</v>
      </c>
    </row>
    <row r="6827" spans="14:14" ht="15" customHeight="1" x14ac:dyDescent="0.25">
      <c r="N6827" t="s">
        <v>1234</v>
      </c>
    </row>
    <row r="6828" spans="14:14" ht="15" customHeight="1" x14ac:dyDescent="0.25">
      <c r="N6828" t="s">
        <v>1004</v>
      </c>
    </row>
    <row r="6829" spans="14:14" ht="15" customHeight="1" x14ac:dyDescent="0.25">
      <c r="N6829" t="s">
        <v>1068</v>
      </c>
    </row>
    <row r="6830" spans="14:14" ht="15" customHeight="1" x14ac:dyDescent="0.25">
      <c r="N6830" t="s">
        <v>1068</v>
      </c>
    </row>
    <row r="6831" spans="14:14" ht="15" customHeight="1" x14ac:dyDescent="0.25">
      <c r="N6831" t="s">
        <v>1087</v>
      </c>
    </row>
    <row r="6832" spans="14:14" ht="15" customHeight="1" x14ac:dyDescent="0.25">
      <c r="N6832" t="s">
        <v>1100</v>
      </c>
    </row>
    <row r="6833" spans="14:14" ht="15" customHeight="1" x14ac:dyDescent="0.25">
      <c r="N6833" t="s">
        <v>1087</v>
      </c>
    </row>
    <row r="6834" spans="14:14" ht="15" customHeight="1" x14ac:dyDescent="0.25">
      <c r="N6834" t="s">
        <v>1145</v>
      </c>
    </row>
    <row r="6835" spans="14:14" ht="15" customHeight="1" x14ac:dyDescent="0.25">
      <c r="N6835" t="s">
        <v>930</v>
      </c>
    </row>
    <row r="6836" spans="14:14" ht="15" customHeight="1" x14ac:dyDescent="0.25">
      <c r="N6836" t="s">
        <v>1004</v>
      </c>
    </row>
    <row r="6837" spans="14:14" ht="15" customHeight="1" x14ac:dyDescent="0.25">
      <c r="N6837" t="s">
        <v>1070</v>
      </c>
    </row>
    <row r="6838" spans="14:14" ht="15" customHeight="1" x14ac:dyDescent="0.25">
      <c r="N6838" t="s">
        <v>1068</v>
      </c>
    </row>
    <row r="6839" spans="14:14" ht="15" customHeight="1" x14ac:dyDescent="0.25">
      <c r="N6839" t="s">
        <v>1068</v>
      </c>
    </row>
    <row r="6840" spans="14:14" ht="15" customHeight="1" x14ac:dyDescent="0.25">
      <c r="N6840" t="s">
        <v>1087</v>
      </c>
    </row>
    <row r="6841" spans="14:14" ht="15" customHeight="1" x14ac:dyDescent="0.25">
      <c r="N6841" t="s">
        <v>273</v>
      </c>
    </row>
    <row r="6842" spans="14:14" ht="15" customHeight="1" x14ac:dyDescent="0.25">
      <c r="N6842" t="s">
        <v>1238</v>
      </c>
    </row>
    <row r="6843" spans="14:14" ht="15" customHeight="1" x14ac:dyDescent="0.25">
      <c r="N6843" t="s">
        <v>1238</v>
      </c>
    </row>
    <row r="6844" spans="14:14" ht="15" customHeight="1" x14ac:dyDescent="0.25">
      <c r="N6844" t="s">
        <v>1238</v>
      </c>
    </row>
    <row r="6845" spans="14:14" ht="15" customHeight="1" x14ac:dyDescent="0.25">
      <c r="N6845" t="s">
        <v>148</v>
      </c>
    </row>
    <row r="6846" spans="14:14" ht="15" customHeight="1" x14ac:dyDescent="0.25">
      <c r="N6846" t="s">
        <v>273</v>
      </c>
    </row>
    <row r="6847" spans="14:14" ht="15" customHeight="1" x14ac:dyDescent="0.25">
      <c r="N6847" t="s">
        <v>1109</v>
      </c>
    </row>
    <row r="6848" spans="14:14" ht="15" customHeight="1" x14ac:dyDescent="0.25">
      <c r="N6848" t="s">
        <v>273</v>
      </c>
    </row>
    <row r="6849" spans="14:14" ht="15" customHeight="1" x14ac:dyDescent="0.25">
      <c r="N6849" t="s">
        <v>273</v>
      </c>
    </row>
    <row r="6850" spans="14:14" ht="15" customHeight="1" x14ac:dyDescent="0.25">
      <c r="N6850" t="s">
        <v>1239</v>
      </c>
    </row>
    <row r="6851" spans="14:14" ht="15" customHeight="1" x14ac:dyDescent="0.25">
      <c r="N6851" t="s">
        <v>1005</v>
      </c>
    </row>
    <row r="6852" spans="14:14" ht="15" customHeight="1" x14ac:dyDescent="0.25">
      <c r="N6852" t="s">
        <v>273</v>
      </c>
    </row>
    <row r="6853" spans="14:14" ht="15" customHeight="1" x14ac:dyDescent="0.25">
      <c r="N6853" t="s">
        <v>1005</v>
      </c>
    </row>
    <row r="6854" spans="14:14" ht="15" customHeight="1" x14ac:dyDescent="0.25">
      <c r="N6854" t="s">
        <v>1064</v>
      </c>
    </row>
    <row r="6855" spans="14:14" ht="15" customHeight="1" x14ac:dyDescent="0.25">
      <c r="N6855" t="s">
        <v>273</v>
      </c>
    </row>
    <row r="6856" spans="14:14" ht="15" customHeight="1" x14ac:dyDescent="0.25">
      <c r="N6856" t="s">
        <v>452</v>
      </c>
    </row>
    <row r="6857" spans="14:14" ht="15" customHeight="1" x14ac:dyDescent="0.25">
      <c r="N6857" t="s">
        <v>1087</v>
      </c>
    </row>
    <row r="6858" spans="14:14" ht="15" customHeight="1" x14ac:dyDescent="0.25">
      <c r="N6858" t="s">
        <v>1087</v>
      </c>
    </row>
    <row r="6859" spans="14:14" ht="15" customHeight="1" x14ac:dyDescent="0.25">
      <c r="N6859" t="s">
        <v>1087</v>
      </c>
    </row>
    <row r="6860" spans="14:14" ht="15" customHeight="1" x14ac:dyDescent="0.25">
      <c r="N6860" t="s">
        <v>930</v>
      </c>
    </row>
    <row r="6861" spans="14:14" ht="15" customHeight="1" x14ac:dyDescent="0.25">
      <c r="N6861" t="s">
        <v>1197</v>
      </c>
    </row>
    <row r="6862" spans="14:14" ht="15" customHeight="1" x14ac:dyDescent="0.25">
      <c r="N6862" t="s">
        <v>1197</v>
      </c>
    </row>
    <row r="6863" spans="14:14" ht="15" customHeight="1" x14ac:dyDescent="0.25">
      <c r="N6863" t="s">
        <v>1214</v>
      </c>
    </row>
    <row r="6864" spans="14:14" ht="15" customHeight="1" x14ac:dyDescent="0.25">
      <c r="N6864" t="s">
        <v>1087</v>
      </c>
    </row>
    <row r="6865" spans="14:14" ht="15" customHeight="1" x14ac:dyDescent="0.25">
      <c r="N6865" t="s">
        <v>1004</v>
      </c>
    </row>
    <row r="6866" spans="14:14" ht="15" customHeight="1" x14ac:dyDescent="0.25">
      <c r="N6866" t="s">
        <v>1087</v>
      </c>
    </row>
    <row r="6867" spans="14:14" ht="15" customHeight="1" x14ac:dyDescent="0.25">
      <c r="N6867" t="s">
        <v>1183</v>
      </c>
    </row>
    <row r="6868" spans="14:14" ht="15" customHeight="1" x14ac:dyDescent="0.25">
      <c r="N6868" t="s">
        <v>1214</v>
      </c>
    </row>
    <row r="6869" spans="14:14" ht="15" customHeight="1" x14ac:dyDescent="0.25">
      <c r="N6869" t="s">
        <v>1241</v>
      </c>
    </row>
    <row r="6870" spans="14:14" ht="15" customHeight="1" x14ac:dyDescent="0.25">
      <c r="N6870" t="s">
        <v>1068</v>
      </c>
    </row>
    <row r="6871" spans="14:14" ht="15" customHeight="1" x14ac:dyDescent="0.25">
      <c r="N6871" t="s">
        <v>1004</v>
      </c>
    </row>
    <row r="6872" spans="14:14" ht="15" customHeight="1" x14ac:dyDescent="0.25">
      <c r="N6872" t="s">
        <v>1070</v>
      </c>
    </row>
    <row r="6873" spans="14:14" ht="15" customHeight="1" x14ac:dyDescent="0.25">
      <c r="N6873" t="s">
        <v>1068</v>
      </c>
    </row>
    <row r="6874" spans="14:14" ht="15" customHeight="1" x14ac:dyDescent="0.25">
      <c r="N6874" t="s">
        <v>1068</v>
      </c>
    </row>
    <row r="6875" spans="14:14" ht="15" customHeight="1" x14ac:dyDescent="0.25">
      <c r="N6875" t="s">
        <v>1087</v>
      </c>
    </row>
    <row r="6876" spans="14:14" ht="15" customHeight="1" x14ac:dyDescent="0.25">
      <c r="N6876" t="s">
        <v>273</v>
      </c>
    </row>
    <row r="6877" spans="14:14" ht="15" customHeight="1" x14ac:dyDescent="0.25">
      <c r="N6877" t="s">
        <v>1198</v>
      </c>
    </row>
    <row r="6878" spans="14:14" ht="15" customHeight="1" x14ac:dyDescent="0.25">
      <c r="N6878" t="s">
        <v>1198</v>
      </c>
    </row>
    <row r="6879" spans="14:14" ht="15" customHeight="1" x14ac:dyDescent="0.25">
      <c r="N6879" t="s">
        <v>1198</v>
      </c>
    </row>
    <row r="6880" spans="14:14" ht="15" customHeight="1" x14ac:dyDescent="0.25">
      <c r="N6880" t="s">
        <v>1005</v>
      </c>
    </row>
    <row r="6881" spans="14:14" ht="15" customHeight="1" x14ac:dyDescent="0.25">
      <c r="N6881" t="s">
        <v>1227</v>
      </c>
    </row>
    <row r="6882" spans="14:14" ht="15" customHeight="1" x14ac:dyDescent="0.25">
      <c r="N6882" t="s">
        <v>273</v>
      </c>
    </row>
    <row r="6883" spans="14:14" ht="15" customHeight="1" x14ac:dyDescent="0.25">
      <c r="N6883" t="s">
        <v>1087</v>
      </c>
    </row>
    <row r="6884" spans="14:14" ht="15" customHeight="1" x14ac:dyDescent="0.25">
      <c r="N6884" t="s">
        <v>1087</v>
      </c>
    </row>
    <row r="6885" spans="14:14" ht="15" customHeight="1" x14ac:dyDescent="0.25">
      <c r="N6885" t="s">
        <v>1004</v>
      </c>
    </row>
    <row r="6886" spans="14:14" ht="15" customHeight="1" x14ac:dyDescent="0.25">
      <c r="N6886" t="s">
        <v>1214</v>
      </c>
    </row>
    <row r="6887" spans="14:14" ht="15" customHeight="1" x14ac:dyDescent="0.25">
      <c r="N6887" t="s">
        <v>1214</v>
      </c>
    </row>
    <row r="6888" spans="14:14" ht="15" customHeight="1" x14ac:dyDescent="0.25">
      <c r="N6888" t="s">
        <v>1068</v>
      </c>
    </row>
    <row r="6889" spans="14:14" ht="15" customHeight="1" x14ac:dyDescent="0.25">
      <c r="N6889" t="s">
        <v>1004</v>
      </c>
    </row>
    <row r="6890" spans="14:14" ht="15" customHeight="1" x14ac:dyDescent="0.25">
      <c r="N6890" t="s">
        <v>1068</v>
      </c>
    </row>
    <row r="6891" spans="14:14" ht="15" customHeight="1" x14ac:dyDescent="0.25">
      <c r="N6891" t="s">
        <v>1072</v>
      </c>
    </row>
    <row r="6892" spans="14:14" ht="15" customHeight="1" x14ac:dyDescent="0.25">
      <c r="N6892" t="s">
        <v>1072</v>
      </c>
    </row>
    <row r="6893" spans="14:14" ht="15" customHeight="1" x14ac:dyDescent="0.25">
      <c r="N6893" t="s">
        <v>1072</v>
      </c>
    </row>
    <row r="6894" spans="14:14" ht="15" customHeight="1" x14ac:dyDescent="0.25">
      <c r="N6894" t="s">
        <v>1072</v>
      </c>
    </row>
    <row r="6895" spans="14:14" ht="15" customHeight="1" x14ac:dyDescent="0.25">
      <c r="N6895" t="s">
        <v>1072</v>
      </c>
    </row>
    <row r="6896" spans="14:14" ht="15" customHeight="1" x14ac:dyDescent="0.25">
      <c r="N6896" t="s">
        <v>1072</v>
      </c>
    </row>
    <row r="6897" spans="14:14" ht="15" customHeight="1" x14ac:dyDescent="0.25">
      <c r="N6897" t="s">
        <v>1087</v>
      </c>
    </row>
    <row r="6898" spans="14:14" ht="15" customHeight="1" x14ac:dyDescent="0.25">
      <c r="N6898" t="s">
        <v>1087</v>
      </c>
    </row>
    <row r="6899" spans="14:14" ht="15" customHeight="1" x14ac:dyDescent="0.25">
      <c r="N6899" t="s">
        <v>1068</v>
      </c>
    </row>
    <row r="6900" spans="14:14" ht="15" customHeight="1" x14ac:dyDescent="0.25">
      <c r="N6900" t="s">
        <v>1068</v>
      </c>
    </row>
    <row r="6901" spans="14:14" ht="15" customHeight="1" x14ac:dyDescent="0.25">
      <c r="N6901" t="s">
        <v>148</v>
      </c>
    </row>
    <row r="6902" spans="14:14" ht="15" customHeight="1" x14ac:dyDescent="0.25">
      <c r="N6902" t="s">
        <v>1005</v>
      </c>
    </row>
    <row r="6903" spans="14:14" ht="15" customHeight="1" x14ac:dyDescent="0.25">
      <c r="N6903" t="s">
        <v>1090</v>
      </c>
    </row>
    <row r="6904" spans="14:14" ht="15" customHeight="1" x14ac:dyDescent="0.25">
      <c r="N6904" t="s">
        <v>1241</v>
      </c>
    </row>
    <row r="6905" spans="14:14" ht="15" customHeight="1" x14ac:dyDescent="0.25">
      <c r="N6905" t="s">
        <v>1241</v>
      </c>
    </row>
    <row r="6906" spans="14:14" ht="15" customHeight="1" x14ac:dyDescent="0.25">
      <c r="N6906" t="s">
        <v>1005</v>
      </c>
    </row>
    <row r="6907" spans="14:14" ht="15" customHeight="1" x14ac:dyDescent="0.25">
      <c r="N6907" t="s">
        <v>1105</v>
      </c>
    </row>
    <row r="6908" spans="14:14" ht="15" customHeight="1" x14ac:dyDescent="0.25">
      <c r="N6908" t="s">
        <v>1004</v>
      </c>
    </row>
    <row r="6909" spans="14:14" ht="15" customHeight="1" x14ac:dyDescent="0.25">
      <c r="N6909" t="s">
        <v>1250</v>
      </c>
    </row>
    <row r="6910" spans="14:14" ht="15" customHeight="1" x14ac:dyDescent="0.25">
      <c r="N6910" t="s">
        <v>1004</v>
      </c>
    </row>
    <row r="6911" spans="14:14" ht="15" customHeight="1" x14ac:dyDescent="0.25">
      <c r="N6911" t="s">
        <v>1068</v>
      </c>
    </row>
    <row r="6912" spans="14:14" ht="15" customHeight="1" x14ac:dyDescent="0.25">
      <c r="N6912" t="s">
        <v>1116</v>
      </c>
    </row>
    <row r="6913" spans="14:14" ht="15" customHeight="1" x14ac:dyDescent="0.25">
      <c r="N6913" t="s">
        <v>1116</v>
      </c>
    </row>
    <row r="6914" spans="14:14" ht="15" customHeight="1" x14ac:dyDescent="0.25">
      <c r="N6914" t="s">
        <v>1116</v>
      </c>
    </row>
    <row r="6915" spans="14:14" ht="15" customHeight="1" x14ac:dyDescent="0.25">
      <c r="N6915" t="s">
        <v>1116</v>
      </c>
    </row>
    <row r="6916" spans="14:14" ht="15" customHeight="1" x14ac:dyDescent="0.25">
      <c r="N6916" t="s">
        <v>1116</v>
      </c>
    </row>
    <row r="6917" spans="14:14" ht="15" customHeight="1" x14ac:dyDescent="0.25">
      <c r="N6917" t="s">
        <v>1116</v>
      </c>
    </row>
    <row r="6918" spans="14:14" ht="15" customHeight="1" x14ac:dyDescent="0.25">
      <c r="N6918" t="s">
        <v>1087</v>
      </c>
    </row>
    <row r="6919" spans="14:14" ht="15" customHeight="1" x14ac:dyDescent="0.25">
      <c r="N6919" t="s">
        <v>1087</v>
      </c>
    </row>
    <row r="6920" spans="14:14" ht="15" customHeight="1" x14ac:dyDescent="0.25">
      <c r="N6920" t="s">
        <v>1070</v>
      </c>
    </row>
    <row r="6921" spans="14:14" ht="15" customHeight="1" x14ac:dyDescent="0.25">
      <c r="N6921" t="s">
        <v>1087</v>
      </c>
    </row>
    <row r="6922" spans="14:14" ht="15" customHeight="1" x14ac:dyDescent="0.25">
      <c r="N6922" t="s">
        <v>1087</v>
      </c>
    </row>
    <row r="6923" spans="14:14" ht="15" customHeight="1" x14ac:dyDescent="0.25">
      <c r="N6923" t="s">
        <v>1253</v>
      </c>
    </row>
    <row r="6924" spans="14:14" ht="15" customHeight="1" x14ac:dyDescent="0.25">
      <c r="N6924" t="s">
        <v>1241</v>
      </c>
    </row>
    <row r="6925" spans="14:14" ht="15" customHeight="1" x14ac:dyDescent="0.25">
      <c r="N6925" t="s">
        <v>1005</v>
      </c>
    </row>
    <row r="6926" spans="14:14" ht="15" customHeight="1" x14ac:dyDescent="0.25">
      <c r="N6926" t="s">
        <v>1144</v>
      </c>
    </row>
    <row r="6927" spans="14:14" ht="15" customHeight="1" x14ac:dyDescent="0.25">
      <c r="N6927" t="s">
        <v>1254</v>
      </c>
    </row>
    <row r="6928" spans="14:14" ht="15" customHeight="1" x14ac:dyDescent="0.25">
      <c r="N6928" t="s">
        <v>273</v>
      </c>
    </row>
    <row r="6929" spans="14:14" ht="15" customHeight="1" x14ac:dyDescent="0.25">
      <c r="N6929" t="s">
        <v>1004</v>
      </c>
    </row>
    <row r="6930" spans="14:14" ht="15" customHeight="1" x14ac:dyDescent="0.25">
      <c r="N6930" t="s">
        <v>1105</v>
      </c>
    </row>
    <row r="6931" spans="14:14" ht="15" customHeight="1" x14ac:dyDescent="0.25">
      <c r="N6931" t="s">
        <v>1105</v>
      </c>
    </row>
    <row r="6932" spans="14:14" ht="15" customHeight="1" x14ac:dyDescent="0.25">
      <c r="N6932" t="s">
        <v>1105</v>
      </c>
    </row>
    <row r="6933" spans="14:14" ht="15" customHeight="1" x14ac:dyDescent="0.25">
      <c r="N6933" t="s">
        <v>1105</v>
      </c>
    </row>
    <row r="6934" spans="14:14" ht="15" customHeight="1" x14ac:dyDescent="0.25">
      <c r="N6934" t="s">
        <v>1105</v>
      </c>
    </row>
    <row r="6935" spans="14:14" ht="15" customHeight="1" x14ac:dyDescent="0.25">
      <c r="N6935" t="s">
        <v>1105</v>
      </c>
    </row>
    <row r="6936" spans="14:14" ht="15" customHeight="1" x14ac:dyDescent="0.25">
      <c r="N6936" t="s">
        <v>1087</v>
      </c>
    </row>
    <row r="6937" spans="14:14" ht="15" customHeight="1" x14ac:dyDescent="0.25">
      <c r="N6937" t="s">
        <v>1214</v>
      </c>
    </row>
    <row r="6938" spans="14:14" ht="15" customHeight="1" x14ac:dyDescent="0.25">
      <c r="N6938" t="s">
        <v>1087</v>
      </c>
    </row>
    <row r="6939" spans="14:14" ht="15" customHeight="1" x14ac:dyDescent="0.25">
      <c r="N6939" t="s">
        <v>1087</v>
      </c>
    </row>
    <row r="6940" spans="14:14" ht="15" customHeight="1" x14ac:dyDescent="0.25">
      <c r="N6940" t="s">
        <v>1241</v>
      </c>
    </row>
    <row r="6941" spans="14:14" ht="15" customHeight="1" x14ac:dyDescent="0.25">
      <c r="N6941" t="s">
        <v>1241</v>
      </c>
    </row>
    <row r="6942" spans="14:14" ht="15" customHeight="1" x14ac:dyDescent="0.25">
      <c r="N6942" t="s">
        <v>1241</v>
      </c>
    </row>
    <row r="6943" spans="14:14" ht="15" customHeight="1" x14ac:dyDescent="0.25">
      <c r="N6943" t="s">
        <v>1256</v>
      </c>
    </row>
    <row r="6944" spans="14:14" ht="15" customHeight="1" x14ac:dyDescent="0.25">
      <c r="N6944" t="s">
        <v>1335</v>
      </c>
    </row>
    <row r="6945" spans="14:14" ht="15" customHeight="1" x14ac:dyDescent="0.25">
      <c r="N6945" t="s">
        <v>1257</v>
      </c>
    </row>
    <row r="6946" spans="14:14" ht="15" customHeight="1" x14ac:dyDescent="0.25">
      <c r="N6946" t="s">
        <v>1258</v>
      </c>
    </row>
    <row r="6947" spans="14:14" ht="15" customHeight="1" x14ac:dyDescent="0.25">
      <c r="N6947" t="s">
        <v>989</v>
      </c>
    </row>
    <row r="6948" spans="14:14" ht="15" customHeight="1" x14ac:dyDescent="0.25">
      <c r="N6948" t="s">
        <v>1072</v>
      </c>
    </row>
    <row r="6949" spans="14:14" ht="15" customHeight="1" x14ac:dyDescent="0.25">
      <c r="N6949" t="s">
        <v>1072</v>
      </c>
    </row>
    <row r="6950" spans="14:14" ht="15" customHeight="1" x14ac:dyDescent="0.25">
      <c r="N6950" t="s">
        <v>1072</v>
      </c>
    </row>
    <row r="6951" spans="14:14" ht="15" customHeight="1" x14ac:dyDescent="0.25">
      <c r="N6951" t="s">
        <v>1072</v>
      </c>
    </row>
    <row r="6952" spans="14:14" ht="15" customHeight="1" x14ac:dyDescent="0.25">
      <c r="N6952" t="s">
        <v>1072</v>
      </c>
    </row>
    <row r="6953" spans="14:14" ht="15" customHeight="1" x14ac:dyDescent="0.25">
      <c r="N6953" t="s">
        <v>1072</v>
      </c>
    </row>
    <row r="6954" spans="14:14" ht="15" customHeight="1" x14ac:dyDescent="0.25">
      <c r="N6954" t="s">
        <v>1087</v>
      </c>
    </row>
    <row r="6955" spans="14:14" ht="15" customHeight="1" x14ac:dyDescent="0.25">
      <c r="N6955" t="s">
        <v>1215</v>
      </c>
    </row>
    <row r="6956" spans="14:14" ht="15" customHeight="1" x14ac:dyDescent="0.25">
      <c r="N6956" t="s">
        <v>1241</v>
      </c>
    </row>
    <row r="6957" spans="14:14" ht="15" customHeight="1" x14ac:dyDescent="0.25">
      <c r="N6957" t="s">
        <v>1281</v>
      </c>
    </row>
    <row r="6958" spans="14:14" ht="15" customHeight="1" x14ac:dyDescent="0.25">
      <c r="N6958" t="s">
        <v>1335</v>
      </c>
    </row>
    <row r="6959" spans="14:14" ht="15" customHeight="1" x14ac:dyDescent="0.25">
      <c r="N6959" t="s">
        <v>1234</v>
      </c>
    </row>
    <row r="6960" spans="14:14" ht="15" customHeight="1" x14ac:dyDescent="0.25">
      <c r="N6960" t="s">
        <v>1260</v>
      </c>
    </row>
    <row r="6961" spans="14:14" ht="15" customHeight="1" x14ac:dyDescent="0.25">
      <c r="N6961" t="s">
        <v>245</v>
      </c>
    </row>
    <row r="6962" spans="14:14" ht="15" customHeight="1" x14ac:dyDescent="0.25">
      <c r="N6962" t="s">
        <v>1197</v>
      </c>
    </row>
    <row r="6963" spans="14:14" ht="15" customHeight="1" x14ac:dyDescent="0.25">
      <c r="N6963" t="s">
        <v>1187</v>
      </c>
    </row>
    <row r="6964" spans="14:14" ht="15" customHeight="1" x14ac:dyDescent="0.25">
      <c r="N6964" t="s">
        <v>1187</v>
      </c>
    </row>
    <row r="6965" spans="14:14" ht="15" customHeight="1" x14ac:dyDescent="0.25">
      <c r="N6965" t="s">
        <v>1187</v>
      </c>
    </row>
    <row r="6966" spans="14:14" ht="15" customHeight="1" x14ac:dyDescent="0.25">
      <c r="N6966" t="s">
        <v>1187</v>
      </c>
    </row>
    <row r="6967" spans="14:14" ht="15" customHeight="1" x14ac:dyDescent="0.25">
      <c r="N6967" t="s">
        <v>1187</v>
      </c>
    </row>
    <row r="6968" spans="14:14" ht="15" customHeight="1" x14ac:dyDescent="0.25">
      <c r="N6968" t="s">
        <v>1187</v>
      </c>
    </row>
    <row r="6969" spans="14:14" ht="15" customHeight="1" x14ac:dyDescent="0.25">
      <c r="N6969" t="s">
        <v>1068</v>
      </c>
    </row>
    <row r="6970" spans="14:14" ht="15" customHeight="1" x14ac:dyDescent="0.25">
      <c r="N6970" t="s">
        <v>294</v>
      </c>
    </row>
    <row r="6971" spans="14:14" ht="15" customHeight="1" x14ac:dyDescent="0.25">
      <c r="N6971" t="s">
        <v>1005</v>
      </c>
    </row>
    <row r="6972" spans="14:14" ht="15" customHeight="1" x14ac:dyDescent="0.25">
      <c r="N6972" t="s">
        <v>1005</v>
      </c>
    </row>
    <row r="6973" spans="14:14" ht="15" customHeight="1" x14ac:dyDescent="0.25">
      <c r="N6973" t="s">
        <v>1068</v>
      </c>
    </row>
    <row r="6974" spans="14:14" ht="15" customHeight="1" x14ac:dyDescent="0.25">
      <c r="N6974" t="s">
        <v>1087</v>
      </c>
    </row>
    <row r="6975" spans="14:14" ht="15" customHeight="1" x14ac:dyDescent="0.25">
      <c r="N6975" t="s">
        <v>1178</v>
      </c>
    </row>
    <row r="6976" spans="14:14" ht="15" customHeight="1" x14ac:dyDescent="0.25">
      <c r="N6976" t="s">
        <v>1178</v>
      </c>
    </row>
    <row r="6977" spans="14:14" ht="15" customHeight="1" x14ac:dyDescent="0.25">
      <c r="N6977" t="s">
        <v>1178</v>
      </c>
    </row>
    <row r="6978" spans="14:14" ht="15" customHeight="1" x14ac:dyDescent="0.25">
      <c r="N6978" t="s">
        <v>1178</v>
      </c>
    </row>
    <row r="6979" spans="14:14" ht="15" customHeight="1" x14ac:dyDescent="0.25">
      <c r="N6979" t="s">
        <v>1178</v>
      </c>
    </row>
    <row r="6980" spans="14:14" ht="15" customHeight="1" x14ac:dyDescent="0.25">
      <c r="N6980" t="s">
        <v>1178</v>
      </c>
    </row>
    <row r="6981" spans="14:14" ht="15" customHeight="1" x14ac:dyDescent="0.25">
      <c r="N6981" t="s">
        <v>203</v>
      </c>
    </row>
    <row r="6982" spans="14:14" ht="15" customHeight="1" x14ac:dyDescent="0.25">
      <c r="N6982" t="s">
        <v>1005</v>
      </c>
    </row>
    <row r="6983" spans="14:14" ht="15" customHeight="1" x14ac:dyDescent="0.25">
      <c r="N6983" t="s">
        <v>1087</v>
      </c>
    </row>
    <row r="6984" spans="14:14" ht="15" customHeight="1" x14ac:dyDescent="0.25">
      <c r="N6984" t="s">
        <v>1087</v>
      </c>
    </row>
    <row r="6985" spans="14:14" ht="15" customHeight="1" x14ac:dyDescent="0.25">
      <c r="N6985" t="s">
        <v>789</v>
      </c>
    </row>
    <row r="6986" spans="14:14" ht="15" customHeight="1" x14ac:dyDescent="0.25">
      <c r="N6986" t="s">
        <v>1109</v>
      </c>
    </row>
    <row r="6987" spans="14:14" ht="15" customHeight="1" x14ac:dyDescent="0.25">
      <c r="N6987" t="s">
        <v>1087</v>
      </c>
    </row>
    <row r="6988" spans="14:14" ht="15" customHeight="1" x14ac:dyDescent="0.25">
      <c r="N6988" t="s">
        <v>1250</v>
      </c>
    </row>
    <row r="6989" spans="14:14" ht="15" customHeight="1" x14ac:dyDescent="0.25">
      <c r="N6989" t="s">
        <v>1087</v>
      </c>
    </row>
    <row r="6990" spans="14:14" ht="15" customHeight="1" x14ac:dyDescent="0.25">
      <c r="N6990" t="s">
        <v>294</v>
      </c>
    </row>
    <row r="6991" spans="14:14" ht="15" customHeight="1" x14ac:dyDescent="0.25">
      <c r="N6991" t="s">
        <v>1109</v>
      </c>
    </row>
    <row r="6992" spans="14:14" ht="15" customHeight="1" x14ac:dyDescent="0.25">
      <c r="N6992" t="s">
        <v>1214</v>
      </c>
    </row>
    <row r="6993" spans="14:14" ht="15" customHeight="1" x14ac:dyDescent="0.25">
      <c r="N6993" t="s">
        <v>203</v>
      </c>
    </row>
    <row r="6994" spans="14:14" ht="15" customHeight="1" x14ac:dyDescent="0.25">
      <c r="N6994" t="s">
        <v>1262</v>
      </c>
    </row>
    <row r="6995" spans="14:14" ht="15" customHeight="1" x14ac:dyDescent="0.25">
      <c r="N6995" t="s">
        <v>231</v>
      </c>
    </row>
    <row r="6996" spans="14:14" ht="15" customHeight="1" x14ac:dyDescent="0.25">
      <c r="N6996" t="s">
        <v>203</v>
      </c>
    </row>
    <row r="6997" spans="14:14" ht="15" customHeight="1" x14ac:dyDescent="0.25">
      <c r="N6997" t="s">
        <v>1112</v>
      </c>
    </row>
    <row r="6998" spans="14:14" ht="15" customHeight="1" x14ac:dyDescent="0.25">
      <c r="N6998" t="s">
        <v>895</v>
      </c>
    </row>
    <row r="6999" spans="14:14" ht="15" customHeight="1" x14ac:dyDescent="0.25">
      <c r="N6999" t="s">
        <v>898</v>
      </c>
    </row>
    <row r="7000" spans="14:14" ht="15" customHeight="1" x14ac:dyDescent="0.25">
      <c r="N7000" t="s">
        <v>898</v>
      </c>
    </row>
    <row r="7001" spans="14:14" ht="15" customHeight="1" x14ac:dyDescent="0.25">
      <c r="N7001" t="s">
        <v>901</v>
      </c>
    </row>
    <row r="7002" spans="14:14" ht="15" customHeight="1" x14ac:dyDescent="0.25">
      <c r="N7002" t="s">
        <v>901</v>
      </c>
    </row>
    <row r="7003" spans="14:14" ht="15" customHeight="1" x14ac:dyDescent="0.25">
      <c r="N7003" t="s">
        <v>901</v>
      </c>
    </row>
    <row r="7004" spans="14:14" ht="15" customHeight="1" x14ac:dyDescent="0.25">
      <c r="N7004" t="s">
        <v>901</v>
      </c>
    </row>
    <row r="7005" spans="14:14" ht="15" customHeight="1" x14ac:dyDescent="0.25">
      <c r="N7005" t="s">
        <v>901</v>
      </c>
    </row>
    <row r="7006" spans="14:14" ht="15" customHeight="1" x14ac:dyDescent="0.25">
      <c r="N7006" t="s">
        <v>901</v>
      </c>
    </row>
    <row r="7007" spans="14:14" ht="15" customHeight="1" x14ac:dyDescent="0.25">
      <c r="N7007" t="s">
        <v>907</v>
      </c>
    </row>
    <row r="7008" spans="14:14" ht="15" customHeight="1" x14ac:dyDescent="0.25">
      <c r="N7008" t="s">
        <v>910</v>
      </c>
    </row>
    <row r="7009" spans="14:14" ht="15" customHeight="1" x14ac:dyDescent="0.25">
      <c r="N7009" t="s">
        <v>915</v>
      </c>
    </row>
    <row r="7010" spans="14:14" ht="15" customHeight="1" x14ac:dyDescent="0.25">
      <c r="N7010" t="s">
        <v>910</v>
      </c>
    </row>
    <row r="7011" spans="14:14" ht="15" customHeight="1" x14ac:dyDescent="0.25">
      <c r="N7011" t="s">
        <v>910</v>
      </c>
    </row>
    <row r="7012" spans="14:14" ht="15" customHeight="1" x14ac:dyDescent="0.25">
      <c r="N7012" t="s">
        <v>922</v>
      </c>
    </row>
    <row r="7013" spans="14:14" ht="15" customHeight="1" x14ac:dyDescent="0.25">
      <c r="N7013" t="s">
        <v>923</v>
      </c>
    </row>
    <row r="7014" spans="14:14" ht="15" customHeight="1" x14ac:dyDescent="0.25">
      <c r="N7014" t="s">
        <v>925</v>
      </c>
    </row>
    <row r="7015" spans="14:14" ht="15" customHeight="1" x14ac:dyDescent="0.25">
      <c r="N7015" t="s">
        <v>245</v>
      </c>
    </row>
    <row r="7016" spans="14:14" ht="15" customHeight="1" x14ac:dyDescent="0.25">
      <c r="N7016" t="s">
        <v>929</v>
      </c>
    </row>
    <row r="7017" spans="14:14" ht="15" customHeight="1" x14ac:dyDescent="0.25">
      <c r="N7017" t="s">
        <v>936</v>
      </c>
    </row>
    <row r="7018" spans="14:14" ht="15" customHeight="1" x14ac:dyDescent="0.25">
      <c r="N7018" t="s">
        <v>915</v>
      </c>
    </row>
    <row r="7019" spans="14:14" ht="15" customHeight="1" x14ac:dyDescent="0.25">
      <c r="N7019" t="s">
        <v>910</v>
      </c>
    </row>
    <row r="7020" spans="14:14" ht="15" customHeight="1" x14ac:dyDescent="0.25">
      <c r="N7020" t="s">
        <v>933</v>
      </c>
    </row>
    <row r="7021" spans="14:14" ht="15" customHeight="1" x14ac:dyDescent="0.25">
      <c r="N7021" t="s">
        <v>944</v>
      </c>
    </row>
    <row r="7022" spans="14:14" ht="15" customHeight="1" x14ac:dyDescent="0.25">
      <c r="N7022" t="s">
        <v>944</v>
      </c>
    </row>
    <row r="7023" spans="14:14" ht="15" customHeight="1" x14ac:dyDescent="0.25">
      <c r="N7023" t="s">
        <v>944</v>
      </c>
    </row>
    <row r="7024" spans="14:14" ht="15" customHeight="1" x14ac:dyDescent="0.25">
      <c r="N7024" t="s">
        <v>944</v>
      </c>
    </row>
    <row r="7025" spans="14:14" ht="15" customHeight="1" x14ac:dyDescent="0.25">
      <c r="N7025" t="s">
        <v>944</v>
      </c>
    </row>
    <row r="7026" spans="14:14" ht="15" customHeight="1" x14ac:dyDescent="0.25">
      <c r="N7026" t="s">
        <v>944</v>
      </c>
    </row>
    <row r="7027" spans="14:14" ht="15" customHeight="1" x14ac:dyDescent="0.25">
      <c r="N7027" t="s">
        <v>901</v>
      </c>
    </row>
    <row r="7028" spans="14:14" ht="15" customHeight="1" x14ac:dyDescent="0.25">
      <c r="N7028" t="s">
        <v>286</v>
      </c>
    </row>
    <row r="7029" spans="14:14" ht="15" customHeight="1" x14ac:dyDescent="0.25">
      <c r="N7029" t="s">
        <v>948</v>
      </c>
    </row>
    <row r="7030" spans="14:14" ht="15" customHeight="1" x14ac:dyDescent="0.25">
      <c r="N7030" t="s">
        <v>895</v>
      </c>
    </row>
    <row r="7031" spans="14:14" ht="15" customHeight="1" x14ac:dyDescent="0.25">
      <c r="N7031" t="s">
        <v>956</v>
      </c>
    </row>
    <row r="7032" spans="14:14" ht="15" customHeight="1" x14ac:dyDescent="0.25">
      <c r="N7032" t="s">
        <v>933</v>
      </c>
    </row>
    <row r="7033" spans="14:14" ht="15" customHeight="1" x14ac:dyDescent="0.25">
      <c r="N7033" t="s">
        <v>956</v>
      </c>
    </row>
    <row r="7034" spans="14:14" ht="15" customHeight="1" x14ac:dyDescent="0.25">
      <c r="N7034" t="s">
        <v>963</v>
      </c>
    </row>
    <row r="7035" spans="14:14" ht="15" customHeight="1" x14ac:dyDescent="0.25">
      <c r="N7035" t="s">
        <v>964</v>
      </c>
    </row>
    <row r="7036" spans="14:14" ht="15" customHeight="1" x14ac:dyDescent="0.25">
      <c r="N7036" t="s">
        <v>966</v>
      </c>
    </row>
    <row r="7037" spans="14:14" ht="15" customHeight="1" x14ac:dyDescent="0.25">
      <c r="N7037" t="s">
        <v>930</v>
      </c>
    </row>
    <row r="7038" spans="14:14" ht="15" customHeight="1" x14ac:dyDescent="0.25">
      <c r="N7038" t="s">
        <v>930</v>
      </c>
    </row>
    <row r="7039" spans="14:14" ht="15" customHeight="1" x14ac:dyDescent="0.25">
      <c r="N7039" t="s">
        <v>273</v>
      </c>
    </row>
    <row r="7040" spans="14:14" ht="15" customHeight="1" x14ac:dyDescent="0.25">
      <c r="N7040" t="s">
        <v>273</v>
      </c>
    </row>
    <row r="7041" spans="14:14" ht="15" customHeight="1" x14ac:dyDescent="0.25">
      <c r="N7041" t="s">
        <v>273</v>
      </c>
    </row>
    <row r="7042" spans="14:14" ht="15" customHeight="1" x14ac:dyDescent="0.25">
      <c r="N7042" t="s">
        <v>907</v>
      </c>
    </row>
    <row r="7043" spans="14:14" ht="15" customHeight="1" x14ac:dyDescent="0.25">
      <c r="N7043" t="s">
        <v>231</v>
      </c>
    </row>
    <row r="7044" spans="14:14" ht="15" customHeight="1" x14ac:dyDescent="0.25">
      <c r="N7044" t="s">
        <v>773</v>
      </c>
    </row>
    <row r="7045" spans="14:14" ht="15" customHeight="1" x14ac:dyDescent="0.25">
      <c r="N7045" t="s">
        <v>975</v>
      </c>
    </row>
    <row r="7046" spans="14:14" ht="15" customHeight="1" x14ac:dyDescent="0.25">
      <c r="N7046" t="s">
        <v>976</v>
      </c>
    </row>
    <row r="7047" spans="14:14" ht="15" customHeight="1" x14ac:dyDescent="0.25">
      <c r="N7047" t="s">
        <v>976</v>
      </c>
    </row>
    <row r="7048" spans="14:14" ht="15" customHeight="1" x14ac:dyDescent="0.25">
      <c r="N7048" t="s">
        <v>976</v>
      </c>
    </row>
    <row r="7049" spans="14:14" ht="15" customHeight="1" x14ac:dyDescent="0.25">
      <c r="N7049" t="s">
        <v>294</v>
      </c>
    </row>
    <row r="7050" spans="14:14" ht="15" customHeight="1" x14ac:dyDescent="0.25">
      <c r="N7050" t="s">
        <v>273</v>
      </c>
    </row>
    <row r="7051" spans="14:14" ht="15" customHeight="1" x14ac:dyDescent="0.25">
      <c r="N7051" t="s">
        <v>273</v>
      </c>
    </row>
    <row r="7052" spans="14:14" ht="15" customHeight="1" x14ac:dyDescent="0.25">
      <c r="N7052" t="s">
        <v>247</v>
      </c>
    </row>
    <row r="7053" spans="14:14" ht="15" customHeight="1" x14ac:dyDescent="0.25">
      <c r="N7053" t="s">
        <v>273</v>
      </c>
    </row>
    <row r="7054" spans="14:14" ht="15" customHeight="1" x14ac:dyDescent="0.25">
      <c r="N7054" t="s">
        <v>273</v>
      </c>
    </row>
    <row r="7055" spans="14:14" ht="15" customHeight="1" x14ac:dyDescent="0.25">
      <c r="N7055" t="s">
        <v>279</v>
      </c>
    </row>
    <row r="7056" spans="14:14" ht="15" customHeight="1" x14ac:dyDescent="0.25">
      <c r="N7056" t="s">
        <v>975</v>
      </c>
    </row>
    <row r="7057" spans="14:14" ht="15" customHeight="1" x14ac:dyDescent="0.25">
      <c r="N7057" t="s">
        <v>273</v>
      </c>
    </row>
    <row r="7058" spans="14:14" ht="15" customHeight="1" x14ac:dyDescent="0.25">
      <c r="N7058" t="s">
        <v>273</v>
      </c>
    </row>
    <row r="7059" spans="14:14" ht="15" customHeight="1" x14ac:dyDescent="0.25">
      <c r="N7059" t="s">
        <v>981</v>
      </c>
    </row>
    <row r="7060" spans="14:14" ht="15" customHeight="1" x14ac:dyDescent="0.25">
      <c r="N7060" t="s">
        <v>901</v>
      </c>
    </row>
    <row r="7061" spans="14:14" ht="15" customHeight="1" x14ac:dyDescent="0.25">
      <c r="N7061" t="s">
        <v>901</v>
      </c>
    </row>
    <row r="7062" spans="14:14" ht="15" customHeight="1" x14ac:dyDescent="0.25">
      <c r="N7062" t="s">
        <v>901</v>
      </c>
    </row>
    <row r="7063" spans="14:14" ht="15" customHeight="1" x14ac:dyDescent="0.25">
      <c r="N7063" t="s">
        <v>985</v>
      </c>
    </row>
    <row r="7064" spans="14:14" ht="15" customHeight="1" x14ac:dyDescent="0.25">
      <c r="N7064" t="s">
        <v>901</v>
      </c>
    </row>
    <row r="7065" spans="14:14" ht="15" customHeight="1" x14ac:dyDescent="0.25">
      <c r="N7065" t="s">
        <v>901</v>
      </c>
    </row>
    <row r="7066" spans="14:14" ht="15" customHeight="1" x14ac:dyDescent="0.25">
      <c r="N7066" t="s">
        <v>907</v>
      </c>
    </row>
    <row r="7067" spans="14:14" ht="15" customHeight="1" x14ac:dyDescent="0.25">
      <c r="N7067" t="s">
        <v>989</v>
      </c>
    </row>
    <row r="7068" spans="14:14" ht="15" customHeight="1" x14ac:dyDescent="0.25">
      <c r="N7068" t="s">
        <v>915</v>
      </c>
    </row>
    <row r="7069" spans="14:14" ht="15" customHeight="1" x14ac:dyDescent="0.25">
      <c r="N7069" t="s">
        <v>989</v>
      </c>
    </row>
    <row r="7070" spans="14:14" ht="15" customHeight="1" x14ac:dyDescent="0.25">
      <c r="N7070" t="s">
        <v>989</v>
      </c>
    </row>
    <row r="7071" spans="14:14" ht="15" customHeight="1" x14ac:dyDescent="0.25">
      <c r="N7071" t="s">
        <v>922</v>
      </c>
    </row>
    <row r="7072" spans="14:14" ht="15" customHeight="1" x14ac:dyDescent="0.25">
      <c r="N7072" t="s">
        <v>910</v>
      </c>
    </row>
    <row r="7073" spans="14:14" ht="15" customHeight="1" x14ac:dyDescent="0.25">
      <c r="N7073" t="s">
        <v>273</v>
      </c>
    </row>
    <row r="7074" spans="14:14" ht="15" customHeight="1" x14ac:dyDescent="0.25">
      <c r="N7074" t="s">
        <v>929</v>
      </c>
    </row>
    <row r="7075" spans="14:14" ht="15" customHeight="1" x14ac:dyDescent="0.25">
      <c r="N7075" t="s">
        <v>915</v>
      </c>
    </row>
    <row r="7076" spans="14:14" ht="15" customHeight="1" x14ac:dyDescent="0.25">
      <c r="N7076" t="s">
        <v>936</v>
      </c>
    </row>
    <row r="7077" spans="14:14" ht="15" customHeight="1" x14ac:dyDescent="0.25">
      <c r="N7077" t="s">
        <v>915</v>
      </c>
    </row>
    <row r="7078" spans="14:14" ht="15" customHeight="1" x14ac:dyDescent="0.25">
      <c r="N7078" t="s">
        <v>933</v>
      </c>
    </row>
    <row r="7079" spans="14:14" ht="15" customHeight="1" x14ac:dyDescent="0.25">
      <c r="N7079" t="s">
        <v>933</v>
      </c>
    </row>
    <row r="7080" spans="14:14" ht="15" customHeight="1" x14ac:dyDescent="0.25">
      <c r="N7080" t="s">
        <v>254</v>
      </c>
    </row>
    <row r="7081" spans="14:14" ht="15" customHeight="1" x14ac:dyDescent="0.25">
      <c r="N7081" t="s">
        <v>944</v>
      </c>
    </row>
    <row r="7082" spans="14:14" ht="15" customHeight="1" x14ac:dyDescent="0.25">
      <c r="N7082" t="s">
        <v>944</v>
      </c>
    </row>
    <row r="7083" spans="14:14" ht="15" customHeight="1" x14ac:dyDescent="0.25">
      <c r="N7083" t="s">
        <v>944</v>
      </c>
    </row>
    <row r="7084" spans="14:14" ht="15" customHeight="1" x14ac:dyDescent="0.25">
      <c r="N7084" t="s">
        <v>944</v>
      </c>
    </row>
    <row r="7085" spans="14:14" ht="15" customHeight="1" x14ac:dyDescent="0.25">
      <c r="N7085" t="s">
        <v>944</v>
      </c>
    </row>
    <row r="7086" spans="14:14" ht="15" customHeight="1" x14ac:dyDescent="0.25">
      <c r="N7086" t="s">
        <v>944</v>
      </c>
    </row>
    <row r="7087" spans="14:14" ht="15" customHeight="1" x14ac:dyDescent="0.25">
      <c r="N7087" t="s">
        <v>948</v>
      </c>
    </row>
    <row r="7088" spans="14:14" ht="15" customHeight="1" x14ac:dyDescent="0.25">
      <c r="N7088" t="s">
        <v>1012</v>
      </c>
    </row>
    <row r="7089" spans="14:14" ht="15" customHeight="1" x14ac:dyDescent="0.25">
      <c r="N7089" t="s">
        <v>930</v>
      </c>
    </row>
    <row r="7090" spans="14:14" ht="15" customHeight="1" x14ac:dyDescent="0.25">
      <c r="N7090" t="s">
        <v>1012</v>
      </c>
    </row>
    <row r="7091" spans="14:14" ht="15" customHeight="1" x14ac:dyDescent="0.25">
      <c r="N7091" t="s">
        <v>930</v>
      </c>
    </row>
    <row r="7092" spans="14:14" ht="15" customHeight="1" x14ac:dyDescent="0.25">
      <c r="N7092" t="s">
        <v>930</v>
      </c>
    </row>
    <row r="7093" spans="14:14" ht="15" customHeight="1" x14ac:dyDescent="0.25">
      <c r="N7093" t="s">
        <v>273</v>
      </c>
    </row>
    <row r="7094" spans="14:14" ht="15" customHeight="1" x14ac:dyDescent="0.25">
      <c r="N7094" t="s">
        <v>273</v>
      </c>
    </row>
    <row r="7095" spans="14:14" ht="15" customHeight="1" x14ac:dyDescent="0.25">
      <c r="N7095" t="s">
        <v>273</v>
      </c>
    </row>
    <row r="7096" spans="14:14" ht="15" customHeight="1" x14ac:dyDescent="0.25">
      <c r="N7096" t="s">
        <v>907</v>
      </c>
    </row>
    <row r="7097" spans="14:14" ht="15" customHeight="1" x14ac:dyDescent="0.25">
      <c r="N7097" t="s">
        <v>231</v>
      </c>
    </row>
    <row r="7098" spans="14:14" ht="15" customHeight="1" x14ac:dyDescent="0.25">
      <c r="N7098" t="s">
        <v>1022</v>
      </c>
    </row>
    <row r="7099" spans="14:14" ht="15" customHeight="1" x14ac:dyDescent="0.25">
      <c r="N7099" t="s">
        <v>217</v>
      </c>
    </row>
    <row r="7100" spans="14:14" ht="15" customHeight="1" x14ac:dyDescent="0.25">
      <c r="N7100" t="s">
        <v>217</v>
      </c>
    </row>
    <row r="7101" spans="14:14" ht="15" customHeight="1" x14ac:dyDescent="0.25">
      <c r="N7101" t="s">
        <v>247</v>
      </c>
    </row>
    <row r="7102" spans="14:14" ht="15" customHeight="1" x14ac:dyDescent="0.25">
      <c r="N7102" t="s">
        <v>890</v>
      </c>
    </row>
    <row r="7103" spans="14:14" ht="15" customHeight="1" x14ac:dyDescent="0.25">
      <c r="N7103" t="s">
        <v>302</v>
      </c>
    </row>
    <row r="7104" spans="14:14" ht="15" customHeight="1" x14ac:dyDescent="0.25">
      <c r="N7104" t="s">
        <v>302</v>
      </c>
    </row>
    <row r="7105" spans="14:14" ht="15" customHeight="1" x14ac:dyDescent="0.25">
      <c r="N7105" t="s">
        <v>249</v>
      </c>
    </row>
    <row r="7106" spans="14:14" ht="15" customHeight="1" x14ac:dyDescent="0.25">
      <c r="N7106" t="s">
        <v>273</v>
      </c>
    </row>
    <row r="7107" spans="14:14" ht="15" customHeight="1" x14ac:dyDescent="0.25">
      <c r="N7107" t="s">
        <v>789</v>
      </c>
    </row>
    <row r="7108" spans="14:14" ht="15" customHeight="1" x14ac:dyDescent="0.25">
      <c r="N7108" t="s">
        <v>273</v>
      </c>
    </row>
    <row r="7109" spans="14:14" ht="15" customHeight="1" x14ac:dyDescent="0.25">
      <c r="N7109" t="s">
        <v>273</v>
      </c>
    </row>
    <row r="7110" spans="14:14" ht="15" customHeight="1" x14ac:dyDescent="0.25">
      <c r="N7110" t="s">
        <v>910</v>
      </c>
    </row>
    <row r="7111" spans="14:14" ht="15" customHeight="1" x14ac:dyDescent="0.25">
      <c r="N7111" t="s">
        <v>910</v>
      </c>
    </row>
    <row r="7112" spans="14:14" ht="15" customHeight="1" x14ac:dyDescent="0.25">
      <c r="N7112" t="s">
        <v>910</v>
      </c>
    </row>
    <row r="7113" spans="14:14" ht="15" customHeight="1" x14ac:dyDescent="0.25">
      <c r="N7113" t="s">
        <v>910</v>
      </c>
    </row>
    <row r="7114" spans="14:14" ht="15" customHeight="1" x14ac:dyDescent="0.25">
      <c r="N7114" t="s">
        <v>910</v>
      </c>
    </row>
    <row r="7115" spans="14:14" ht="15" customHeight="1" x14ac:dyDescent="0.25">
      <c r="N7115" t="s">
        <v>910</v>
      </c>
    </row>
    <row r="7116" spans="14:14" ht="15" customHeight="1" x14ac:dyDescent="0.25">
      <c r="N7116" t="s">
        <v>910</v>
      </c>
    </row>
    <row r="7117" spans="14:14" ht="15" customHeight="1" x14ac:dyDescent="0.25">
      <c r="N7117" t="s">
        <v>910</v>
      </c>
    </row>
    <row r="7118" spans="14:14" ht="15" customHeight="1" x14ac:dyDescent="0.25">
      <c r="N7118" t="s">
        <v>910</v>
      </c>
    </row>
    <row r="7119" spans="14:14" ht="15" customHeight="1" x14ac:dyDescent="0.25">
      <c r="N7119" t="s">
        <v>910</v>
      </c>
    </row>
    <row r="7120" spans="14:14" ht="15" customHeight="1" x14ac:dyDescent="0.25">
      <c r="N7120" t="s">
        <v>1024</v>
      </c>
    </row>
    <row r="7121" spans="14:14" ht="15" customHeight="1" x14ac:dyDescent="0.25">
      <c r="N7121" t="s">
        <v>1024</v>
      </c>
    </row>
    <row r="7122" spans="14:14" ht="15" customHeight="1" x14ac:dyDescent="0.25">
      <c r="N7122" t="s">
        <v>934</v>
      </c>
    </row>
    <row r="7123" spans="14:14" ht="15" customHeight="1" x14ac:dyDescent="0.25">
      <c r="N7123" t="s">
        <v>901</v>
      </c>
    </row>
    <row r="7124" spans="14:14" ht="15" customHeight="1" x14ac:dyDescent="0.25">
      <c r="N7124" t="s">
        <v>901</v>
      </c>
    </row>
    <row r="7125" spans="14:14" ht="15" customHeight="1" x14ac:dyDescent="0.25">
      <c r="N7125" t="s">
        <v>901</v>
      </c>
    </row>
    <row r="7126" spans="14:14" ht="15" customHeight="1" x14ac:dyDescent="0.25">
      <c r="N7126" t="s">
        <v>901</v>
      </c>
    </row>
    <row r="7127" spans="14:14" ht="15" customHeight="1" x14ac:dyDescent="0.25">
      <c r="N7127" t="s">
        <v>901</v>
      </c>
    </row>
    <row r="7128" spans="14:14" ht="15" customHeight="1" x14ac:dyDescent="0.25">
      <c r="N7128" t="s">
        <v>1030</v>
      </c>
    </row>
    <row r="7129" spans="14:14" ht="15" customHeight="1" x14ac:dyDescent="0.25">
      <c r="N7129" t="s">
        <v>933</v>
      </c>
    </row>
    <row r="7130" spans="14:14" ht="15" customHeight="1" x14ac:dyDescent="0.25">
      <c r="N7130" t="s">
        <v>254</v>
      </c>
    </row>
    <row r="7131" spans="14:14" ht="15" customHeight="1" x14ac:dyDescent="0.25">
      <c r="N7131" t="s">
        <v>931</v>
      </c>
    </row>
    <row r="7132" spans="14:14" ht="15" customHeight="1" x14ac:dyDescent="0.25">
      <c r="N7132" t="s">
        <v>915</v>
      </c>
    </row>
    <row r="7133" spans="14:14" ht="15" customHeight="1" x14ac:dyDescent="0.25">
      <c r="N7133" t="s">
        <v>910</v>
      </c>
    </row>
    <row r="7134" spans="14:14" ht="15" customHeight="1" x14ac:dyDescent="0.25">
      <c r="N7134" t="s">
        <v>915</v>
      </c>
    </row>
    <row r="7135" spans="14:14" ht="15" customHeight="1" x14ac:dyDescent="0.25">
      <c r="N7135" t="s">
        <v>933</v>
      </c>
    </row>
    <row r="7136" spans="14:14" ht="15" customHeight="1" x14ac:dyDescent="0.25">
      <c r="N7136" t="s">
        <v>934</v>
      </c>
    </row>
    <row r="7137" spans="14:14" ht="15" customHeight="1" x14ac:dyDescent="0.25">
      <c r="N7137" t="s">
        <v>319</v>
      </c>
    </row>
    <row r="7138" spans="14:14" ht="15" customHeight="1" x14ac:dyDescent="0.25">
      <c r="N7138" t="s">
        <v>948</v>
      </c>
    </row>
    <row r="7139" spans="14:14" ht="15" customHeight="1" x14ac:dyDescent="0.25">
      <c r="N7139" t="s">
        <v>981</v>
      </c>
    </row>
    <row r="7140" spans="14:14" ht="15" customHeight="1" x14ac:dyDescent="0.25">
      <c r="N7140" t="s">
        <v>956</v>
      </c>
    </row>
    <row r="7141" spans="14:14" ht="15" customHeight="1" x14ac:dyDescent="0.25">
      <c r="N7141" t="s">
        <v>956</v>
      </c>
    </row>
    <row r="7142" spans="14:14" ht="15" customHeight="1" x14ac:dyDescent="0.25">
      <c r="N7142" t="s">
        <v>940</v>
      </c>
    </row>
    <row r="7143" spans="14:14" ht="15" customHeight="1" x14ac:dyDescent="0.25">
      <c r="N7143" t="s">
        <v>940</v>
      </c>
    </row>
    <row r="7144" spans="14:14" ht="15" customHeight="1" x14ac:dyDescent="0.25">
      <c r="N7144" t="s">
        <v>719</v>
      </c>
    </row>
    <row r="7145" spans="14:14" ht="15" customHeight="1" x14ac:dyDescent="0.25">
      <c r="N7145" t="s">
        <v>719</v>
      </c>
    </row>
    <row r="7146" spans="14:14" ht="15" customHeight="1" x14ac:dyDescent="0.25">
      <c r="N7146" t="s">
        <v>719</v>
      </c>
    </row>
    <row r="7147" spans="14:14" ht="15" customHeight="1" x14ac:dyDescent="0.25">
      <c r="N7147" t="s">
        <v>907</v>
      </c>
    </row>
    <row r="7148" spans="14:14" ht="15" customHeight="1" x14ac:dyDescent="0.25">
      <c r="N7148" t="s">
        <v>1059</v>
      </c>
    </row>
    <row r="7149" spans="14:14" ht="15" customHeight="1" x14ac:dyDescent="0.25">
      <c r="N7149" t="s">
        <v>319</v>
      </c>
    </row>
    <row r="7150" spans="14:14" ht="15" customHeight="1" x14ac:dyDescent="0.25">
      <c r="N7150" t="s">
        <v>773</v>
      </c>
    </row>
    <row r="7151" spans="14:14" ht="15" customHeight="1" x14ac:dyDescent="0.25">
      <c r="N7151" t="s">
        <v>286</v>
      </c>
    </row>
    <row r="7152" spans="14:14" ht="15" customHeight="1" x14ac:dyDescent="0.25">
      <c r="N7152" t="s">
        <v>254</v>
      </c>
    </row>
    <row r="7153" spans="14:14" ht="15" customHeight="1" x14ac:dyDescent="0.25">
      <c r="N7153" t="s">
        <v>1064</v>
      </c>
    </row>
    <row r="7154" spans="14:14" ht="15" customHeight="1" x14ac:dyDescent="0.25">
      <c r="N7154" t="s">
        <v>975</v>
      </c>
    </row>
    <row r="7155" spans="14:14" ht="15" customHeight="1" x14ac:dyDescent="0.25">
      <c r="N7155" t="s">
        <v>273</v>
      </c>
    </row>
    <row r="7156" spans="14:14" ht="15" customHeight="1" x14ac:dyDescent="0.25">
      <c r="N7156" t="s">
        <v>273</v>
      </c>
    </row>
    <row r="7157" spans="14:14" ht="15" customHeight="1" x14ac:dyDescent="0.25">
      <c r="N7157" t="s">
        <v>273</v>
      </c>
    </row>
    <row r="7158" spans="14:14" ht="15" customHeight="1" x14ac:dyDescent="0.25">
      <c r="N7158" t="s">
        <v>1030</v>
      </c>
    </row>
    <row r="7159" spans="14:14" ht="15" customHeight="1" x14ac:dyDescent="0.25">
      <c r="N7159" t="s">
        <v>1030</v>
      </c>
    </row>
    <row r="7160" spans="14:14" ht="15" customHeight="1" x14ac:dyDescent="0.25">
      <c r="N7160" t="s">
        <v>933</v>
      </c>
    </row>
    <row r="7161" spans="14:14" ht="15" customHeight="1" x14ac:dyDescent="0.25">
      <c r="N7161" t="s">
        <v>1069</v>
      </c>
    </row>
    <row r="7162" spans="14:14" ht="15" customHeight="1" x14ac:dyDescent="0.25">
      <c r="N7162" t="s">
        <v>909</v>
      </c>
    </row>
    <row r="7163" spans="14:14" ht="15" customHeight="1" x14ac:dyDescent="0.25">
      <c r="N7163" t="s">
        <v>909</v>
      </c>
    </row>
    <row r="7164" spans="14:14" ht="15" customHeight="1" x14ac:dyDescent="0.25">
      <c r="N7164" t="s">
        <v>967</v>
      </c>
    </row>
    <row r="7165" spans="14:14" ht="15" customHeight="1" x14ac:dyDescent="0.25">
      <c r="N7165" t="s">
        <v>904</v>
      </c>
    </row>
    <row r="7166" spans="14:14" ht="15" customHeight="1" x14ac:dyDescent="0.25">
      <c r="N7166" t="s">
        <v>904</v>
      </c>
    </row>
    <row r="7167" spans="14:14" ht="15" customHeight="1" x14ac:dyDescent="0.25">
      <c r="N7167" t="s">
        <v>923</v>
      </c>
    </row>
    <row r="7168" spans="14:14" ht="15" customHeight="1" x14ac:dyDescent="0.25">
      <c r="N7168" t="s">
        <v>934</v>
      </c>
    </row>
    <row r="7169" spans="14:14" ht="15" customHeight="1" x14ac:dyDescent="0.25">
      <c r="N7169" t="s">
        <v>319</v>
      </c>
    </row>
    <row r="7170" spans="14:14" ht="15" customHeight="1" x14ac:dyDescent="0.25">
      <c r="N7170" t="s">
        <v>929</v>
      </c>
    </row>
    <row r="7171" spans="14:14" ht="15" customHeight="1" x14ac:dyDescent="0.25">
      <c r="N7171" t="s">
        <v>989</v>
      </c>
    </row>
    <row r="7172" spans="14:14" ht="15" customHeight="1" x14ac:dyDescent="0.25">
      <c r="N7172" t="s">
        <v>1083</v>
      </c>
    </row>
    <row r="7173" spans="14:14" ht="15" customHeight="1" x14ac:dyDescent="0.25">
      <c r="N7173" t="s">
        <v>1084</v>
      </c>
    </row>
    <row r="7174" spans="14:14" ht="15" customHeight="1" x14ac:dyDescent="0.25">
      <c r="N7174" t="s">
        <v>1084</v>
      </c>
    </row>
    <row r="7175" spans="14:14" ht="15" customHeight="1" x14ac:dyDescent="0.25">
      <c r="N7175" t="s">
        <v>933</v>
      </c>
    </row>
    <row r="7176" spans="14:14" ht="15" customHeight="1" x14ac:dyDescent="0.25">
      <c r="N7176" t="s">
        <v>1042</v>
      </c>
    </row>
    <row r="7177" spans="14:14" ht="15" customHeight="1" x14ac:dyDescent="0.25">
      <c r="N7177" t="s">
        <v>944</v>
      </c>
    </row>
    <row r="7178" spans="14:14" ht="15" customHeight="1" x14ac:dyDescent="0.25">
      <c r="N7178" t="s">
        <v>944</v>
      </c>
    </row>
    <row r="7179" spans="14:14" ht="15" customHeight="1" x14ac:dyDescent="0.25">
      <c r="N7179" t="s">
        <v>944</v>
      </c>
    </row>
    <row r="7180" spans="14:14" ht="15" customHeight="1" x14ac:dyDescent="0.25">
      <c r="N7180" t="s">
        <v>944</v>
      </c>
    </row>
    <row r="7181" spans="14:14" ht="15" customHeight="1" x14ac:dyDescent="0.25">
      <c r="N7181" t="s">
        <v>944</v>
      </c>
    </row>
    <row r="7182" spans="14:14" ht="15" customHeight="1" x14ac:dyDescent="0.25">
      <c r="N7182" t="s">
        <v>944</v>
      </c>
    </row>
    <row r="7183" spans="14:14" ht="15" customHeight="1" x14ac:dyDescent="0.25">
      <c r="N7183" t="s">
        <v>901</v>
      </c>
    </row>
    <row r="7184" spans="14:14" ht="15" customHeight="1" x14ac:dyDescent="0.25">
      <c r="N7184" t="s">
        <v>1097</v>
      </c>
    </row>
    <row r="7185" spans="14:14" ht="15" customHeight="1" x14ac:dyDescent="0.25">
      <c r="N7185" t="s">
        <v>1098</v>
      </c>
    </row>
    <row r="7186" spans="14:14" ht="15" customHeight="1" x14ac:dyDescent="0.25">
      <c r="N7186" t="s">
        <v>1042</v>
      </c>
    </row>
    <row r="7187" spans="14:14" ht="15" customHeight="1" x14ac:dyDescent="0.25">
      <c r="N7187" t="s">
        <v>1012</v>
      </c>
    </row>
    <row r="7188" spans="14:14" ht="15" customHeight="1" x14ac:dyDescent="0.25">
      <c r="N7188" t="s">
        <v>967</v>
      </c>
    </row>
    <row r="7189" spans="14:14" ht="15" customHeight="1" x14ac:dyDescent="0.25">
      <c r="N7189" t="s">
        <v>1106</v>
      </c>
    </row>
    <row r="7190" spans="14:14" ht="15" customHeight="1" x14ac:dyDescent="0.25">
      <c r="N7190" t="s">
        <v>1106</v>
      </c>
    </row>
    <row r="7191" spans="14:14" ht="15" customHeight="1" x14ac:dyDescent="0.25">
      <c r="N7191" t="s">
        <v>334</v>
      </c>
    </row>
    <row r="7192" spans="14:14" ht="15" customHeight="1" x14ac:dyDescent="0.25">
      <c r="N7192" t="s">
        <v>933</v>
      </c>
    </row>
    <row r="7193" spans="14:14" ht="15" customHeight="1" x14ac:dyDescent="0.25">
      <c r="N7193" t="s">
        <v>909</v>
      </c>
    </row>
    <row r="7194" spans="14:14" ht="15" customHeight="1" x14ac:dyDescent="0.25">
      <c r="N7194" t="s">
        <v>909</v>
      </c>
    </row>
    <row r="7195" spans="14:14" ht="15" customHeight="1" x14ac:dyDescent="0.25">
      <c r="N7195" t="s">
        <v>254</v>
      </c>
    </row>
    <row r="7196" spans="14:14" ht="15" customHeight="1" x14ac:dyDescent="0.25">
      <c r="N7196" t="s">
        <v>254</v>
      </c>
    </row>
    <row r="7197" spans="14:14" ht="15" customHeight="1" x14ac:dyDescent="0.25">
      <c r="N7197" t="s">
        <v>254</v>
      </c>
    </row>
    <row r="7198" spans="14:14" ht="15" customHeight="1" x14ac:dyDescent="0.25">
      <c r="N7198" t="s">
        <v>907</v>
      </c>
    </row>
    <row r="7199" spans="14:14" ht="15" customHeight="1" x14ac:dyDescent="0.25">
      <c r="N7199" t="s">
        <v>371</v>
      </c>
    </row>
    <row r="7200" spans="14:14" ht="15" customHeight="1" x14ac:dyDescent="0.25">
      <c r="N7200" t="s">
        <v>254</v>
      </c>
    </row>
    <row r="7201" spans="14:14" ht="15" customHeight="1" x14ac:dyDescent="0.25">
      <c r="N7201" t="s">
        <v>254</v>
      </c>
    </row>
    <row r="7202" spans="14:14" ht="15" customHeight="1" x14ac:dyDescent="0.25">
      <c r="N7202" t="s">
        <v>254</v>
      </c>
    </row>
    <row r="7203" spans="14:14" ht="15" customHeight="1" x14ac:dyDescent="0.25">
      <c r="N7203" t="s">
        <v>273</v>
      </c>
    </row>
    <row r="7204" spans="14:14" ht="15" customHeight="1" x14ac:dyDescent="0.25">
      <c r="N7204" t="s">
        <v>286</v>
      </c>
    </row>
    <row r="7205" spans="14:14" ht="15" customHeight="1" x14ac:dyDescent="0.25">
      <c r="N7205" t="s">
        <v>273</v>
      </c>
    </row>
    <row r="7206" spans="14:14" ht="15" customHeight="1" x14ac:dyDescent="0.25">
      <c r="N7206" t="s">
        <v>273</v>
      </c>
    </row>
    <row r="7207" spans="14:14" ht="15" customHeight="1" x14ac:dyDescent="0.25">
      <c r="N7207" t="s">
        <v>1112</v>
      </c>
    </row>
    <row r="7208" spans="14:14" ht="15" customHeight="1" x14ac:dyDescent="0.25">
      <c r="N7208" t="s">
        <v>302</v>
      </c>
    </row>
    <row r="7209" spans="14:14" ht="15" customHeight="1" x14ac:dyDescent="0.25">
      <c r="N7209" t="s">
        <v>273</v>
      </c>
    </row>
    <row r="7210" spans="14:14" ht="15" customHeight="1" x14ac:dyDescent="0.25">
      <c r="N7210" t="s">
        <v>1331</v>
      </c>
    </row>
    <row r="7211" spans="14:14" ht="15" customHeight="1" x14ac:dyDescent="0.25">
      <c r="N7211" t="s">
        <v>895</v>
      </c>
    </row>
    <row r="7212" spans="14:14" ht="15" customHeight="1" x14ac:dyDescent="0.25">
      <c r="N7212" t="s">
        <v>912</v>
      </c>
    </row>
    <row r="7213" spans="14:14" ht="15" customHeight="1" x14ac:dyDescent="0.25">
      <c r="N7213" t="s">
        <v>912</v>
      </c>
    </row>
    <row r="7214" spans="14:14" ht="15" customHeight="1" x14ac:dyDescent="0.25">
      <c r="N7214" t="s">
        <v>1114</v>
      </c>
    </row>
    <row r="7215" spans="14:14" ht="15" customHeight="1" x14ac:dyDescent="0.25">
      <c r="N7215" t="s">
        <v>985</v>
      </c>
    </row>
    <row r="7216" spans="14:14" ht="15" customHeight="1" x14ac:dyDescent="0.25">
      <c r="N7216" t="s">
        <v>985</v>
      </c>
    </row>
    <row r="7217" spans="14:14" ht="15" customHeight="1" x14ac:dyDescent="0.25">
      <c r="N7217" t="s">
        <v>985</v>
      </c>
    </row>
    <row r="7218" spans="14:14" ht="15" customHeight="1" x14ac:dyDescent="0.25">
      <c r="N7218" t="s">
        <v>985</v>
      </c>
    </row>
    <row r="7219" spans="14:14" ht="15" customHeight="1" x14ac:dyDescent="0.25">
      <c r="N7219" t="s">
        <v>894</v>
      </c>
    </row>
    <row r="7220" spans="14:14" ht="15" customHeight="1" x14ac:dyDescent="0.25">
      <c r="N7220" t="s">
        <v>894</v>
      </c>
    </row>
    <row r="7221" spans="14:14" ht="15" customHeight="1" x14ac:dyDescent="0.25">
      <c r="N7221" t="s">
        <v>1106</v>
      </c>
    </row>
    <row r="7222" spans="14:14" ht="15" customHeight="1" x14ac:dyDescent="0.25">
      <c r="N7222" t="s">
        <v>1106</v>
      </c>
    </row>
    <row r="7223" spans="14:14" ht="15" customHeight="1" x14ac:dyDescent="0.25">
      <c r="N7223" t="s">
        <v>1119</v>
      </c>
    </row>
    <row r="7224" spans="14:14" ht="15" customHeight="1" x14ac:dyDescent="0.25">
      <c r="N7224" t="s">
        <v>915</v>
      </c>
    </row>
    <row r="7225" spans="14:14" ht="15" customHeight="1" x14ac:dyDescent="0.25">
      <c r="N7225" t="s">
        <v>1084</v>
      </c>
    </row>
    <row r="7226" spans="14:14" ht="15" customHeight="1" x14ac:dyDescent="0.25">
      <c r="N7226" t="s">
        <v>1084</v>
      </c>
    </row>
    <row r="7227" spans="14:14" ht="15" customHeight="1" x14ac:dyDescent="0.25">
      <c r="N7227" t="s">
        <v>1084</v>
      </c>
    </row>
    <row r="7228" spans="14:14" ht="15" customHeight="1" x14ac:dyDescent="0.25">
      <c r="N7228" t="s">
        <v>934</v>
      </c>
    </row>
    <row r="7229" spans="14:14" ht="15" customHeight="1" x14ac:dyDescent="0.25">
      <c r="N7229" t="s">
        <v>934</v>
      </c>
    </row>
    <row r="7230" spans="14:14" ht="15" customHeight="1" x14ac:dyDescent="0.25">
      <c r="N7230" t="s">
        <v>1125</v>
      </c>
    </row>
    <row r="7231" spans="14:14" ht="15" customHeight="1" x14ac:dyDescent="0.25">
      <c r="N7231" t="s">
        <v>1042</v>
      </c>
    </row>
    <row r="7232" spans="14:14" ht="15" customHeight="1" x14ac:dyDescent="0.25">
      <c r="N7232" t="s">
        <v>1079</v>
      </c>
    </row>
    <row r="7233" spans="14:14" ht="15" customHeight="1" x14ac:dyDescent="0.25">
      <c r="N7233" t="s">
        <v>1083</v>
      </c>
    </row>
    <row r="7234" spans="14:14" ht="15" customHeight="1" x14ac:dyDescent="0.25">
      <c r="N7234" t="s">
        <v>1083</v>
      </c>
    </row>
    <row r="7235" spans="14:14" ht="15" customHeight="1" x14ac:dyDescent="0.25">
      <c r="N7235" t="s">
        <v>1084</v>
      </c>
    </row>
    <row r="7236" spans="14:14" ht="15" customHeight="1" x14ac:dyDescent="0.25">
      <c r="N7236" t="s">
        <v>1084</v>
      </c>
    </row>
    <row r="7237" spans="14:14" ht="15" customHeight="1" x14ac:dyDescent="0.25">
      <c r="N7237" t="s">
        <v>897</v>
      </c>
    </row>
    <row r="7238" spans="14:14" ht="15" customHeight="1" x14ac:dyDescent="0.25">
      <c r="N7238" t="s">
        <v>933</v>
      </c>
    </row>
    <row r="7239" spans="14:14" ht="15" customHeight="1" x14ac:dyDescent="0.25">
      <c r="N7239" t="s">
        <v>998</v>
      </c>
    </row>
    <row r="7240" spans="14:14" ht="15" customHeight="1" x14ac:dyDescent="0.25">
      <c r="N7240" t="s">
        <v>1132</v>
      </c>
    </row>
    <row r="7241" spans="14:14" ht="15" customHeight="1" x14ac:dyDescent="0.25">
      <c r="N7241" t="s">
        <v>1132</v>
      </c>
    </row>
    <row r="7242" spans="14:14" ht="15" customHeight="1" x14ac:dyDescent="0.25">
      <c r="N7242" t="s">
        <v>1132</v>
      </c>
    </row>
    <row r="7243" spans="14:14" ht="15" customHeight="1" x14ac:dyDescent="0.25">
      <c r="N7243" t="s">
        <v>1132</v>
      </c>
    </row>
    <row r="7244" spans="14:14" ht="15" customHeight="1" x14ac:dyDescent="0.25">
      <c r="N7244" t="s">
        <v>1132</v>
      </c>
    </row>
    <row r="7245" spans="14:14" ht="15" customHeight="1" x14ac:dyDescent="0.25">
      <c r="N7245" t="s">
        <v>1132</v>
      </c>
    </row>
    <row r="7246" spans="14:14" ht="15" customHeight="1" x14ac:dyDescent="0.25">
      <c r="N7246" t="s">
        <v>933</v>
      </c>
    </row>
    <row r="7247" spans="14:14" ht="15" customHeight="1" x14ac:dyDescent="0.25">
      <c r="N7247" t="s">
        <v>254</v>
      </c>
    </row>
    <row r="7248" spans="14:14" ht="15" customHeight="1" x14ac:dyDescent="0.25">
      <c r="N7248" t="s">
        <v>1135</v>
      </c>
    </row>
    <row r="7249" spans="14:14" ht="15" customHeight="1" x14ac:dyDescent="0.25">
      <c r="N7249" t="s">
        <v>1138</v>
      </c>
    </row>
    <row r="7250" spans="14:14" ht="15" customHeight="1" x14ac:dyDescent="0.25">
      <c r="N7250" t="s">
        <v>904</v>
      </c>
    </row>
    <row r="7251" spans="14:14" ht="15" customHeight="1" x14ac:dyDescent="0.25">
      <c r="N7251" t="s">
        <v>1068</v>
      </c>
    </row>
    <row r="7252" spans="14:14" ht="15" customHeight="1" x14ac:dyDescent="0.25">
      <c r="N7252" t="s">
        <v>1097</v>
      </c>
    </row>
    <row r="7253" spans="14:14" ht="15" customHeight="1" x14ac:dyDescent="0.25">
      <c r="N7253" t="s">
        <v>967</v>
      </c>
    </row>
    <row r="7254" spans="14:14" ht="15" customHeight="1" x14ac:dyDescent="0.25">
      <c r="N7254" t="s">
        <v>1146</v>
      </c>
    </row>
    <row r="7255" spans="14:14" ht="15" customHeight="1" x14ac:dyDescent="0.25">
      <c r="N7255" t="s">
        <v>1146</v>
      </c>
    </row>
    <row r="7256" spans="14:14" ht="15" customHeight="1" x14ac:dyDescent="0.25">
      <c r="N7256" t="s">
        <v>1147</v>
      </c>
    </row>
    <row r="7257" spans="14:14" ht="15" customHeight="1" x14ac:dyDescent="0.25">
      <c r="N7257" t="s">
        <v>934</v>
      </c>
    </row>
    <row r="7258" spans="14:14" ht="15" customHeight="1" x14ac:dyDescent="0.25">
      <c r="N7258" t="s">
        <v>1068</v>
      </c>
    </row>
    <row r="7259" spans="14:14" ht="15" customHeight="1" x14ac:dyDescent="0.25">
      <c r="N7259" t="s">
        <v>1068</v>
      </c>
    </row>
    <row r="7260" spans="14:14" ht="15" customHeight="1" x14ac:dyDescent="0.25">
      <c r="N7260" t="s">
        <v>998</v>
      </c>
    </row>
    <row r="7261" spans="14:14" ht="15" customHeight="1" x14ac:dyDescent="0.25">
      <c r="N7261" t="s">
        <v>319</v>
      </c>
    </row>
    <row r="7262" spans="14:14" ht="15" customHeight="1" x14ac:dyDescent="0.25">
      <c r="N7262" t="s">
        <v>319</v>
      </c>
    </row>
    <row r="7263" spans="14:14" ht="15" customHeight="1" x14ac:dyDescent="0.25">
      <c r="N7263" t="s">
        <v>319</v>
      </c>
    </row>
    <row r="7264" spans="14:14" ht="15" customHeight="1" x14ac:dyDescent="0.25">
      <c r="N7264" t="s">
        <v>319</v>
      </c>
    </row>
    <row r="7265" spans="14:14" ht="15" customHeight="1" x14ac:dyDescent="0.25">
      <c r="N7265" t="s">
        <v>286</v>
      </c>
    </row>
    <row r="7266" spans="14:14" ht="15" customHeight="1" x14ac:dyDescent="0.25">
      <c r="N7266" t="s">
        <v>286</v>
      </c>
    </row>
    <row r="7267" spans="14:14" ht="15" customHeight="1" x14ac:dyDescent="0.25">
      <c r="N7267" t="s">
        <v>334</v>
      </c>
    </row>
    <row r="7268" spans="14:14" ht="15" customHeight="1" x14ac:dyDescent="0.25">
      <c r="N7268" t="s">
        <v>298</v>
      </c>
    </row>
    <row r="7269" spans="14:14" ht="15" customHeight="1" x14ac:dyDescent="0.25">
      <c r="N7269" t="s">
        <v>254</v>
      </c>
    </row>
    <row r="7270" spans="14:14" ht="15" customHeight="1" x14ac:dyDescent="0.25">
      <c r="N7270" t="s">
        <v>1154</v>
      </c>
    </row>
    <row r="7271" spans="14:14" ht="15" customHeight="1" x14ac:dyDescent="0.25">
      <c r="N7271" t="s">
        <v>1154</v>
      </c>
    </row>
    <row r="7272" spans="14:14" ht="15" customHeight="1" x14ac:dyDescent="0.25">
      <c r="N7272" t="s">
        <v>279</v>
      </c>
    </row>
    <row r="7273" spans="14:14" ht="15" customHeight="1" x14ac:dyDescent="0.25">
      <c r="N7273" t="s">
        <v>334</v>
      </c>
    </row>
    <row r="7274" spans="14:14" ht="15" customHeight="1" x14ac:dyDescent="0.25">
      <c r="N7274" t="s">
        <v>1024</v>
      </c>
    </row>
    <row r="7275" spans="14:14" ht="15" customHeight="1" x14ac:dyDescent="0.25">
      <c r="N7275" t="s">
        <v>1024</v>
      </c>
    </row>
    <row r="7276" spans="14:14" ht="15" customHeight="1" x14ac:dyDescent="0.25">
      <c r="N7276" t="s">
        <v>1106</v>
      </c>
    </row>
    <row r="7277" spans="14:14" ht="15" customHeight="1" x14ac:dyDescent="0.25">
      <c r="N7277" t="s">
        <v>985</v>
      </c>
    </row>
    <row r="7278" spans="14:14" ht="15" customHeight="1" x14ac:dyDescent="0.25">
      <c r="N7278" t="s">
        <v>985</v>
      </c>
    </row>
    <row r="7279" spans="14:14" ht="15" customHeight="1" x14ac:dyDescent="0.25">
      <c r="N7279" t="s">
        <v>985</v>
      </c>
    </row>
    <row r="7280" spans="14:14" ht="15" customHeight="1" x14ac:dyDescent="0.25">
      <c r="N7280" t="s">
        <v>985</v>
      </c>
    </row>
    <row r="7281" spans="14:14" ht="15" customHeight="1" x14ac:dyDescent="0.25">
      <c r="N7281" t="s">
        <v>1030</v>
      </c>
    </row>
    <row r="7282" spans="14:14" ht="15" customHeight="1" x14ac:dyDescent="0.25">
      <c r="N7282" t="s">
        <v>1030</v>
      </c>
    </row>
    <row r="7283" spans="14:14" ht="15" customHeight="1" x14ac:dyDescent="0.25">
      <c r="N7283" t="s">
        <v>1030</v>
      </c>
    </row>
    <row r="7284" spans="14:14" ht="15" customHeight="1" x14ac:dyDescent="0.25">
      <c r="N7284" t="s">
        <v>1163</v>
      </c>
    </row>
    <row r="7285" spans="14:14" ht="15" customHeight="1" x14ac:dyDescent="0.25">
      <c r="N7285" t="s">
        <v>1163</v>
      </c>
    </row>
    <row r="7286" spans="14:14" ht="15" customHeight="1" x14ac:dyDescent="0.25">
      <c r="N7286" t="s">
        <v>1163</v>
      </c>
    </row>
    <row r="7287" spans="14:14" ht="15" customHeight="1" x14ac:dyDescent="0.25">
      <c r="N7287" t="s">
        <v>1166</v>
      </c>
    </row>
    <row r="7288" spans="14:14" ht="15" customHeight="1" x14ac:dyDescent="0.25">
      <c r="N7288" t="s">
        <v>1166</v>
      </c>
    </row>
    <row r="7289" spans="14:14" ht="15" customHeight="1" x14ac:dyDescent="0.25">
      <c r="N7289" t="s">
        <v>904</v>
      </c>
    </row>
    <row r="7290" spans="14:14" ht="15" customHeight="1" x14ac:dyDescent="0.25">
      <c r="N7290" t="s">
        <v>1083</v>
      </c>
    </row>
    <row r="7291" spans="14:14" ht="15" customHeight="1" x14ac:dyDescent="0.25">
      <c r="N7291" t="s">
        <v>894</v>
      </c>
    </row>
    <row r="7292" spans="14:14" ht="15" customHeight="1" x14ac:dyDescent="0.25">
      <c r="N7292" t="s">
        <v>933</v>
      </c>
    </row>
    <row r="7293" spans="14:14" ht="15" customHeight="1" x14ac:dyDescent="0.25">
      <c r="N7293" t="s">
        <v>1132</v>
      </c>
    </row>
    <row r="7294" spans="14:14" ht="15" customHeight="1" x14ac:dyDescent="0.25">
      <c r="N7294" t="s">
        <v>1132</v>
      </c>
    </row>
    <row r="7295" spans="14:14" ht="15" customHeight="1" x14ac:dyDescent="0.25">
      <c r="N7295" t="s">
        <v>1132</v>
      </c>
    </row>
    <row r="7296" spans="14:14" ht="15" customHeight="1" x14ac:dyDescent="0.25">
      <c r="N7296" t="s">
        <v>1132</v>
      </c>
    </row>
    <row r="7297" spans="14:14" ht="15" customHeight="1" x14ac:dyDescent="0.25">
      <c r="N7297" t="s">
        <v>1132</v>
      </c>
    </row>
    <row r="7298" spans="14:14" ht="15" customHeight="1" x14ac:dyDescent="0.25">
      <c r="N7298" t="s">
        <v>1132</v>
      </c>
    </row>
    <row r="7299" spans="14:14" ht="15" customHeight="1" x14ac:dyDescent="0.25">
      <c r="N7299" t="s">
        <v>901</v>
      </c>
    </row>
    <row r="7300" spans="14:14" ht="15" customHeight="1" x14ac:dyDescent="0.25">
      <c r="N7300" t="s">
        <v>286</v>
      </c>
    </row>
    <row r="7301" spans="14:14" ht="15" customHeight="1" x14ac:dyDescent="0.25">
      <c r="N7301" t="s">
        <v>1135</v>
      </c>
    </row>
    <row r="7302" spans="14:14" ht="15" customHeight="1" x14ac:dyDescent="0.25">
      <c r="N7302" t="s">
        <v>934</v>
      </c>
    </row>
    <row r="7303" spans="14:14" ht="15" customHeight="1" x14ac:dyDescent="0.25">
      <c r="N7303" t="s">
        <v>1138</v>
      </c>
    </row>
    <row r="7304" spans="14:14" ht="15" customHeight="1" x14ac:dyDescent="0.25">
      <c r="N7304" t="s">
        <v>1181</v>
      </c>
    </row>
    <row r="7305" spans="14:14" ht="15" customHeight="1" x14ac:dyDescent="0.25">
      <c r="N7305" t="s">
        <v>1181</v>
      </c>
    </row>
    <row r="7306" spans="14:14" ht="15" customHeight="1" x14ac:dyDescent="0.25">
      <c r="N7306" t="s">
        <v>1182</v>
      </c>
    </row>
    <row r="7307" spans="14:14" ht="15" customHeight="1" x14ac:dyDescent="0.25">
      <c r="N7307" t="s">
        <v>1125</v>
      </c>
    </row>
    <row r="7308" spans="14:14" ht="15" customHeight="1" x14ac:dyDescent="0.25">
      <c r="N7308" t="s">
        <v>988</v>
      </c>
    </row>
    <row r="7309" spans="14:14" ht="15" customHeight="1" x14ac:dyDescent="0.25">
      <c r="N7309" t="s">
        <v>988</v>
      </c>
    </row>
    <row r="7310" spans="14:14" ht="15" customHeight="1" x14ac:dyDescent="0.25">
      <c r="N7310" t="s">
        <v>1042</v>
      </c>
    </row>
    <row r="7311" spans="14:14" ht="15" customHeight="1" x14ac:dyDescent="0.25">
      <c r="N7311" t="s">
        <v>249</v>
      </c>
    </row>
    <row r="7312" spans="14:14" ht="15" customHeight="1" x14ac:dyDescent="0.25">
      <c r="N7312" t="s">
        <v>249</v>
      </c>
    </row>
    <row r="7313" spans="14:14" ht="15" customHeight="1" x14ac:dyDescent="0.25">
      <c r="N7313" t="s">
        <v>249</v>
      </c>
    </row>
    <row r="7314" spans="14:14" ht="15" customHeight="1" x14ac:dyDescent="0.25">
      <c r="N7314" t="s">
        <v>249</v>
      </c>
    </row>
    <row r="7315" spans="14:14" ht="15" customHeight="1" x14ac:dyDescent="0.25">
      <c r="N7315" t="s">
        <v>1185</v>
      </c>
    </row>
    <row r="7316" spans="14:14" ht="15" customHeight="1" x14ac:dyDescent="0.25">
      <c r="N7316" t="s">
        <v>1185</v>
      </c>
    </row>
    <row r="7317" spans="14:14" ht="15" customHeight="1" x14ac:dyDescent="0.25">
      <c r="N7317" t="s">
        <v>773</v>
      </c>
    </row>
    <row r="7318" spans="14:14" ht="15" customHeight="1" x14ac:dyDescent="0.25">
      <c r="N7318" t="s">
        <v>773</v>
      </c>
    </row>
    <row r="7319" spans="14:14" ht="15" customHeight="1" x14ac:dyDescent="0.25">
      <c r="N7319" t="s">
        <v>773</v>
      </c>
    </row>
    <row r="7320" spans="14:14" ht="15" customHeight="1" x14ac:dyDescent="0.25">
      <c r="N7320" t="s">
        <v>773</v>
      </c>
    </row>
    <row r="7321" spans="14:14" ht="15" customHeight="1" x14ac:dyDescent="0.25">
      <c r="N7321" t="s">
        <v>286</v>
      </c>
    </row>
    <row r="7322" spans="14:14" ht="15" customHeight="1" x14ac:dyDescent="0.25">
      <c r="N7322" t="s">
        <v>302</v>
      </c>
    </row>
    <row r="7323" spans="14:14" ht="15" customHeight="1" x14ac:dyDescent="0.25">
      <c r="N7323" t="s">
        <v>1334</v>
      </c>
    </row>
    <row r="7324" spans="14:14" ht="15" customHeight="1" x14ac:dyDescent="0.25">
      <c r="N7324" t="s">
        <v>279</v>
      </c>
    </row>
    <row r="7325" spans="14:14" ht="15" customHeight="1" x14ac:dyDescent="0.25">
      <c r="N7325" t="s">
        <v>1069</v>
      </c>
    </row>
    <row r="7326" spans="14:14" ht="15" customHeight="1" x14ac:dyDescent="0.25">
      <c r="N7326" t="s">
        <v>1069</v>
      </c>
    </row>
    <row r="7327" spans="14:14" ht="15" customHeight="1" x14ac:dyDescent="0.25">
      <c r="N7327" t="s">
        <v>998</v>
      </c>
    </row>
    <row r="7328" spans="14:14" ht="15" customHeight="1" x14ac:dyDescent="0.25">
      <c r="N7328" t="s">
        <v>1069</v>
      </c>
    </row>
    <row r="7329" spans="14:14" ht="15" customHeight="1" x14ac:dyDescent="0.25">
      <c r="N7329" t="s">
        <v>988</v>
      </c>
    </row>
    <row r="7330" spans="14:14" ht="15" customHeight="1" x14ac:dyDescent="0.25">
      <c r="N7330" t="s">
        <v>988</v>
      </c>
    </row>
    <row r="7331" spans="14:14" ht="15" customHeight="1" x14ac:dyDescent="0.25">
      <c r="N7331" t="s">
        <v>1188</v>
      </c>
    </row>
    <row r="7332" spans="14:14" ht="15" customHeight="1" x14ac:dyDescent="0.25">
      <c r="N7332" t="s">
        <v>1188</v>
      </c>
    </row>
    <row r="7333" spans="14:14" ht="15" customHeight="1" x14ac:dyDescent="0.25">
      <c r="N7333" t="s">
        <v>1106</v>
      </c>
    </row>
    <row r="7334" spans="14:14" ht="15" customHeight="1" x14ac:dyDescent="0.25">
      <c r="N7334" t="s">
        <v>1106</v>
      </c>
    </row>
    <row r="7335" spans="14:14" ht="15" customHeight="1" x14ac:dyDescent="0.25">
      <c r="N7335" t="s">
        <v>1106</v>
      </c>
    </row>
    <row r="7336" spans="14:14" ht="15" customHeight="1" x14ac:dyDescent="0.25">
      <c r="N7336" t="s">
        <v>1106</v>
      </c>
    </row>
    <row r="7337" spans="14:14" ht="15" customHeight="1" x14ac:dyDescent="0.25">
      <c r="N7337" t="s">
        <v>1106</v>
      </c>
    </row>
    <row r="7338" spans="14:14" ht="15" customHeight="1" x14ac:dyDescent="0.25">
      <c r="N7338" t="s">
        <v>1106</v>
      </c>
    </row>
    <row r="7339" spans="14:14" ht="15" customHeight="1" x14ac:dyDescent="0.25">
      <c r="N7339" t="s">
        <v>1106</v>
      </c>
    </row>
    <row r="7340" spans="14:14" ht="15" customHeight="1" x14ac:dyDescent="0.25">
      <c r="N7340" t="s">
        <v>1106</v>
      </c>
    </row>
    <row r="7341" spans="14:14" ht="15" customHeight="1" x14ac:dyDescent="0.25">
      <c r="N7341" t="s">
        <v>1119</v>
      </c>
    </row>
    <row r="7342" spans="14:14" ht="15" customHeight="1" x14ac:dyDescent="0.25">
      <c r="N7342" t="s">
        <v>1191</v>
      </c>
    </row>
    <row r="7343" spans="14:14" ht="15" customHeight="1" x14ac:dyDescent="0.25">
      <c r="N7343" t="s">
        <v>1191</v>
      </c>
    </row>
    <row r="7344" spans="14:14" ht="15" customHeight="1" x14ac:dyDescent="0.25">
      <c r="N7344" t="s">
        <v>998</v>
      </c>
    </row>
    <row r="7345" spans="14:14" ht="15" customHeight="1" x14ac:dyDescent="0.25">
      <c r="N7345" t="s">
        <v>998</v>
      </c>
    </row>
    <row r="7346" spans="14:14" ht="15" customHeight="1" x14ac:dyDescent="0.25">
      <c r="N7346" t="s">
        <v>934</v>
      </c>
    </row>
    <row r="7347" spans="14:14" ht="15" customHeight="1" x14ac:dyDescent="0.25">
      <c r="N7347" t="s">
        <v>1195</v>
      </c>
    </row>
    <row r="7348" spans="14:14" ht="15" customHeight="1" x14ac:dyDescent="0.25">
      <c r="N7348" t="s">
        <v>1042</v>
      </c>
    </row>
    <row r="7349" spans="14:14" ht="15" customHeight="1" x14ac:dyDescent="0.25">
      <c r="N7349" t="s">
        <v>1135</v>
      </c>
    </row>
    <row r="7350" spans="14:14" ht="15" customHeight="1" x14ac:dyDescent="0.25">
      <c r="N7350" t="s">
        <v>933</v>
      </c>
    </row>
    <row r="7351" spans="14:14" ht="15" customHeight="1" x14ac:dyDescent="0.25">
      <c r="N7351" t="s">
        <v>904</v>
      </c>
    </row>
    <row r="7352" spans="14:14" ht="15" customHeight="1" x14ac:dyDescent="0.25">
      <c r="N7352" t="s">
        <v>904</v>
      </c>
    </row>
    <row r="7353" spans="14:14" ht="15" customHeight="1" x14ac:dyDescent="0.25">
      <c r="N7353" t="s">
        <v>249</v>
      </c>
    </row>
    <row r="7354" spans="14:14" ht="15" customHeight="1" x14ac:dyDescent="0.25">
      <c r="N7354" t="s">
        <v>1205</v>
      </c>
    </row>
    <row r="7355" spans="14:14" ht="15" customHeight="1" x14ac:dyDescent="0.25">
      <c r="N7355" t="s">
        <v>1147</v>
      </c>
    </row>
    <row r="7356" spans="14:14" ht="15" customHeight="1" x14ac:dyDescent="0.25">
      <c r="N7356" t="s">
        <v>254</v>
      </c>
    </row>
    <row r="7357" spans="14:14" ht="15" customHeight="1" x14ac:dyDescent="0.25">
      <c r="N7357" t="s">
        <v>254</v>
      </c>
    </row>
    <row r="7358" spans="14:14" ht="15" customHeight="1" x14ac:dyDescent="0.25">
      <c r="N7358" t="s">
        <v>254</v>
      </c>
    </row>
    <row r="7359" spans="14:14" ht="15" customHeight="1" x14ac:dyDescent="0.25">
      <c r="N7359" t="s">
        <v>1208</v>
      </c>
    </row>
    <row r="7360" spans="14:14" ht="15" customHeight="1" x14ac:dyDescent="0.25">
      <c r="N7360" t="s">
        <v>480</v>
      </c>
    </row>
    <row r="7361" spans="14:14" ht="15" customHeight="1" x14ac:dyDescent="0.25">
      <c r="N7361" t="s">
        <v>1209</v>
      </c>
    </row>
    <row r="7362" spans="14:14" ht="15" customHeight="1" x14ac:dyDescent="0.25">
      <c r="N7362" t="s">
        <v>480</v>
      </c>
    </row>
    <row r="7363" spans="14:14" ht="15" customHeight="1" x14ac:dyDescent="0.25">
      <c r="N7363" t="s">
        <v>777</v>
      </c>
    </row>
    <row r="7364" spans="14:14" ht="15" customHeight="1" x14ac:dyDescent="0.25">
      <c r="N7364" t="s">
        <v>1209</v>
      </c>
    </row>
    <row r="7365" spans="14:14" ht="15" customHeight="1" x14ac:dyDescent="0.25">
      <c r="N7365" t="s">
        <v>254</v>
      </c>
    </row>
    <row r="7366" spans="14:14" ht="15" customHeight="1" x14ac:dyDescent="0.25">
      <c r="N7366" t="s">
        <v>885</v>
      </c>
    </row>
    <row r="7367" spans="14:14" ht="15" customHeight="1" x14ac:dyDescent="0.25">
      <c r="N7367" t="s">
        <v>273</v>
      </c>
    </row>
    <row r="7368" spans="14:14" ht="15" customHeight="1" x14ac:dyDescent="0.25">
      <c r="N7368" t="s">
        <v>273</v>
      </c>
    </row>
    <row r="7369" spans="14:14" ht="15" customHeight="1" x14ac:dyDescent="0.25">
      <c r="N7369" t="s">
        <v>279</v>
      </c>
    </row>
    <row r="7370" spans="14:14" ht="15" customHeight="1" x14ac:dyDescent="0.25">
      <c r="N7370" t="s">
        <v>1042</v>
      </c>
    </row>
    <row r="7371" spans="14:14" ht="15" customHeight="1" x14ac:dyDescent="0.25">
      <c r="N7371" t="s">
        <v>904</v>
      </c>
    </row>
    <row r="7372" spans="14:14" ht="15" customHeight="1" x14ac:dyDescent="0.25">
      <c r="N7372" t="s">
        <v>904</v>
      </c>
    </row>
    <row r="7373" spans="14:14" ht="15" customHeight="1" x14ac:dyDescent="0.25">
      <c r="N7373" t="s">
        <v>1069</v>
      </c>
    </row>
    <row r="7374" spans="14:14" ht="15" customHeight="1" x14ac:dyDescent="0.25">
      <c r="N7374" t="s">
        <v>1069</v>
      </c>
    </row>
    <row r="7375" spans="14:14" ht="15" customHeight="1" x14ac:dyDescent="0.25">
      <c r="N7375" t="s">
        <v>1188</v>
      </c>
    </row>
    <row r="7376" spans="14:14" ht="15" customHeight="1" x14ac:dyDescent="0.25">
      <c r="N7376" t="s">
        <v>1188</v>
      </c>
    </row>
    <row r="7377" spans="14:14" ht="15" customHeight="1" x14ac:dyDescent="0.25">
      <c r="N7377" t="s">
        <v>1188</v>
      </c>
    </row>
    <row r="7378" spans="14:14" ht="15" customHeight="1" x14ac:dyDescent="0.25">
      <c r="N7378" t="s">
        <v>1188</v>
      </c>
    </row>
    <row r="7379" spans="14:14" ht="15" customHeight="1" x14ac:dyDescent="0.25">
      <c r="N7379" t="s">
        <v>1188</v>
      </c>
    </row>
    <row r="7380" spans="14:14" ht="15" customHeight="1" x14ac:dyDescent="0.25">
      <c r="N7380" t="s">
        <v>1188</v>
      </c>
    </row>
    <row r="7381" spans="14:14" ht="15" customHeight="1" x14ac:dyDescent="0.25">
      <c r="N7381" t="s">
        <v>1188</v>
      </c>
    </row>
    <row r="7382" spans="14:14" ht="15" customHeight="1" x14ac:dyDescent="0.25">
      <c r="N7382" t="s">
        <v>1188</v>
      </c>
    </row>
    <row r="7383" spans="14:14" ht="15" customHeight="1" x14ac:dyDescent="0.25">
      <c r="N7383" t="s">
        <v>1216</v>
      </c>
    </row>
    <row r="7384" spans="14:14" ht="15" customHeight="1" x14ac:dyDescent="0.25">
      <c r="N7384" t="s">
        <v>1030</v>
      </c>
    </row>
    <row r="7385" spans="14:14" ht="15" customHeight="1" x14ac:dyDescent="0.25">
      <c r="N7385" t="s">
        <v>1049</v>
      </c>
    </row>
    <row r="7386" spans="14:14" ht="15" customHeight="1" x14ac:dyDescent="0.25">
      <c r="N7386" t="s">
        <v>1163</v>
      </c>
    </row>
    <row r="7387" spans="14:14" ht="15" customHeight="1" x14ac:dyDescent="0.25">
      <c r="N7387" t="s">
        <v>1163</v>
      </c>
    </row>
    <row r="7388" spans="14:14" ht="15" customHeight="1" x14ac:dyDescent="0.25">
      <c r="N7388" t="s">
        <v>1218</v>
      </c>
    </row>
    <row r="7389" spans="14:14" ht="15" customHeight="1" x14ac:dyDescent="0.25">
      <c r="N7389" t="s">
        <v>1042</v>
      </c>
    </row>
    <row r="7390" spans="14:14" ht="15" customHeight="1" x14ac:dyDescent="0.25">
      <c r="N7390" t="s">
        <v>1042</v>
      </c>
    </row>
    <row r="7391" spans="14:14" ht="15" customHeight="1" x14ac:dyDescent="0.25">
      <c r="N7391" t="s">
        <v>985</v>
      </c>
    </row>
    <row r="7392" spans="14:14" ht="15" customHeight="1" x14ac:dyDescent="0.25">
      <c r="N7392" t="s">
        <v>934</v>
      </c>
    </row>
    <row r="7393" spans="14:14" ht="15" customHeight="1" x14ac:dyDescent="0.25">
      <c r="N7393" t="s">
        <v>934</v>
      </c>
    </row>
    <row r="7394" spans="14:14" ht="15" customHeight="1" x14ac:dyDescent="0.25">
      <c r="N7394" t="s">
        <v>934</v>
      </c>
    </row>
    <row r="7395" spans="14:14" ht="15" customHeight="1" x14ac:dyDescent="0.25">
      <c r="N7395" t="s">
        <v>319</v>
      </c>
    </row>
    <row r="7396" spans="14:14" ht="15" customHeight="1" x14ac:dyDescent="0.25">
      <c r="N7396" t="s">
        <v>1042</v>
      </c>
    </row>
    <row r="7397" spans="14:14" ht="15" customHeight="1" x14ac:dyDescent="0.25">
      <c r="N7397" t="s">
        <v>1225</v>
      </c>
    </row>
    <row r="7398" spans="14:14" ht="15" customHeight="1" x14ac:dyDescent="0.25">
      <c r="N7398" t="s">
        <v>249</v>
      </c>
    </row>
    <row r="7399" spans="14:14" ht="15" customHeight="1" x14ac:dyDescent="0.25">
      <c r="N7399" t="s">
        <v>249</v>
      </c>
    </row>
    <row r="7400" spans="14:14" ht="15" customHeight="1" x14ac:dyDescent="0.25">
      <c r="N7400" t="s">
        <v>249</v>
      </c>
    </row>
    <row r="7401" spans="14:14" ht="15" customHeight="1" x14ac:dyDescent="0.25">
      <c r="N7401" t="s">
        <v>371</v>
      </c>
    </row>
    <row r="7402" spans="14:14" ht="15" customHeight="1" x14ac:dyDescent="0.25">
      <c r="N7402" t="s">
        <v>319</v>
      </c>
    </row>
    <row r="7403" spans="14:14" ht="15" customHeight="1" x14ac:dyDescent="0.25">
      <c r="N7403" t="s">
        <v>773</v>
      </c>
    </row>
    <row r="7404" spans="14:14" ht="15" customHeight="1" x14ac:dyDescent="0.25">
      <c r="N7404" t="s">
        <v>773</v>
      </c>
    </row>
    <row r="7405" spans="14:14" ht="15" customHeight="1" x14ac:dyDescent="0.25">
      <c r="N7405" t="s">
        <v>719</v>
      </c>
    </row>
    <row r="7406" spans="14:14" ht="15" customHeight="1" x14ac:dyDescent="0.25">
      <c r="N7406" t="s">
        <v>1228</v>
      </c>
    </row>
    <row r="7407" spans="14:14" ht="15" customHeight="1" x14ac:dyDescent="0.25">
      <c r="N7407" t="s">
        <v>934</v>
      </c>
    </row>
    <row r="7408" spans="14:14" ht="15" customHeight="1" x14ac:dyDescent="0.25">
      <c r="N7408" t="s">
        <v>934</v>
      </c>
    </row>
    <row r="7409" spans="14:14" ht="15" customHeight="1" x14ac:dyDescent="0.25">
      <c r="N7409" t="s">
        <v>1230</v>
      </c>
    </row>
    <row r="7410" spans="14:14" ht="15" customHeight="1" x14ac:dyDescent="0.25">
      <c r="N7410" t="s">
        <v>1083</v>
      </c>
    </row>
    <row r="7411" spans="14:14" ht="15" customHeight="1" x14ac:dyDescent="0.25">
      <c r="N7411" t="s">
        <v>1232</v>
      </c>
    </row>
    <row r="7412" spans="14:14" ht="15" customHeight="1" x14ac:dyDescent="0.25">
      <c r="N7412" t="s">
        <v>1232</v>
      </c>
    </row>
    <row r="7413" spans="14:14" ht="15" customHeight="1" x14ac:dyDescent="0.25">
      <c r="N7413" t="s">
        <v>1166</v>
      </c>
    </row>
    <row r="7414" spans="14:14" ht="15" customHeight="1" x14ac:dyDescent="0.25">
      <c r="N7414" t="s">
        <v>1069</v>
      </c>
    </row>
    <row r="7415" spans="14:14" ht="15" customHeight="1" x14ac:dyDescent="0.25">
      <c r="N7415" t="s">
        <v>1201</v>
      </c>
    </row>
    <row r="7416" spans="14:14" ht="15" customHeight="1" x14ac:dyDescent="0.25">
      <c r="N7416" t="s">
        <v>912</v>
      </c>
    </row>
    <row r="7417" spans="14:14" ht="15" customHeight="1" x14ac:dyDescent="0.25">
      <c r="N7417" t="s">
        <v>1163</v>
      </c>
    </row>
    <row r="7418" spans="14:14" ht="15" customHeight="1" x14ac:dyDescent="0.25">
      <c r="N7418" t="s">
        <v>1163</v>
      </c>
    </row>
    <row r="7419" spans="14:14" ht="15" customHeight="1" x14ac:dyDescent="0.25">
      <c r="N7419" t="s">
        <v>993</v>
      </c>
    </row>
    <row r="7420" spans="14:14" ht="15" customHeight="1" x14ac:dyDescent="0.25">
      <c r="N7420" t="s">
        <v>1042</v>
      </c>
    </row>
    <row r="7421" spans="14:14" ht="15" customHeight="1" x14ac:dyDescent="0.25">
      <c r="N7421" t="s">
        <v>985</v>
      </c>
    </row>
    <row r="7422" spans="14:14" ht="15" customHeight="1" x14ac:dyDescent="0.25">
      <c r="N7422" t="s">
        <v>1236</v>
      </c>
    </row>
    <row r="7423" spans="14:14" ht="15" customHeight="1" x14ac:dyDescent="0.25">
      <c r="N7423" t="s">
        <v>934</v>
      </c>
    </row>
    <row r="7424" spans="14:14" ht="15" customHeight="1" x14ac:dyDescent="0.25">
      <c r="N7424" t="s">
        <v>894</v>
      </c>
    </row>
    <row r="7425" spans="14:14" ht="15" customHeight="1" x14ac:dyDescent="0.25">
      <c r="N7425" t="s">
        <v>1188</v>
      </c>
    </row>
    <row r="7426" spans="14:14" ht="15" customHeight="1" x14ac:dyDescent="0.25">
      <c r="N7426" t="s">
        <v>1188</v>
      </c>
    </row>
    <row r="7427" spans="14:14" ht="15" customHeight="1" x14ac:dyDescent="0.25">
      <c r="N7427" t="s">
        <v>1125</v>
      </c>
    </row>
    <row r="7428" spans="14:14" ht="15" customHeight="1" x14ac:dyDescent="0.25">
      <c r="N7428" t="s">
        <v>1237</v>
      </c>
    </row>
    <row r="7429" spans="14:14" ht="15" customHeight="1" x14ac:dyDescent="0.25">
      <c r="N7429" t="s">
        <v>1185</v>
      </c>
    </row>
    <row r="7430" spans="14:14" ht="15" customHeight="1" x14ac:dyDescent="0.25">
      <c r="N7430" t="s">
        <v>249</v>
      </c>
    </row>
    <row r="7431" spans="14:14" ht="15" customHeight="1" x14ac:dyDescent="0.25">
      <c r="N7431" t="s">
        <v>777</v>
      </c>
    </row>
    <row r="7432" spans="14:14" ht="15" customHeight="1" x14ac:dyDescent="0.25">
      <c r="N7432" t="s">
        <v>480</v>
      </c>
    </row>
    <row r="7433" spans="14:14" ht="15" customHeight="1" x14ac:dyDescent="0.25">
      <c r="N7433" t="s">
        <v>319</v>
      </c>
    </row>
    <row r="7434" spans="14:14" ht="15" customHeight="1" x14ac:dyDescent="0.25">
      <c r="N7434" t="s">
        <v>334</v>
      </c>
    </row>
    <row r="7435" spans="14:14" ht="15" customHeight="1" x14ac:dyDescent="0.25">
      <c r="N7435" t="s">
        <v>254</v>
      </c>
    </row>
    <row r="7436" spans="14:14" ht="15" customHeight="1" x14ac:dyDescent="0.25">
      <c r="N7436" t="s">
        <v>273</v>
      </c>
    </row>
    <row r="7437" spans="14:14" ht="15" customHeight="1" x14ac:dyDescent="0.25">
      <c r="N7437" t="s">
        <v>1188</v>
      </c>
    </row>
    <row r="7438" spans="14:14" ht="15" customHeight="1" x14ac:dyDescent="0.25">
      <c r="N7438" t="s">
        <v>1166</v>
      </c>
    </row>
    <row r="7439" spans="14:14" ht="15" customHeight="1" x14ac:dyDescent="0.25">
      <c r="N7439" t="s">
        <v>1166</v>
      </c>
    </row>
    <row r="7440" spans="14:14" ht="15" customHeight="1" x14ac:dyDescent="0.25">
      <c r="N7440" t="s">
        <v>1240</v>
      </c>
    </row>
    <row r="7441" spans="14:14" ht="15" customHeight="1" x14ac:dyDescent="0.25">
      <c r="N7441" t="s">
        <v>998</v>
      </c>
    </row>
    <row r="7442" spans="14:14" ht="15" customHeight="1" x14ac:dyDescent="0.25">
      <c r="N7442" t="s">
        <v>933</v>
      </c>
    </row>
    <row r="7443" spans="14:14" ht="15" customHeight="1" x14ac:dyDescent="0.25">
      <c r="N7443" t="s">
        <v>980</v>
      </c>
    </row>
    <row r="7444" spans="14:14" ht="15" customHeight="1" x14ac:dyDescent="0.25">
      <c r="N7444" t="s">
        <v>1042</v>
      </c>
    </row>
    <row r="7445" spans="14:14" ht="15" customHeight="1" x14ac:dyDescent="0.25">
      <c r="N7445" t="s">
        <v>1242</v>
      </c>
    </row>
    <row r="7446" spans="14:14" ht="15" customHeight="1" x14ac:dyDescent="0.25">
      <c r="N7446" t="s">
        <v>933</v>
      </c>
    </row>
    <row r="7447" spans="14:14" ht="15" customHeight="1" x14ac:dyDescent="0.25">
      <c r="N7447" t="s">
        <v>909</v>
      </c>
    </row>
    <row r="7448" spans="14:14" ht="15" customHeight="1" x14ac:dyDescent="0.25">
      <c r="N7448" t="s">
        <v>1243</v>
      </c>
    </row>
    <row r="7449" spans="14:14" ht="15" customHeight="1" x14ac:dyDescent="0.25">
      <c r="N7449" t="s">
        <v>1243</v>
      </c>
    </row>
    <row r="7450" spans="14:14" ht="15" customHeight="1" x14ac:dyDescent="0.25">
      <c r="N7450" t="s">
        <v>1205</v>
      </c>
    </row>
    <row r="7451" spans="14:14" ht="15" customHeight="1" x14ac:dyDescent="0.25">
      <c r="N7451" t="s">
        <v>334</v>
      </c>
    </row>
    <row r="7452" spans="14:14" ht="15" customHeight="1" x14ac:dyDescent="0.25">
      <c r="N7452" t="s">
        <v>818</v>
      </c>
    </row>
    <row r="7453" spans="14:14" ht="15" customHeight="1" x14ac:dyDescent="0.25">
      <c r="N7453" t="s">
        <v>247</v>
      </c>
    </row>
    <row r="7454" spans="14:14" ht="15" customHeight="1" x14ac:dyDescent="0.25">
      <c r="N7454" t="s">
        <v>998</v>
      </c>
    </row>
    <row r="7455" spans="14:14" ht="15" customHeight="1" x14ac:dyDescent="0.25">
      <c r="N7455" t="s">
        <v>998</v>
      </c>
    </row>
    <row r="7456" spans="14:14" ht="15" customHeight="1" x14ac:dyDescent="0.25">
      <c r="N7456" t="s">
        <v>933</v>
      </c>
    </row>
    <row r="7457" spans="14:14" ht="15" customHeight="1" x14ac:dyDescent="0.25">
      <c r="N7457" t="s">
        <v>1244</v>
      </c>
    </row>
    <row r="7458" spans="14:14" ht="15" customHeight="1" x14ac:dyDescent="0.25">
      <c r="N7458" t="s">
        <v>934</v>
      </c>
    </row>
    <row r="7459" spans="14:14" ht="15" customHeight="1" x14ac:dyDescent="0.25">
      <c r="N7459" t="s">
        <v>1195</v>
      </c>
    </row>
    <row r="7460" spans="14:14" ht="15" customHeight="1" x14ac:dyDescent="0.25">
      <c r="N7460" t="s">
        <v>1166</v>
      </c>
    </row>
    <row r="7461" spans="14:14" ht="15" customHeight="1" x14ac:dyDescent="0.25">
      <c r="N7461" t="s">
        <v>998</v>
      </c>
    </row>
    <row r="7462" spans="14:14" ht="15" customHeight="1" x14ac:dyDescent="0.25">
      <c r="N7462" t="s">
        <v>1245</v>
      </c>
    </row>
    <row r="7463" spans="14:14" ht="15" customHeight="1" x14ac:dyDescent="0.25">
      <c r="N7463" t="s">
        <v>1245</v>
      </c>
    </row>
    <row r="7464" spans="14:14" ht="15" customHeight="1" x14ac:dyDescent="0.25">
      <c r="N7464" t="s">
        <v>1247</v>
      </c>
    </row>
    <row r="7465" spans="14:14" ht="15" customHeight="1" x14ac:dyDescent="0.25">
      <c r="N7465" t="s">
        <v>273</v>
      </c>
    </row>
    <row r="7466" spans="14:14" ht="15" customHeight="1" x14ac:dyDescent="0.25">
      <c r="N7466" t="s">
        <v>254</v>
      </c>
    </row>
    <row r="7467" spans="14:14" ht="15" customHeight="1" x14ac:dyDescent="0.25">
      <c r="N7467" t="s">
        <v>907</v>
      </c>
    </row>
    <row r="7468" spans="14:14" ht="15" customHeight="1" x14ac:dyDescent="0.25">
      <c r="N7468" t="s">
        <v>901</v>
      </c>
    </row>
    <row r="7469" spans="14:14" ht="15" customHeight="1" x14ac:dyDescent="0.25">
      <c r="N7469" t="s">
        <v>1251</v>
      </c>
    </row>
    <row r="7470" spans="14:14" ht="15" customHeight="1" x14ac:dyDescent="0.25">
      <c r="N7470" t="s">
        <v>1252</v>
      </c>
    </row>
    <row r="7471" spans="14:14" ht="15" customHeight="1" x14ac:dyDescent="0.25">
      <c r="N7471" t="s">
        <v>998</v>
      </c>
    </row>
    <row r="7472" spans="14:14" ht="15" customHeight="1" x14ac:dyDescent="0.25">
      <c r="N7472" t="s">
        <v>1042</v>
      </c>
    </row>
    <row r="7473" spans="14:14" ht="15" customHeight="1" x14ac:dyDescent="0.25">
      <c r="N7473" t="s">
        <v>988</v>
      </c>
    </row>
    <row r="7474" spans="14:14" ht="15" customHeight="1" x14ac:dyDescent="0.25">
      <c r="N7474" t="s">
        <v>1166</v>
      </c>
    </row>
    <row r="7475" spans="14:14" ht="15" customHeight="1" x14ac:dyDescent="0.25">
      <c r="N7475" t="s">
        <v>1166</v>
      </c>
    </row>
    <row r="7476" spans="14:14" ht="15" customHeight="1" x14ac:dyDescent="0.25">
      <c r="N7476" t="s">
        <v>1247</v>
      </c>
    </row>
    <row r="7477" spans="14:14" ht="15" customHeight="1" x14ac:dyDescent="0.25">
      <c r="N7477" t="s">
        <v>319</v>
      </c>
    </row>
    <row r="7478" spans="14:14" ht="15" customHeight="1" x14ac:dyDescent="0.25">
      <c r="N7478" t="s">
        <v>907</v>
      </c>
    </row>
    <row r="7479" spans="14:14" ht="15" customHeight="1" x14ac:dyDescent="0.25">
      <c r="N7479" t="s">
        <v>1185</v>
      </c>
    </row>
    <row r="7480" spans="14:14" ht="15" customHeight="1" x14ac:dyDescent="0.25">
      <c r="N7480" t="s">
        <v>934</v>
      </c>
    </row>
    <row r="7481" spans="14:14" ht="15" customHeight="1" x14ac:dyDescent="0.25">
      <c r="N7481" t="s">
        <v>1106</v>
      </c>
    </row>
    <row r="7482" spans="14:14" ht="15" customHeight="1" x14ac:dyDescent="0.25">
      <c r="N7482" t="s">
        <v>1106</v>
      </c>
    </row>
    <row r="7483" spans="14:14" ht="15" customHeight="1" x14ac:dyDescent="0.25">
      <c r="N7483" t="s">
        <v>1106</v>
      </c>
    </row>
    <row r="7484" spans="14:14" ht="15" customHeight="1" x14ac:dyDescent="0.25">
      <c r="N7484" t="s">
        <v>1106</v>
      </c>
    </row>
    <row r="7485" spans="14:14" ht="15" customHeight="1" x14ac:dyDescent="0.25">
      <c r="N7485" t="s">
        <v>1106</v>
      </c>
    </row>
    <row r="7486" spans="14:14" ht="15" customHeight="1" x14ac:dyDescent="0.25">
      <c r="N7486" t="s">
        <v>1106</v>
      </c>
    </row>
    <row r="7487" spans="14:14" ht="15" customHeight="1" x14ac:dyDescent="0.25">
      <c r="N7487" t="s">
        <v>1042</v>
      </c>
    </row>
    <row r="7488" spans="14:14" ht="15" customHeight="1" x14ac:dyDescent="0.25">
      <c r="N7488" t="s">
        <v>998</v>
      </c>
    </row>
    <row r="7489" spans="14:14" ht="15" customHeight="1" x14ac:dyDescent="0.25">
      <c r="N7489" t="s">
        <v>998</v>
      </c>
    </row>
    <row r="7490" spans="14:14" ht="15" customHeight="1" x14ac:dyDescent="0.25">
      <c r="N7490" t="s">
        <v>254</v>
      </c>
    </row>
    <row r="7491" spans="14:14" ht="15" customHeight="1" x14ac:dyDescent="0.25">
      <c r="N7491" t="s">
        <v>998</v>
      </c>
    </row>
    <row r="7492" spans="14:14" ht="15" customHeight="1" x14ac:dyDescent="0.25">
      <c r="N7492" t="s">
        <v>319</v>
      </c>
    </row>
    <row r="7493" spans="14:14" ht="15" customHeight="1" x14ac:dyDescent="0.25">
      <c r="N7493" t="s">
        <v>1230</v>
      </c>
    </row>
    <row r="7494" spans="14:14" ht="15" customHeight="1" x14ac:dyDescent="0.25">
      <c r="N7494" t="s">
        <v>1188</v>
      </c>
    </row>
    <row r="7495" spans="14:14" ht="15" customHeight="1" x14ac:dyDescent="0.25">
      <c r="N7495" t="s">
        <v>1188</v>
      </c>
    </row>
    <row r="7496" spans="14:14" ht="15" customHeight="1" x14ac:dyDescent="0.25">
      <c r="N7496" t="s">
        <v>1188</v>
      </c>
    </row>
    <row r="7497" spans="14:14" ht="15" customHeight="1" x14ac:dyDescent="0.25">
      <c r="N7497" t="s">
        <v>1188</v>
      </c>
    </row>
    <row r="7498" spans="14:14" ht="15" customHeight="1" x14ac:dyDescent="0.25">
      <c r="N7498" t="s">
        <v>1188</v>
      </c>
    </row>
    <row r="7499" spans="14:14" ht="15" customHeight="1" x14ac:dyDescent="0.25">
      <c r="N7499" t="s">
        <v>1188</v>
      </c>
    </row>
    <row r="7500" spans="14:14" ht="15" customHeight="1" x14ac:dyDescent="0.25">
      <c r="N7500" t="s">
        <v>1261</v>
      </c>
    </row>
    <row r="7501" spans="14:14" ht="15" customHeight="1" x14ac:dyDescent="0.25">
      <c r="N7501" t="s">
        <v>777</v>
      </c>
    </row>
    <row r="7502" spans="14:14" ht="15" customHeight="1" x14ac:dyDescent="0.25">
      <c r="N7502" t="s">
        <v>1240</v>
      </c>
    </row>
    <row r="7503" spans="14:14" ht="15" customHeight="1" x14ac:dyDescent="0.25">
      <c r="N7503" t="s">
        <v>1042</v>
      </c>
    </row>
    <row r="7504" spans="14:14" ht="15" customHeight="1" x14ac:dyDescent="0.25">
      <c r="N7504" t="s">
        <v>1336</v>
      </c>
    </row>
    <row r="7505" spans="14:14" ht="15" customHeight="1" x14ac:dyDescent="0.25">
      <c r="N7505" t="s">
        <v>1042</v>
      </c>
    </row>
    <row r="7506" spans="14:14" ht="15" customHeight="1" x14ac:dyDescent="0.25">
      <c r="N7506" t="s">
        <v>998</v>
      </c>
    </row>
    <row r="7507" spans="14:14" ht="15" customHeight="1" x14ac:dyDescent="0.25">
      <c r="N7507" t="s">
        <v>302</v>
      </c>
    </row>
    <row r="7508" spans="14:14" ht="15" customHeight="1" x14ac:dyDescent="0.25">
      <c r="N7508" t="s">
        <v>319</v>
      </c>
    </row>
    <row r="7509" spans="14:14" ht="15" customHeight="1" x14ac:dyDescent="0.25">
      <c r="N7509" t="s">
        <v>985</v>
      </c>
    </row>
    <row r="7510" spans="14:14" ht="15" customHeight="1" x14ac:dyDescent="0.25">
      <c r="N7510" t="s">
        <v>1263</v>
      </c>
    </row>
    <row r="7511" spans="14:14" ht="15" customHeight="1" x14ac:dyDescent="0.25">
      <c r="N7511" t="s">
        <v>302</v>
      </c>
    </row>
    <row r="7512" spans="14:14" ht="15" customHeight="1" x14ac:dyDescent="0.25">
      <c r="N7512" t="s">
        <v>249</v>
      </c>
    </row>
    <row r="7513" spans="14:14" ht="15" customHeight="1" x14ac:dyDescent="0.25">
      <c r="N7513" t="s">
        <v>302</v>
      </c>
    </row>
    <row r="7514" spans="14:14" ht="15" customHeight="1" x14ac:dyDescent="0.25">
      <c r="N7514" t="s">
        <v>371</v>
      </c>
    </row>
    <row r="7515" spans="14:14" ht="15" customHeight="1" x14ac:dyDescent="0.25">
      <c r="N7515" t="s">
        <v>302</v>
      </c>
    </row>
    <row r="7516" spans="14:14" ht="15" customHeight="1" x14ac:dyDescent="0.25">
      <c r="N7516" t="s">
        <v>930</v>
      </c>
    </row>
    <row r="7517" spans="14:14" ht="15" customHeight="1" x14ac:dyDescent="0.25">
      <c r="N7517" t="s">
        <v>910</v>
      </c>
    </row>
    <row r="7518" spans="14:14" ht="15" customHeight="1" x14ac:dyDescent="0.25">
      <c r="N7518" t="s">
        <v>967</v>
      </c>
    </row>
    <row r="7519" spans="14:14" ht="15" customHeight="1" x14ac:dyDescent="0.25">
      <c r="N7519" t="s">
        <v>971</v>
      </c>
    </row>
    <row r="7520" spans="14:14" ht="15" customHeight="1" x14ac:dyDescent="0.25">
      <c r="N7520" t="s">
        <v>971</v>
      </c>
    </row>
    <row r="7521" spans="14:14" ht="15" customHeight="1" x14ac:dyDescent="0.25">
      <c r="N7521" t="s">
        <v>247</v>
      </c>
    </row>
    <row r="7522" spans="14:14" ht="15" customHeight="1" x14ac:dyDescent="0.25">
      <c r="N7522" t="s">
        <v>247</v>
      </c>
    </row>
    <row r="7523" spans="14:14" ht="15" customHeight="1" x14ac:dyDescent="0.25">
      <c r="N7523" t="s">
        <v>247</v>
      </c>
    </row>
    <row r="7524" spans="14:14" ht="15" customHeight="1" x14ac:dyDescent="0.25">
      <c r="N7524" t="s">
        <v>207</v>
      </c>
    </row>
    <row r="7525" spans="14:14" ht="15" customHeight="1" x14ac:dyDescent="0.25">
      <c r="N7525" t="s">
        <v>975</v>
      </c>
    </row>
    <row r="7526" spans="14:14" ht="15" customHeight="1" x14ac:dyDescent="0.25">
      <c r="N7526" t="s">
        <v>975</v>
      </c>
    </row>
    <row r="7527" spans="14:14" ht="15" customHeight="1" x14ac:dyDescent="0.25">
      <c r="N7527" t="s">
        <v>931</v>
      </c>
    </row>
    <row r="7528" spans="14:14" ht="15" customHeight="1" x14ac:dyDescent="0.25">
      <c r="N7528" t="s">
        <v>967</v>
      </c>
    </row>
    <row r="7529" spans="14:14" ht="15" customHeight="1" x14ac:dyDescent="0.25">
      <c r="N7529" t="s">
        <v>912</v>
      </c>
    </row>
    <row r="7530" spans="14:14" ht="15" customHeight="1" x14ac:dyDescent="0.25">
      <c r="N7530" t="s">
        <v>1014</v>
      </c>
    </row>
    <row r="7531" spans="14:14" ht="15" customHeight="1" x14ac:dyDescent="0.25">
      <c r="N7531" t="s">
        <v>971</v>
      </c>
    </row>
    <row r="7532" spans="14:14" ht="15" customHeight="1" x14ac:dyDescent="0.25">
      <c r="N7532" t="s">
        <v>971</v>
      </c>
    </row>
    <row r="7533" spans="14:14" ht="15" customHeight="1" x14ac:dyDescent="0.25">
      <c r="N7533" t="s">
        <v>247</v>
      </c>
    </row>
    <row r="7534" spans="14:14" ht="15" customHeight="1" x14ac:dyDescent="0.25">
      <c r="N7534" t="s">
        <v>247</v>
      </c>
    </row>
    <row r="7535" spans="14:14" ht="15" customHeight="1" x14ac:dyDescent="0.25">
      <c r="N7535" t="s">
        <v>247</v>
      </c>
    </row>
    <row r="7536" spans="14:14" ht="15" customHeight="1" x14ac:dyDescent="0.25">
      <c r="N7536" t="s">
        <v>251</v>
      </c>
    </row>
    <row r="7537" spans="14:14" ht="15" customHeight="1" x14ac:dyDescent="0.25">
      <c r="N7537" t="s">
        <v>971</v>
      </c>
    </row>
    <row r="7538" spans="14:14" ht="15" customHeight="1" x14ac:dyDescent="0.25">
      <c r="N7538" t="s">
        <v>971</v>
      </c>
    </row>
    <row r="7539" spans="14:14" ht="15" customHeight="1" x14ac:dyDescent="0.25">
      <c r="N7539" t="s">
        <v>247</v>
      </c>
    </row>
    <row r="7540" spans="14:14" ht="15" customHeight="1" x14ac:dyDescent="0.25">
      <c r="N7540" t="s">
        <v>247</v>
      </c>
    </row>
    <row r="7541" spans="14:14" ht="15" customHeight="1" x14ac:dyDescent="0.25">
      <c r="N7541" t="s">
        <v>247</v>
      </c>
    </row>
    <row r="7542" spans="14:14" ht="15" customHeight="1" x14ac:dyDescent="0.25">
      <c r="N7542" t="s">
        <v>302</v>
      </c>
    </row>
    <row r="7543" spans="14:14" ht="15" customHeight="1" x14ac:dyDescent="0.25">
      <c r="N7543" t="s">
        <v>971</v>
      </c>
    </row>
    <row r="7544" spans="14:14" ht="15" customHeight="1" x14ac:dyDescent="0.25">
      <c r="N7544" t="s">
        <v>971</v>
      </c>
    </row>
    <row r="7545" spans="14:14" ht="15" customHeight="1" x14ac:dyDescent="0.25">
      <c r="N7545" t="s">
        <v>1079</v>
      </c>
    </row>
    <row r="7546" spans="14:14" ht="15" customHeight="1" x14ac:dyDescent="0.25">
      <c r="N7546" t="s">
        <v>1085</v>
      </c>
    </row>
    <row r="7547" spans="14:14" ht="15" customHeight="1" x14ac:dyDescent="0.25">
      <c r="N7547" t="s">
        <v>1085</v>
      </c>
    </row>
    <row r="7548" spans="14:14" ht="15" customHeight="1" x14ac:dyDescent="0.25">
      <c r="N7548" t="s">
        <v>1014</v>
      </c>
    </row>
    <row r="7549" spans="14:14" ht="15" customHeight="1" x14ac:dyDescent="0.25">
      <c r="N7549" t="s">
        <v>971</v>
      </c>
    </row>
    <row r="7550" spans="14:14" ht="15" customHeight="1" x14ac:dyDescent="0.25">
      <c r="N7550" t="s">
        <v>971</v>
      </c>
    </row>
    <row r="7551" spans="14:14" ht="15" customHeight="1" x14ac:dyDescent="0.25">
      <c r="N7551" t="s">
        <v>247</v>
      </c>
    </row>
    <row r="7552" spans="14:14" ht="15" customHeight="1" x14ac:dyDescent="0.25">
      <c r="N7552" t="s">
        <v>247</v>
      </c>
    </row>
    <row r="7553" spans="14:14" ht="15" customHeight="1" x14ac:dyDescent="0.25">
      <c r="N7553" t="s">
        <v>247</v>
      </c>
    </row>
    <row r="7554" spans="14:14" ht="15" customHeight="1" x14ac:dyDescent="0.25">
      <c r="N7554" t="s">
        <v>302</v>
      </c>
    </row>
    <row r="7555" spans="14:14" ht="15" customHeight="1" x14ac:dyDescent="0.25">
      <c r="N7555" t="s">
        <v>302</v>
      </c>
    </row>
    <row r="7556" spans="14:14" ht="15" customHeight="1" x14ac:dyDescent="0.25">
      <c r="N7556" t="s">
        <v>302</v>
      </c>
    </row>
    <row r="7557" spans="14:14" ht="15" customHeight="1" x14ac:dyDescent="0.25">
      <c r="N7557" t="s">
        <v>302</v>
      </c>
    </row>
    <row r="7558" spans="14:14" ht="15" customHeight="1" x14ac:dyDescent="0.25">
      <c r="N7558" t="s">
        <v>971</v>
      </c>
    </row>
    <row r="7559" spans="14:14" ht="15" customHeight="1" x14ac:dyDescent="0.25">
      <c r="N7559" t="s">
        <v>971</v>
      </c>
    </row>
    <row r="7560" spans="14:14" ht="15" customHeight="1" x14ac:dyDescent="0.25">
      <c r="N7560" t="s">
        <v>1121</v>
      </c>
    </row>
    <row r="7561" spans="14:14" ht="15" customHeight="1" x14ac:dyDescent="0.25">
      <c r="N7561" t="s">
        <v>1121</v>
      </c>
    </row>
    <row r="7562" spans="14:14" ht="15" customHeight="1" x14ac:dyDescent="0.25">
      <c r="N7562" t="s">
        <v>1121</v>
      </c>
    </row>
    <row r="7563" spans="14:14" ht="15" customHeight="1" x14ac:dyDescent="0.25">
      <c r="N7563" t="s">
        <v>971</v>
      </c>
    </row>
    <row r="7564" spans="14:14" ht="15" customHeight="1" x14ac:dyDescent="0.25">
      <c r="N7564" t="s">
        <v>971</v>
      </c>
    </row>
    <row r="7565" spans="14:14" ht="15" customHeight="1" x14ac:dyDescent="0.25">
      <c r="N7565" t="s">
        <v>971</v>
      </c>
    </row>
    <row r="7566" spans="14:14" ht="15" customHeight="1" x14ac:dyDescent="0.25">
      <c r="N7566" t="s">
        <v>1119</v>
      </c>
    </row>
    <row r="7567" spans="14:14" ht="15" customHeight="1" x14ac:dyDescent="0.25">
      <c r="N7567" t="s">
        <v>1034</v>
      </c>
    </row>
    <row r="7568" spans="14:14" ht="15" customHeight="1" x14ac:dyDescent="0.25">
      <c r="N7568" t="s">
        <v>971</v>
      </c>
    </row>
    <row r="7569" spans="14:14" ht="15" customHeight="1" x14ac:dyDescent="0.25">
      <c r="N7569" t="s">
        <v>971</v>
      </c>
    </row>
    <row r="7570" spans="14:14" ht="15" customHeight="1" x14ac:dyDescent="0.25">
      <c r="N7570" t="s">
        <v>273</v>
      </c>
    </row>
    <row r="7571" spans="14:14" ht="15" customHeight="1" x14ac:dyDescent="0.25">
      <c r="N7571" t="s">
        <v>247</v>
      </c>
    </row>
    <row r="7572" spans="14:14" ht="15" customHeight="1" x14ac:dyDescent="0.25">
      <c r="N7572" t="s">
        <v>247</v>
      </c>
    </row>
    <row r="7573" spans="14:14" ht="15" customHeight="1" x14ac:dyDescent="0.25">
      <c r="N7573" t="s">
        <v>247</v>
      </c>
    </row>
    <row r="7574" spans="14:14" ht="15" customHeight="1" x14ac:dyDescent="0.25">
      <c r="N7574" t="s">
        <v>402</v>
      </c>
    </row>
    <row r="7575" spans="14:14" ht="15" customHeight="1" x14ac:dyDescent="0.25">
      <c r="N7575" t="s">
        <v>823</v>
      </c>
    </row>
    <row r="7576" spans="14:14" ht="15" customHeight="1" x14ac:dyDescent="0.25">
      <c r="N7576" t="s">
        <v>1164</v>
      </c>
    </row>
    <row r="7577" spans="14:14" ht="15" customHeight="1" x14ac:dyDescent="0.25">
      <c r="N7577" t="s">
        <v>1164</v>
      </c>
    </row>
    <row r="7578" spans="14:14" ht="15" customHeight="1" x14ac:dyDescent="0.25">
      <c r="N7578" t="s">
        <v>1164</v>
      </c>
    </row>
    <row r="7579" spans="14:14" ht="15" customHeight="1" x14ac:dyDescent="0.25">
      <c r="N7579" t="s">
        <v>971</v>
      </c>
    </row>
    <row r="7580" spans="14:14" ht="15" customHeight="1" x14ac:dyDescent="0.25">
      <c r="N7580" t="s">
        <v>1175</v>
      </c>
    </row>
    <row r="7581" spans="14:14" ht="15" customHeight="1" x14ac:dyDescent="0.25">
      <c r="N7581" t="s">
        <v>971</v>
      </c>
    </row>
    <row r="7582" spans="14:14" ht="15" customHeight="1" x14ac:dyDescent="0.25">
      <c r="N7582" t="s">
        <v>971</v>
      </c>
    </row>
    <row r="7583" spans="14:14" ht="15" customHeight="1" x14ac:dyDescent="0.25">
      <c r="N7583" t="s">
        <v>273</v>
      </c>
    </row>
    <row r="7584" spans="14:14" ht="15" customHeight="1" x14ac:dyDescent="0.25">
      <c r="N7584" t="s">
        <v>247</v>
      </c>
    </row>
    <row r="7585" spans="14:14" ht="15" customHeight="1" x14ac:dyDescent="0.25">
      <c r="N7585" t="s">
        <v>247</v>
      </c>
    </row>
    <row r="7586" spans="14:14" ht="15" customHeight="1" x14ac:dyDescent="0.25">
      <c r="N7586" t="s">
        <v>247</v>
      </c>
    </row>
    <row r="7587" spans="14:14" ht="15" customHeight="1" x14ac:dyDescent="0.25">
      <c r="N7587" t="s">
        <v>971</v>
      </c>
    </row>
    <row r="7588" spans="14:14" ht="15" customHeight="1" x14ac:dyDescent="0.25">
      <c r="N7588" t="s">
        <v>971</v>
      </c>
    </row>
    <row r="7589" spans="14:14" ht="15" customHeight="1" x14ac:dyDescent="0.25">
      <c r="N7589" t="s">
        <v>971</v>
      </c>
    </row>
    <row r="7590" spans="14:14" ht="15" customHeight="1" x14ac:dyDescent="0.25">
      <c r="N7590" t="s">
        <v>247</v>
      </c>
    </row>
    <row r="7591" spans="14:14" ht="15" customHeight="1" x14ac:dyDescent="0.25">
      <c r="N7591" t="s">
        <v>247</v>
      </c>
    </row>
    <row r="7592" spans="14:14" ht="15" customHeight="1" x14ac:dyDescent="0.25">
      <c r="N7592" t="s">
        <v>247</v>
      </c>
    </row>
    <row r="7593" spans="14:14" ht="15" customHeight="1" x14ac:dyDescent="0.25">
      <c r="N7593" t="s">
        <v>301</v>
      </c>
    </row>
    <row r="7594" spans="14:14" ht="15" customHeight="1" x14ac:dyDescent="0.25">
      <c r="N7594" t="s">
        <v>247</v>
      </c>
    </row>
    <row r="7595" spans="14:14" ht="15" customHeight="1" x14ac:dyDescent="0.25">
      <c r="N7595" t="s">
        <v>247</v>
      </c>
    </row>
    <row r="7596" spans="14:14" ht="15" customHeight="1" x14ac:dyDescent="0.25">
      <c r="N7596" t="s">
        <v>247</v>
      </c>
    </row>
    <row r="7597" spans="14:14" ht="15" customHeight="1" x14ac:dyDescent="0.25">
      <c r="N7597" t="s">
        <v>1217</v>
      </c>
    </row>
    <row r="7598" spans="14:14" ht="15" customHeight="1" x14ac:dyDescent="0.25">
      <c r="N7598" t="s">
        <v>1217</v>
      </c>
    </row>
    <row r="7599" spans="14:14" ht="15" customHeight="1" x14ac:dyDescent="0.25">
      <c r="N7599" t="s">
        <v>971</v>
      </c>
    </row>
    <row r="7600" spans="14:14" ht="15" customHeight="1" x14ac:dyDescent="0.25">
      <c r="N7600" t="s">
        <v>247</v>
      </c>
    </row>
    <row r="7601" spans="14:14" ht="15" customHeight="1" x14ac:dyDescent="0.25">
      <c r="N7601" t="s">
        <v>247</v>
      </c>
    </row>
    <row r="7602" spans="14:14" ht="15" customHeight="1" x14ac:dyDescent="0.25">
      <c r="N7602" t="s">
        <v>247</v>
      </c>
    </row>
    <row r="7603" spans="14:14" ht="15" customHeight="1" x14ac:dyDescent="0.25">
      <c r="N7603" t="s">
        <v>971</v>
      </c>
    </row>
    <row r="7604" spans="14:14" ht="15" customHeight="1" x14ac:dyDescent="0.25">
      <c r="N7604" t="s">
        <v>971</v>
      </c>
    </row>
    <row r="7605" spans="14:14" ht="15" customHeight="1" x14ac:dyDescent="0.25">
      <c r="N7605" t="s">
        <v>971</v>
      </c>
    </row>
    <row r="7606" spans="14:14" ht="15" customHeight="1" x14ac:dyDescent="0.25">
      <c r="N7606" t="s">
        <v>971</v>
      </c>
    </row>
    <row r="7607" spans="14:14" ht="15" customHeight="1" x14ac:dyDescent="0.25">
      <c r="N7607" t="s">
        <v>247</v>
      </c>
    </row>
    <row r="7608" spans="14:14" ht="15" customHeight="1" x14ac:dyDescent="0.25">
      <c r="N7608" t="s">
        <v>302</v>
      </c>
    </row>
    <row r="7609" spans="14:14" ht="15" customHeight="1" x14ac:dyDescent="0.25">
      <c r="N7609" t="s">
        <v>1085</v>
      </c>
    </row>
    <row r="7610" spans="14:14" ht="15" customHeight="1" x14ac:dyDescent="0.25">
      <c r="N7610" t="s">
        <v>971</v>
      </c>
    </row>
    <row r="7611" spans="14:14" ht="15" customHeight="1" x14ac:dyDescent="0.25">
      <c r="N7611" t="s">
        <v>971</v>
      </c>
    </row>
    <row r="7612" spans="14:14" ht="15" customHeight="1" x14ac:dyDescent="0.25">
      <c r="N7612" t="s">
        <v>971</v>
      </c>
    </row>
    <row r="7613" spans="14:14" ht="15" customHeight="1" x14ac:dyDescent="0.25">
      <c r="N7613" t="s">
        <v>971</v>
      </c>
    </row>
    <row r="7614" spans="14:14" ht="15" customHeight="1" x14ac:dyDescent="0.25">
      <c r="N7614" t="s">
        <v>971</v>
      </c>
    </row>
    <row r="7615" spans="14:14" ht="15" customHeight="1" x14ac:dyDescent="0.25">
      <c r="N7615" t="s">
        <v>1217</v>
      </c>
    </row>
    <row r="7616" spans="14:14" ht="15" customHeight="1" x14ac:dyDescent="0.25">
      <c r="N7616" t="s">
        <v>432</v>
      </c>
    </row>
    <row r="7617" spans="14:14" ht="15" customHeight="1" x14ac:dyDescent="0.25">
      <c r="N7617" t="s">
        <v>931</v>
      </c>
    </row>
    <row r="7618" spans="14:14" ht="15" customHeight="1" x14ac:dyDescent="0.25">
      <c r="N7618" t="s">
        <v>971</v>
      </c>
    </row>
    <row r="7619" spans="14:14" ht="15" customHeight="1" x14ac:dyDescent="0.25">
      <c r="N7619" t="s">
        <v>971</v>
      </c>
    </row>
    <row r="7620" spans="14:14" ht="15" customHeight="1" x14ac:dyDescent="0.25">
      <c r="N7620" t="s">
        <v>971</v>
      </c>
    </row>
    <row r="7621" spans="14:14" ht="15" customHeight="1" x14ac:dyDescent="0.25">
      <c r="N7621" t="s">
        <v>247</v>
      </c>
    </row>
    <row r="7622" spans="14:14" ht="15" customHeight="1" x14ac:dyDescent="0.25">
      <c r="N7622" t="s">
        <v>971</v>
      </c>
    </row>
    <row r="7623" spans="14:14" ht="15" customHeight="1" x14ac:dyDescent="0.25">
      <c r="N7623" t="s">
        <v>971</v>
      </c>
    </row>
    <row r="7624" spans="14:14" ht="15" customHeight="1" x14ac:dyDescent="0.25">
      <c r="N7624" t="s">
        <v>971</v>
      </c>
    </row>
    <row r="7625" spans="14:14" ht="15" customHeight="1" x14ac:dyDescent="0.25">
      <c r="N7625" t="s">
        <v>894</v>
      </c>
    </row>
    <row r="7626" spans="14:14" ht="15" customHeight="1" x14ac:dyDescent="0.25">
      <c r="N7626" t="s">
        <v>897</v>
      </c>
    </row>
    <row r="7627" spans="14:14" ht="15" customHeight="1" x14ac:dyDescent="0.25">
      <c r="N7627" t="s">
        <v>897</v>
      </c>
    </row>
    <row r="7628" spans="14:14" ht="15" customHeight="1" x14ac:dyDescent="0.25">
      <c r="N7628" t="s">
        <v>900</v>
      </c>
    </row>
    <row r="7629" spans="14:14" ht="15" customHeight="1" x14ac:dyDescent="0.25">
      <c r="N7629" t="s">
        <v>900</v>
      </c>
    </row>
    <row r="7630" spans="14:14" ht="15" customHeight="1" x14ac:dyDescent="0.25">
      <c r="N7630" t="s">
        <v>900</v>
      </c>
    </row>
    <row r="7631" spans="14:14" ht="15" customHeight="1" x14ac:dyDescent="0.25">
      <c r="N7631" t="s">
        <v>900</v>
      </c>
    </row>
    <row r="7632" spans="14:14" ht="15" customHeight="1" x14ac:dyDescent="0.25">
      <c r="N7632" t="s">
        <v>900</v>
      </c>
    </row>
    <row r="7633" spans="14:14" ht="15" customHeight="1" x14ac:dyDescent="0.25">
      <c r="N7633" t="s">
        <v>900</v>
      </c>
    </row>
    <row r="7634" spans="14:14" ht="15" customHeight="1" x14ac:dyDescent="0.25">
      <c r="N7634" t="s">
        <v>904</v>
      </c>
    </row>
    <row r="7635" spans="14:14" ht="15" customHeight="1" x14ac:dyDescent="0.25">
      <c r="N7635" t="s">
        <v>904</v>
      </c>
    </row>
    <row r="7636" spans="14:14" ht="15" customHeight="1" x14ac:dyDescent="0.25">
      <c r="N7636" t="s">
        <v>904</v>
      </c>
    </row>
    <row r="7637" spans="14:14" ht="15" customHeight="1" x14ac:dyDescent="0.25">
      <c r="N7637" t="s">
        <v>904</v>
      </c>
    </row>
    <row r="7638" spans="14:14" ht="15" customHeight="1" x14ac:dyDescent="0.25">
      <c r="N7638" t="s">
        <v>904</v>
      </c>
    </row>
    <row r="7639" spans="14:14" ht="15" customHeight="1" x14ac:dyDescent="0.25">
      <c r="N7639" t="s">
        <v>904</v>
      </c>
    </row>
    <row r="7640" spans="14:14" ht="15" customHeight="1" x14ac:dyDescent="0.25">
      <c r="N7640" t="s">
        <v>904</v>
      </c>
    </row>
    <row r="7641" spans="14:14" ht="15" customHeight="1" x14ac:dyDescent="0.25">
      <c r="N7641" t="s">
        <v>904</v>
      </c>
    </row>
    <row r="7642" spans="14:14" ht="15" customHeight="1" x14ac:dyDescent="0.25">
      <c r="N7642" t="s">
        <v>906</v>
      </c>
    </row>
    <row r="7643" spans="14:14" ht="15" customHeight="1" x14ac:dyDescent="0.25">
      <c r="N7643" t="s">
        <v>909</v>
      </c>
    </row>
    <row r="7644" spans="14:14" ht="15" customHeight="1" x14ac:dyDescent="0.25">
      <c r="N7644" t="s">
        <v>912</v>
      </c>
    </row>
    <row r="7645" spans="14:14" ht="15" customHeight="1" x14ac:dyDescent="0.25">
      <c r="N7645" t="s">
        <v>914</v>
      </c>
    </row>
    <row r="7646" spans="14:14" ht="15" customHeight="1" x14ac:dyDescent="0.25">
      <c r="N7646" t="s">
        <v>917</v>
      </c>
    </row>
    <row r="7647" spans="14:14" ht="15" customHeight="1" x14ac:dyDescent="0.25">
      <c r="N7647" t="s">
        <v>901</v>
      </c>
    </row>
    <row r="7648" spans="14:14" ht="15" customHeight="1" x14ac:dyDescent="0.25">
      <c r="N7648" t="s">
        <v>901</v>
      </c>
    </row>
    <row r="7649" spans="14:14" ht="15" customHeight="1" x14ac:dyDescent="0.25">
      <c r="N7649" t="s">
        <v>897</v>
      </c>
    </row>
    <row r="7650" spans="14:14" ht="15" customHeight="1" x14ac:dyDescent="0.25">
      <c r="N7650" t="s">
        <v>897</v>
      </c>
    </row>
    <row r="7651" spans="14:14" ht="15" customHeight="1" x14ac:dyDescent="0.25">
      <c r="N7651" t="s">
        <v>921</v>
      </c>
    </row>
    <row r="7652" spans="14:14" ht="15" customHeight="1" x14ac:dyDescent="0.25">
      <c r="N7652" t="s">
        <v>897</v>
      </c>
    </row>
    <row r="7653" spans="14:14" ht="15" customHeight="1" x14ac:dyDescent="0.25">
      <c r="N7653" t="s">
        <v>909</v>
      </c>
    </row>
    <row r="7654" spans="14:14" ht="15" customHeight="1" x14ac:dyDescent="0.25">
      <c r="N7654" t="s">
        <v>254</v>
      </c>
    </row>
    <row r="7655" spans="14:14" ht="15" customHeight="1" x14ac:dyDescent="0.25">
      <c r="N7655" t="s">
        <v>927</v>
      </c>
    </row>
    <row r="7656" spans="14:14" ht="15" customHeight="1" x14ac:dyDescent="0.25">
      <c r="N7656" t="s">
        <v>914</v>
      </c>
    </row>
    <row r="7657" spans="14:14" ht="15" customHeight="1" x14ac:dyDescent="0.25">
      <c r="N7657" t="s">
        <v>933</v>
      </c>
    </row>
    <row r="7658" spans="14:14" ht="15" customHeight="1" x14ac:dyDescent="0.25">
      <c r="N7658" t="s">
        <v>934</v>
      </c>
    </row>
    <row r="7659" spans="14:14" ht="15" customHeight="1" x14ac:dyDescent="0.25">
      <c r="N7659" t="s">
        <v>914</v>
      </c>
    </row>
    <row r="7660" spans="14:14" ht="15" customHeight="1" x14ac:dyDescent="0.25">
      <c r="N7660" t="s">
        <v>938</v>
      </c>
    </row>
    <row r="7661" spans="14:14" ht="15" customHeight="1" x14ac:dyDescent="0.25">
      <c r="N7661" t="s">
        <v>940</v>
      </c>
    </row>
    <row r="7662" spans="14:14" ht="15" customHeight="1" x14ac:dyDescent="0.25">
      <c r="N7662" t="s">
        <v>942</v>
      </c>
    </row>
    <row r="7663" spans="14:14" ht="15" customHeight="1" x14ac:dyDescent="0.25">
      <c r="N7663" t="s">
        <v>943</v>
      </c>
    </row>
    <row r="7664" spans="14:14" ht="15" customHeight="1" x14ac:dyDescent="0.25">
      <c r="N7664" t="s">
        <v>943</v>
      </c>
    </row>
    <row r="7665" spans="14:14" ht="15" customHeight="1" x14ac:dyDescent="0.25">
      <c r="N7665" t="s">
        <v>943</v>
      </c>
    </row>
    <row r="7666" spans="14:14" ht="15" customHeight="1" x14ac:dyDescent="0.25">
      <c r="N7666" t="s">
        <v>943</v>
      </c>
    </row>
    <row r="7667" spans="14:14" ht="15" customHeight="1" x14ac:dyDescent="0.25">
      <c r="N7667" t="s">
        <v>943</v>
      </c>
    </row>
    <row r="7668" spans="14:14" ht="15" customHeight="1" x14ac:dyDescent="0.25">
      <c r="N7668" t="s">
        <v>943</v>
      </c>
    </row>
    <row r="7669" spans="14:14" ht="15" customHeight="1" x14ac:dyDescent="0.25">
      <c r="N7669" t="s">
        <v>945</v>
      </c>
    </row>
    <row r="7670" spans="14:14" ht="15" customHeight="1" x14ac:dyDescent="0.25">
      <c r="N7670" t="s">
        <v>946</v>
      </c>
    </row>
    <row r="7671" spans="14:14" ht="15" customHeight="1" x14ac:dyDescent="0.25">
      <c r="N7671" t="s">
        <v>914</v>
      </c>
    </row>
    <row r="7672" spans="14:14" ht="15" customHeight="1" x14ac:dyDescent="0.25">
      <c r="N7672" t="s">
        <v>934</v>
      </c>
    </row>
    <row r="7673" spans="14:14" ht="15" customHeight="1" x14ac:dyDescent="0.25">
      <c r="N7673" t="s">
        <v>951</v>
      </c>
    </row>
    <row r="7674" spans="14:14" ht="15" customHeight="1" x14ac:dyDescent="0.25">
      <c r="N7674" t="s">
        <v>894</v>
      </c>
    </row>
    <row r="7675" spans="14:14" ht="15" customHeight="1" x14ac:dyDescent="0.25">
      <c r="N7675" t="s">
        <v>917</v>
      </c>
    </row>
    <row r="7676" spans="14:14" ht="15" customHeight="1" x14ac:dyDescent="0.25">
      <c r="N7676" t="s">
        <v>917</v>
      </c>
    </row>
    <row r="7677" spans="14:14" ht="15" customHeight="1" x14ac:dyDescent="0.25">
      <c r="N7677" t="s">
        <v>914</v>
      </c>
    </row>
    <row r="7678" spans="14:14" ht="15" customHeight="1" x14ac:dyDescent="0.25">
      <c r="N7678" t="s">
        <v>958</v>
      </c>
    </row>
    <row r="7679" spans="14:14" ht="15" customHeight="1" x14ac:dyDescent="0.25">
      <c r="N7679" t="s">
        <v>914</v>
      </c>
    </row>
    <row r="7680" spans="14:14" ht="15" customHeight="1" x14ac:dyDescent="0.25">
      <c r="N7680" t="s">
        <v>961</v>
      </c>
    </row>
    <row r="7681" spans="14:14" ht="15" customHeight="1" x14ac:dyDescent="0.25">
      <c r="N7681" t="s">
        <v>961</v>
      </c>
    </row>
    <row r="7682" spans="14:14" ht="15" customHeight="1" x14ac:dyDescent="0.25">
      <c r="N7682" t="s">
        <v>961</v>
      </c>
    </row>
    <row r="7683" spans="14:14" ht="15" customHeight="1" x14ac:dyDescent="0.25">
      <c r="N7683" t="s">
        <v>914</v>
      </c>
    </row>
    <row r="7684" spans="14:14" ht="15" customHeight="1" x14ac:dyDescent="0.25">
      <c r="N7684" t="s">
        <v>921</v>
      </c>
    </row>
    <row r="7685" spans="14:14" ht="15" customHeight="1" x14ac:dyDescent="0.25">
      <c r="N7685" t="s">
        <v>921</v>
      </c>
    </row>
    <row r="7686" spans="14:14" ht="15" customHeight="1" x14ac:dyDescent="0.25">
      <c r="N7686" t="s">
        <v>969</v>
      </c>
    </row>
    <row r="7687" spans="14:14" ht="15" customHeight="1" x14ac:dyDescent="0.25">
      <c r="N7687" t="s">
        <v>933</v>
      </c>
    </row>
    <row r="7688" spans="14:14" ht="15" customHeight="1" x14ac:dyDescent="0.25">
      <c r="N7688" t="s">
        <v>940</v>
      </c>
    </row>
    <row r="7689" spans="14:14" ht="15" customHeight="1" x14ac:dyDescent="0.25">
      <c r="N7689" t="s">
        <v>940</v>
      </c>
    </row>
    <row r="7690" spans="14:14" ht="15" customHeight="1" x14ac:dyDescent="0.25">
      <c r="N7690" t="s">
        <v>719</v>
      </c>
    </row>
    <row r="7691" spans="14:14" ht="15" customHeight="1" x14ac:dyDescent="0.25">
      <c r="N7691" t="s">
        <v>719</v>
      </c>
    </row>
    <row r="7692" spans="14:14" ht="15" customHeight="1" x14ac:dyDescent="0.25">
      <c r="N7692" t="s">
        <v>719</v>
      </c>
    </row>
    <row r="7693" spans="14:14" ht="15" customHeight="1" x14ac:dyDescent="0.25">
      <c r="N7693" t="s">
        <v>894</v>
      </c>
    </row>
    <row r="7694" spans="14:14" ht="15" customHeight="1" x14ac:dyDescent="0.25">
      <c r="N7694" t="s">
        <v>286</v>
      </c>
    </row>
    <row r="7695" spans="14:14" ht="15" customHeight="1" x14ac:dyDescent="0.25">
      <c r="N7695" t="s">
        <v>286</v>
      </c>
    </row>
    <row r="7696" spans="14:14" ht="15" customHeight="1" x14ac:dyDescent="0.25">
      <c r="N7696" t="s">
        <v>286</v>
      </c>
    </row>
    <row r="7697" spans="14:14" ht="15" customHeight="1" x14ac:dyDescent="0.25">
      <c r="N7697" t="s">
        <v>319</v>
      </c>
    </row>
    <row r="7698" spans="14:14" ht="15" customHeight="1" x14ac:dyDescent="0.25">
      <c r="N7698" t="s">
        <v>249</v>
      </c>
    </row>
    <row r="7699" spans="14:14" ht="15" customHeight="1" x14ac:dyDescent="0.25">
      <c r="N7699" t="s">
        <v>319</v>
      </c>
    </row>
    <row r="7700" spans="14:14" ht="15" customHeight="1" x14ac:dyDescent="0.25">
      <c r="N7700" t="s">
        <v>286</v>
      </c>
    </row>
    <row r="7701" spans="14:14" ht="15" customHeight="1" x14ac:dyDescent="0.25">
      <c r="N7701" t="s">
        <v>224</v>
      </c>
    </row>
    <row r="7702" spans="14:14" ht="15" customHeight="1" x14ac:dyDescent="0.25">
      <c r="N7702" t="s">
        <v>818</v>
      </c>
    </row>
    <row r="7703" spans="14:14" ht="15" customHeight="1" x14ac:dyDescent="0.25">
      <c r="N7703" t="s">
        <v>249</v>
      </c>
    </row>
    <row r="7704" spans="14:14" ht="15" customHeight="1" x14ac:dyDescent="0.25">
      <c r="N7704" t="s">
        <v>249</v>
      </c>
    </row>
    <row r="7705" spans="14:14" ht="15" customHeight="1" x14ac:dyDescent="0.25">
      <c r="N7705" t="s">
        <v>249</v>
      </c>
    </row>
    <row r="7706" spans="14:14" ht="15" customHeight="1" x14ac:dyDescent="0.25">
      <c r="N7706" t="s">
        <v>319</v>
      </c>
    </row>
    <row r="7707" spans="14:14" ht="15" customHeight="1" x14ac:dyDescent="0.25">
      <c r="N7707" t="s">
        <v>319</v>
      </c>
    </row>
    <row r="7708" spans="14:14" ht="15" customHeight="1" x14ac:dyDescent="0.25">
      <c r="N7708" t="s">
        <v>334</v>
      </c>
    </row>
    <row r="7709" spans="14:14" ht="15" customHeight="1" x14ac:dyDescent="0.25">
      <c r="N7709" t="s">
        <v>249</v>
      </c>
    </row>
    <row r="7710" spans="14:14" ht="15" customHeight="1" x14ac:dyDescent="0.25">
      <c r="N7710" t="s">
        <v>719</v>
      </c>
    </row>
    <row r="7711" spans="14:14" ht="15" customHeight="1" x14ac:dyDescent="0.25">
      <c r="N7711" t="s">
        <v>719</v>
      </c>
    </row>
    <row r="7712" spans="14:14" ht="15" customHeight="1" x14ac:dyDescent="0.25">
      <c r="N7712" t="s">
        <v>978</v>
      </c>
    </row>
    <row r="7713" spans="14:14" ht="15" customHeight="1" x14ac:dyDescent="0.25">
      <c r="N7713" t="s">
        <v>294</v>
      </c>
    </row>
    <row r="7714" spans="14:14" ht="15" customHeight="1" x14ac:dyDescent="0.25">
      <c r="N7714" t="s">
        <v>319</v>
      </c>
    </row>
    <row r="7715" spans="14:14" ht="15" customHeight="1" x14ac:dyDescent="0.25">
      <c r="N7715" t="s">
        <v>286</v>
      </c>
    </row>
    <row r="7716" spans="14:14" ht="15" customHeight="1" x14ac:dyDescent="0.25">
      <c r="N7716" t="s">
        <v>319</v>
      </c>
    </row>
    <row r="7717" spans="14:14" ht="15" customHeight="1" x14ac:dyDescent="0.25">
      <c r="N7717" t="s">
        <v>319</v>
      </c>
    </row>
    <row r="7718" spans="14:14" ht="15" customHeight="1" x14ac:dyDescent="0.25">
      <c r="N7718" t="s">
        <v>286</v>
      </c>
    </row>
    <row r="7719" spans="14:14" ht="15" customHeight="1" x14ac:dyDescent="0.25">
      <c r="N7719" t="s">
        <v>286</v>
      </c>
    </row>
    <row r="7720" spans="14:14" ht="15" customHeight="1" x14ac:dyDescent="0.25">
      <c r="N7720" t="s">
        <v>719</v>
      </c>
    </row>
    <row r="7721" spans="14:14" ht="15" customHeight="1" x14ac:dyDescent="0.25">
      <c r="N7721" t="s">
        <v>273</v>
      </c>
    </row>
    <row r="7722" spans="14:14" ht="15" customHeight="1" x14ac:dyDescent="0.25">
      <c r="N7722" t="s">
        <v>249</v>
      </c>
    </row>
    <row r="7723" spans="14:14" ht="15" customHeight="1" x14ac:dyDescent="0.25">
      <c r="N7723" t="s">
        <v>319</v>
      </c>
    </row>
    <row r="7724" spans="14:14" ht="15" customHeight="1" x14ac:dyDescent="0.25">
      <c r="N7724" t="s">
        <v>254</v>
      </c>
    </row>
    <row r="7725" spans="14:14" ht="15" customHeight="1" x14ac:dyDescent="0.25">
      <c r="N7725" t="s">
        <v>1151</v>
      </c>
    </row>
    <row r="7726" spans="14:14" ht="15" customHeight="1" x14ac:dyDescent="0.25">
      <c r="N7726" t="s">
        <v>980</v>
      </c>
    </row>
    <row r="7727" spans="14:14" ht="15" customHeight="1" x14ac:dyDescent="0.25">
      <c r="N7727" t="s">
        <v>900</v>
      </c>
    </row>
    <row r="7728" spans="14:14" ht="15" customHeight="1" x14ac:dyDescent="0.25">
      <c r="N7728" t="s">
        <v>900</v>
      </c>
    </row>
    <row r="7729" spans="14:14" ht="15" customHeight="1" x14ac:dyDescent="0.25">
      <c r="N7729" t="s">
        <v>900</v>
      </c>
    </row>
    <row r="7730" spans="14:14" ht="15" customHeight="1" x14ac:dyDescent="0.25">
      <c r="N7730" t="s">
        <v>984</v>
      </c>
    </row>
    <row r="7731" spans="14:14" ht="15" customHeight="1" x14ac:dyDescent="0.25">
      <c r="N7731" t="s">
        <v>900</v>
      </c>
    </row>
    <row r="7732" spans="14:14" ht="15" customHeight="1" x14ac:dyDescent="0.25">
      <c r="N7732" t="s">
        <v>900</v>
      </c>
    </row>
    <row r="7733" spans="14:14" ht="15" customHeight="1" x14ac:dyDescent="0.25">
      <c r="N7733" t="s">
        <v>906</v>
      </c>
    </row>
    <row r="7734" spans="14:14" ht="15" customHeight="1" x14ac:dyDescent="0.25">
      <c r="N7734" t="s">
        <v>988</v>
      </c>
    </row>
    <row r="7735" spans="14:14" ht="15" customHeight="1" x14ac:dyDescent="0.25">
      <c r="N7735" t="s">
        <v>914</v>
      </c>
    </row>
    <row r="7736" spans="14:14" ht="15" customHeight="1" x14ac:dyDescent="0.25">
      <c r="N7736" t="s">
        <v>917</v>
      </c>
    </row>
    <row r="7737" spans="14:14" ht="15" customHeight="1" x14ac:dyDescent="0.25">
      <c r="N7737" t="s">
        <v>933</v>
      </c>
    </row>
    <row r="7738" spans="14:14" ht="15" customHeight="1" x14ac:dyDescent="0.25">
      <c r="N7738" t="s">
        <v>933</v>
      </c>
    </row>
    <row r="7739" spans="14:14" ht="15" customHeight="1" x14ac:dyDescent="0.25">
      <c r="N7739" t="s">
        <v>993</v>
      </c>
    </row>
    <row r="7740" spans="14:14" ht="15" customHeight="1" x14ac:dyDescent="0.25">
      <c r="N7740" t="s">
        <v>993</v>
      </c>
    </row>
    <row r="7741" spans="14:14" ht="15" customHeight="1" x14ac:dyDescent="0.25">
      <c r="N7741" t="s">
        <v>921</v>
      </c>
    </row>
    <row r="7742" spans="14:14" ht="15" customHeight="1" x14ac:dyDescent="0.25">
      <c r="N7742" t="s">
        <v>909</v>
      </c>
    </row>
    <row r="7743" spans="14:14" ht="15" customHeight="1" x14ac:dyDescent="0.25">
      <c r="N7743" t="s">
        <v>254</v>
      </c>
    </row>
    <row r="7744" spans="14:14" ht="15" customHeight="1" x14ac:dyDescent="0.25">
      <c r="N7744" t="s">
        <v>914</v>
      </c>
    </row>
    <row r="7745" spans="14:14" ht="15" customHeight="1" x14ac:dyDescent="0.25">
      <c r="N7745" t="s">
        <v>933</v>
      </c>
    </row>
    <row r="7746" spans="14:14" ht="15" customHeight="1" x14ac:dyDescent="0.25">
      <c r="N7746" t="s">
        <v>998</v>
      </c>
    </row>
    <row r="7747" spans="14:14" ht="15" customHeight="1" x14ac:dyDescent="0.25">
      <c r="N7747" t="s">
        <v>1000</v>
      </c>
    </row>
    <row r="7748" spans="14:14" ht="15" customHeight="1" x14ac:dyDescent="0.25">
      <c r="N7748" t="s">
        <v>914</v>
      </c>
    </row>
    <row r="7749" spans="14:14" ht="15" customHeight="1" x14ac:dyDescent="0.25">
      <c r="N7749" t="s">
        <v>1002</v>
      </c>
    </row>
    <row r="7750" spans="14:14" ht="15" customHeight="1" x14ac:dyDescent="0.25">
      <c r="N7750" t="s">
        <v>942</v>
      </c>
    </row>
    <row r="7751" spans="14:14" ht="15" customHeight="1" x14ac:dyDescent="0.25">
      <c r="N7751" t="s">
        <v>1004</v>
      </c>
    </row>
    <row r="7752" spans="14:14" ht="15" customHeight="1" x14ac:dyDescent="0.25">
      <c r="N7752" t="s">
        <v>1005</v>
      </c>
    </row>
    <row r="7753" spans="14:14" ht="15" customHeight="1" x14ac:dyDescent="0.25">
      <c r="N7753" t="s">
        <v>943</v>
      </c>
    </row>
    <row r="7754" spans="14:14" ht="15" customHeight="1" x14ac:dyDescent="0.25">
      <c r="N7754" t="s">
        <v>943</v>
      </c>
    </row>
    <row r="7755" spans="14:14" ht="15" customHeight="1" x14ac:dyDescent="0.25">
      <c r="N7755" t="s">
        <v>943</v>
      </c>
    </row>
    <row r="7756" spans="14:14" ht="15" customHeight="1" x14ac:dyDescent="0.25">
      <c r="N7756" t="s">
        <v>943</v>
      </c>
    </row>
    <row r="7757" spans="14:14" ht="15" customHeight="1" x14ac:dyDescent="0.25">
      <c r="N7757" t="s">
        <v>943</v>
      </c>
    </row>
    <row r="7758" spans="14:14" ht="15" customHeight="1" x14ac:dyDescent="0.25">
      <c r="N7758" t="s">
        <v>943</v>
      </c>
    </row>
    <row r="7759" spans="14:14" ht="15" customHeight="1" x14ac:dyDescent="0.25">
      <c r="N7759" t="s">
        <v>1007</v>
      </c>
    </row>
    <row r="7760" spans="14:14" ht="15" customHeight="1" x14ac:dyDescent="0.25">
      <c r="N7760" t="s">
        <v>901</v>
      </c>
    </row>
    <row r="7761" spans="14:14" ht="15" customHeight="1" x14ac:dyDescent="0.25">
      <c r="N7761" t="s">
        <v>912</v>
      </c>
    </row>
    <row r="7762" spans="14:14" ht="15" customHeight="1" x14ac:dyDescent="0.25">
      <c r="N7762" t="s">
        <v>901</v>
      </c>
    </row>
    <row r="7763" spans="14:14" ht="15" customHeight="1" x14ac:dyDescent="0.25">
      <c r="N7763" t="s">
        <v>917</v>
      </c>
    </row>
    <row r="7764" spans="14:14" ht="15" customHeight="1" x14ac:dyDescent="0.25">
      <c r="N7764" t="s">
        <v>1011</v>
      </c>
    </row>
    <row r="7765" spans="14:14" ht="15" customHeight="1" x14ac:dyDescent="0.25">
      <c r="N7765" t="s">
        <v>914</v>
      </c>
    </row>
    <row r="7766" spans="14:14" ht="15" customHeight="1" x14ac:dyDescent="0.25">
      <c r="N7766" t="s">
        <v>909</v>
      </c>
    </row>
    <row r="7767" spans="14:14" ht="15" customHeight="1" x14ac:dyDescent="0.25">
      <c r="N7767" t="s">
        <v>914</v>
      </c>
    </row>
    <row r="7768" spans="14:14" ht="15" customHeight="1" x14ac:dyDescent="0.25">
      <c r="N7768" t="s">
        <v>1015</v>
      </c>
    </row>
    <row r="7769" spans="14:14" ht="15" customHeight="1" x14ac:dyDescent="0.25">
      <c r="N7769" t="s">
        <v>1015</v>
      </c>
    </row>
    <row r="7770" spans="14:14" ht="15" customHeight="1" x14ac:dyDescent="0.25">
      <c r="N7770" t="s">
        <v>1015</v>
      </c>
    </row>
    <row r="7771" spans="14:14" ht="15" customHeight="1" x14ac:dyDescent="0.25">
      <c r="N7771" t="s">
        <v>969</v>
      </c>
    </row>
    <row r="7772" spans="14:14" ht="15" customHeight="1" x14ac:dyDescent="0.25">
      <c r="N7772" t="s">
        <v>934</v>
      </c>
    </row>
    <row r="7773" spans="14:14" ht="15" customHeight="1" x14ac:dyDescent="0.25">
      <c r="N7773" t="s">
        <v>894</v>
      </c>
    </row>
    <row r="7774" spans="14:14" ht="15" customHeight="1" x14ac:dyDescent="0.25">
      <c r="N7774" t="s">
        <v>894</v>
      </c>
    </row>
    <row r="7775" spans="14:14" ht="15" customHeight="1" x14ac:dyDescent="0.25">
      <c r="N7775" t="s">
        <v>319</v>
      </c>
    </row>
    <row r="7776" spans="14:14" ht="15" customHeight="1" x14ac:dyDescent="0.25">
      <c r="N7776" t="s">
        <v>319</v>
      </c>
    </row>
    <row r="7777" spans="14:14" ht="15" customHeight="1" x14ac:dyDescent="0.25">
      <c r="N7777" t="s">
        <v>319</v>
      </c>
    </row>
    <row r="7778" spans="14:14" ht="15" customHeight="1" x14ac:dyDescent="0.25">
      <c r="N7778" t="s">
        <v>894</v>
      </c>
    </row>
    <row r="7779" spans="14:14" ht="15" customHeight="1" x14ac:dyDescent="0.25">
      <c r="N7779" t="s">
        <v>254</v>
      </c>
    </row>
    <row r="7780" spans="14:14" ht="15" customHeight="1" x14ac:dyDescent="0.25">
      <c r="N7780" t="s">
        <v>254</v>
      </c>
    </row>
    <row r="7781" spans="14:14" ht="15" customHeight="1" x14ac:dyDescent="0.25">
      <c r="N7781" t="s">
        <v>254</v>
      </c>
    </row>
    <row r="7782" spans="14:14" ht="15" customHeight="1" x14ac:dyDescent="0.25">
      <c r="N7782" t="s">
        <v>249</v>
      </c>
    </row>
    <row r="7783" spans="14:14" ht="15" customHeight="1" x14ac:dyDescent="0.25">
      <c r="N7783" t="s">
        <v>1018</v>
      </c>
    </row>
    <row r="7784" spans="14:14" ht="15" customHeight="1" x14ac:dyDescent="0.25">
      <c r="N7784" t="s">
        <v>1019</v>
      </c>
    </row>
    <row r="7785" spans="14:14" ht="15" customHeight="1" x14ac:dyDescent="0.25">
      <c r="N7785" t="s">
        <v>1021</v>
      </c>
    </row>
    <row r="7786" spans="14:14" ht="15" customHeight="1" x14ac:dyDescent="0.25">
      <c r="N7786" t="s">
        <v>223</v>
      </c>
    </row>
    <row r="7787" spans="14:14" ht="15" customHeight="1" x14ac:dyDescent="0.25">
      <c r="N7787" t="s">
        <v>223</v>
      </c>
    </row>
    <row r="7788" spans="14:14" ht="15" customHeight="1" x14ac:dyDescent="0.25">
      <c r="N7788" t="s">
        <v>223</v>
      </c>
    </row>
    <row r="7789" spans="14:14" ht="15" customHeight="1" x14ac:dyDescent="0.25">
      <c r="N7789" t="s">
        <v>717</v>
      </c>
    </row>
    <row r="7790" spans="14:14" ht="15" customHeight="1" x14ac:dyDescent="0.25">
      <c r="N7790" t="s">
        <v>717</v>
      </c>
    </row>
    <row r="7791" spans="14:14" ht="15" customHeight="1" x14ac:dyDescent="0.25">
      <c r="N7791" t="s">
        <v>294</v>
      </c>
    </row>
    <row r="7792" spans="14:14" ht="15" customHeight="1" x14ac:dyDescent="0.25">
      <c r="N7792" t="s">
        <v>254</v>
      </c>
    </row>
    <row r="7793" spans="14:14" ht="15" customHeight="1" x14ac:dyDescent="0.25">
      <c r="N7793" t="s">
        <v>254</v>
      </c>
    </row>
    <row r="7794" spans="14:14" ht="15" customHeight="1" x14ac:dyDescent="0.25">
      <c r="N7794" t="s">
        <v>254</v>
      </c>
    </row>
    <row r="7795" spans="14:14" ht="15" customHeight="1" x14ac:dyDescent="0.25">
      <c r="N7795" t="s">
        <v>319</v>
      </c>
    </row>
    <row r="7796" spans="14:14" ht="15" customHeight="1" x14ac:dyDescent="0.25">
      <c r="N7796" t="s">
        <v>273</v>
      </c>
    </row>
    <row r="7797" spans="14:14" ht="15" customHeight="1" x14ac:dyDescent="0.25">
      <c r="N7797" t="s">
        <v>319</v>
      </c>
    </row>
    <row r="7798" spans="14:14" ht="15" customHeight="1" x14ac:dyDescent="0.25">
      <c r="N7798" t="s">
        <v>1329</v>
      </c>
    </row>
    <row r="7799" spans="14:14" ht="15" customHeight="1" x14ac:dyDescent="0.25">
      <c r="N7799" t="s">
        <v>319</v>
      </c>
    </row>
    <row r="7800" spans="14:14" ht="15" customHeight="1" x14ac:dyDescent="0.25">
      <c r="N7800" t="s">
        <v>254</v>
      </c>
    </row>
    <row r="7801" spans="14:14" ht="15" customHeight="1" x14ac:dyDescent="0.25">
      <c r="N7801" t="s">
        <v>1005</v>
      </c>
    </row>
    <row r="7802" spans="14:14" ht="15" customHeight="1" x14ac:dyDescent="0.25">
      <c r="N7802" t="s">
        <v>1005</v>
      </c>
    </row>
    <row r="7803" spans="14:14" ht="15" customHeight="1" x14ac:dyDescent="0.25">
      <c r="N7803" t="s">
        <v>1004</v>
      </c>
    </row>
    <row r="7804" spans="14:14" ht="15" customHeight="1" x14ac:dyDescent="0.25">
      <c r="N7804" t="s">
        <v>1004</v>
      </c>
    </row>
    <row r="7805" spans="14:14" ht="15" customHeight="1" x14ac:dyDescent="0.25">
      <c r="N7805" t="s">
        <v>1004</v>
      </c>
    </row>
    <row r="7806" spans="14:14" ht="15" customHeight="1" x14ac:dyDescent="0.25">
      <c r="N7806" t="s">
        <v>1004</v>
      </c>
    </row>
    <row r="7807" spans="14:14" ht="15" customHeight="1" x14ac:dyDescent="0.25">
      <c r="N7807" t="s">
        <v>1004</v>
      </c>
    </row>
    <row r="7808" spans="14:14" ht="15" customHeight="1" x14ac:dyDescent="0.25">
      <c r="N7808" t="s">
        <v>1004</v>
      </c>
    </row>
    <row r="7809" spans="14:14" ht="15" customHeight="1" x14ac:dyDescent="0.25">
      <c r="N7809" t="s">
        <v>1004</v>
      </c>
    </row>
    <row r="7810" spans="14:14" ht="15" customHeight="1" x14ac:dyDescent="0.25">
      <c r="N7810" t="s">
        <v>1004</v>
      </c>
    </row>
    <row r="7811" spans="14:14" ht="15" customHeight="1" x14ac:dyDescent="0.25">
      <c r="N7811" t="s">
        <v>1004</v>
      </c>
    </row>
    <row r="7812" spans="14:14" ht="15" customHeight="1" x14ac:dyDescent="0.25">
      <c r="N7812" t="s">
        <v>1004</v>
      </c>
    </row>
    <row r="7813" spans="14:14" ht="15" customHeight="1" x14ac:dyDescent="0.25">
      <c r="N7813" t="s">
        <v>1023</v>
      </c>
    </row>
    <row r="7814" spans="14:14" ht="15" customHeight="1" x14ac:dyDescent="0.25">
      <c r="N7814" t="s">
        <v>1023</v>
      </c>
    </row>
    <row r="7815" spans="14:14" ht="15" customHeight="1" x14ac:dyDescent="0.25">
      <c r="N7815" t="s">
        <v>1004</v>
      </c>
    </row>
    <row r="7816" spans="14:14" ht="15" customHeight="1" x14ac:dyDescent="0.25">
      <c r="N7816" t="s">
        <v>1027</v>
      </c>
    </row>
    <row r="7817" spans="14:14" ht="15" customHeight="1" x14ac:dyDescent="0.25">
      <c r="N7817" t="s">
        <v>1029</v>
      </c>
    </row>
    <row r="7818" spans="14:14" ht="15" customHeight="1" x14ac:dyDescent="0.25">
      <c r="N7818" t="s">
        <v>1029</v>
      </c>
    </row>
    <row r="7819" spans="14:14" ht="15" customHeight="1" x14ac:dyDescent="0.25">
      <c r="N7819" t="s">
        <v>1029</v>
      </c>
    </row>
    <row r="7820" spans="14:14" ht="15" customHeight="1" x14ac:dyDescent="0.25">
      <c r="N7820" t="s">
        <v>1029</v>
      </c>
    </row>
    <row r="7821" spans="14:14" ht="15" customHeight="1" x14ac:dyDescent="0.25">
      <c r="N7821" t="s">
        <v>1029</v>
      </c>
    </row>
    <row r="7822" spans="14:14" ht="15" customHeight="1" x14ac:dyDescent="0.25">
      <c r="N7822" t="s">
        <v>930</v>
      </c>
    </row>
    <row r="7823" spans="14:14" ht="15" customHeight="1" x14ac:dyDescent="0.25">
      <c r="N7823" t="s">
        <v>971</v>
      </c>
    </row>
    <row r="7824" spans="14:14" ht="15" customHeight="1" x14ac:dyDescent="0.25">
      <c r="N7824" t="s">
        <v>971</v>
      </c>
    </row>
    <row r="7825" spans="14:14" ht="15" customHeight="1" x14ac:dyDescent="0.25">
      <c r="N7825" t="s">
        <v>907</v>
      </c>
    </row>
    <row r="7826" spans="14:14" ht="15" customHeight="1" x14ac:dyDescent="0.25">
      <c r="N7826" t="s">
        <v>1034</v>
      </c>
    </row>
    <row r="7827" spans="14:14" ht="15" customHeight="1" x14ac:dyDescent="0.25">
      <c r="N7827" t="s">
        <v>901</v>
      </c>
    </row>
    <row r="7828" spans="14:14" ht="15" customHeight="1" x14ac:dyDescent="0.25">
      <c r="N7828" t="s">
        <v>1011</v>
      </c>
    </row>
    <row r="7829" spans="14:14" ht="15" customHeight="1" x14ac:dyDescent="0.25">
      <c r="N7829" t="s">
        <v>985</v>
      </c>
    </row>
    <row r="7830" spans="14:14" ht="15" customHeight="1" x14ac:dyDescent="0.25">
      <c r="N7830" t="s">
        <v>985</v>
      </c>
    </row>
    <row r="7831" spans="14:14" ht="15" customHeight="1" x14ac:dyDescent="0.25">
      <c r="N7831" t="s">
        <v>901</v>
      </c>
    </row>
    <row r="7832" spans="14:14" ht="15" customHeight="1" x14ac:dyDescent="0.25">
      <c r="N7832" t="s">
        <v>958</v>
      </c>
    </row>
    <row r="7833" spans="14:14" ht="15" customHeight="1" x14ac:dyDescent="0.25">
      <c r="N7833" t="s">
        <v>1037</v>
      </c>
    </row>
    <row r="7834" spans="14:14" ht="15" customHeight="1" x14ac:dyDescent="0.25">
      <c r="N7834" t="s">
        <v>1039</v>
      </c>
    </row>
    <row r="7835" spans="14:14" ht="15" customHeight="1" x14ac:dyDescent="0.25">
      <c r="N7835" t="s">
        <v>930</v>
      </c>
    </row>
    <row r="7836" spans="14:14" ht="15" customHeight="1" x14ac:dyDescent="0.25">
      <c r="N7836" t="s">
        <v>1042</v>
      </c>
    </row>
    <row r="7837" spans="14:14" ht="15" customHeight="1" x14ac:dyDescent="0.25">
      <c r="N7837" t="s">
        <v>1000</v>
      </c>
    </row>
    <row r="7838" spans="14:14" ht="15" customHeight="1" x14ac:dyDescent="0.25">
      <c r="N7838" t="s">
        <v>894</v>
      </c>
    </row>
    <row r="7839" spans="14:14" ht="15" customHeight="1" x14ac:dyDescent="0.25">
      <c r="N7839" t="s">
        <v>1044</v>
      </c>
    </row>
    <row r="7840" spans="14:14" ht="15" customHeight="1" x14ac:dyDescent="0.25">
      <c r="N7840" t="s">
        <v>958</v>
      </c>
    </row>
    <row r="7841" spans="14:14" ht="15" customHeight="1" x14ac:dyDescent="0.25">
      <c r="N7841" t="s">
        <v>1004</v>
      </c>
    </row>
    <row r="7842" spans="14:14" ht="15" customHeight="1" x14ac:dyDescent="0.25">
      <c r="N7842" t="s">
        <v>1005</v>
      </c>
    </row>
    <row r="7843" spans="14:14" ht="15" customHeight="1" x14ac:dyDescent="0.25">
      <c r="N7843" t="s">
        <v>969</v>
      </c>
    </row>
    <row r="7844" spans="14:14" ht="15" customHeight="1" x14ac:dyDescent="0.25">
      <c r="N7844" t="s">
        <v>969</v>
      </c>
    </row>
    <row r="7845" spans="14:14" ht="15" customHeight="1" x14ac:dyDescent="0.25">
      <c r="N7845" t="s">
        <v>969</v>
      </c>
    </row>
    <row r="7846" spans="14:14" ht="15" customHeight="1" x14ac:dyDescent="0.25">
      <c r="N7846" t="s">
        <v>969</v>
      </c>
    </row>
    <row r="7847" spans="14:14" ht="15" customHeight="1" x14ac:dyDescent="0.25">
      <c r="N7847" t="s">
        <v>969</v>
      </c>
    </row>
    <row r="7848" spans="14:14" ht="15" customHeight="1" x14ac:dyDescent="0.25">
      <c r="N7848" t="s">
        <v>969</v>
      </c>
    </row>
    <row r="7849" spans="14:14" ht="15" customHeight="1" x14ac:dyDescent="0.25">
      <c r="N7849" t="s">
        <v>1007</v>
      </c>
    </row>
    <row r="7850" spans="14:14" ht="15" customHeight="1" x14ac:dyDescent="0.25">
      <c r="N7850" t="s">
        <v>998</v>
      </c>
    </row>
    <row r="7851" spans="14:14" ht="15" customHeight="1" x14ac:dyDescent="0.25">
      <c r="N7851" t="s">
        <v>980</v>
      </c>
    </row>
    <row r="7852" spans="14:14" ht="15" customHeight="1" x14ac:dyDescent="0.25">
      <c r="N7852" t="s">
        <v>1049</v>
      </c>
    </row>
    <row r="7853" spans="14:14" ht="15" customHeight="1" x14ac:dyDescent="0.25">
      <c r="N7853" t="s">
        <v>914</v>
      </c>
    </row>
    <row r="7854" spans="14:14" ht="15" customHeight="1" x14ac:dyDescent="0.25">
      <c r="N7854" t="s">
        <v>901</v>
      </c>
    </row>
    <row r="7855" spans="14:14" ht="15" customHeight="1" x14ac:dyDescent="0.25">
      <c r="N7855" t="s">
        <v>914</v>
      </c>
    </row>
    <row r="7856" spans="14:14" ht="15" customHeight="1" x14ac:dyDescent="0.25">
      <c r="N7856" t="s">
        <v>901</v>
      </c>
    </row>
    <row r="7857" spans="14:14" ht="15" customHeight="1" x14ac:dyDescent="0.25">
      <c r="N7857" t="s">
        <v>901</v>
      </c>
    </row>
    <row r="7858" spans="14:14" ht="15" customHeight="1" x14ac:dyDescent="0.25">
      <c r="N7858" t="s">
        <v>901</v>
      </c>
    </row>
    <row r="7859" spans="14:14" ht="15" customHeight="1" x14ac:dyDescent="0.25">
      <c r="N7859" t="s">
        <v>1055</v>
      </c>
    </row>
    <row r="7860" spans="14:14" ht="15" customHeight="1" x14ac:dyDescent="0.25">
      <c r="N7860" t="s">
        <v>969</v>
      </c>
    </row>
    <row r="7861" spans="14:14" ht="15" customHeight="1" x14ac:dyDescent="0.25">
      <c r="N7861" t="s">
        <v>1042</v>
      </c>
    </row>
    <row r="7862" spans="14:14" ht="15" customHeight="1" x14ac:dyDescent="0.25">
      <c r="N7862" t="s">
        <v>1057</v>
      </c>
    </row>
    <row r="7863" spans="14:14" ht="15" customHeight="1" x14ac:dyDescent="0.25">
      <c r="N7863" t="s">
        <v>1057</v>
      </c>
    </row>
    <row r="7864" spans="14:14" ht="15" customHeight="1" x14ac:dyDescent="0.25">
      <c r="N7864" t="s">
        <v>223</v>
      </c>
    </row>
    <row r="7865" spans="14:14" ht="15" customHeight="1" x14ac:dyDescent="0.25">
      <c r="N7865" t="s">
        <v>223</v>
      </c>
    </row>
    <row r="7866" spans="14:14" ht="15" customHeight="1" x14ac:dyDescent="0.25">
      <c r="N7866" t="s">
        <v>223</v>
      </c>
    </row>
    <row r="7867" spans="14:14" ht="15" customHeight="1" x14ac:dyDescent="0.25">
      <c r="N7867" t="s">
        <v>894</v>
      </c>
    </row>
    <row r="7868" spans="14:14" ht="15" customHeight="1" x14ac:dyDescent="0.25">
      <c r="N7868" t="s">
        <v>273</v>
      </c>
    </row>
    <row r="7869" spans="14:14" ht="15" customHeight="1" x14ac:dyDescent="0.25">
      <c r="N7869" t="s">
        <v>301</v>
      </c>
    </row>
    <row r="7870" spans="14:14" ht="15" customHeight="1" x14ac:dyDescent="0.25">
      <c r="N7870" t="s">
        <v>223</v>
      </c>
    </row>
    <row r="7871" spans="14:14" ht="15" customHeight="1" x14ac:dyDescent="0.25">
      <c r="N7871" t="s">
        <v>231</v>
      </c>
    </row>
    <row r="7872" spans="14:14" ht="15" customHeight="1" x14ac:dyDescent="0.25">
      <c r="N7872" t="s">
        <v>470</v>
      </c>
    </row>
    <row r="7873" spans="14:14" ht="15" customHeight="1" x14ac:dyDescent="0.25">
      <c r="N7873" t="s">
        <v>1062</v>
      </c>
    </row>
    <row r="7874" spans="14:14" ht="15" customHeight="1" x14ac:dyDescent="0.25">
      <c r="N7874" t="s">
        <v>1063</v>
      </c>
    </row>
    <row r="7875" spans="14:14" ht="15" customHeight="1" x14ac:dyDescent="0.25">
      <c r="N7875" t="s">
        <v>1005</v>
      </c>
    </row>
    <row r="7876" spans="14:14" ht="15" customHeight="1" x14ac:dyDescent="0.25">
      <c r="N7876" t="s">
        <v>254</v>
      </c>
    </row>
    <row r="7877" spans="14:14" ht="15" customHeight="1" x14ac:dyDescent="0.25">
      <c r="N7877" t="s">
        <v>254</v>
      </c>
    </row>
    <row r="7878" spans="14:14" ht="15" customHeight="1" x14ac:dyDescent="0.25">
      <c r="N7878" t="s">
        <v>334</v>
      </c>
    </row>
    <row r="7879" spans="14:14" ht="15" customHeight="1" x14ac:dyDescent="0.25">
      <c r="N7879" t="s">
        <v>273</v>
      </c>
    </row>
    <row r="7880" spans="14:14" ht="15" customHeight="1" x14ac:dyDescent="0.25">
      <c r="N7880" t="s">
        <v>319</v>
      </c>
    </row>
    <row r="7881" spans="14:14" ht="15" customHeight="1" x14ac:dyDescent="0.25">
      <c r="N7881" t="s">
        <v>1331</v>
      </c>
    </row>
    <row r="7882" spans="14:14" ht="15" customHeight="1" x14ac:dyDescent="0.25">
      <c r="N7882" t="s">
        <v>319</v>
      </c>
    </row>
    <row r="7883" spans="14:14" ht="15" customHeight="1" x14ac:dyDescent="0.25">
      <c r="N7883" t="s">
        <v>1005</v>
      </c>
    </row>
    <row r="7884" spans="14:14" ht="15" customHeight="1" x14ac:dyDescent="0.25">
      <c r="N7884" t="s">
        <v>1005</v>
      </c>
    </row>
    <row r="7885" spans="14:14" ht="15" customHeight="1" x14ac:dyDescent="0.25">
      <c r="N7885" t="s">
        <v>1005</v>
      </c>
    </row>
    <row r="7886" spans="14:14" ht="15" customHeight="1" x14ac:dyDescent="0.25">
      <c r="N7886" t="s">
        <v>1066</v>
      </c>
    </row>
    <row r="7887" spans="14:14" ht="15" customHeight="1" x14ac:dyDescent="0.25">
      <c r="N7887" t="s">
        <v>1066</v>
      </c>
    </row>
    <row r="7888" spans="14:14" ht="15" customHeight="1" x14ac:dyDescent="0.25">
      <c r="N7888" t="s">
        <v>1066</v>
      </c>
    </row>
    <row r="7889" spans="14:14" ht="15" customHeight="1" x14ac:dyDescent="0.25">
      <c r="N7889" t="s">
        <v>1066</v>
      </c>
    </row>
    <row r="7890" spans="14:14" ht="15" customHeight="1" x14ac:dyDescent="0.25">
      <c r="N7890" t="s">
        <v>1066</v>
      </c>
    </row>
    <row r="7891" spans="14:14" ht="15" customHeight="1" x14ac:dyDescent="0.25">
      <c r="N7891" t="s">
        <v>1066</v>
      </c>
    </row>
    <row r="7892" spans="14:14" ht="15" customHeight="1" x14ac:dyDescent="0.25">
      <c r="N7892" t="s">
        <v>1066</v>
      </c>
    </row>
    <row r="7893" spans="14:14" ht="15" customHeight="1" x14ac:dyDescent="0.25">
      <c r="N7893" t="s">
        <v>1066</v>
      </c>
    </row>
    <row r="7894" spans="14:14" ht="15" customHeight="1" x14ac:dyDescent="0.25">
      <c r="N7894" t="s">
        <v>1066</v>
      </c>
    </row>
    <row r="7895" spans="14:14" ht="15" customHeight="1" x14ac:dyDescent="0.25">
      <c r="N7895" t="s">
        <v>1066</v>
      </c>
    </row>
    <row r="7896" spans="14:14" ht="15" customHeight="1" x14ac:dyDescent="0.25">
      <c r="N7896" t="s">
        <v>930</v>
      </c>
    </row>
    <row r="7897" spans="14:14" ht="15" customHeight="1" x14ac:dyDescent="0.25">
      <c r="N7897" t="s">
        <v>930</v>
      </c>
    </row>
    <row r="7898" spans="14:14" ht="15" customHeight="1" x14ac:dyDescent="0.25">
      <c r="N7898" t="s">
        <v>1004</v>
      </c>
    </row>
    <row r="7899" spans="14:14" ht="15" customHeight="1" x14ac:dyDescent="0.25">
      <c r="N7899" t="s">
        <v>901</v>
      </c>
    </row>
    <row r="7900" spans="14:14" ht="15" customHeight="1" x14ac:dyDescent="0.25">
      <c r="N7900" t="s">
        <v>901</v>
      </c>
    </row>
    <row r="7901" spans="14:14" ht="15" customHeight="1" x14ac:dyDescent="0.25">
      <c r="N7901" t="s">
        <v>901</v>
      </c>
    </row>
    <row r="7902" spans="14:14" ht="15" customHeight="1" x14ac:dyDescent="0.25">
      <c r="N7902" t="s">
        <v>901</v>
      </c>
    </row>
    <row r="7903" spans="14:14" ht="15" customHeight="1" x14ac:dyDescent="0.25">
      <c r="N7903" t="s">
        <v>901</v>
      </c>
    </row>
    <row r="7904" spans="14:14" ht="15" customHeight="1" x14ac:dyDescent="0.25">
      <c r="N7904" t="s">
        <v>1068</v>
      </c>
    </row>
    <row r="7905" spans="14:14" ht="15" customHeight="1" x14ac:dyDescent="0.25">
      <c r="N7905" t="s">
        <v>1070</v>
      </c>
    </row>
    <row r="7906" spans="14:14" ht="15" customHeight="1" x14ac:dyDescent="0.25">
      <c r="N7906" t="s">
        <v>1070</v>
      </c>
    </row>
    <row r="7907" spans="14:14" ht="15" customHeight="1" x14ac:dyDescent="0.25">
      <c r="N7907" t="s">
        <v>1072</v>
      </c>
    </row>
    <row r="7908" spans="14:14" ht="15" customHeight="1" x14ac:dyDescent="0.25">
      <c r="N7908" t="s">
        <v>1072</v>
      </c>
    </row>
    <row r="7909" spans="14:14" ht="15" customHeight="1" x14ac:dyDescent="0.25">
      <c r="N7909" t="s">
        <v>894</v>
      </c>
    </row>
    <row r="7910" spans="14:14" ht="15" customHeight="1" x14ac:dyDescent="0.25">
      <c r="N7910" t="s">
        <v>1042</v>
      </c>
    </row>
    <row r="7911" spans="14:14" ht="15" customHeight="1" x14ac:dyDescent="0.25">
      <c r="N7911" t="s">
        <v>1042</v>
      </c>
    </row>
    <row r="7912" spans="14:14" ht="15" customHeight="1" x14ac:dyDescent="0.25">
      <c r="N7912" t="s">
        <v>1004</v>
      </c>
    </row>
    <row r="7913" spans="14:14" ht="15" customHeight="1" x14ac:dyDescent="0.25">
      <c r="N7913" t="s">
        <v>1004</v>
      </c>
    </row>
    <row r="7914" spans="14:14" ht="15" customHeight="1" x14ac:dyDescent="0.25">
      <c r="N7914" t="s">
        <v>901</v>
      </c>
    </row>
    <row r="7915" spans="14:14" ht="15" customHeight="1" x14ac:dyDescent="0.25">
      <c r="N7915" t="s">
        <v>993</v>
      </c>
    </row>
    <row r="7916" spans="14:14" ht="15" customHeight="1" x14ac:dyDescent="0.25">
      <c r="N7916" t="s">
        <v>1074</v>
      </c>
    </row>
    <row r="7917" spans="14:14" ht="15" customHeight="1" x14ac:dyDescent="0.25">
      <c r="N7917" t="s">
        <v>1076</v>
      </c>
    </row>
    <row r="7918" spans="14:14" ht="15" customHeight="1" x14ac:dyDescent="0.25">
      <c r="N7918" t="s">
        <v>1078</v>
      </c>
    </row>
    <row r="7919" spans="14:14" ht="15" customHeight="1" x14ac:dyDescent="0.25">
      <c r="N7919" t="s">
        <v>1042</v>
      </c>
    </row>
    <row r="7920" spans="14:14" ht="15" customHeight="1" x14ac:dyDescent="0.25">
      <c r="N7920" t="s">
        <v>980</v>
      </c>
    </row>
    <row r="7921" spans="14:14" ht="15" customHeight="1" x14ac:dyDescent="0.25">
      <c r="N7921" t="s">
        <v>1082</v>
      </c>
    </row>
    <row r="7922" spans="14:14" ht="15" customHeight="1" x14ac:dyDescent="0.25">
      <c r="N7922" t="s">
        <v>930</v>
      </c>
    </row>
    <row r="7923" spans="14:14" ht="15" customHeight="1" x14ac:dyDescent="0.25">
      <c r="N7923" t="s">
        <v>930</v>
      </c>
    </row>
    <row r="7924" spans="14:14" ht="15" customHeight="1" x14ac:dyDescent="0.25">
      <c r="N7924" t="s">
        <v>910</v>
      </c>
    </row>
    <row r="7925" spans="14:14" ht="15" customHeight="1" x14ac:dyDescent="0.25">
      <c r="N7925" t="s">
        <v>942</v>
      </c>
    </row>
    <row r="7926" spans="14:14" ht="15" customHeight="1" x14ac:dyDescent="0.25">
      <c r="N7926" t="s">
        <v>1087</v>
      </c>
    </row>
    <row r="7927" spans="14:14" ht="15" customHeight="1" x14ac:dyDescent="0.25">
      <c r="N7927" t="s">
        <v>943</v>
      </c>
    </row>
    <row r="7928" spans="14:14" ht="15" customHeight="1" x14ac:dyDescent="0.25">
      <c r="N7928" t="s">
        <v>943</v>
      </c>
    </row>
    <row r="7929" spans="14:14" ht="15" customHeight="1" x14ac:dyDescent="0.25">
      <c r="N7929" t="s">
        <v>943</v>
      </c>
    </row>
    <row r="7930" spans="14:14" ht="15" customHeight="1" x14ac:dyDescent="0.25">
      <c r="N7930" t="s">
        <v>943</v>
      </c>
    </row>
    <row r="7931" spans="14:14" ht="15" customHeight="1" x14ac:dyDescent="0.25">
      <c r="N7931" t="s">
        <v>943</v>
      </c>
    </row>
    <row r="7932" spans="14:14" ht="15" customHeight="1" x14ac:dyDescent="0.25">
      <c r="N7932" t="s">
        <v>943</v>
      </c>
    </row>
    <row r="7933" spans="14:14" ht="15" customHeight="1" x14ac:dyDescent="0.25">
      <c r="N7933" t="s">
        <v>1089</v>
      </c>
    </row>
    <row r="7934" spans="14:14" ht="15" customHeight="1" x14ac:dyDescent="0.25">
      <c r="N7934" t="s">
        <v>1090</v>
      </c>
    </row>
    <row r="7935" spans="14:14" ht="15" customHeight="1" x14ac:dyDescent="0.25">
      <c r="N7935" t="s">
        <v>1092</v>
      </c>
    </row>
    <row r="7936" spans="14:14" ht="15" customHeight="1" x14ac:dyDescent="0.25">
      <c r="N7936" t="s">
        <v>969</v>
      </c>
    </row>
    <row r="7937" spans="14:14" ht="15" customHeight="1" x14ac:dyDescent="0.25">
      <c r="N7937" t="s">
        <v>1034</v>
      </c>
    </row>
    <row r="7938" spans="14:14" ht="15" customHeight="1" x14ac:dyDescent="0.25">
      <c r="N7938" t="s">
        <v>917</v>
      </c>
    </row>
    <row r="7939" spans="14:14" ht="15" customHeight="1" x14ac:dyDescent="0.25">
      <c r="N7939" t="s">
        <v>1078</v>
      </c>
    </row>
    <row r="7940" spans="14:14" ht="15" customHeight="1" x14ac:dyDescent="0.25">
      <c r="N7940" t="s">
        <v>930</v>
      </c>
    </row>
    <row r="7941" spans="14:14" ht="15" customHeight="1" x14ac:dyDescent="0.25">
      <c r="N7941" t="s">
        <v>1100</v>
      </c>
    </row>
    <row r="7942" spans="14:14" ht="15" customHeight="1" x14ac:dyDescent="0.25">
      <c r="N7942" t="s">
        <v>914</v>
      </c>
    </row>
    <row r="7943" spans="14:14" ht="15" customHeight="1" x14ac:dyDescent="0.25">
      <c r="N7943" t="s">
        <v>1103</v>
      </c>
    </row>
    <row r="7944" spans="14:14" ht="15" customHeight="1" x14ac:dyDescent="0.25">
      <c r="N7944" t="s">
        <v>1103</v>
      </c>
    </row>
    <row r="7945" spans="14:14" ht="15" customHeight="1" x14ac:dyDescent="0.25">
      <c r="N7945" t="s">
        <v>1103</v>
      </c>
    </row>
    <row r="7946" spans="14:14" ht="15" customHeight="1" x14ac:dyDescent="0.25">
      <c r="N7946" t="s">
        <v>1072</v>
      </c>
    </row>
    <row r="7947" spans="14:14" ht="15" customHeight="1" x14ac:dyDescent="0.25">
      <c r="N7947" t="s">
        <v>1105</v>
      </c>
    </row>
    <row r="7948" spans="14:14" ht="15" customHeight="1" x14ac:dyDescent="0.25">
      <c r="N7948" t="s">
        <v>969</v>
      </c>
    </row>
    <row r="7949" spans="14:14" ht="15" customHeight="1" x14ac:dyDescent="0.25">
      <c r="N7949" t="s">
        <v>998</v>
      </c>
    </row>
    <row r="7950" spans="14:14" ht="15" customHeight="1" x14ac:dyDescent="0.25">
      <c r="N7950" t="s">
        <v>930</v>
      </c>
    </row>
    <row r="7951" spans="14:14" ht="15" customHeight="1" x14ac:dyDescent="0.25">
      <c r="N7951" t="s">
        <v>930</v>
      </c>
    </row>
    <row r="7952" spans="14:14" ht="15" customHeight="1" x14ac:dyDescent="0.25">
      <c r="N7952" t="s">
        <v>273</v>
      </c>
    </row>
    <row r="7953" spans="14:14" ht="15" customHeight="1" x14ac:dyDescent="0.25">
      <c r="N7953" t="s">
        <v>1070</v>
      </c>
    </row>
    <row r="7954" spans="14:14" ht="15" customHeight="1" x14ac:dyDescent="0.25">
      <c r="N7954" t="s">
        <v>1107</v>
      </c>
    </row>
    <row r="7955" spans="14:14" ht="15" customHeight="1" x14ac:dyDescent="0.25">
      <c r="N7955" t="s">
        <v>1107</v>
      </c>
    </row>
    <row r="7956" spans="14:14" ht="15" customHeight="1" x14ac:dyDescent="0.25">
      <c r="N7956" t="s">
        <v>717</v>
      </c>
    </row>
    <row r="7957" spans="14:14" ht="15" customHeight="1" x14ac:dyDescent="0.25">
      <c r="N7957" t="s">
        <v>717</v>
      </c>
    </row>
    <row r="7958" spans="14:14" ht="15" customHeight="1" x14ac:dyDescent="0.25">
      <c r="N7958" t="s">
        <v>717</v>
      </c>
    </row>
    <row r="7959" spans="14:14" ht="15" customHeight="1" x14ac:dyDescent="0.25">
      <c r="N7959" t="s">
        <v>909</v>
      </c>
    </row>
    <row r="7960" spans="14:14" ht="15" customHeight="1" x14ac:dyDescent="0.25">
      <c r="N7960" t="s">
        <v>231</v>
      </c>
    </row>
    <row r="7961" spans="14:14" ht="15" customHeight="1" x14ac:dyDescent="0.25">
      <c r="N7961" t="s">
        <v>1109</v>
      </c>
    </row>
    <row r="7962" spans="14:14" ht="15" customHeight="1" x14ac:dyDescent="0.25">
      <c r="N7962" t="s">
        <v>1109</v>
      </c>
    </row>
    <row r="7963" spans="14:14" ht="15" customHeight="1" x14ac:dyDescent="0.25">
      <c r="N7963" t="s">
        <v>402</v>
      </c>
    </row>
    <row r="7964" spans="14:14" ht="15" customHeight="1" x14ac:dyDescent="0.25">
      <c r="N7964" t="s">
        <v>717</v>
      </c>
    </row>
    <row r="7965" spans="14:14" ht="15" customHeight="1" x14ac:dyDescent="0.25">
      <c r="N7965" t="s">
        <v>1111</v>
      </c>
    </row>
    <row r="7966" spans="14:14" ht="15" customHeight="1" x14ac:dyDescent="0.25">
      <c r="N7966" t="s">
        <v>286</v>
      </c>
    </row>
    <row r="7967" spans="14:14" ht="15" customHeight="1" x14ac:dyDescent="0.25">
      <c r="N7967" t="s">
        <v>1005</v>
      </c>
    </row>
    <row r="7968" spans="14:14" ht="15" customHeight="1" x14ac:dyDescent="0.25">
      <c r="N7968" t="s">
        <v>254</v>
      </c>
    </row>
    <row r="7969" spans="14:14" ht="15" customHeight="1" x14ac:dyDescent="0.25">
      <c r="N7969" t="s">
        <v>254</v>
      </c>
    </row>
    <row r="7970" spans="14:14" ht="15" customHeight="1" x14ac:dyDescent="0.25">
      <c r="N7970" t="s">
        <v>249</v>
      </c>
    </row>
    <row r="7971" spans="14:14" ht="15" customHeight="1" x14ac:dyDescent="0.25">
      <c r="N7971" t="s">
        <v>273</v>
      </c>
    </row>
    <row r="7972" spans="14:14" ht="15" customHeight="1" x14ac:dyDescent="0.25">
      <c r="N7972" t="s">
        <v>319</v>
      </c>
    </row>
    <row r="7973" spans="14:14" ht="15" customHeight="1" x14ac:dyDescent="0.25">
      <c r="N7973" t="s">
        <v>1333</v>
      </c>
    </row>
    <row r="7974" spans="14:14" ht="15" customHeight="1" x14ac:dyDescent="0.25">
      <c r="N7974" t="s">
        <v>1005</v>
      </c>
    </row>
    <row r="7975" spans="14:14" ht="15" customHeight="1" x14ac:dyDescent="0.25">
      <c r="N7975" t="s">
        <v>789</v>
      </c>
    </row>
    <row r="7976" spans="14:14" ht="15" customHeight="1" x14ac:dyDescent="0.25">
      <c r="N7976" t="s">
        <v>1113</v>
      </c>
    </row>
    <row r="7977" spans="14:14" ht="15" customHeight="1" x14ac:dyDescent="0.25">
      <c r="N7977" t="s">
        <v>930</v>
      </c>
    </row>
    <row r="7978" spans="14:14" ht="15" customHeight="1" x14ac:dyDescent="0.25">
      <c r="N7978" t="s">
        <v>930</v>
      </c>
    </row>
    <row r="7979" spans="14:14" ht="15" customHeight="1" x14ac:dyDescent="0.25">
      <c r="N7979" t="s">
        <v>1004</v>
      </c>
    </row>
    <row r="7980" spans="14:14" ht="15" customHeight="1" x14ac:dyDescent="0.25">
      <c r="N7980" t="s">
        <v>984</v>
      </c>
    </row>
    <row r="7981" spans="14:14" ht="15" customHeight="1" x14ac:dyDescent="0.25">
      <c r="N7981" t="s">
        <v>984</v>
      </c>
    </row>
    <row r="7982" spans="14:14" ht="15" customHeight="1" x14ac:dyDescent="0.25">
      <c r="N7982" t="s">
        <v>984</v>
      </c>
    </row>
    <row r="7983" spans="14:14" ht="15" customHeight="1" x14ac:dyDescent="0.25">
      <c r="N7983" t="s">
        <v>984</v>
      </c>
    </row>
    <row r="7984" spans="14:14" ht="15" customHeight="1" x14ac:dyDescent="0.25">
      <c r="N7984" t="s">
        <v>1070</v>
      </c>
    </row>
    <row r="7985" spans="14:14" ht="15" customHeight="1" x14ac:dyDescent="0.25">
      <c r="N7985" t="s">
        <v>1070</v>
      </c>
    </row>
    <row r="7986" spans="14:14" ht="15" customHeight="1" x14ac:dyDescent="0.25">
      <c r="N7986" t="s">
        <v>1105</v>
      </c>
    </row>
    <row r="7987" spans="14:14" ht="15" customHeight="1" x14ac:dyDescent="0.25">
      <c r="N7987" t="s">
        <v>1105</v>
      </c>
    </row>
    <row r="7988" spans="14:14" ht="15" customHeight="1" x14ac:dyDescent="0.25">
      <c r="N7988" t="s">
        <v>1116</v>
      </c>
    </row>
    <row r="7989" spans="14:14" ht="15" customHeight="1" x14ac:dyDescent="0.25">
      <c r="N7989" t="s">
        <v>1116</v>
      </c>
    </row>
    <row r="7990" spans="14:14" ht="15" customHeight="1" x14ac:dyDescent="0.25">
      <c r="N7990" t="s">
        <v>1116</v>
      </c>
    </row>
    <row r="7991" spans="14:14" ht="15" customHeight="1" x14ac:dyDescent="0.25">
      <c r="N7991" t="s">
        <v>1116</v>
      </c>
    </row>
    <row r="7992" spans="14:14" ht="15" customHeight="1" x14ac:dyDescent="0.25">
      <c r="N7992" t="s">
        <v>1116</v>
      </c>
    </row>
    <row r="7993" spans="14:14" ht="15" customHeight="1" x14ac:dyDescent="0.25">
      <c r="N7993" t="s">
        <v>1116</v>
      </c>
    </row>
    <row r="7994" spans="14:14" ht="15" customHeight="1" x14ac:dyDescent="0.25">
      <c r="N7994" t="s">
        <v>1116</v>
      </c>
    </row>
    <row r="7995" spans="14:14" ht="15" customHeight="1" x14ac:dyDescent="0.25">
      <c r="N7995" t="s">
        <v>1116</v>
      </c>
    </row>
    <row r="7996" spans="14:14" ht="15" customHeight="1" x14ac:dyDescent="0.25">
      <c r="N7996" t="s">
        <v>1118</v>
      </c>
    </row>
    <row r="7997" spans="14:14" ht="15" customHeight="1" x14ac:dyDescent="0.25">
      <c r="N7997" t="s">
        <v>914</v>
      </c>
    </row>
    <row r="7998" spans="14:14" ht="15" customHeight="1" x14ac:dyDescent="0.25">
      <c r="N7998" t="s">
        <v>930</v>
      </c>
    </row>
    <row r="7999" spans="14:14" ht="15" customHeight="1" x14ac:dyDescent="0.25">
      <c r="N7999" t="s">
        <v>930</v>
      </c>
    </row>
    <row r="8000" spans="14:14" ht="15" customHeight="1" x14ac:dyDescent="0.25">
      <c r="N8000" t="s">
        <v>930</v>
      </c>
    </row>
    <row r="8001" spans="14:14" ht="15" customHeight="1" x14ac:dyDescent="0.25">
      <c r="N8001" t="s">
        <v>910</v>
      </c>
    </row>
    <row r="8002" spans="14:14" ht="15" customHeight="1" x14ac:dyDescent="0.25">
      <c r="N8002" t="s">
        <v>1004</v>
      </c>
    </row>
    <row r="8003" spans="14:14" ht="15" customHeight="1" x14ac:dyDescent="0.25">
      <c r="N8003" t="s">
        <v>1004</v>
      </c>
    </row>
    <row r="8004" spans="14:14" ht="15" customHeight="1" x14ac:dyDescent="0.25">
      <c r="N8004" t="s">
        <v>901</v>
      </c>
    </row>
    <row r="8005" spans="14:14" ht="15" customHeight="1" x14ac:dyDescent="0.25">
      <c r="N8005" t="s">
        <v>1124</v>
      </c>
    </row>
    <row r="8006" spans="14:14" ht="15" customHeight="1" x14ac:dyDescent="0.25">
      <c r="N8006" t="s">
        <v>1100</v>
      </c>
    </row>
    <row r="8007" spans="14:14" ht="15" customHeight="1" x14ac:dyDescent="0.25">
      <c r="N8007" t="s">
        <v>1068</v>
      </c>
    </row>
    <row r="8008" spans="14:14" ht="15" customHeight="1" x14ac:dyDescent="0.25">
      <c r="N8008" t="s">
        <v>1000</v>
      </c>
    </row>
    <row r="8009" spans="14:14" ht="15" customHeight="1" x14ac:dyDescent="0.25">
      <c r="N8009" t="s">
        <v>1044</v>
      </c>
    </row>
    <row r="8010" spans="14:14" ht="15" customHeight="1" x14ac:dyDescent="0.25">
      <c r="N8010" t="s">
        <v>930</v>
      </c>
    </row>
    <row r="8011" spans="14:14" ht="15" customHeight="1" x14ac:dyDescent="0.25">
      <c r="N8011" t="s">
        <v>930</v>
      </c>
    </row>
    <row r="8012" spans="14:14" ht="15" customHeight="1" x14ac:dyDescent="0.25">
      <c r="N8012" t="s">
        <v>989</v>
      </c>
    </row>
    <row r="8013" spans="14:14" ht="15" customHeight="1" x14ac:dyDescent="0.25">
      <c r="N8013" t="s">
        <v>1004</v>
      </c>
    </row>
    <row r="8014" spans="14:14" ht="15" customHeight="1" x14ac:dyDescent="0.25">
      <c r="N8014" t="s">
        <v>958</v>
      </c>
    </row>
    <row r="8015" spans="14:14" ht="15" customHeight="1" x14ac:dyDescent="0.25">
      <c r="N8015" t="s">
        <v>1087</v>
      </c>
    </row>
    <row r="8016" spans="14:14" ht="15" customHeight="1" x14ac:dyDescent="0.25">
      <c r="N8016" t="s">
        <v>1131</v>
      </c>
    </row>
    <row r="8017" spans="14:14" ht="15" customHeight="1" x14ac:dyDescent="0.25">
      <c r="N8017" t="s">
        <v>1131</v>
      </c>
    </row>
    <row r="8018" spans="14:14" ht="15" customHeight="1" x14ac:dyDescent="0.25">
      <c r="N8018" t="s">
        <v>1131</v>
      </c>
    </row>
    <row r="8019" spans="14:14" ht="15" customHeight="1" x14ac:dyDescent="0.25">
      <c r="N8019" t="s">
        <v>1131</v>
      </c>
    </row>
    <row r="8020" spans="14:14" ht="15" customHeight="1" x14ac:dyDescent="0.25">
      <c r="N8020" t="s">
        <v>1131</v>
      </c>
    </row>
    <row r="8021" spans="14:14" ht="15" customHeight="1" x14ac:dyDescent="0.25">
      <c r="N8021" t="s">
        <v>1131</v>
      </c>
    </row>
    <row r="8022" spans="14:14" ht="15" customHeight="1" x14ac:dyDescent="0.25">
      <c r="N8022" t="s">
        <v>1004</v>
      </c>
    </row>
    <row r="8023" spans="14:14" ht="15" customHeight="1" x14ac:dyDescent="0.25">
      <c r="N8023" t="s">
        <v>1005</v>
      </c>
    </row>
    <row r="8024" spans="14:14" ht="15" customHeight="1" x14ac:dyDescent="0.25">
      <c r="N8024" t="s">
        <v>1078</v>
      </c>
    </row>
    <row r="8025" spans="14:14" ht="15" customHeight="1" x14ac:dyDescent="0.25">
      <c r="N8025" t="s">
        <v>969</v>
      </c>
    </row>
    <row r="8026" spans="14:14" ht="15" customHeight="1" x14ac:dyDescent="0.25">
      <c r="N8026" t="s">
        <v>1011</v>
      </c>
    </row>
    <row r="8027" spans="14:14" ht="15" customHeight="1" x14ac:dyDescent="0.25">
      <c r="N8027" t="s">
        <v>1078</v>
      </c>
    </row>
    <row r="8028" spans="14:14" ht="15" customHeight="1" x14ac:dyDescent="0.25">
      <c r="N8028" t="s">
        <v>1004</v>
      </c>
    </row>
    <row r="8029" spans="14:14" ht="15" customHeight="1" x14ac:dyDescent="0.25">
      <c r="N8029" t="s">
        <v>988</v>
      </c>
    </row>
    <row r="8030" spans="14:14" ht="15" customHeight="1" x14ac:dyDescent="0.25">
      <c r="N8030" t="s">
        <v>1078</v>
      </c>
    </row>
    <row r="8031" spans="14:14" ht="15" customHeight="1" x14ac:dyDescent="0.25">
      <c r="N8031" t="s">
        <v>1141</v>
      </c>
    </row>
    <row r="8032" spans="14:14" ht="15" customHeight="1" x14ac:dyDescent="0.25">
      <c r="N8032" t="s">
        <v>1141</v>
      </c>
    </row>
    <row r="8033" spans="14:14" ht="15" customHeight="1" x14ac:dyDescent="0.25">
      <c r="N8033" t="s">
        <v>1141</v>
      </c>
    </row>
    <row r="8034" spans="14:14" ht="15" customHeight="1" x14ac:dyDescent="0.25">
      <c r="N8034" t="s">
        <v>1116</v>
      </c>
    </row>
    <row r="8035" spans="14:14" ht="15" customHeight="1" x14ac:dyDescent="0.25">
      <c r="N8035" t="s">
        <v>1144</v>
      </c>
    </row>
    <row r="8036" spans="14:14" ht="15" customHeight="1" x14ac:dyDescent="0.25">
      <c r="N8036" t="s">
        <v>1145</v>
      </c>
    </row>
    <row r="8037" spans="14:14" ht="15" customHeight="1" x14ac:dyDescent="0.25">
      <c r="N8037" t="s">
        <v>930</v>
      </c>
    </row>
    <row r="8038" spans="14:14" ht="15" customHeight="1" x14ac:dyDescent="0.25">
      <c r="N8038" t="s">
        <v>930</v>
      </c>
    </row>
    <row r="8039" spans="14:14" ht="15" customHeight="1" x14ac:dyDescent="0.25">
      <c r="N8039" t="s">
        <v>273</v>
      </c>
    </row>
    <row r="8040" spans="14:14" ht="15" customHeight="1" x14ac:dyDescent="0.25">
      <c r="N8040" t="s">
        <v>1070</v>
      </c>
    </row>
    <row r="8041" spans="14:14" ht="15" customHeight="1" x14ac:dyDescent="0.25">
      <c r="N8041" t="s">
        <v>980</v>
      </c>
    </row>
    <row r="8042" spans="14:14" ht="15" customHeight="1" x14ac:dyDescent="0.25">
      <c r="N8042" t="s">
        <v>980</v>
      </c>
    </row>
    <row r="8043" spans="14:14" ht="15" customHeight="1" x14ac:dyDescent="0.25">
      <c r="N8043" t="s">
        <v>1150</v>
      </c>
    </row>
    <row r="8044" spans="14:14" ht="15" customHeight="1" x14ac:dyDescent="0.25">
      <c r="N8044" t="s">
        <v>1109</v>
      </c>
    </row>
    <row r="8045" spans="14:14" ht="15" customHeight="1" x14ac:dyDescent="0.25">
      <c r="N8045" t="s">
        <v>1005</v>
      </c>
    </row>
    <row r="8046" spans="14:14" ht="15" customHeight="1" x14ac:dyDescent="0.25">
      <c r="N8046" t="s">
        <v>1005</v>
      </c>
    </row>
    <row r="8047" spans="14:14" ht="15" customHeight="1" x14ac:dyDescent="0.25">
      <c r="N8047" t="s">
        <v>1005</v>
      </c>
    </row>
    <row r="8048" spans="14:14" ht="15" customHeight="1" x14ac:dyDescent="0.25">
      <c r="N8048" t="s">
        <v>1109</v>
      </c>
    </row>
    <row r="8049" spans="14:14" ht="15" customHeight="1" x14ac:dyDescent="0.25">
      <c r="N8049" t="s">
        <v>1109</v>
      </c>
    </row>
    <row r="8050" spans="14:14" ht="15" customHeight="1" x14ac:dyDescent="0.25">
      <c r="N8050" t="s">
        <v>273</v>
      </c>
    </row>
    <row r="8051" spans="14:14" ht="15" customHeight="1" x14ac:dyDescent="0.25">
      <c r="N8051" t="s">
        <v>1152</v>
      </c>
    </row>
    <row r="8052" spans="14:14" ht="15" customHeight="1" x14ac:dyDescent="0.25">
      <c r="N8052" t="s">
        <v>286</v>
      </c>
    </row>
    <row r="8053" spans="14:14" ht="15" customHeight="1" x14ac:dyDescent="0.25">
      <c r="N8053" t="s">
        <v>1005</v>
      </c>
    </row>
    <row r="8054" spans="14:14" ht="15" customHeight="1" x14ac:dyDescent="0.25">
      <c r="N8054" t="s">
        <v>1153</v>
      </c>
    </row>
    <row r="8055" spans="14:14" ht="15" customHeight="1" x14ac:dyDescent="0.25">
      <c r="N8055" t="s">
        <v>1153</v>
      </c>
    </row>
    <row r="8056" spans="14:14" ht="15" customHeight="1" x14ac:dyDescent="0.25">
      <c r="N8056" t="s">
        <v>1155</v>
      </c>
    </row>
    <row r="8057" spans="14:14" ht="15" customHeight="1" x14ac:dyDescent="0.25">
      <c r="N8057" t="s">
        <v>319</v>
      </c>
    </row>
    <row r="8058" spans="14:14" ht="15" customHeight="1" x14ac:dyDescent="0.25">
      <c r="N8058" t="s">
        <v>1207</v>
      </c>
    </row>
    <row r="8059" spans="14:14" ht="15" customHeight="1" x14ac:dyDescent="0.25">
      <c r="N8059" t="s">
        <v>1207</v>
      </c>
    </row>
    <row r="8060" spans="14:14" ht="15" customHeight="1" x14ac:dyDescent="0.25">
      <c r="N8060" t="s">
        <v>1005</v>
      </c>
    </row>
    <row r="8061" spans="14:14" ht="15" customHeight="1" x14ac:dyDescent="0.25">
      <c r="N8061" t="s">
        <v>273</v>
      </c>
    </row>
    <row r="8062" spans="14:14" ht="15" customHeight="1" x14ac:dyDescent="0.25">
      <c r="N8062" t="s">
        <v>895</v>
      </c>
    </row>
    <row r="8063" spans="14:14" ht="15" customHeight="1" x14ac:dyDescent="0.25">
      <c r="N8063" t="s">
        <v>1156</v>
      </c>
    </row>
    <row r="8064" spans="14:14" ht="15" customHeight="1" x14ac:dyDescent="0.25">
      <c r="N8064" t="s">
        <v>1156</v>
      </c>
    </row>
    <row r="8065" spans="14:14" ht="15" customHeight="1" x14ac:dyDescent="0.25">
      <c r="N8065" t="s">
        <v>1004</v>
      </c>
    </row>
    <row r="8066" spans="14:14" ht="15" customHeight="1" x14ac:dyDescent="0.25">
      <c r="N8066" t="s">
        <v>898</v>
      </c>
    </row>
    <row r="8067" spans="14:14" ht="15" customHeight="1" x14ac:dyDescent="0.25">
      <c r="N8067" t="s">
        <v>898</v>
      </c>
    </row>
    <row r="8068" spans="14:14" ht="15" customHeight="1" x14ac:dyDescent="0.25">
      <c r="N8068" t="s">
        <v>1158</v>
      </c>
    </row>
    <row r="8069" spans="14:14" ht="15" customHeight="1" x14ac:dyDescent="0.25">
      <c r="N8069" t="s">
        <v>984</v>
      </c>
    </row>
    <row r="8070" spans="14:14" ht="15" customHeight="1" x14ac:dyDescent="0.25">
      <c r="N8070" t="s">
        <v>984</v>
      </c>
    </row>
    <row r="8071" spans="14:14" ht="15" customHeight="1" x14ac:dyDescent="0.25">
      <c r="N8071" t="s">
        <v>984</v>
      </c>
    </row>
    <row r="8072" spans="14:14" ht="15" customHeight="1" x14ac:dyDescent="0.25">
      <c r="N8072" t="s">
        <v>984</v>
      </c>
    </row>
    <row r="8073" spans="14:14" ht="15" customHeight="1" x14ac:dyDescent="0.25">
      <c r="N8073" t="s">
        <v>930</v>
      </c>
    </row>
    <row r="8074" spans="14:14" ht="15" customHeight="1" x14ac:dyDescent="0.25">
      <c r="N8074" t="s">
        <v>971</v>
      </c>
    </row>
    <row r="8075" spans="14:14" ht="15" customHeight="1" x14ac:dyDescent="0.25">
      <c r="N8075" t="s">
        <v>971</v>
      </c>
    </row>
    <row r="8076" spans="14:14" ht="15" customHeight="1" x14ac:dyDescent="0.25">
      <c r="N8076" t="s">
        <v>930</v>
      </c>
    </row>
    <row r="8077" spans="14:14" ht="15" customHeight="1" x14ac:dyDescent="0.25">
      <c r="N8077" t="s">
        <v>930</v>
      </c>
    </row>
    <row r="8078" spans="14:14" ht="15" customHeight="1" x14ac:dyDescent="0.25">
      <c r="N8078" t="s">
        <v>1072</v>
      </c>
    </row>
    <row r="8079" spans="14:14" ht="15" customHeight="1" x14ac:dyDescent="0.25">
      <c r="N8079" t="s">
        <v>1072</v>
      </c>
    </row>
    <row r="8080" spans="14:14" ht="15" customHeight="1" x14ac:dyDescent="0.25">
      <c r="N8080" t="s">
        <v>1072</v>
      </c>
    </row>
    <row r="8081" spans="14:14" ht="15" customHeight="1" x14ac:dyDescent="0.25">
      <c r="N8081" t="s">
        <v>1072</v>
      </c>
    </row>
    <row r="8082" spans="14:14" ht="15" customHeight="1" x14ac:dyDescent="0.25">
      <c r="N8082" t="s">
        <v>1072</v>
      </c>
    </row>
    <row r="8083" spans="14:14" ht="15" customHeight="1" x14ac:dyDescent="0.25">
      <c r="N8083" t="s">
        <v>1072</v>
      </c>
    </row>
    <row r="8084" spans="14:14" ht="15" customHeight="1" x14ac:dyDescent="0.25">
      <c r="N8084" t="s">
        <v>1072</v>
      </c>
    </row>
    <row r="8085" spans="14:14" ht="15" customHeight="1" x14ac:dyDescent="0.25">
      <c r="N8085" t="s">
        <v>1072</v>
      </c>
    </row>
    <row r="8086" spans="14:14" ht="15" customHeight="1" x14ac:dyDescent="0.25">
      <c r="N8086" t="s">
        <v>1135</v>
      </c>
    </row>
    <row r="8087" spans="14:14" ht="15" customHeight="1" x14ac:dyDescent="0.25">
      <c r="N8087" t="s">
        <v>1083</v>
      </c>
    </row>
    <row r="8088" spans="14:14" ht="15" customHeight="1" x14ac:dyDescent="0.25">
      <c r="N8088" t="s">
        <v>1068</v>
      </c>
    </row>
    <row r="8089" spans="14:14" ht="15" customHeight="1" x14ac:dyDescent="0.25">
      <c r="N8089" t="s">
        <v>1068</v>
      </c>
    </row>
    <row r="8090" spans="14:14" ht="15" customHeight="1" x14ac:dyDescent="0.25">
      <c r="N8090" t="s">
        <v>1068</v>
      </c>
    </row>
    <row r="8091" spans="14:14" ht="15" customHeight="1" x14ac:dyDescent="0.25">
      <c r="N8091" t="s">
        <v>910</v>
      </c>
    </row>
    <row r="8092" spans="14:14" ht="15" customHeight="1" x14ac:dyDescent="0.25">
      <c r="N8092" t="s">
        <v>1087</v>
      </c>
    </row>
    <row r="8093" spans="14:14" ht="15" customHeight="1" x14ac:dyDescent="0.25">
      <c r="N8093" t="s">
        <v>1087</v>
      </c>
    </row>
    <row r="8094" spans="14:14" ht="15" customHeight="1" x14ac:dyDescent="0.25">
      <c r="N8094" t="s">
        <v>1168</v>
      </c>
    </row>
    <row r="8095" spans="14:14" ht="15" customHeight="1" x14ac:dyDescent="0.25">
      <c r="N8095" t="s">
        <v>910</v>
      </c>
    </row>
    <row r="8096" spans="14:14" ht="15" customHeight="1" x14ac:dyDescent="0.25">
      <c r="N8096" t="s">
        <v>1004</v>
      </c>
    </row>
    <row r="8097" spans="14:14" ht="15" customHeight="1" x14ac:dyDescent="0.25">
      <c r="N8097" t="s">
        <v>910</v>
      </c>
    </row>
    <row r="8098" spans="14:14" ht="15" customHeight="1" x14ac:dyDescent="0.25">
      <c r="N8098" t="s">
        <v>1000</v>
      </c>
    </row>
    <row r="8099" spans="14:14" ht="15" customHeight="1" x14ac:dyDescent="0.25">
      <c r="N8099" t="s">
        <v>1085</v>
      </c>
    </row>
    <row r="8100" spans="14:14" ht="15" customHeight="1" x14ac:dyDescent="0.25">
      <c r="N8100" t="s">
        <v>1085</v>
      </c>
    </row>
    <row r="8101" spans="14:14" ht="15" customHeight="1" x14ac:dyDescent="0.25">
      <c r="N8101" t="s">
        <v>1004</v>
      </c>
    </row>
    <row r="8102" spans="14:14" ht="15" customHeight="1" x14ac:dyDescent="0.25">
      <c r="N8102" t="s">
        <v>1107</v>
      </c>
    </row>
    <row r="8103" spans="14:14" ht="15" customHeight="1" x14ac:dyDescent="0.25">
      <c r="N8103" t="s">
        <v>1131</v>
      </c>
    </row>
    <row r="8104" spans="14:14" ht="15" customHeight="1" x14ac:dyDescent="0.25">
      <c r="N8104" t="s">
        <v>1131</v>
      </c>
    </row>
    <row r="8105" spans="14:14" ht="15" customHeight="1" x14ac:dyDescent="0.25">
      <c r="N8105" t="s">
        <v>1131</v>
      </c>
    </row>
    <row r="8106" spans="14:14" ht="15" customHeight="1" x14ac:dyDescent="0.25">
      <c r="N8106" t="s">
        <v>1131</v>
      </c>
    </row>
    <row r="8107" spans="14:14" ht="15" customHeight="1" x14ac:dyDescent="0.25">
      <c r="N8107" t="s">
        <v>1131</v>
      </c>
    </row>
    <row r="8108" spans="14:14" ht="15" customHeight="1" x14ac:dyDescent="0.25">
      <c r="N8108" t="s">
        <v>1131</v>
      </c>
    </row>
    <row r="8109" spans="14:14" ht="15" customHeight="1" x14ac:dyDescent="0.25">
      <c r="N8109" t="s">
        <v>1004</v>
      </c>
    </row>
    <row r="8110" spans="14:14" ht="15" customHeight="1" x14ac:dyDescent="0.25">
      <c r="N8110" t="s">
        <v>1005</v>
      </c>
    </row>
    <row r="8111" spans="14:14" ht="15" customHeight="1" x14ac:dyDescent="0.25">
      <c r="N8111" t="s">
        <v>1172</v>
      </c>
    </row>
    <row r="8112" spans="14:14" ht="15" customHeight="1" x14ac:dyDescent="0.25">
      <c r="N8112" t="s">
        <v>1011</v>
      </c>
    </row>
    <row r="8113" spans="14:14" ht="15" customHeight="1" x14ac:dyDescent="0.25">
      <c r="N8113" t="s">
        <v>1004</v>
      </c>
    </row>
    <row r="8114" spans="14:14" ht="15" customHeight="1" x14ac:dyDescent="0.25">
      <c r="N8114" t="s">
        <v>985</v>
      </c>
    </row>
    <row r="8115" spans="14:14" ht="15" customHeight="1" x14ac:dyDescent="0.25">
      <c r="N8115" t="s">
        <v>1078</v>
      </c>
    </row>
    <row r="8116" spans="14:14" ht="15" customHeight="1" x14ac:dyDescent="0.25">
      <c r="N8116" t="s">
        <v>985</v>
      </c>
    </row>
    <row r="8117" spans="14:14" ht="15" customHeight="1" x14ac:dyDescent="0.25">
      <c r="N8117" t="s">
        <v>985</v>
      </c>
    </row>
    <row r="8118" spans="14:14" ht="15" customHeight="1" x14ac:dyDescent="0.25">
      <c r="N8118" t="s">
        <v>985</v>
      </c>
    </row>
    <row r="8119" spans="14:14" ht="15" customHeight="1" x14ac:dyDescent="0.25">
      <c r="N8119" t="s">
        <v>1178</v>
      </c>
    </row>
    <row r="8120" spans="14:14" ht="15" customHeight="1" x14ac:dyDescent="0.25">
      <c r="N8120" t="s">
        <v>1179</v>
      </c>
    </row>
    <row r="8121" spans="14:14" ht="15" customHeight="1" x14ac:dyDescent="0.25">
      <c r="N8121" t="s">
        <v>1145</v>
      </c>
    </row>
    <row r="8122" spans="14:14" ht="15" customHeight="1" x14ac:dyDescent="0.25">
      <c r="N8122" t="s">
        <v>930</v>
      </c>
    </row>
    <row r="8123" spans="14:14" ht="15" customHeight="1" x14ac:dyDescent="0.25">
      <c r="N8123" t="s">
        <v>930</v>
      </c>
    </row>
    <row r="8124" spans="14:14" ht="15" customHeight="1" x14ac:dyDescent="0.25">
      <c r="N8124" t="s">
        <v>273</v>
      </c>
    </row>
    <row r="8125" spans="14:14" ht="15" customHeight="1" x14ac:dyDescent="0.25">
      <c r="N8125" t="s">
        <v>1004</v>
      </c>
    </row>
    <row r="8126" spans="14:14" ht="15" customHeight="1" x14ac:dyDescent="0.25">
      <c r="N8126" t="s">
        <v>1183</v>
      </c>
    </row>
    <row r="8127" spans="14:14" ht="15" customHeight="1" x14ac:dyDescent="0.25">
      <c r="N8127" t="s">
        <v>1183</v>
      </c>
    </row>
    <row r="8128" spans="14:14" ht="15" customHeight="1" x14ac:dyDescent="0.25">
      <c r="N8128" t="s">
        <v>1150</v>
      </c>
    </row>
    <row r="8129" spans="14:14" ht="15" customHeight="1" x14ac:dyDescent="0.25">
      <c r="N8129" t="s">
        <v>1109</v>
      </c>
    </row>
    <row r="8130" spans="14:14" ht="15" customHeight="1" x14ac:dyDescent="0.25">
      <c r="N8130" t="s">
        <v>1005</v>
      </c>
    </row>
    <row r="8131" spans="14:14" ht="15" customHeight="1" x14ac:dyDescent="0.25">
      <c r="N8131" t="s">
        <v>1005</v>
      </c>
    </row>
    <row r="8132" spans="14:14" ht="15" customHeight="1" x14ac:dyDescent="0.25">
      <c r="N8132" t="s">
        <v>1005</v>
      </c>
    </row>
    <row r="8133" spans="14:14" ht="15" customHeight="1" x14ac:dyDescent="0.25">
      <c r="N8133" t="s">
        <v>273</v>
      </c>
    </row>
    <row r="8134" spans="14:14" ht="15" customHeight="1" x14ac:dyDescent="0.25">
      <c r="N8134" t="s">
        <v>273</v>
      </c>
    </row>
    <row r="8135" spans="14:14" ht="15" customHeight="1" x14ac:dyDescent="0.25">
      <c r="N8135" t="s">
        <v>273</v>
      </c>
    </row>
    <row r="8136" spans="14:14" ht="15" customHeight="1" x14ac:dyDescent="0.25">
      <c r="N8136" t="s">
        <v>273</v>
      </c>
    </row>
    <row r="8137" spans="14:14" ht="15" customHeight="1" x14ac:dyDescent="0.25">
      <c r="N8137" t="s">
        <v>273</v>
      </c>
    </row>
    <row r="8138" spans="14:14" ht="15" customHeight="1" x14ac:dyDescent="0.25">
      <c r="N8138" t="s">
        <v>1062</v>
      </c>
    </row>
    <row r="8139" spans="14:14" ht="15" customHeight="1" x14ac:dyDescent="0.25">
      <c r="N8139" t="s">
        <v>1062</v>
      </c>
    </row>
    <row r="8140" spans="14:14" ht="15" customHeight="1" x14ac:dyDescent="0.25">
      <c r="N8140" t="s">
        <v>1062</v>
      </c>
    </row>
    <row r="8141" spans="14:14" ht="15" customHeight="1" x14ac:dyDescent="0.25">
      <c r="N8141" t="s">
        <v>1062</v>
      </c>
    </row>
    <row r="8142" spans="14:14" ht="15" customHeight="1" x14ac:dyDescent="0.25">
      <c r="N8142" t="s">
        <v>976</v>
      </c>
    </row>
    <row r="8143" spans="14:14" ht="15" customHeight="1" x14ac:dyDescent="0.25">
      <c r="N8143" t="s">
        <v>976</v>
      </c>
    </row>
    <row r="8144" spans="14:14" ht="15" customHeight="1" x14ac:dyDescent="0.25">
      <c r="N8144" t="s">
        <v>976</v>
      </c>
    </row>
    <row r="8145" spans="14:14" ht="15" customHeight="1" x14ac:dyDescent="0.25">
      <c r="N8145" t="s">
        <v>1005</v>
      </c>
    </row>
    <row r="8146" spans="14:14" ht="15" customHeight="1" x14ac:dyDescent="0.25">
      <c r="N8146" t="s">
        <v>1005</v>
      </c>
    </row>
    <row r="8147" spans="14:14" ht="15" customHeight="1" x14ac:dyDescent="0.25">
      <c r="N8147" t="s">
        <v>273</v>
      </c>
    </row>
    <row r="8148" spans="14:14" ht="15" customHeight="1" x14ac:dyDescent="0.25">
      <c r="N8148" t="s">
        <v>1005</v>
      </c>
    </row>
    <row r="8149" spans="14:14" ht="15" customHeight="1" x14ac:dyDescent="0.25">
      <c r="N8149" t="s">
        <v>273</v>
      </c>
    </row>
    <row r="8150" spans="14:14" ht="15" customHeight="1" x14ac:dyDescent="0.25">
      <c r="N8150" t="s">
        <v>273</v>
      </c>
    </row>
    <row r="8151" spans="14:14" ht="15" customHeight="1" x14ac:dyDescent="0.25">
      <c r="N8151" t="s">
        <v>319</v>
      </c>
    </row>
    <row r="8152" spans="14:14" ht="15" customHeight="1" x14ac:dyDescent="0.25">
      <c r="N8152" t="s">
        <v>273</v>
      </c>
    </row>
    <row r="8153" spans="14:14" ht="15" customHeight="1" x14ac:dyDescent="0.25">
      <c r="N8153" t="s">
        <v>789</v>
      </c>
    </row>
    <row r="8154" spans="14:14" ht="15" customHeight="1" x14ac:dyDescent="0.25">
      <c r="N8154" t="s">
        <v>1179</v>
      </c>
    </row>
    <row r="8155" spans="14:14" ht="15" customHeight="1" x14ac:dyDescent="0.25">
      <c r="N8155" t="s">
        <v>1068</v>
      </c>
    </row>
    <row r="8156" spans="14:14" ht="15" customHeight="1" x14ac:dyDescent="0.25">
      <c r="N8156" t="s">
        <v>1068</v>
      </c>
    </row>
    <row r="8157" spans="14:14" ht="15" customHeight="1" x14ac:dyDescent="0.25">
      <c r="N8157" t="s">
        <v>1087</v>
      </c>
    </row>
    <row r="8158" spans="14:14" ht="15" customHeight="1" x14ac:dyDescent="0.25">
      <c r="N8158" t="s">
        <v>985</v>
      </c>
    </row>
    <row r="8159" spans="14:14" ht="15" customHeight="1" x14ac:dyDescent="0.25">
      <c r="N8159" t="s">
        <v>985</v>
      </c>
    </row>
    <row r="8160" spans="14:14" ht="15" customHeight="1" x14ac:dyDescent="0.25">
      <c r="N8160" t="s">
        <v>985</v>
      </c>
    </row>
    <row r="8161" spans="14:14" ht="15" customHeight="1" x14ac:dyDescent="0.25">
      <c r="N8161" t="s">
        <v>985</v>
      </c>
    </row>
    <row r="8162" spans="14:14" ht="15" customHeight="1" x14ac:dyDescent="0.25">
      <c r="N8162" t="s">
        <v>1068</v>
      </c>
    </row>
    <row r="8163" spans="14:14" ht="15" customHeight="1" x14ac:dyDescent="0.25">
      <c r="N8163" t="s">
        <v>1070</v>
      </c>
    </row>
    <row r="8164" spans="14:14" ht="15" customHeight="1" x14ac:dyDescent="0.25">
      <c r="N8164" t="s">
        <v>1070</v>
      </c>
    </row>
    <row r="8165" spans="14:14" ht="15" customHeight="1" x14ac:dyDescent="0.25">
      <c r="N8165" t="s">
        <v>1187</v>
      </c>
    </row>
    <row r="8166" spans="14:14" ht="15" customHeight="1" x14ac:dyDescent="0.25">
      <c r="N8166" t="s">
        <v>1187</v>
      </c>
    </row>
    <row r="8167" spans="14:14" ht="15" customHeight="1" x14ac:dyDescent="0.25">
      <c r="N8167" t="s">
        <v>1105</v>
      </c>
    </row>
    <row r="8168" spans="14:14" ht="15" customHeight="1" x14ac:dyDescent="0.25">
      <c r="N8168" t="s">
        <v>1105</v>
      </c>
    </row>
    <row r="8169" spans="14:14" ht="15" customHeight="1" x14ac:dyDescent="0.25">
      <c r="N8169" t="s">
        <v>1105</v>
      </c>
    </row>
    <row r="8170" spans="14:14" ht="15" customHeight="1" x14ac:dyDescent="0.25">
      <c r="N8170" t="s">
        <v>1105</v>
      </c>
    </row>
    <row r="8171" spans="14:14" ht="15" customHeight="1" x14ac:dyDescent="0.25">
      <c r="N8171" t="s">
        <v>1105</v>
      </c>
    </row>
    <row r="8172" spans="14:14" ht="15" customHeight="1" x14ac:dyDescent="0.25">
      <c r="N8172" t="s">
        <v>1105</v>
      </c>
    </row>
    <row r="8173" spans="14:14" ht="15" customHeight="1" x14ac:dyDescent="0.25">
      <c r="N8173" t="s">
        <v>1105</v>
      </c>
    </row>
    <row r="8174" spans="14:14" ht="15" customHeight="1" x14ac:dyDescent="0.25">
      <c r="N8174" t="s">
        <v>1105</v>
      </c>
    </row>
    <row r="8175" spans="14:14" ht="15" customHeight="1" x14ac:dyDescent="0.25">
      <c r="N8175" t="s">
        <v>980</v>
      </c>
    </row>
    <row r="8176" spans="14:14" ht="15" customHeight="1" x14ac:dyDescent="0.25">
      <c r="N8176" t="s">
        <v>985</v>
      </c>
    </row>
    <row r="8177" spans="14:14" ht="15" customHeight="1" x14ac:dyDescent="0.25">
      <c r="N8177" t="s">
        <v>930</v>
      </c>
    </row>
    <row r="8178" spans="14:14" ht="15" customHeight="1" x14ac:dyDescent="0.25">
      <c r="N8178" t="s">
        <v>930</v>
      </c>
    </row>
    <row r="8179" spans="14:14" ht="15" customHeight="1" x14ac:dyDescent="0.25">
      <c r="N8179" t="s">
        <v>989</v>
      </c>
    </row>
    <row r="8180" spans="14:14" ht="15" customHeight="1" x14ac:dyDescent="0.25">
      <c r="N8180" t="s">
        <v>1087</v>
      </c>
    </row>
    <row r="8181" spans="14:14" ht="15" customHeight="1" x14ac:dyDescent="0.25">
      <c r="N8181" t="s">
        <v>1087</v>
      </c>
    </row>
    <row r="8182" spans="14:14" ht="15" customHeight="1" x14ac:dyDescent="0.25">
      <c r="N8182" t="s">
        <v>1004</v>
      </c>
    </row>
    <row r="8183" spans="14:14" ht="15" customHeight="1" x14ac:dyDescent="0.25">
      <c r="N8183" t="s">
        <v>1193</v>
      </c>
    </row>
    <row r="8184" spans="14:14" ht="15" customHeight="1" x14ac:dyDescent="0.25">
      <c r="N8184" t="s">
        <v>910</v>
      </c>
    </row>
    <row r="8185" spans="14:14" ht="15" customHeight="1" x14ac:dyDescent="0.25">
      <c r="N8185" t="s">
        <v>1085</v>
      </c>
    </row>
    <row r="8186" spans="14:14" ht="15" customHeight="1" x14ac:dyDescent="0.25">
      <c r="N8186" t="s">
        <v>1085</v>
      </c>
    </row>
    <row r="8187" spans="14:14" ht="15" customHeight="1" x14ac:dyDescent="0.25">
      <c r="N8187" t="s">
        <v>930</v>
      </c>
    </row>
    <row r="8188" spans="14:14" ht="15" customHeight="1" x14ac:dyDescent="0.25">
      <c r="N8188" t="s">
        <v>942</v>
      </c>
    </row>
    <row r="8189" spans="14:14" ht="15" customHeight="1" x14ac:dyDescent="0.25">
      <c r="N8189" t="s">
        <v>1145</v>
      </c>
    </row>
    <row r="8190" spans="14:14" ht="15" customHeight="1" x14ac:dyDescent="0.25">
      <c r="N8190" t="s">
        <v>1145</v>
      </c>
    </row>
    <row r="8191" spans="14:14" ht="15" customHeight="1" x14ac:dyDescent="0.25">
      <c r="N8191" t="s">
        <v>1145</v>
      </c>
    </row>
    <row r="8192" spans="14:14" ht="15" customHeight="1" x14ac:dyDescent="0.25">
      <c r="N8192" t="s">
        <v>1145</v>
      </c>
    </row>
    <row r="8193" spans="14:14" ht="15" customHeight="1" x14ac:dyDescent="0.25">
      <c r="N8193" t="s">
        <v>1145</v>
      </c>
    </row>
    <row r="8194" spans="14:14" ht="15" customHeight="1" x14ac:dyDescent="0.25">
      <c r="N8194" t="s">
        <v>1145</v>
      </c>
    </row>
    <row r="8195" spans="14:14" ht="15" customHeight="1" x14ac:dyDescent="0.25">
      <c r="N8195" t="s">
        <v>1197</v>
      </c>
    </row>
    <row r="8196" spans="14:14" ht="15" customHeight="1" x14ac:dyDescent="0.25">
      <c r="N8196" t="s">
        <v>1198</v>
      </c>
    </row>
    <row r="8197" spans="14:14" ht="15" customHeight="1" x14ac:dyDescent="0.25">
      <c r="N8197" t="s">
        <v>1172</v>
      </c>
    </row>
    <row r="8198" spans="14:14" ht="15" customHeight="1" x14ac:dyDescent="0.25">
      <c r="N8198" t="s">
        <v>1200</v>
      </c>
    </row>
    <row r="8199" spans="14:14" ht="15" customHeight="1" x14ac:dyDescent="0.25">
      <c r="N8199" t="s">
        <v>1201</v>
      </c>
    </row>
    <row r="8200" spans="14:14" ht="15" customHeight="1" x14ac:dyDescent="0.25">
      <c r="N8200" t="s">
        <v>1203</v>
      </c>
    </row>
    <row r="8201" spans="14:14" ht="15" customHeight="1" x14ac:dyDescent="0.25">
      <c r="N8201" t="s">
        <v>1004</v>
      </c>
    </row>
    <row r="8202" spans="14:14" ht="15" customHeight="1" x14ac:dyDescent="0.25">
      <c r="N8202" t="s">
        <v>1204</v>
      </c>
    </row>
    <row r="8203" spans="14:14" ht="15" customHeight="1" x14ac:dyDescent="0.25">
      <c r="N8203" t="s">
        <v>1204</v>
      </c>
    </row>
    <row r="8204" spans="14:14" ht="15" customHeight="1" x14ac:dyDescent="0.25">
      <c r="N8204" t="s">
        <v>1204</v>
      </c>
    </row>
    <row r="8205" spans="14:14" ht="15" customHeight="1" x14ac:dyDescent="0.25">
      <c r="N8205" t="s">
        <v>1145</v>
      </c>
    </row>
    <row r="8206" spans="14:14" ht="15" customHeight="1" x14ac:dyDescent="0.25">
      <c r="N8206" t="s">
        <v>1004</v>
      </c>
    </row>
    <row r="8207" spans="14:14" ht="15" customHeight="1" x14ac:dyDescent="0.25">
      <c r="N8207" t="s">
        <v>1004</v>
      </c>
    </row>
    <row r="8208" spans="14:14" ht="15" customHeight="1" x14ac:dyDescent="0.25">
      <c r="N8208" t="s">
        <v>1005</v>
      </c>
    </row>
    <row r="8209" spans="14:14" ht="15" customHeight="1" x14ac:dyDescent="0.25">
      <c r="N8209" t="s">
        <v>1004</v>
      </c>
    </row>
    <row r="8210" spans="14:14" ht="15" customHeight="1" x14ac:dyDescent="0.25">
      <c r="N8210" t="s">
        <v>907</v>
      </c>
    </row>
    <row r="8211" spans="14:14" ht="15" customHeight="1" x14ac:dyDescent="0.25">
      <c r="N8211" t="s">
        <v>273</v>
      </c>
    </row>
    <row r="8212" spans="14:14" ht="15" customHeight="1" x14ac:dyDescent="0.25">
      <c r="N8212" t="s">
        <v>1005</v>
      </c>
    </row>
    <row r="8213" spans="14:14" ht="15" customHeight="1" x14ac:dyDescent="0.25">
      <c r="N8213" t="s">
        <v>1005</v>
      </c>
    </row>
    <row r="8214" spans="14:14" ht="15" customHeight="1" x14ac:dyDescent="0.25">
      <c r="N8214" t="s">
        <v>1005</v>
      </c>
    </row>
    <row r="8215" spans="14:14" ht="15" customHeight="1" x14ac:dyDescent="0.25">
      <c r="N8215" t="s">
        <v>1207</v>
      </c>
    </row>
    <row r="8216" spans="14:14" ht="15" customHeight="1" x14ac:dyDescent="0.25">
      <c r="N8216" t="s">
        <v>1207</v>
      </c>
    </row>
    <row r="8217" spans="14:14" ht="15" customHeight="1" x14ac:dyDescent="0.25">
      <c r="N8217" t="s">
        <v>1207</v>
      </c>
    </row>
    <row r="8218" spans="14:14" ht="15" customHeight="1" x14ac:dyDescent="0.25">
      <c r="N8218" t="s">
        <v>273</v>
      </c>
    </row>
    <row r="8219" spans="14:14" ht="15" customHeight="1" x14ac:dyDescent="0.25">
      <c r="N8219" t="s">
        <v>273</v>
      </c>
    </row>
    <row r="8220" spans="14:14" ht="15" customHeight="1" x14ac:dyDescent="0.25">
      <c r="N8220" t="s">
        <v>1111</v>
      </c>
    </row>
    <row r="8221" spans="14:14" ht="15" customHeight="1" x14ac:dyDescent="0.25">
      <c r="N8221" t="s">
        <v>273</v>
      </c>
    </row>
    <row r="8222" spans="14:14" ht="15" customHeight="1" x14ac:dyDescent="0.25">
      <c r="N8222" t="s">
        <v>273</v>
      </c>
    </row>
    <row r="8223" spans="14:14" ht="15" customHeight="1" x14ac:dyDescent="0.25">
      <c r="N8223" t="s">
        <v>1211</v>
      </c>
    </row>
    <row r="8224" spans="14:14" ht="15" customHeight="1" x14ac:dyDescent="0.25">
      <c r="N8224" t="s">
        <v>1213</v>
      </c>
    </row>
    <row r="8225" spans="14:14" ht="15" customHeight="1" x14ac:dyDescent="0.25">
      <c r="N8225" t="s">
        <v>1005</v>
      </c>
    </row>
    <row r="8226" spans="14:14" ht="15" customHeight="1" x14ac:dyDescent="0.25">
      <c r="N8226" t="s">
        <v>789</v>
      </c>
    </row>
    <row r="8227" spans="14:14" ht="15" customHeight="1" x14ac:dyDescent="0.25">
      <c r="N8227" t="s">
        <v>1090</v>
      </c>
    </row>
    <row r="8228" spans="14:14" ht="15" customHeight="1" x14ac:dyDescent="0.25">
      <c r="N8228" t="s">
        <v>1090</v>
      </c>
    </row>
    <row r="8229" spans="14:14" ht="15" customHeight="1" x14ac:dyDescent="0.25">
      <c r="N8229" t="s">
        <v>1318</v>
      </c>
    </row>
    <row r="8230" spans="14:14" ht="15" customHeight="1" x14ac:dyDescent="0.25">
      <c r="N8230" t="s">
        <v>294</v>
      </c>
    </row>
    <row r="8231" spans="14:14" ht="15" customHeight="1" x14ac:dyDescent="0.25">
      <c r="N8231" t="s">
        <v>1087</v>
      </c>
    </row>
    <row r="8232" spans="14:14" ht="15" customHeight="1" x14ac:dyDescent="0.25">
      <c r="N8232" t="s">
        <v>1004</v>
      </c>
    </row>
    <row r="8233" spans="14:14" ht="15" customHeight="1" x14ac:dyDescent="0.25">
      <c r="N8233" t="s">
        <v>1004</v>
      </c>
    </row>
    <row r="8234" spans="14:14" ht="15" customHeight="1" x14ac:dyDescent="0.25">
      <c r="N8234" t="s">
        <v>1214</v>
      </c>
    </row>
    <row r="8235" spans="14:14" ht="15" customHeight="1" x14ac:dyDescent="0.25">
      <c r="N8235" t="s">
        <v>1214</v>
      </c>
    </row>
    <row r="8236" spans="14:14" ht="15" customHeight="1" x14ac:dyDescent="0.25">
      <c r="N8236" t="s">
        <v>1068</v>
      </c>
    </row>
    <row r="8237" spans="14:14" ht="15" customHeight="1" x14ac:dyDescent="0.25">
      <c r="N8237" t="s">
        <v>1068</v>
      </c>
    </row>
    <row r="8238" spans="14:14" ht="15" customHeight="1" x14ac:dyDescent="0.25">
      <c r="N8238" t="s">
        <v>1187</v>
      </c>
    </row>
    <row r="8239" spans="14:14" ht="15" customHeight="1" x14ac:dyDescent="0.25">
      <c r="N8239" t="s">
        <v>1187</v>
      </c>
    </row>
    <row r="8240" spans="14:14" ht="15" customHeight="1" x14ac:dyDescent="0.25">
      <c r="N8240" t="s">
        <v>1187</v>
      </c>
    </row>
    <row r="8241" spans="14:14" ht="15" customHeight="1" x14ac:dyDescent="0.25">
      <c r="N8241" t="s">
        <v>1187</v>
      </c>
    </row>
    <row r="8242" spans="14:14" ht="15" customHeight="1" x14ac:dyDescent="0.25">
      <c r="N8242" t="s">
        <v>1187</v>
      </c>
    </row>
    <row r="8243" spans="14:14" ht="15" customHeight="1" x14ac:dyDescent="0.25">
      <c r="N8243" t="s">
        <v>1187</v>
      </c>
    </row>
    <row r="8244" spans="14:14" ht="15" customHeight="1" x14ac:dyDescent="0.25">
      <c r="N8244" t="s">
        <v>1187</v>
      </c>
    </row>
    <row r="8245" spans="14:14" ht="15" customHeight="1" x14ac:dyDescent="0.25">
      <c r="N8245" t="s">
        <v>1187</v>
      </c>
    </row>
    <row r="8246" spans="14:14" ht="15" customHeight="1" x14ac:dyDescent="0.25">
      <c r="N8246" t="s">
        <v>1089</v>
      </c>
    </row>
    <row r="8247" spans="14:14" ht="15" customHeight="1" x14ac:dyDescent="0.25">
      <c r="N8247" t="s">
        <v>1089</v>
      </c>
    </row>
    <row r="8248" spans="14:14" ht="15" customHeight="1" x14ac:dyDescent="0.25">
      <c r="N8248" t="s">
        <v>1215</v>
      </c>
    </row>
    <row r="8249" spans="14:14" ht="15" customHeight="1" x14ac:dyDescent="0.25">
      <c r="N8249" t="s">
        <v>985</v>
      </c>
    </row>
    <row r="8250" spans="14:14" ht="15" customHeight="1" x14ac:dyDescent="0.25">
      <c r="N8250" t="s">
        <v>930</v>
      </c>
    </row>
    <row r="8251" spans="14:14" ht="15" customHeight="1" x14ac:dyDescent="0.25">
      <c r="N8251" t="s">
        <v>930</v>
      </c>
    </row>
    <row r="8252" spans="14:14" ht="15" customHeight="1" x14ac:dyDescent="0.25">
      <c r="N8252" t="s">
        <v>910</v>
      </c>
    </row>
    <row r="8253" spans="14:14" ht="15" customHeight="1" x14ac:dyDescent="0.25">
      <c r="N8253" t="s">
        <v>1124</v>
      </c>
    </row>
    <row r="8254" spans="14:14" ht="15" customHeight="1" x14ac:dyDescent="0.25">
      <c r="N8254" t="s">
        <v>1089</v>
      </c>
    </row>
    <row r="8255" spans="14:14" ht="15" customHeight="1" x14ac:dyDescent="0.25">
      <c r="N8255" t="s">
        <v>1068</v>
      </c>
    </row>
    <row r="8256" spans="14:14" ht="15" customHeight="1" x14ac:dyDescent="0.25">
      <c r="N8256" t="s">
        <v>1068</v>
      </c>
    </row>
    <row r="8257" spans="14:14" ht="15" customHeight="1" x14ac:dyDescent="0.25">
      <c r="N8257" t="s">
        <v>930</v>
      </c>
    </row>
    <row r="8258" spans="14:14" ht="15" customHeight="1" x14ac:dyDescent="0.25">
      <c r="N8258" t="s">
        <v>1100</v>
      </c>
    </row>
    <row r="8259" spans="14:14" ht="15" customHeight="1" x14ac:dyDescent="0.25">
      <c r="N8259" t="s">
        <v>1087</v>
      </c>
    </row>
    <row r="8260" spans="14:14" ht="15" customHeight="1" x14ac:dyDescent="0.25">
      <c r="N8260" t="s">
        <v>1220</v>
      </c>
    </row>
    <row r="8261" spans="14:14" ht="15" customHeight="1" x14ac:dyDescent="0.25">
      <c r="N8261" t="s">
        <v>985</v>
      </c>
    </row>
    <row r="8262" spans="14:14" ht="15" customHeight="1" x14ac:dyDescent="0.25">
      <c r="N8262" t="s">
        <v>1011</v>
      </c>
    </row>
    <row r="8263" spans="14:14" ht="15" customHeight="1" x14ac:dyDescent="0.25">
      <c r="N8263" t="s">
        <v>1004</v>
      </c>
    </row>
    <row r="8264" spans="14:14" ht="15" customHeight="1" x14ac:dyDescent="0.25">
      <c r="N8264" t="s">
        <v>1224</v>
      </c>
    </row>
    <row r="8265" spans="14:14" ht="15" customHeight="1" x14ac:dyDescent="0.25">
      <c r="N8265" t="s">
        <v>1224</v>
      </c>
    </row>
    <row r="8266" spans="14:14" ht="15" customHeight="1" x14ac:dyDescent="0.25">
      <c r="N8266" t="s">
        <v>1224</v>
      </c>
    </row>
    <row r="8267" spans="14:14" ht="15" customHeight="1" x14ac:dyDescent="0.25">
      <c r="N8267" t="s">
        <v>1004</v>
      </c>
    </row>
    <row r="8268" spans="14:14" ht="15" customHeight="1" x14ac:dyDescent="0.25">
      <c r="N8268" t="s">
        <v>1004</v>
      </c>
    </row>
    <row r="8269" spans="14:14" ht="15" customHeight="1" x14ac:dyDescent="0.25">
      <c r="N8269" t="s">
        <v>1005</v>
      </c>
    </row>
    <row r="8270" spans="14:14" ht="15" customHeight="1" x14ac:dyDescent="0.25">
      <c r="N8270" t="s">
        <v>1070</v>
      </c>
    </row>
    <row r="8271" spans="14:14" ht="15" customHeight="1" x14ac:dyDescent="0.25">
      <c r="N8271" t="s">
        <v>273</v>
      </c>
    </row>
    <row r="8272" spans="14:14" ht="15" customHeight="1" x14ac:dyDescent="0.25">
      <c r="N8272" t="s">
        <v>1005</v>
      </c>
    </row>
    <row r="8273" spans="14:14" ht="15" customHeight="1" x14ac:dyDescent="0.25">
      <c r="N8273" t="s">
        <v>1005</v>
      </c>
    </row>
    <row r="8274" spans="14:14" ht="15" customHeight="1" x14ac:dyDescent="0.25">
      <c r="N8274" t="s">
        <v>1005</v>
      </c>
    </row>
    <row r="8275" spans="14:14" ht="15" customHeight="1" x14ac:dyDescent="0.25">
      <c r="N8275" t="s">
        <v>1090</v>
      </c>
    </row>
    <row r="8276" spans="14:14" ht="15" customHeight="1" x14ac:dyDescent="0.25">
      <c r="N8276" t="s">
        <v>1090</v>
      </c>
    </row>
    <row r="8277" spans="14:14" ht="15" customHeight="1" x14ac:dyDescent="0.25">
      <c r="N8277" t="s">
        <v>1090</v>
      </c>
    </row>
    <row r="8278" spans="14:14" ht="15" customHeight="1" x14ac:dyDescent="0.25">
      <c r="N8278" t="s">
        <v>231</v>
      </c>
    </row>
    <row r="8279" spans="14:14" ht="15" customHeight="1" x14ac:dyDescent="0.25">
      <c r="N8279" t="s">
        <v>1109</v>
      </c>
    </row>
    <row r="8280" spans="14:14" ht="15" customHeight="1" x14ac:dyDescent="0.25">
      <c r="N8280" t="s">
        <v>1062</v>
      </c>
    </row>
    <row r="8281" spans="14:14" ht="15" customHeight="1" x14ac:dyDescent="0.25">
      <c r="N8281" t="s">
        <v>1062</v>
      </c>
    </row>
    <row r="8282" spans="14:14" ht="15" customHeight="1" x14ac:dyDescent="0.25">
      <c r="N8282" t="s">
        <v>1063</v>
      </c>
    </row>
    <row r="8283" spans="14:14" ht="15" customHeight="1" x14ac:dyDescent="0.25">
      <c r="N8283" t="s">
        <v>1226</v>
      </c>
    </row>
    <row r="8284" spans="14:14" ht="15" customHeight="1" x14ac:dyDescent="0.25">
      <c r="N8284" t="s">
        <v>273</v>
      </c>
    </row>
    <row r="8285" spans="14:14" ht="15" customHeight="1" x14ac:dyDescent="0.25">
      <c r="N8285" t="s">
        <v>1005</v>
      </c>
    </row>
    <row r="8286" spans="14:14" ht="15" customHeight="1" x14ac:dyDescent="0.25">
      <c r="N8286" t="s">
        <v>273</v>
      </c>
    </row>
    <row r="8287" spans="14:14" ht="15" customHeight="1" x14ac:dyDescent="0.25">
      <c r="N8287" t="s">
        <v>890</v>
      </c>
    </row>
    <row r="8288" spans="14:14" ht="15" customHeight="1" x14ac:dyDescent="0.25">
      <c r="N8288" t="s">
        <v>1238</v>
      </c>
    </row>
    <row r="8289" spans="14:14" ht="15" customHeight="1" x14ac:dyDescent="0.25">
      <c r="N8289" t="s">
        <v>1238</v>
      </c>
    </row>
    <row r="8290" spans="14:14" ht="15" customHeight="1" x14ac:dyDescent="0.25">
      <c r="N8290" t="s">
        <v>1087</v>
      </c>
    </row>
    <row r="8291" spans="14:14" ht="15" customHeight="1" x14ac:dyDescent="0.25">
      <c r="N8291" t="s">
        <v>1004</v>
      </c>
    </row>
    <row r="8292" spans="14:14" ht="15" customHeight="1" x14ac:dyDescent="0.25">
      <c r="N8292" t="s">
        <v>1004</v>
      </c>
    </row>
    <row r="8293" spans="14:14" ht="15" customHeight="1" x14ac:dyDescent="0.25">
      <c r="N8293" t="s">
        <v>1179</v>
      </c>
    </row>
    <row r="8294" spans="14:14" ht="15" customHeight="1" x14ac:dyDescent="0.25">
      <c r="N8294" t="s">
        <v>1179</v>
      </c>
    </row>
    <row r="8295" spans="14:14" ht="15" customHeight="1" x14ac:dyDescent="0.25">
      <c r="N8295" t="s">
        <v>1179</v>
      </c>
    </row>
    <row r="8296" spans="14:14" ht="15" customHeight="1" x14ac:dyDescent="0.25">
      <c r="N8296" t="s">
        <v>1179</v>
      </c>
    </row>
    <row r="8297" spans="14:14" ht="15" customHeight="1" x14ac:dyDescent="0.25">
      <c r="N8297" t="s">
        <v>1179</v>
      </c>
    </row>
    <row r="8298" spans="14:14" ht="15" customHeight="1" x14ac:dyDescent="0.25">
      <c r="N8298" t="s">
        <v>1179</v>
      </c>
    </row>
    <row r="8299" spans="14:14" ht="15" customHeight="1" x14ac:dyDescent="0.25">
      <c r="N8299" t="s">
        <v>1179</v>
      </c>
    </row>
    <row r="8300" spans="14:14" ht="15" customHeight="1" x14ac:dyDescent="0.25">
      <c r="N8300" t="s">
        <v>1179</v>
      </c>
    </row>
    <row r="8301" spans="14:14" ht="15" customHeight="1" x14ac:dyDescent="0.25">
      <c r="N8301" t="s">
        <v>1179</v>
      </c>
    </row>
    <row r="8302" spans="14:14" ht="15" customHeight="1" x14ac:dyDescent="0.25">
      <c r="N8302" t="s">
        <v>1179</v>
      </c>
    </row>
    <row r="8303" spans="14:14" ht="15" customHeight="1" x14ac:dyDescent="0.25">
      <c r="N8303" t="s">
        <v>907</v>
      </c>
    </row>
    <row r="8304" spans="14:14" ht="15" customHeight="1" x14ac:dyDescent="0.25">
      <c r="N8304" t="s">
        <v>1124</v>
      </c>
    </row>
    <row r="8305" spans="14:14" ht="15" customHeight="1" x14ac:dyDescent="0.25">
      <c r="N8305" t="s">
        <v>1078</v>
      </c>
    </row>
    <row r="8306" spans="14:14" ht="15" customHeight="1" x14ac:dyDescent="0.25">
      <c r="N8306" t="s">
        <v>1068</v>
      </c>
    </row>
    <row r="8307" spans="14:14" ht="15" customHeight="1" x14ac:dyDescent="0.25">
      <c r="N8307" t="s">
        <v>1068</v>
      </c>
    </row>
    <row r="8308" spans="14:14" ht="15" customHeight="1" x14ac:dyDescent="0.25">
      <c r="N8308" t="s">
        <v>985</v>
      </c>
    </row>
    <row r="8309" spans="14:14" ht="15" customHeight="1" x14ac:dyDescent="0.25">
      <c r="N8309" t="s">
        <v>1087</v>
      </c>
    </row>
    <row r="8310" spans="14:14" ht="15" customHeight="1" x14ac:dyDescent="0.25">
      <c r="N8310" t="s">
        <v>1068</v>
      </c>
    </row>
    <row r="8311" spans="14:14" ht="15" customHeight="1" x14ac:dyDescent="0.25">
      <c r="N8311" t="s">
        <v>989</v>
      </c>
    </row>
    <row r="8312" spans="14:14" ht="15" customHeight="1" x14ac:dyDescent="0.25">
      <c r="N8312" t="s">
        <v>1234</v>
      </c>
    </row>
    <row r="8313" spans="14:14" ht="15" customHeight="1" x14ac:dyDescent="0.25">
      <c r="N8313" t="s">
        <v>1004</v>
      </c>
    </row>
    <row r="8314" spans="14:14" ht="15" customHeight="1" x14ac:dyDescent="0.25">
      <c r="N8314" t="s">
        <v>1068</v>
      </c>
    </row>
    <row r="8315" spans="14:14" ht="15" customHeight="1" x14ac:dyDescent="0.25">
      <c r="N8315" t="s">
        <v>1068</v>
      </c>
    </row>
    <row r="8316" spans="14:14" ht="15" customHeight="1" x14ac:dyDescent="0.25">
      <c r="N8316" t="s">
        <v>1087</v>
      </c>
    </row>
    <row r="8317" spans="14:14" ht="15" customHeight="1" x14ac:dyDescent="0.25">
      <c r="N8317" t="s">
        <v>1100</v>
      </c>
    </row>
    <row r="8318" spans="14:14" ht="15" customHeight="1" x14ac:dyDescent="0.25">
      <c r="N8318" t="s">
        <v>1087</v>
      </c>
    </row>
    <row r="8319" spans="14:14" ht="15" customHeight="1" x14ac:dyDescent="0.25">
      <c r="N8319" t="s">
        <v>1145</v>
      </c>
    </row>
    <row r="8320" spans="14:14" ht="15" customHeight="1" x14ac:dyDescent="0.25">
      <c r="N8320" t="s">
        <v>930</v>
      </c>
    </row>
    <row r="8321" spans="14:14" ht="15" customHeight="1" x14ac:dyDescent="0.25">
      <c r="N8321" t="s">
        <v>1004</v>
      </c>
    </row>
    <row r="8322" spans="14:14" ht="15" customHeight="1" x14ac:dyDescent="0.25">
      <c r="N8322" t="s">
        <v>1070</v>
      </c>
    </row>
    <row r="8323" spans="14:14" ht="15" customHeight="1" x14ac:dyDescent="0.25">
      <c r="N8323" t="s">
        <v>1068</v>
      </c>
    </row>
    <row r="8324" spans="14:14" ht="15" customHeight="1" x14ac:dyDescent="0.25">
      <c r="N8324" t="s">
        <v>1068</v>
      </c>
    </row>
    <row r="8325" spans="14:14" ht="15" customHeight="1" x14ac:dyDescent="0.25">
      <c r="N8325" t="s">
        <v>1087</v>
      </c>
    </row>
    <row r="8326" spans="14:14" ht="15" customHeight="1" x14ac:dyDescent="0.25">
      <c r="N8326" t="s">
        <v>273</v>
      </c>
    </row>
    <row r="8327" spans="14:14" ht="15" customHeight="1" x14ac:dyDescent="0.25">
      <c r="N8327" t="s">
        <v>1238</v>
      </c>
    </row>
    <row r="8328" spans="14:14" ht="15" customHeight="1" x14ac:dyDescent="0.25">
      <c r="N8328" t="s">
        <v>1238</v>
      </c>
    </row>
    <row r="8329" spans="14:14" ht="15" customHeight="1" x14ac:dyDescent="0.25">
      <c r="N8329" t="s">
        <v>1238</v>
      </c>
    </row>
    <row r="8330" spans="14:14" ht="15" customHeight="1" x14ac:dyDescent="0.25">
      <c r="N8330" t="s">
        <v>148</v>
      </c>
    </row>
    <row r="8331" spans="14:14" ht="15" customHeight="1" x14ac:dyDescent="0.25">
      <c r="N8331" t="s">
        <v>273</v>
      </c>
    </row>
    <row r="8332" spans="14:14" ht="15" customHeight="1" x14ac:dyDescent="0.25">
      <c r="N8332" t="s">
        <v>1109</v>
      </c>
    </row>
    <row r="8333" spans="14:14" ht="15" customHeight="1" x14ac:dyDescent="0.25">
      <c r="N8333" t="s">
        <v>273</v>
      </c>
    </row>
    <row r="8334" spans="14:14" ht="15" customHeight="1" x14ac:dyDescent="0.25">
      <c r="N8334" t="s">
        <v>273</v>
      </c>
    </row>
    <row r="8335" spans="14:14" ht="15" customHeight="1" x14ac:dyDescent="0.25">
      <c r="N8335" t="s">
        <v>1239</v>
      </c>
    </row>
    <row r="8336" spans="14:14" ht="15" customHeight="1" x14ac:dyDescent="0.25">
      <c r="N8336" t="s">
        <v>1005</v>
      </c>
    </row>
    <row r="8337" spans="14:14" ht="15" customHeight="1" x14ac:dyDescent="0.25">
      <c r="N8337" t="s">
        <v>273</v>
      </c>
    </row>
    <row r="8338" spans="14:14" ht="15" customHeight="1" x14ac:dyDescent="0.25">
      <c r="N8338" t="s">
        <v>1005</v>
      </c>
    </row>
    <row r="8339" spans="14:14" ht="15" customHeight="1" x14ac:dyDescent="0.25">
      <c r="N8339" t="s">
        <v>1064</v>
      </c>
    </row>
    <row r="8340" spans="14:14" ht="15" customHeight="1" x14ac:dyDescent="0.25">
      <c r="N8340" t="s">
        <v>273</v>
      </c>
    </row>
    <row r="8341" spans="14:14" ht="15" customHeight="1" x14ac:dyDescent="0.25">
      <c r="N8341" t="s">
        <v>452</v>
      </c>
    </row>
    <row r="8342" spans="14:14" ht="15" customHeight="1" x14ac:dyDescent="0.25">
      <c r="N8342" t="s">
        <v>1087</v>
      </c>
    </row>
    <row r="8343" spans="14:14" ht="15" customHeight="1" x14ac:dyDescent="0.25">
      <c r="N8343" t="s">
        <v>1087</v>
      </c>
    </row>
    <row r="8344" spans="14:14" ht="15" customHeight="1" x14ac:dyDescent="0.25">
      <c r="N8344" t="s">
        <v>1087</v>
      </c>
    </row>
    <row r="8345" spans="14:14" ht="15" customHeight="1" x14ac:dyDescent="0.25">
      <c r="N8345" t="s">
        <v>930</v>
      </c>
    </row>
    <row r="8346" spans="14:14" ht="15" customHeight="1" x14ac:dyDescent="0.25">
      <c r="N8346" t="s">
        <v>1197</v>
      </c>
    </row>
    <row r="8347" spans="14:14" ht="15" customHeight="1" x14ac:dyDescent="0.25">
      <c r="N8347" t="s">
        <v>1197</v>
      </c>
    </row>
    <row r="8348" spans="14:14" ht="15" customHeight="1" x14ac:dyDescent="0.25">
      <c r="N8348" t="s">
        <v>1214</v>
      </c>
    </row>
    <row r="8349" spans="14:14" ht="15" customHeight="1" x14ac:dyDescent="0.25">
      <c r="N8349" t="s">
        <v>1087</v>
      </c>
    </row>
    <row r="8350" spans="14:14" ht="15" customHeight="1" x14ac:dyDescent="0.25">
      <c r="N8350" t="s">
        <v>1004</v>
      </c>
    </row>
    <row r="8351" spans="14:14" ht="15" customHeight="1" x14ac:dyDescent="0.25">
      <c r="N8351" t="s">
        <v>1087</v>
      </c>
    </row>
    <row r="8352" spans="14:14" ht="15" customHeight="1" x14ac:dyDescent="0.25">
      <c r="N8352" t="s">
        <v>1183</v>
      </c>
    </row>
    <row r="8353" spans="14:14" ht="15" customHeight="1" x14ac:dyDescent="0.25">
      <c r="N8353" t="s">
        <v>1214</v>
      </c>
    </row>
    <row r="8354" spans="14:14" ht="15" customHeight="1" x14ac:dyDescent="0.25">
      <c r="N8354" t="s">
        <v>1241</v>
      </c>
    </row>
    <row r="8355" spans="14:14" ht="15" customHeight="1" x14ac:dyDescent="0.25">
      <c r="N8355" t="s">
        <v>1068</v>
      </c>
    </row>
    <row r="8356" spans="14:14" ht="15" customHeight="1" x14ac:dyDescent="0.25">
      <c r="N8356" t="s">
        <v>1004</v>
      </c>
    </row>
    <row r="8357" spans="14:14" ht="15" customHeight="1" x14ac:dyDescent="0.25">
      <c r="N8357" t="s">
        <v>1070</v>
      </c>
    </row>
    <row r="8358" spans="14:14" ht="15" customHeight="1" x14ac:dyDescent="0.25">
      <c r="N8358" t="s">
        <v>1068</v>
      </c>
    </row>
    <row r="8359" spans="14:14" ht="15" customHeight="1" x14ac:dyDescent="0.25">
      <c r="N8359" t="s">
        <v>1068</v>
      </c>
    </row>
    <row r="8360" spans="14:14" ht="15" customHeight="1" x14ac:dyDescent="0.25">
      <c r="N8360" t="s">
        <v>1087</v>
      </c>
    </row>
    <row r="8361" spans="14:14" ht="15" customHeight="1" x14ac:dyDescent="0.25">
      <c r="N8361" t="s">
        <v>273</v>
      </c>
    </row>
    <row r="8362" spans="14:14" ht="15" customHeight="1" x14ac:dyDescent="0.25">
      <c r="N8362" t="s">
        <v>1198</v>
      </c>
    </row>
    <row r="8363" spans="14:14" ht="15" customHeight="1" x14ac:dyDescent="0.25">
      <c r="N8363" t="s">
        <v>1198</v>
      </c>
    </row>
    <row r="8364" spans="14:14" ht="15" customHeight="1" x14ac:dyDescent="0.25">
      <c r="N8364" t="s">
        <v>1198</v>
      </c>
    </row>
    <row r="8365" spans="14:14" ht="15" customHeight="1" x14ac:dyDescent="0.25">
      <c r="N8365" t="s">
        <v>1005</v>
      </c>
    </row>
    <row r="8366" spans="14:14" ht="15" customHeight="1" x14ac:dyDescent="0.25">
      <c r="N8366" t="s">
        <v>1227</v>
      </c>
    </row>
    <row r="8367" spans="14:14" ht="15" customHeight="1" x14ac:dyDescent="0.25">
      <c r="N8367" t="s">
        <v>273</v>
      </c>
    </row>
    <row r="8368" spans="14:14" ht="15" customHeight="1" x14ac:dyDescent="0.25">
      <c r="N8368" t="s">
        <v>1087</v>
      </c>
    </row>
    <row r="8369" spans="14:14" ht="15" customHeight="1" x14ac:dyDescent="0.25">
      <c r="N8369" t="s">
        <v>1087</v>
      </c>
    </row>
    <row r="8370" spans="14:14" ht="15" customHeight="1" x14ac:dyDescent="0.25">
      <c r="N8370" t="s">
        <v>1004</v>
      </c>
    </row>
    <row r="8371" spans="14:14" ht="15" customHeight="1" x14ac:dyDescent="0.25">
      <c r="N8371" t="s">
        <v>1214</v>
      </c>
    </row>
    <row r="8372" spans="14:14" ht="15" customHeight="1" x14ac:dyDescent="0.25">
      <c r="N8372" t="s">
        <v>1214</v>
      </c>
    </row>
    <row r="8373" spans="14:14" ht="15" customHeight="1" x14ac:dyDescent="0.25">
      <c r="N8373" t="s">
        <v>1068</v>
      </c>
    </row>
    <row r="8374" spans="14:14" ht="15" customHeight="1" x14ac:dyDescent="0.25">
      <c r="N8374" t="s">
        <v>1004</v>
      </c>
    </row>
    <row r="8375" spans="14:14" ht="15" customHeight="1" x14ac:dyDescent="0.25">
      <c r="N8375" t="s">
        <v>1068</v>
      </c>
    </row>
    <row r="8376" spans="14:14" ht="15" customHeight="1" x14ac:dyDescent="0.25">
      <c r="N8376" t="s">
        <v>1072</v>
      </c>
    </row>
    <row r="8377" spans="14:14" ht="15" customHeight="1" x14ac:dyDescent="0.25">
      <c r="N8377" t="s">
        <v>1072</v>
      </c>
    </row>
    <row r="8378" spans="14:14" ht="15" customHeight="1" x14ac:dyDescent="0.25">
      <c r="N8378" t="s">
        <v>1072</v>
      </c>
    </row>
    <row r="8379" spans="14:14" ht="15" customHeight="1" x14ac:dyDescent="0.25">
      <c r="N8379" t="s">
        <v>1072</v>
      </c>
    </row>
    <row r="8380" spans="14:14" ht="15" customHeight="1" x14ac:dyDescent="0.25">
      <c r="N8380" t="s">
        <v>1072</v>
      </c>
    </row>
    <row r="8381" spans="14:14" ht="15" customHeight="1" x14ac:dyDescent="0.25">
      <c r="N8381" t="s">
        <v>1072</v>
      </c>
    </row>
    <row r="8382" spans="14:14" ht="15" customHeight="1" x14ac:dyDescent="0.25">
      <c r="N8382" t="s">
        <v>1087</v>
      </c>
    </row>
    <row r="8383" spans="14:14" ht="15" customHeight="1" x14ac:dyDescent="0.25">
      <c r="N8383" t="s">
        <v>1087</v>
      </c>
    </row>
    <row r="8384" spans="14:14" ht="15" customHeight="1" x14ac:dyDescent="0.25">
      <c r="N8384" t="s">
        <v>1068</v>
      </c>
    </row>
    <row r="8385" spans="14:14" ht="15" customHeight="1" x14ac:dyDescent="0.25">
      <c r="N8385" t="s">
        <v>1068</v>
      </c>
    </row>
    <row r="8386" spans="14:14" ht="15" customHeight="1" x14ac:dyDescent="0.25">
      <c r="N8386" t="s">
        <v>148</v>
      </c>
    </row>
    <row r="8387" spans="14:14" ht="15" customHeight="1" x14ac:dyDescent="0.25">
      <c r="N8387" t="s">
        <v>1005</v>
      </c>
    </row>
    <row r="8388" spans="14:14" ht="15" customHeight="1" x14ac:dyDescent="0.25">
      <c r="N8388" t="s">
        <v>1090</v>
      </c>
    </row>
    <row r="8389" spans="14:14" ht="15" customHeight="1" x14ac:dyDescent="0.25">
      <c r="N8389" t="s">
        <v>1241</v>
      </c>
    </row>
    <row r="8390" spans="14:14" ht="15" customHeight="1" x14ac:dyDescent="0.25">
      <c r="N8390" t="s">
        <v>1241</v>
      </c>
    </row>
    <row r="8391" spans="14:14" ht="15" customHeight="1" x14ac:dyDescent="0.25">
      <c r="N8391" t="s">
        <v>1005</v>
      </c>
    </row>
    <row r="8392" spans="14:14" ht="15" customHeight="1" x14ac:dyDescent="0.25">
      <c r="N8392" t="s">
        <v>1105</v>
      </c>
    </row>
    <row r="8393" spans="14:14" ht="15" customHeight="1" x14ac:dyDescent="0.25">
      <c r="N8393" t="s">
        <v>1004</v>
      </c>
    </row>
    <row r="8394" spans="14:14" ht="15" customHeight="1" x14ac:dyDescent="0.25">
      <c r="N8394" t="s">
        <v>1250</v>
      </c>
    </row>
    <row r="8395" spans="14:14" ht="15" customHeight="1" x14ac:dyDescent="0.25">
      <c r="N8395" t="s">
        <v>1004</v>
      </c>
    </row>
    <row r="8396" spans="14:14" ht="15" customHeight="1" x14ac:dyDescent="0.25">
      <c r="N8396" t="s">
        <v>1068</v>
      </c>
    </row>
    <row r="8397" spans="14:14" ht="15" customHeight="1" x14ac:dyDescent="0.25">
      <c r="N8397" t="s">
        <v>1116</v>
      </c>
    </row>
    <row r="8398" spans="14:14" ht="15" customHeight="1" x14ac:dyDescent="0.25">
      <c r="N8398" t="s">
        <v>1116</v>
      </c>
    </row>
    <row r="8399" spans="14:14" ht="15" customHeight="1" x14ac:dyDescent="0.25">
      <c r="N8399" t="s">
        <v>1116</v>
      </c>
    </row>
    <row r="8400" spans="14:14" ht="15" customHeight="1" x14ac:dyDescent="0.25">
      <c r="N8400" t="s">
        <v>1116</v>
      </c>
    </row>
    <row r="8401" spans="14:14" ht="15" customHeight="1" x14ac:dyDescent="0.25">
      <c r="N8401" t="s">
        <v>1116</v>
      </c>
    </row>
    <row r="8402" spans="14:14" ht="15" customHeight="1" x14ac:dyDescent="0.25">
      <c r="N8402" t="s">
        <v>1116</v>
      </c>
    </row>
    <row r="8403" spans="14:14" ht="15" customHeight="1" x14ac:dyDescent="0.25">
      <c r="N8403" t="s">
        <v>1087</v>
      </c>
    </row>
    <row r="8404" spans="14:14" ht="15" customHeight="1" x14ac:dyDescent="0.25">
      <c r="N8404" t="s">
        <v>1087</v>
      </c>
    </row>
    <row r="8405" spans="14:14" ht="15" customHeight="1" x14ac:dyDescent="0.25">
      <c r="N8405" t="s">
        <v>1070</v>
      </c>
    </row>
    <row r="8406" spans="14:14" ht="15" customHeight="1" x14ac:dyDescent="0.25">
      <c r="N8406" t="s">
        <v>1087</v>
      </c>
    </row>
    <row r="8407" spans="14:14" ht="15" customHeight="1" x14ac:dyDescent="0.25">
      <c r="N8407" t="s">
        <v>1087</v>
      </c>
    </row>
    <row r="8408" spans="14:14" ht="15" customHeight="1" x14ac:dyDescent="0.25">
      <c r="N8408" t="s">
        <v>1253</v>
      </c>
    </row>
    <row r="8409" spans="14:14" ht="15" customHeight="1" x14ac:dyDescent="0.25">
      <c r="N8409" t="s">
        <v>1241</v>
      </c>
    </row>
    <row r="8410" spans="14:14" ht="15" customHeight="1" x14ac:dyDescent="0.25">
      <c r="N8410" t="s">
        <v>1005</v>
      </c>
    </row>
    <row r="8411" spans="14:14" ht="15" customHeight="1" x14ac:dyDescent="0.25">
      <c r="N8411" t="s">
        <v>1144</v>
      </c>
    </row>
    <row r="8412" spans="14:14" ht="15" customHeight="1" x14ac:dyDescent="0.25">
      <c r="N8412" t="s">
        <v>1254</v>
      </c>
    </row>
    <row r="8413" spans="14:14" ht="15" customHeight="1" x14ac:dyDescent="0.25">
      <c r="N8413" t="s">
        <v>273</v>
      </c>
    </row>
    <row r="8414" spans="14:14" ht="15" customHeight="1" x14ac:dyDescent="0.25">
      <c r="N8414" t="s">
        <v>1004</v>
      </c>
    </row>
    <row r="8415" spans="14:14" ht="15" customHeight="1" x14ac:dyDescent="0.25">
      <c r="N8415" t="s">
        <v>1105</v>
      </c>
    </row>
    <row r="8416" spans="14:14" ht="15" customHeight="1" x14ac:dyDescent="0.25">
      <c r="N8416" t="s">
        <v>1105</v>
      </c>
    </row>
    <row r="8417" spans="14:14" ht="15" customHeight="1" x14ac:dyDescent="0.25">
      <c r="N8417" t="s">
        <v>1105</v>
      </c>
    </row>
    <row r="8418" spans="14:14" ht="15" customHeight="1" x14ac:dyDescent="0.25">
      <c r="N8418" t="s">
        <v>1105</v>
      </c>
    </row>
    <row r="8419" spans="14:14" ht="15" customHeight="1" x14ac:dyDescent="0.25">
      <c r="N8419" t="s">
        <v>1105</v>
      </c>
    </row>
    <row r="8420" spans="14:14" ht="15" customHeight="1" x14ac:dyDescent="0.25">
      <c r="N8420" t="s">
        <v>1105</v>
      </c>
    </row>
    <row r="8421" spans="14:14" ht="15" customHeight="1" x14ac:dyDescent="0.25">
      <c r="N8421" t="s">
        <v>1087</v>
      </c>
    </row>
    <row r="8422" spans="14:14" ht="15" customHeight="1" x14ac:dyDescent="0.25">
      <c r="N8422" t="s">
        <v>1214</v>
      </c>
    </row>
    <row r="8423" spans="14:14" ht="15" customHeight="1" x14ac:dyDescent="0.25">
      <c r="N8423" t="s">
        <v>1087</v>
      </c>
    </row>
    <row r="8424" spans="14:14" ht="15" customHeight="1" x14ac:dyDescent="0.25">
      <c r="N8424" t="s">
        <v>1087</v>
      </c>
    </row>
    <row r="8425" spans="14:14" ht="15" customHeight="1" x14ac:dyDescent="0.25">
      <c r="N8425" t="s">
        <v>1241</v>
      </c>
    </row>
    <row r="8426" spans="14:14" ht="15" customHeight="1" x14ac:dyDescent="0.25">
      <c r="N8426" t="s">
        <v>1241</v>
      </c>
    </row>
    <row r="8427" spans="14:14" ht="15" customHeight="1" x14ac:dyDescent="0.25">
      <c r="N8427" t="s">
        <v>1241</v>
      </c>
    </row>
    <row r="8428" spans="14:14" ht="15" customHeight="1" x14ac:dyDescent="0.25">
      <c r="N8428" t="s">
        <v>1256</v>
      </c>
    </row>
    <row r="8429" spans="14:14" ht="15" customHeight="1" x14ac:dyDescent="0.25">
      <c r="N8429" t="s">
        <v>1335</v>
      </c>
    </row>
    <row r="8430" spans="14:14" ht="15" customHeight="1" x14ac:dyDescent="0.25">
      <c r="N8430" t="s">
        <v>1257</v>
      </c>
    </row>
    <row r="8431" spans="14:14" ht="15" customHeight="1" x14ac:dyDescent="0.25">
      <c r="N8431" t="s">
        <v>1258</v>
      </c>
    </row>
    <row r="8432" spans="14:14" ht="15" customHeight="1" x14ac:dyDescent="0.25">
      <c r="N8432" t="s">
        <v>989</v>
      </c>
    </row>
    <row r="8433" spans="14:14" ht="15" customHeight="1" x14ac:dyDescent="0.25">
      <c r="N8433" t="s">
        <v>1072</v>
      </c>
    </row>
    <row r="8434" spans="14:14" ht="15" customHeight="1" x14ac:dyDescent="0.25">
      <c r="N8434" t="s">
        <v>1072</v>
      </c>
    </row>
    <row r="8435" spans="14:14" ht="15" customHeight="1" x14ac:dyDescent="0.25">
      <c r="N8435" t="s">
        <v>1072</v>
      </c>
    </row>
    <row r="8436" spans="14:14" ht="15" customHeight="1" x14ac:dyDescent="0.25">
      <c r="N8436" t="s">
        <v>1072</v>
      </c>
    </row>
    <row r="8437" spans="14:14" ht="15" customHeight="1" x14ac:dyDescent="0.25">
      <c r="N8437" t="s">
        <v>1072</v>
      </c>
    </row>
    <row r="8438" spans="14:14" ht="15" customHeight="1" x14ac:dyDescent="0.25">
      <c r="N8438" t="s">
        <v>1072</v>
      </c>
    </row>
    <row r="8439" spans="14:14" ht="15" customHeight="1" x14ac:dyDescent="0.25">
      <c r="N8439" t="s">
        <v>1087</v>
      </c>
    </row>
    <row r="8440" spans="14:14" ht="15" customHeight="1" x14ac:dyDescent="0.25">
      <c r="N8440" t="s">
        <v>1215</v>
      </c>
    </row>
    <row r="8441" spans="14:14" ht="15" customHeight="1" x14ac:dyDescent="0.25">
      <c r="N8441" t="s">
        <v>1241</v>
      </c>
    </row>
    <row r="8442" spans="14:14" ht="15" customHeight="1" x14ac:dyDescent="0.25">
      <c r="N8442" t="s">
        <v>1281</v>
      </c>
    </row>
    <row r="8443" spans="14:14" ht="15" customHeight="1" x14ac:dyDescent="0.25">
      <c r="N8443" t="s">
        <v>1335</v>
      </c>
    </row>
    <row r="8444" spans="14:14" ht="15" customHeight="1" x14ac:dyDescent="0.25">
      <c r="N8444" t="s">
        <v>1234</v>
      </c>
    </row>
    <row r="8445" spans="14:14" ht="15" customHeight="1" x14ac:dyDescent="0.25">
      <c r="N8445" t="s">
        <v>1260</v>
      </c>
    </row>
    <row r="8446" spans="14:14" ht="15" customHeight="1" x14ac:dyDescent="0.25">
      <c r="N8446" t="s">
        <v>245</v>
      </c>
    </row>
    <row r="8447" spans="14:14" ht="15" customHeight="1" x14ac:dyDescent="0.25">
      <c r="N8447" t="s">
        <v>1197</v>
      </c>
    </row>
    <row r="8448" spans="14:14" ht="15" customHeight="1" x14ac:dyDescent="0.25">
      <c r="N8448" t="s">
        <v>1187</v>
      </c>
    </row>
    <row r="8449" spans="14:14" ht="15" customHeight="1" x14ac:dyDescent="0.25">
      <c r="N8449" t="s">
        <v>1187</v>
      </c>
    </row>
    <row r="8450" spans="14:14" ht="15" customHeight="1" x14ac:dyDescent="0.25">
      <c r="N8450" t="s">
        <v>1187</v>
      </c>
    </row>
    <row r="8451" spans="14:14" ht="15" customHeight="1" x14ac:dyDescent="0.25">
      <c r="N8451" t="s">
        <v>1187</v>
      </c>
    </row>
    <row r="8452" spans="14:14" ht="15" customHeight="1" x14ac:dyDescent="0.25">
      <c r="N8452" t="s">
        <v>1187</v>
      </c>
    </row>
    <row r="8453" spans="14:14" ht="15" customHeight="1" x14ac:dyDescent="0.25">
      <c r="N8453" t="s">
        <v>1187</v>
      </c>
    </row>
    <row r="8454" spans="14:14" ht="15" customHeight="1" x14ac:dyDescent="0.25">
      <c r="N8454" t="s">
        <v>1068</v>
      </c>
    </row>
    <row r="8455" spans="14:14" ht="15" customHeight="1" x14ac:dyDescent="0.25">
      <c r="N8455" t="s">
        <v>294</v>
      </c>
    </row>
    <row r="8456" spans="14:14" ht="15" customHeight="1" x14ac:dyDescent="0.25">
      <c r="N8456" t="s">
        <v>1005</v>
      </c>
    </row>
    <row r="8457" spans="14:14" ht="15" customHeight="1" x14ac:dyDescent="0.25">
      <c r="N8457" t="s">
        <v>1005</v>
      </c>
    </row>
    <row r="8458" spans="14:14" ht="15" customHeight="1" x14ac:dyDescent="0.25">
      <c r="N8458" t="s">
        <v>1068</v>
      </c>
    </row>
    <row r="8459" spans="14:14" ht="15" customHeight="1" x14ac:dyDescent="0.25">
      <c r="N8459" t="s">
        <v>1087</v>
      </c>
    </row>
    <row r="8460" spans="14:14" ht="15" customHeight="1" x14ac:dyDescent="0.25">
      <c r="N8460" t="s">
        <v>1178</v>
      </c>
    </row>
    <row r="8461" spans="14:14" ht="15" customHeight="1" x14ac:dyDescent="0.25">
      <c r="N8461" t="s">
        <v>1178</v>
      </c>
    </row>
    <row r="8462" spans="14:14" ht="15" customHeight="1" x14ac:dyDescent="0.25">
      <c r="N8462" t="s">
        <v>1178</v>
      </c>
    </row>
    <row r="8463" spans="14:14" ht="15" customHeight="1" x14ac:dyDescent="0.25">
      <c r="N8463" t="s">
        <v>1178</v>
      </c>
    </row>
    <row r="8464" spans="14:14" ht="15" customHeight="1" x14ac:dyDescent="0.25">
      <c r="N8464" t="s">
        <v>1178</v>
      </c>
    </row>
    <row r="8465" spans="14:14" ht="15" customHeight="1" x14ac:dyDescent="0.25">
      <c r="N8465" t="s">
        <v>1178</v>
      </c>
    </row>
    <row r="8466" spans="14:14" ht="15" customHeight="1" x14ac:dyDescent="0.25">
      <c r="N8466" t="s">
        <v>203</v>
      </c>
    </row>
    <row r="8467" spans="14:14" ht="15" customHeight="1" x14ac:dyDescent="0.25">
      <c r="N8467" t="s">
        <v>1005</v>
      </c>
    </row>
    <row r="8468" spans="14:14" ht="15" customHeight="1" x14ac:dyDescent="0.25">
      <c r="N8468" t="s">
        <v>1087</v>
      </c>
    </row>
    <row r="8469" spans="14:14" ht="15" customHeight="1" x14ac:dyDescent="0.25">
      <c r="N8469" t="s">
        <v>1087</v>
      </c>
    </row>
    <row r="8470" spans="14:14" ht="15" customHeight="1" x14ac:dyDescent="0.25">
      <c r="N8470" t="s">
        <v>789</v>
      </c>
    </row>
    <row r="8471" spans="14:14" ht="15" customHeight="1" x14ac:dyDescent="0.25">
      <c r="N8471" t="s">
        <v>1109</v>
      </c>
    </row>
    <row r="8472" spans="14:14" ht="15" customHeight="1" x14ac:dyDescent="0.25">
      <c r="N8472" t="s">
        <v>1087</v>
      </c>
    </row>
    <row r="8473" spans="14:14" ht="15" customHeight="1" x14ac:dyDescent="0.25">
      <c r="N8473" t="s">
        <v>1250</v>
      </c>
    </row>
    <row r="8474" spans="14:14" ht="15" customHeight="1" x14ac:dyDescent="0.25">
      <c r="N8474" t="s">
        <v>1087</v>
      </c>
    </row>
    <row r="8475" spans="14:14" ht="15" customHeight="1" x14ac:dyDescent="0.25">
      <c r="N8475" t="s">
        <v>294</v>
      </c>
    </row>
    <row r="8476" spans="14:14" ht="15" customHeight="1" x14ac:dyDescent="0.25">
      <c r="N8476" t="s">
        <v>1109</v>
      </c>
    </row>
    <row r="8477" spans="14:14" ht="15" customHeight="1" x14ac:dyDescent="0.25">
      <c r="N8477" t="s">
        <v>1214</v>
      </c>
    </row>
    <row r="8478" spans="14:14" ht="15" customHeight="1" x14ac:dyDescent="0.25">
      <c r="N8478" t="s">
        <v>203</v>
      </c>
    </row>
    <row r="8479" spans="14:14" ht="15" customHeight="1" x14ac:dyDescent="0.25">
      <c r="N8479" t="s">
        <v>1262</v>
      </c>
    </row>
    <row r="8480" spans="14:14" ht="15" customHeight="1" x14ac:dyDescent="0.25">
      <c r="N8480" t="s">
        <v>231</v>
      </c>
    </row>
    <row r="8481" spans="14:14" ht="15" customHeight="1" x14ac:dyDescent="0.25">
      <c r="N8481" t="s">
        <v>203</v>
      </c>
    </row>
    <row r="8482" spans="14:14" ht="15" customHeight="1" x14ac:dyDescent="0.25">
      <c r="N8482" t="s">
        <v>1112</v>
      </c>
    </row>
    <row r="8483" spans="14:14" ht="15" customHeight="1" x14ac:dyDescent="0.25">
      <c r="N8483" t="s">
        <v>895</v>
      </c>
    </row>
    <row r="8484" spans="14:14" ht="15" customHeight="1" x14ac:dyDescent="0.25">
      <c r="N8484" t="s">
        <v>898</v>
      </c>
    </row>
    <row r="8485" spans="14:14" ht="15" customHeight="1" x14ac:dyDescent="0.25">
      <c r="N8485" t="s">
        <v>898</v>
      </c>
    </row>
    <row r="8486" spans="14:14" ht="15" customHeight="1" x14ac:dyDescent="0.25">
      <c r="N8486" t="s">
        <v>901</v>
      </c>
    </row>
    <row r="8487" spans="14:14" ht="15" customHeight="1" x14ac:dyDescent="0.25">
      <c r="N8487" t="s">
        <v>901</v>
      </c>
    </row>
    <row r="8488" spans="14:14" ht="15" customHeight="1" x14ac:dyDescent="0.25">
      <c r="N8488" t="s">
        <v>901</v>
      </c>
    </row>
    <row r="8489" spans="14:14" ht="15" customHeight="1" x14ac:dyDescent="0.25">
      <c r="N8489" t="s">
        <v>901</v>
      </c>
    </row>
    <row r="8490" spans="14:14" ht="15" customHeight="1" x14ac:dyDescent="0.25">
      <c r="N8490" t="s">
        <v>901</v>
      </c>
    </row>
    <row r="8491" spans="14:14" ht="15" customHeight="1" x14ac:dyDescent="0.25">
      <c r="N8491" t="s">
        <v>901</v>
      </c>
    </row>
    <row r="8492" spans="14:14" ht="15" customHeight="1" x14ac:dyDescent="0.25">
      <c r="N8492" t="s">
        <v>907</v>
      </c>
    </row>
    <row r="8493" spans="14:14" ht="15" customHeight="1" x14ac:dyDescent="0.25">
      <c r="N8493" t="s">
        <v>910</v>
      </c>
    </row>
    <row r="8494" spans="14:14" ht="15" customHeight="1" x14ac:dyDescent="0.25">
      <c r="N8494" t="s">
        <v>915</v>
      </c>
    </row>
    <row r="8495" spans="14:14" ht="15" customHeight="1" x14ac:dyDescent="0.25">
      <c r="N8495" t="s">
        <v>910</v>
      </c>
    </row>
    <row r="8496" spans="14:14" ht="15" customHeight="1" x14ac:dyDescent="0.25">
      <c r="N8496" t="s">
        <v>910</v>
      </c>
    </row>
    <row r="8497" spans="14:14" ht="15" customHeight="1" x14ac:dyDescent="0.25">
      <c r="N8497" t="s">
        <v>922</v>
      </c>
    </row>
    <row r="8498" spans="14:14" ht="15" customHeight="1" x14ac:dyDescent="0.25">
      <c r="N8498" t="s">
        <v>923</v>
      </c>
    </row>
    <row r="8499" spans="14:14" ht="15" customHeight="1" x14ac:dyDescent="0.25">
      <c r="N8499" t="s">
        <v>925</v>
      </c>
    </row>
    <row r="8500" spans="14:14" ht="15" customHeight="1" x14ac:dyDescent="0.25">
      <c r="N8500" t="s">
        <v>245</v>
      </c>
    </row>
    <row r="8501" spans="14:14" ht="15" customHeight="1" x14ac:dyDescent="0.25">
      <c r="N8501" t="s">
        <v>929</v>
      </c>
    </row>
    <row r="8502" spans="14:14" ht="15" customHeight="1" x14ac:dyDescent="0.25">
      <c r="N8502" t="s">
        <v>936</v>
      </c>
    </row>
    <row r="8503" spans="14:14" ht="15" customHeight="1" x14ac:dyDescent="0.25">
      <c r="N8503" t="s">
        <v>915</v>
      </c>
    </row>
    <row r="8504" spans="14:14" ht="15" customHeight="1" x14ac:dyDescent="0.25">
      <c r="N8504" t="s">
        <v>910</v>
      </c>
    </row>
    <row r="8505" spans="14:14" ht="15" customHeight="1" x14ac:dyDescent="0.25">
      <c r="N8505" t="s">
        <v>933</v>
      </c>
    </row>
    <row r="8506" spans="14:14" ht="15" customHeight="1" x14ac:dyDescent="0.25">
      <c r="N8506" t="s">
        <v>944</v>
      </c>
    </row>
    <row r="8507" spans="14:14" ht="15" customHeight="1" x14ac:dyDescent="0.25">
      <c r="N8507" t="s">
        <v>944</v>
      </c>
    </row>
    <row r="8508" spans="14:14" ht="15" customHeight="1" x14ac:dyDescent="0.25">
      <c r="N8508" t="s">
        <v>944</v>
      </c>
    </row>
    <row r="8509" spans="14:14" ht="15" customHeight="1" x14ac:dyDescent="0.25">
      <c r="N8509" t="s">
        <v>944</v>
      </c>
    </row>
    <row r="8510" spans="14:14" ht="15" customHeight="1" x14ac:dyDescent="0.25">
      <c r="N8510" t="s">
        <v>944</v>
      </c>
    </row>
    <row r="8511" spans="14:14" ht="15" customHeight="1" x14ac:dyDescent="0.25">
      <c r="N8511" t="s">
        <v>944</v>
      </c>
    </row>
    <row r="8512" spans="14:14" ht="15" customHeight="1" x14ac:dyDescent="0.25">
      <c r="N8512" t="s">
        <v>901</v>
      </c>
    </row>
    <row r="8513" spans="14:14" ht="15" customHeight="1" x14ac:dyDescent="0.25">
      <c r="N8513" t="s">
        <v>286</v>
      </c>
    </row>
    <row r="8514" spans="14:14" ht="15" customHeight="1" x14ac:dyDescent="0.25">
      <c r="N8514" t="s">
        <v>948</v>
      </c>
    </row>
    <row r="8515" spans="14:14" ht="15" customHeight="1" x14ac:dyDescent="0.25">
      <c r="N8515" t="s">
        <v>895</v>
      </c>
    </row>
    <row r="8516" spans="14:14" ht="15" customHeight="1" x14ac:dyDescent="0.25">
      <c r="N8516" t="s">
        <v>956</v>
      </c>
    </row>
    <row r="8517" spans="14:14" ht="15" customHeight="1" x14ac:dyDescent="0.25">
      <c r="N8517" t="s">
        <v>933</v>
      </c>
    </row>
    <row r="8518" spans="14:14" ht="15" customHeight="1" x14ac:dyDescent="0.25">
      <c r="N8518" t="s">
        <v>956</v>
      </c>
    </row>
    <row r="8519" spans="14:14" ht="15" customHeight="1" x14ac:dyDescent="0.25">
      <c r="N8519" t="s">
        <v>963</v>
      </c>
    </row>
    <row r="8520" spans="14:14" ht="15" customHeight="1" x14ac:dyDescent="0.25">
      <c r="N8520" t="s">
        <v>964</v>
      </c>
    </row>
    <row r="8521" spans="14:14" ht="15" customHeight="1" x14ac:dyDescent="0.25">
      <c r="N8521" t="s">
        <v>966</v>
      </c>
    </row>
    <row r="8522" spans="14:14" ht="15" customHeight="1" x14ac:dyDescent="0.25">
      <c r="N8522" t="s">
        <v>930</v>
      </c>
    </row>
    <row r="8523" spans="14:14" ht="15" customHeight="1" x14ac:dyDescent="0.25">
      <c r="N8523" t="s">
        <v>930</v>
      </c>
    </row>
    <row r="8524" spans="14:14" ht="15" customHeight="1" x14ac:dyDescent="0.25">
      <c r="N8524" t="s">
        <v>273</v>
      </c>
    </row>
    <row r="8525" spans="14:14" ht="15" customHeight="1" x14ac:dyDescent="0.25">
      <c r="N8525" t="s">
        <v>273</v>
      </c>
    </row>
    <row r="8526" spans="14:14" ht="15" customHeight="1" x14ac:dyDescent="0.25">
      <c r="N8526" t="s">
        <v>273</v>
      </c>
    </row>
    <row r="8527" spans="14:14" ht="15" customHeight="1" x14ac:dyDescent="0.25">
      <c r="N8527" t="s">
        <v>907</v>
      </c>
    </row>
    <row r="8528" spans="14:14" ht="15" customHeight="1" x14ac:dyDescent="0.25">
      <c r="N8528" t="s">
        <v>231</v>
      </c>
    </row>
    <row r="8529" spans="14:14" ht="15" customHeight="1" x14ac:dyDescent="0.25">
      <c r="N8529" t="s">
        <v>773</v>
      </c>
    </row>
    <row r="8530" spans="14:14" ht="15" customHeight="1" x14ac:dyDescent="0.25">
      <c r="N8530" t="s">
        <v>975</v>
      </c>
    </row>
    <row r="8531" spans="14:14" ht="15" customHeight="1" x14ac:dyDescent="0.25">
      <c r="N8531" t="s">
        <v>976</v>
      </c>
    </row>
    <row r="8532" spans="14:14" ht="15" customHeight="1" x14ac:dyDescent="0.25">
      <c r="N8532" t="s">
        <v>976</v>
      </c>
    </row>
    <row r="8533" spans="14:14" ht="15" customHeight="1" x14ac:dyDescent="0.25">
      <c r="N8533" t="s">
        <v>976</v>
      </c>
    </row>
    <row r="8534" spans="14:14" ht="15" customHeight="1" x14ac:dyDescent="0.25">
      <c r="N8534" t="s">
        <v>294</v>
      </c>
    </row>
    <row r="8535" spans="14:14" ht="15" customHeight="1" x14ac:dyDescent="0.25">
      <c r="N8535" t="s">
        <v>273</v>
      </c>
    </row>
    <row r="8536" spans="14:14" ht="15" customHeight="1" x14ac:dyDescent="0.25">
      <c r="N8536" t="s">
        <v>273</v>
      </c>
    </row>
    <row r="8537" spans="14:14" ht="15" customHeight="1" x14ac:dyDescent="0.25">
      <c r="N8537" t="s">
        <v>247</v>
      </c>
    </row>
    <row r="8538" spans="14:14" ht="15" customHeight="1" x14ac:dyDescent="0.25">
      <c r="N8538" t="s">
        <v>273</v>
      </c>
    </row>
    <row r="8539" spans="14:14" ht="15" customHeight="1" x14ac:dyDescent="0.25">
      <c r="N8539" t="s">
        <v>273</v>
      </c>
    </row>
    <row r="8540" spans="14:14" ht="15" customHeight="1" x14ac:dyDescent="0.25">
      <c r="N8540" t="s">
        <v>279</v>
      </c>
    </row>
    <row r="8541" spans="14:14" ht="15" customHeight="1" x14ac:dyDescent="0.25">
      <c r="N8541" t="s">
        <v>975</v>
      </c>
    </row>
    <row r="8542" spans="14:14" ht="15" customHeight="1" x14ac:dyDescent="0.25">
      <c r="N8542" t="s">
        <v>273</v>
      </c>
    </row>
    <row r="8543" spans="14:14" ht="15" customHeight="1" x14ac:dyDescent="0.25">
      <c r="N8543" t="s">
        <v>273</v>
      </c>
    </row>
    <row r="8544" spans="14:14" ht="15" customHeight="1" x14ac:dyDescent="0.25">
      <c r="N8544" t="s">
        <v>981</v>
      </c>
    </row>
    <row r="8545" spans="14:14" ht="15" customHeight="1" x14ac:dyDescent="0.25">
      <c r="N8545" t="s">
        <v>901</v>
      </c>
    </row>
    <row r="8546" spans="14:14" ht="15" customHeight="1" x14ac:dyDescent="0.25">
      <c r="N8546" t="s">
        <v>901</v>
      </c>
    </row>
    <row r="8547" spans="14:14" ht="15" customHeight="1" x14ac:dyDescent="0.25">
      <c r="N8547" t="s">
        <v>901</v>
      </c>
    </row>
    <row r="8548" spans="14:14" ht="15" customHeight="1" x14ac:dyDescent="0.25">
      <c r="N8548" t="s">
        <v>985</v>
      </c>
    </row>
    <row r="8549" spans="14:14" ht="15" customHeight="1" x14ac:dyDescent="0.25">
      <c r="N8549" t="s">
        <v>901</v>
      </c>
    </row>
    <row r="8550" spans="14:14" ht="15" customHeight="1" x14ac:dyDescent="0.25">
      <c r="N8550" t="s">
        <v>901</v>
      </c>
    </row>
    <row r="8551" spans="14:14" ht="15" customHeight="1" x14ac:dyDescent="0.25">
      <c r="N8551" t="s">
        <v>907</v>
      </c>
    </row>
    <row r="8552" spans="14:14" ht="15" customHeight="1" x14ac:dyDescent="0.25">
      <c r="N8552" t="s">
        <v>989</v>
      </c>
    </row>
    <row r="8553" spans="14:14" ht="15" customHeight="1" x14ac:dyDescent="0.25">
      <c r="N8553" t="s">
        <v>915</v>
      </c>
    </row>
    <row r="8554" spans="14:14" ht="15" customHeight="1" x14ac:dyDescent="0.25">
      <c r="N8554" t="s">
        <v>989</v>
      </c>
    </row>
    <row r="8555" spans="14:14" ht="15" customHeight="1" x14ac:dyDescent="0.25">
      <c r="N8555" t="s">
        <v>989</v>
      </c>
    </row>
    <row r="8556" spans="14:14" ht="15" customHeight="1" x14ac:dyDescent="0.25">
      <c r="N8556" t="s">
        <v>922</v>
      </c>
    </row>
    <row r="8557" spans="14:14" ht="15" customHeight="1" x14ac:dyDescent="0.25">
      <c r="N8557" t="s">
        <v>910</v>
      </c>
    </row>
    <row r="8558" spans="14:14" ht="15" customHeight="1" x14ac:dyDescent="0.25">
      <c r="N8558" t="s">
        <v>273</v>
      </c>
    </row>
    <row r="8559" spans="14:14" ht="15" customHeight="1" x14ac:dyDescent="0.25">
      <c r="N8559" t="s">
        <v>929</v>
      </c>
    </row>
    <row r="8560" spans="14:14" ht="15" customHeight="1" x14ac:dyDescent="0.25">
      <c r="N8560" t="s">
        <v>915</v>
      </c>
    </row>
    <row r="8561" spans="14:14" ht="15" customHeight="1" x14ac:dyDescent="0.25">
      <c r="N8561" t="s">
        <v>936</v>
      </c>
    </row>
    <row r="8562" spans="14:14" ht="15" customHeight="1" x14ac:dyDescent="0.25">
      <c r="N8562" t="s">
        <v>915</v>
      </c>
    </row>
    <row r="8563" spans="14:14" ht="15" customHeight="1" x14ac:dyDescent="0.25">
      <c r="N8563" t="s">
        <v>933</v>
      </c>
    </row>
    <row r="8564" spans="14:14" ht="15" customHeight="1" x14ac:dyDescent="0.25">
      <c r="N8564" t="s">
        <v>933</v>
      </c>
    </row>
    <row r="8565" spans="14:14" ht="15" customHeight="1" x14ac:dyDescent="0.25">
      <c r="N8565" t="s">
        <v>254</v>
      </c>
    </row>
    <row r="8566" spans="14:14" ht="15" customHeight="1" x14ac:dyDescent="0.25">
      <c r="N8566" t="s">
        <v>944</v>
      </c>
    </row>
    <row r="8567" spans="14:14" ht="15" customHeight="1" x14ac:dyDescent="0.25">
      <c r="N8567" t="s">
        <v>944</v>
      </c>
    </row>
    <row r="8568" spans="14:14" ht="15" customHeight="1" x14ac:dyDescent="0.25">
      <c r="N8568" t="s">
        <v>944</v>
      </c>
    </row>
    <row r="8569" spans="14:14" ht="15" customHeight="1" x14ac:dyDescent="0.25">
      <c r="N8569" t="s">
        <v>944</v>
      </c>
    </row>
    <row r="8570" spans="14:14" ht="15" customHeight="1" x14ac:dyDescent="0.25">
      <c r="N8570" t="s">
        <v>944</v>
      </c>
    </row>
    <row r="8571" spans="14:14" ht="15" customHeight="1" x14ac:dyDescent="0.25">
      <c r="N8571" t="s">
        <v>944</v>
      </c>
    </row>
    <row r="8572" spans="14:14" ht="15" customHeight="1" x14ac:dyDescent="0.25">
      <c r="N8572" t="s">
        <v>948</v>
      </c>
    </row>
    <row r="8573" spans="14:14" ht="15" customHeight="1" x14ac:dyDescent="0.25">
      <c r="N8573" t="s">
        <v>1012</v>
      </c>
    </row>
    <row r="8574" spans="14:14" ht="15" customHeight="1" x14ac:dyDescent="0.25">
      <c r="N8574" t="s">
        <v>930</v>
      </c>
    </row>
    <row r="8575" spans="14:14" ht="15" customHeight="1" x14ac:dyDescent="0.25">
      <c r="N8575" t="s">
        <v>1012</v>
      </c>
    </row>
    <row r="8576" spans="14:14" ht="15" customHeight="1" x14ac:dyDescent="0.25">
      <c r="N8576" t="s">
        <v>930</v>
      </c>
    </row>
    <row r="8577" spans="14:14" ht="15" customHeight="1" x14ac:dyDescent="0.25">
      <c r="N8577" t="s">
        <v>930</v>
      </c>
    </row>
    <row r="8578" spans="14:14" ht="15" customHeight="1" x14ac:dyDescent="0.25">
      <c r="N8578" t="s">
        <v>273</v>
      </c>
    </row>
    <row r="8579" spans="14:14" ht="15" customHeight="1" x14ac:dyDescent="0.25">
      <c r="N8579" t="s">
        <v>273</v>
      </c>
    </row>
    <row r="8580" spans="14:14" ht="15" customHeight="1" x14ac:dyDescent="0.25">
      <c r="N8580" t="s">
        <v>273</v>
      </c>
    </row>
    <row r="8581" spans="14:14" ht="15" customHeight="1" x14ac:dyDescent="0.25">
      <c r="N8581" t="s">
        <v>907</v>
      </c>
    </row>
    <row r="8582" spans="14:14" ht="15" customHeight="1" x14ac:dyDescent="0.25">
      <c r="N8582" t="s">
        <v>231</v>
      </c>
    </row>
    <row r="8583" spans="14:14" ht="15" customHeight="1" x14ac:dyDescent="0.25">
      <c r="N8583" t="s">
        <v>1022</v>
      </c>
    </row>
    <row r="8584" spans="14:14" ht="15" customHeight="1" x14ac:dyDescent="0.25">
      <c r="N8584" t="s">
        <v>217</v>
      </c>
    </row>
    <row r="8585" spans="14:14" ht="15" customHeight="1" x14ac:dyDescent="0.25">
      <c r="N8585" t="s">
        <v>217</v>
      </c>
    </row>
    <row r="8586" spans="14:14" ht="15" customHeight="1" x14ac:dyDescent="0.25">
      <c r="N8586" t="s">
        <v>247</v>
      </c>
    </row>
    <row r="8587" spans="14:14" ht="15" customHeight="1" x14ac:dyDescent="0.25">
      <c r="N8587" t="s">
        <v>890</v>
      </c>
    </row>
    <row r="8588" spans="14:14" ht="15" customHeight="1" x14ac:dyDescent="0.25">
      <c r="N8588" t="s">
        <v>302</v>
      </c>
    </row>
    <row r="8589" spans="14:14" ht="15" customHeight="1" x14ac:dyDescent="0.25">
      <c r="N8589" t="s">
        <v>302</v>
      </c>
    </row>
    <row r="8590" spans="14:14" ht="15" customHeight="1" x14ac:dyDescent="0.25">
      <c r="N8590" t="s">
        <v>249</v>
      </c>
    </row>
    <row r="8591" spans="14:14" ht="15" customHeight="1" x14ac:dyDescent="0.25">
      <c r="N8591" t="s">
        <v>273</v>
      </c>
    </row>
    <row r="8592" spans="14:14" ht="15" customHeight="1" x14ac:dyDescent="0.25">
      <c r="N8592" t="s">
        <v>789</v>
      </c>
    </row>
    <row r="8593" spans="14:14" ht="15" customHeight="1" x14ac:dyDescent="0.25">
      <c r="N8593" t="s">
        <v>273</v>
      </c>
    </row>
    <row r="8594" spans="14:14" ht="15" customHeight="1" x14ac:dyDescent="0.25">
      <c r="N8594" t="s">
        <v>273</v>
      </c>
    </row>
    <row r="8595" spans="14:14" ht="15" customHeight="1" x14ac:dyDescent="0.25">
      <c r="N8595" t="s">
        <v>910</v>
      </c>
    </row>
    <row r="8596" spans="14:14" ht="15" customHeight="1" x14ac:dyDescent="0.25">
      <c r="N8596" t="s">
        <v>910</v>
      </c>
    </row>
    <row r="8597" spans="14:14" ht="15" customHeight="1" x14ac:dyDescent="0.25">
      <c r="N8597" t="s">
        <v>910</v>
      </c>
    </row>
    <row r="8598" spans="14:14" ht="15" customHeight="1" x14ac:dyDescent="0.25">
      <c r="N8598" t="s">
        <v>910</v>
      </c>
    </row>
    <row r="8599" spans="14:14" ht="15" customHeight="1" x14ac:dyDescent="0.25">
      <c r="N8599" t="s">
        <v>910</v>
      </c>
    </row>
    <row r="8600" spans="14:14" ht="15" customHeight="1" x14ac:dyDescent="0.25">
      <c r="N8600" t="s">
        <v>910</v>
      </c>
    </row>
    <row r="8601" spans="14:14" ht="15" customHeight="1" x14ac:dyDescent="0.25">
      <c r="N8601" t="s">
        <v>910</v>
      </c>
    </row>
    <row r="8602" spans="14:14" ht="15" customHeight="1" x14ac:dyDescent="0.25">
      <c r="N8602" t="s">
        <v>910</v>
      </c>
    </row>
    <row r="8603" spans="14:14" ht="15" customHeight="1" x14ac:dyDescent="0.25">
      <c r="N8603" t="s">
        <v>910</v>
      </c>
    </row>
    <row r="8604" spans="14:14" ht="15" customHeight="1" x14ac:dyDescent="0.25">
      <c r="N8604" t="s">
        <v>910</v>
      </c>
    </row>
    <row r="8605" spans="14:14" ht="15" customHeight="1" x14ac:dyDescent="0.25">
      <c r="N8605" t="s">
        <v>1024</v>
      </c>
    </row>
    <row r="8606" spans="14:14" ht="15" customHeight="1" x14ac:dyDescent="0.25">
      <c r="N8606" t="s">
        <v>1024</v>
      </c>
    </row>
    <row r="8607" spans="14:14" ht="15" customHeight="1" x14ac:dyDescent="0.25">
      <c r="N8607" t="s">
        <v>934</v>
      </c>
    </row>
    <row r="8608" spans="14:14" ht="15" customHeight="1" x14ac:dyDescent="0.25">
      <c r="N8608" t="s">
        <v>901</v>
      </c>
    </row>
    <row r="8609" spans="14:14" ht="15" customHeight="1" x14ac:dyDescent="0.25">
      <c r="N8609" t="s">
        <v>901</v>
      </c>
    </row>
    <row r="8610" spans="14:14" ht="15" customHeight="1" x14ac:dyDescent="0.25">
      <c r="N8610" t="s">
        <v>901</v>
      </c>
    </row>
    <row r="8611" spans="14:14" ht="15" customHeight="1" x14ac:dyDescent="0.25">
      <c r="N8611" t="s">
        <v>901</v>
      </c>
    </row>
    <row r="8612" spans="14:14" ht="15" customHeight="1" x14ac:dyDescent="0.25">
      <c r="N8612" t="s">
        <v>901</v>
      </c>
    </row>
    <row r="8613" spans="14:14" ht="15" customHeight="1" x14ac:dyDescent="0.25">
      <c r="N8613" t="s">
        <v>1030</v>
      </c>
    </row>
    <row r="8614" spans="14:14" ht="15" customHeight="1" x14ac:dyDescent="0.25">
      <c r="N8614" t="s">
        <v>933</v>
      </c>
    </row>
    <row r="8615" spans="14:14" ht="15" customHeight="1" x14ac:dyDescent="0.25">
      <c r="N8615" t="s">
        <v>254</v>
      </c>
    </row>
    <row r="8616" spans="14:14" ht="15" customHeight="1" x14ac:dyDescent="0.25">
      <c r="N8616" t="s">
        <v>931</v>
      </c>
    </row>
    <row r="8617" spans="14:14" ht="15" customHeight="1" x14ac:dyDescent="0.25">
      <c r="N8617" t="s">
        <v>915</v>
      </c>
    </row>
    <row r="8618" spans="14:14" ht="15" customHeight="1" x14ac:dyDescent="0.25">
      <c r="N8618" t="s">
        <v>910</v>
      </c>
    </row>
    <row r="8619" spans="14:14" ht="15" customHeight="1" x14ac:dyDescent="0.25">
      <c r="N8619" t="s">
        <v>915</v>
      </c>
    </row>
    <row r="8620" spans="14:14" ht="15" customHeight="1" x14ac:dyDescent="0.25">
      <c r="N8620" t="s">
        <v>933</v>
      </c>
    </row>
    <row r="8621" spans="14:14" ht="15" customHeight="1" x14ac:dyDescent="0.25">
      <c r="N8621" t="s">
        <v>934</v>
      </c>
    </row>
    <row r="8622" spans="14:14" ht="15" customHeight="1" x14ac:dyDescent="0.25">
      <c r="N8622" t="s">
        <v>319</v>
      </c>
    </row>
    <row r="8623" spans="14:14" ht="15" customHeight="1" x14ac:dyDescent="0.25">
      <c r="N8623" t="s">
        <v>948</v>
      </c>
    </row>
    <row r="8624" spans="14:14" ht="15" customHeight="1" x14ac:dyDescent="0.25">
      <c r="N8624" t="s">
        <v>981</v>
      </c>
    </row>
    <row r="8625" spans="14:14" ht="15" customHeight="1" x14ac:dyDescent="0.25">
      <c r="N8625" t="s">
        <v>956</v>
      </c>
    </row>
    <row r="8626" spans="14:14" ht="15" customHeight="1" x14ac:dyDescent="0.25">
      <c r="N8626" t="s">
        <v>956</v>
      </c>
    </row>
    <row r="8627" spans="14:14" ht="15" customHeight="1" x14ac:dyDescent="0.25">
      <c r="N8627" t="s">
        <v>940</v>
      </c>
    </row>
    <row r="8628" spans="14:14" ht="15" customHeight="1" x14ac:dyDescent="0.25">
      <c r="N8628" t="s">
        <v>940</v>
      </c>
    </row>
    <row r="8629" spans="14:14" ht="15" customHeight="1" x14ac:dyDescent="0.25">
      <c r="N8629" t="s">
        <v>719</v>
      </c>
    </row>
    <row r="8630" spans="14:14" ht="15" customHeight="1" x14ac:dyDescent="0.25">
      <c r="N8630" t="s">
        <v>719</v>
      </c>
    </row>
    <row r="8631" spans="14:14" ht="15" customHeight="1" x14ac:dyDescent="0.25">
      <c r="N8631" t="s">
        <v>719</v>
      </c>
    </row>
    <row r="8632" spans="14:14" ht="15" customHeight="1" x14ac:dyDescent="0.25">
      <c r="N8632" t="s">
        <v>907</v>
      </c>
    </row>
    <row r="8633" spans="14:14" ht="15" customHeight="1" x14ac:dyDescent="0.25">
      <c r="N8633" t="s">
        <v>1059</v>
      </c>
    </row>
    <row r="8634" spans="14:14" ht="15" customHeight="1" x14ac:dyDescent="0.25">
      <c r="N8634" t="s">
        <v>319</v>
      </c>
    </row>
    <row r="8635" spans="14:14" ht="15" customHeight="1" x14ac:dyDescent="0.25">
      <c r="N8635" t="s">
        <v>773</v>
      </c>
    </row>
    <row r="8636" spans="14:14" ht="15" customHeight="1" x14ac:dyDescent="0.25">
      <c r="N8636" t="s">
        <v>286</v>
      </c>
    </row>
    <row r="8637" spans="14:14" ht="15" customHeight="1" x14ac:dyDescent="0.25">
      <c r="N8637" t="s">
        <v>254</v>
      </c>
    </row>
    <row r="8638" spans="14:14" ht="15" customHeight="1" x14ac:dyDescent="0.25">
      <c r="N8638" t="s">
        <v>1064</v>
      </c>
    </row>
    <row r="8639" spans="14:14" ht="15" customHeight="1" x14ac:dyDescent="0.25">
      <c r="N8639" t="s">
        <v>975</v>
      </c>
    </row>
    <row r="8640" spans="14:14" ht="15" customHeight="1" x14ac:dyDescent="0.25">
      <c r="N8640" t="s">
        <v>273</v>
      </c>
    </row>
    <row r="8641" spans="14:14" ht="15" customHeight="1" x14ac:dyDescent="0.25">
      <c r="N8641" t="s">
        <v>273</v>
      </c>
    </row>
    <row r="8642" spans="14:14" ht="15" customHeight="1" x14ac:dyDescent="0.25">
      <c r="N8642" t="s">
        <v>273</v>
      </c>
    </row>
    <row r="8643" spans="14:14" ht="15" customHeight="1" x14ac:dyDescent="0.25">
      <c r="N8643" t="s">
        <v>1030</v>
      </c>
    </row>
    <row r="8644" spans="14:14" ht="15" customHeight="1" x14ac:dyDescent="0.25">
      <c r="N8644" t="s">
        <v>1030</v>
      </c>
    </row>
    <row r="8645" spans="14:14" ht="15" customHeight="1" x14ac:dyDescent="0.25">
      <c r="N8645" t="s">
        <v>933</v>
      </c>
    </row>
    <row r="8646" spans="14:14" ht="15" customHeight="1" x14ac:dyDescent="0.25">
      <c r="N8646" t="s">
        <v>1069</v>
      </c>
    </row>
    <row r="8647" spans="14:14" ht="15" customHeight="1" x14ac:dyDescent="0.25">
      <c r="N8647" t="s">
        <v>909</v>
      </c>
    </row>
    <row r="8648" spans="14:14" ht="15" customHeight="1" x14ac:dyDescent="0.25">
      <c r="N8648" t="s">
        <v>909</v>
      </c>
    </row>
    <row r="8649" spans="14:14" ht="15" customHeight="1" x14ac:dyDescent="0.25">
      <c r="N8649" t="s">
        <v>967</v>
      </c>
    </row>
    <row r="8650" spans="14:14" ht="15" customHeight="1" x14ac:dyDescent="0.25">
      <c r="N8650" t="s">
        <v>904</v>
      </c>
    </row>
    <row r="8651" spans="14:14" ht="15" customHeight="1" x14ac:dyDescent="0.25">
      <c r="N8651" t="s">
        <v>904</v>
      </c>
    </row>
    <row r="8652" spans="14:14" ht="15" customHeight="1" x14ac:dyDescent="0.25">
      <c r="N8652" t="s">
        <v>923</v>
      </c>
    </row>
    <row r="8653" spans="14:14" ht="15" customHeight="1" x14ac:dyDescent="0.25">
      <c r="N8653" t="s">
        <v>934</v>
      </c>
    </row>
    <row r="8654" spans="14:14" ht="15" customHeight="1" x14ac:dyDescent="0.25">
      <c r="N8654" t="s">
        <v>319</v>
      </c>
    </row>
    <row r="8655" spans="14:14" ht="15" customHeight="1" x14ac:dyDescent="0.25">
      <c r="N8655" t="s">
        <v>929</v>
      </c>
    </row>
    <row r="8656" spans="14:14" ht="15" customHeight="1" x14ac:dyDescent="0.25">
      <c r="N8656" t="s">
        <v>989</v>
      </c>
    </row>
    <row r="8657" spans="14:14" ht="15" customHeight="1" x14ac:dyDescent="0.25">
      <c r="N8657" t="s">
        <v>1083</v>
      </c>
    </row>
    <row r="8658" spans="14:14" ht="15" customHeight="1" x14ac:dyDescent="0.25">
      <c r="N8658" t="s">
        <v>1084</v>
      </c>
    </row>
    <row r="8659" spans="14:14" ht="15" customHeight="1" x14ac:dyDescent="0.25">
      <c r="N8659" t="s">
        <v>1084</v>
      </c>
    </row>
    <row r="8660" spans="14:14" ht="15" customHeight="1" x14ac:dyDescent="0.25">
      <c r="N8660" t="s">
        <v>933</v>
      </c>
    </row>
    <row r="8661" spans="14:14" ht="15" customHeight="1" x14ac:dyDescent="0.25">
      <c r="N8661" t="s">
        <v>1042</v>
      </c>
    </row>
    <row r="8662" spans="14:14" ht="15" customHeight="1" x14ac:dyDescent="0.25">
      <c r="N8662" t="s">
        <v>944</v>
      </c>
    </row>
    <row r="8663" spans="14:14" ht="15" customHeight="1" x14ac:dyDescent="0.25">
      <c r="N8663" t="s">
        <v>944</v>
      </c>
    </row>
    <row r="8664" spans="14:14" ht="15" customHeight="1" x14ac:dyDescent="0.25">
      <c r="N8664" t="s">
        <v>944</v>
      </c>
    </row>
    <row r="8665" spans="14:14" ht="15" customHeight="1" x14ac:dyDescent="0.25">
      <c r="N8665" t="s">
        <v>944</v>
      </c>
    </row>
    <row r="8666" spans="14:14" ht="15" customHeight="1" x14ac:dyDescent="0.25">
      <c r="N8666" t="s">
        <v>944</v>
      </c>
    </row>
    <row r="8667" spans="14:14" ht="15" customHeight="1" x14ac:dyDescent="0.25">
      <c r="N8667" t="s">
        <v>944</v>
      </c>
    </row>
    <row r="8668" spans="14:14" ht="15" customHeight="1" x14ac:dyDescent="0.25">
      <c r="N8668" t="s">
        <v>901</v>
      </c>
    </row>
    <row r="8669" spans="14:14" ht="15" customHeight="1" x14ac:dyDescent="0.25">
      <c r="N8669" t="s">
        <v>1097</v>
      </c>
    </row>
    <row r="8670" spans="14:14" ht="15" customHeight="1" x14ac:dyDescent="0.25">
      <c r="N8670" t="s">
        <v>1098</v>
      </c>
    </row>
    <row r="8671" spans="14:14" ht="15" customHeight="1" x14ac:dyDescent="0.25">
      <c r="N8671" t="s">
        <v>1042</v>
      </c>
    </row>
    <row r="8672" spans="14:14" ht="15" customHeight="1" x14ac:dyDescent="0.25">
      <c r="N8672" t="s">
        <v>1012</v>
      </c>
    </row>
    <row r="8673" spans="14:14" ht="15" customHeight="1" x14ac:dyDescent="0.25">
      <c r="N8673" t="s">
        <v>967</v>
      </c>
    </row>
    <row r="8674" spans="14:14" ht="15" customHeight="1" x14ac:dyDescent="0.25">
      <c r="N8674" t="s">
        <v>1106</v>
      </c>
    </row>
    <row r="8675" spans="14:14" ht="15" customHeight="1" x14ac:dyDescent="0.25">
      <c r="N8675" t="s">
        <v>1106</v>
      </c>
    </row>
    <row r="8676" spans="14:14" ht="15" customHeight="1" x14ac:dyDescent="0.25">
      <c r="N8676" t="s">
        <v>334</v>
      </c>
    </row>
    <row r="8677" spans="14:14" ht="15" customHeight="1" x14ac:dyDescent="0.25">
      <c r="N8677" t="s">
        <v>933</v>
      </c>
    </row>
    <row r="8678" spans="14:14" ht="15" customHeight="1" x14ac:dyDescent="0.25">
      <c r="N8678" t="s">
        <v>909</v>
      </c>
    </row>
    <row r="8679" spans="14:14" ht="15" customHeight="1" x14ac:dyDescent="0.25">
      <c r="N8679" t="s">
        <v>909</v>
      </c>
    </row>
    <row r="8680" spans="14:14" ht="15" customHeight="1" x14ac:dyDescent="0.25">
      <c r="N8680" t="s">
        <v>254</v>
      </c>
    </row>
    <row r="8681" spans="14:14" ht="15" customHeight="1" x14ac:dyDescent="0.25">
      <c r="N8681" t="s">
        <v>254</v>
      </c>
    </row>
    <row r="8682" spans="14:14" ht="15" customHeight="1" x14ac:dyDescent="0.25">
      <c r="N8682" t="s">
        <v>254</v>
      </c>
    </row>
    <row r="8683" spans="14:14" ht="15" customHeight="1" x14ac:dyDescent="0.25">
      <c r="N8683" t="s">
        <v>907</v>
      </c>
    </row>
    <row r="8684" spans="14:14" ht="15" customHeight="1" x14ac:dyDescent="0.25">
      <c r="N8684" t="s">
        <v>371</v>
      </c>
    </row>
    <row r="8685" spans="14:14" ht="15" customHeight="1" x14ac:dyDescent="0.25">
      <c r="N8685" t="s">
        <v>254</v>
      </c>
    </row>
    <row r="8686" spans="14:14" ht="15" customHeight="1" x14ac:dyDescent="0.25">
      <c r="N8686" t="s">
        <v>254</v>
      </c>
    </row>
    <row r="8687" spans="14:14" ht="15" customHeight="1" x14ac:dyDescent="0.25">
      <c r="N8687" t="s">
        <v>254</v>
      </c>
    </row>
    <row r="8688" spans="14:14" ht="15" customHeight="1" x14ac:dyDescent="0.25">
      <c r="N8688" t="s">
        <v>273</v>
      </c>
    </row>
    <row r="8689" spans="14:14" ht="15" customHeight="1" x14ac:dyDescent="0.25">
      <c r="N8689" t="s">
        <v>286</v>
      </c>
    </row>
    <row r="8690" spans="14:14" ht="15" customHeight="1" x14ac:dyDescent="0.25">
      <c r="N8690" t="s">
        <v>273</v>
      </c>
    </row>
    <row r="8691" spans="14:14" ht="15" customHeight="1" x14ac:dyDescent="0.25">
      <c r="N8691" t="s">
        <v>273</v>
      </c>
    </row>
    <row r="8692" spans="14:14" ht="15" customHeight="1" x14ac:dyDescent="0.25">
      <c r="N8692" t="s">
        <v>1112</v>
      </c>
    </row>
    <row r="8693" spans="14:14" ht="15" customHeight="1" x14ac:dyDescent="0.25">
      <c r="N8693" t="s">
        <v>302</v>
      </c>
    </row>
    <row r="8694" spans="14:14" ht="15" customHeight="1" x14ac:dyDescent="0.25">
      <c r="N8694" t="s">
        <v>273</v>
      </c>
    </row>
    <row r="8695" spans="14:14" ht="15" customHeight="1" x14ac:dyDescent="0.25">
      <c r="N8695" t="s">
        <v>1331</v>
      </c>
    </row>
    <row r="8696" spans="14:14" ht="15" customHeight="1" x14ac:dyDescent="0.25">
      <c r="N8696" t="s">
        <v>895</v>
      </c>
    </row>
    <row r="8697" spans="14:14" ht="15" customHeight="1" x14ac:dyDescent="0.25">
      <c r="N8697" t="s">
        <v>912</v>
      </c>
    </row>
    <row r="8698" spans="14:14" ht="15" customHeight="1" x14ac:dyDescent="0.25">
      <c r="N8698" t="s">
        <v>912</v>
      </c>
    </row>
    <row r="8699" spans="14:14" ht="15" customHeight="1" x14ac:dyDescent="0.25">
      <c r="N8699" t="s">
        <v>1114</v>
      </c>
    </row>
    <row r="8700" spans="14:14" ht="15" customHeight="1" x14ac:dyDescent="0.25">
      <c r="N8700" t="s">
        <v>985</v>
      </c>
    </row>
    <row r="8701" spans="14:14" ht="15" customHeight="1" x14ac:dyDescent="0.25">
      <c r="N8701" t="s">
        <v>985</v>
      </c>
    </row>
    <row r="8702" spans="14:14" ht="15" customHeight="1" x14ac:dyDescent="0.25">
      <c r="N8702" t="s">
        <v>985</v>
      </c>
    </row>
    <row r="8703" spans="14:14" ht="15" customHeight="1" x14ac:dyDescent="0.25">
      <c r="N8703" t="s">
        <v>985</v>
      </c>
    </row>
    <row r="8704" spans="14:14" ht="15" customHeight="1" x14ac:dyDescent="0.25">
      <c r="N8704" t="s">
        <v>894</v>
      </c>
    </row>
    <row r="8705" spans="14:14" ht="15" customHeight="1" x14ac:dyDescent="0.25">
      <c r="N8705" t="s">
        <v>894</v>
      </c>
    </row>
    <row r="8706" spans="14:14" ht="15" customHeight="1" x14ac:dyDescent="0.25">
      <c r="N8706" t="s">
        <v>1106</v>
      </c>
    </row>
    <row r="8707" spans="14:14" ht="15" customHeight="1" x14ac:dyDescent="0.25">
      <c r="N8707" t="s">
        <v>1106</v>
      </c>
    </row>
    <row r="8708" spans="14:14" ht="15" customHeight="1" x14ac:dyDescent="0.25">
      <c r="N8708" t="s">
        <v>1119</v>
      </c>
    </row>
    <row r="8709" spans="14:14" ht="15" customHeight="1" x14ac:dyDescent="0.25">
      <c r="N8709" t="s">
        <v>915</v>
      </c>
    </row>
    <row r="8710" spans="14:14" ht="15" customHeight="1" x14ac:dyDescent="0.25">
      <c r="N8710" t="s">
        <v>1084</v>
      </c>
    </row>
    <row r="8711" spans="14:14" ht="15" customHeight="1" x14ac:dyDescent="0.25">
      <c r="N8711" t="s">
        <v>1084</v>
      </c>
    </row>
    <row r="8712" spans="14:14" ht="15" customHeight="1" x14ac:dyDescent="0.25">
      <c r="N8712" t="s">
        <v>1084</v>
      </c>
    </row>
    <row r="8713" spans="14:14" ht="15" customHeight="1" x14ac:dyDescent="0.25">
      <c r="N8713" t="s">
        <v>934</v>
      </c>
    </row>
    <row r="8714" spans="14:14" ht="15" customHeight="1" x14ac:dyDescent="0.25">
      <c r="N8714" t="s">
        <v>934</v>
      </c>
    </row>
    <row r="8715" spans="14:14" ht="15" customHeight="1" x14ac:dyDescent="0.25">
      <c r="N8715" t="s">
        <v>1125</v>
      </c>
    </row>
    <row r="8716" spans="14:14" ht="15" customHeight="1" x14ac:dyDescent="0.25">
      <c r="N8716" t="s">
        <v>1042</v>
      </c>
    </row>
    <row r="8717" spans="14:14" ht="15" customHeight="1" x14ac:dyDescent="0.25">
      <c r="N8717" t="s">
        <v>1079</v>
      </c>
    </row>
    <row r="8718" spans="14:14" ht="15" customHeight="1" x14ac:dyDescent="0.25">
      <c r="N8718" t="s">
        <v>1083</v>
      </c>
    </row>
    <row r="8719" spans="14:14" ht="15" customHeight="1" x14ac:dyDescent="0.25">
      <c r="N8719" t="s">
        <v>1083</v>
      </c>
    </row>
    <row r="8720" spans="14:14" ht="15" customHeight="1" x14ac:dyDescent="0.25">
      <c r="N8720" t="s">
        <v>1084</v>
      </c>
    </row>
    <row r="8721" spans="14:14" ht="15" customHeight="1" x14ac:dyDescent="0.25">
      <c r="N8721" t="s">
        <v>1084</v>
      </c>
    </row>
    <row r="8722" spans="14:14" ht="15" customHeight="1" x14ac:dyDescent="0.25">
      <c r="N8722" t="s">
        <v>897</v>
      </c>
    </row>
    <row r="8723" spans="14:14" ht="15" customHeight="1" x14ac:dyDescent="0.25">
      <c r="N8723" t="s">
        <v>933</v>
      </c>
    </row>
    <row r="8724" spans="14:14" ht="15" customHeight="1" x14ac:dyDescent="0.25">
      <c r="N8724" t="s">
        <v>998</v>
      </c>
    </row>
    <row r="8725" spans="14:14" ht="15" customHeight="1" x14ac:dyDescent="0.25">
      <c r="N8725" t="s">
        <v>1132</v>
      </c>
    </row>
    <row r="8726" spans="14:14" ht="15" customHeight="1" x14ac:dyDescent="0.25">
      <c r="N8726" t="s">
        <v>1132</v>
      </c>
    </row>
    <row r="8727" spans="14:14" ht="15" customHeight="1" x14ac:dyDescent="0.25">
      <c r="N8727" t="s">
        <v>1132</v>
      </c>
    </row>
    <row r="8728" spans="14:14" ht="15" customHeight="1" x14ac:dyDescent="0.25">
      <c r="N8728" t="s">
        <v>1132</v>
      </c>
    </row>
    <row r="8729" spans="14:14" ht="15" customHeight="1" x14ac:dyDescent="0.25">
      <c r="N8729" t="s">
        <v>1132</v>
      </c>
    </row>
    <row r="8730" spans="14:14" ht="15" customHeight="1" x14ac:dyDescent="0.25">
      <c r="N8730" t="s">
        <v>1132</v>
      </c>
    </row>
    <row r="8731" spans="14:14" ht="15" customHeight="1" x14ac:dyDescent="0.25">
      <c r="N8731" t="s">
        <v>933</v>
      </c>
    </row>
    <row r="8732" spans="14:14" ht="15" customHeight="1" x14ac:dyDescent="0.25">
      <c r="N8732" t="s">
        <v>254</v>
      </c>
    </row>
    <row r="8733" spans="14:14" ht="15" customHeight="1" x14ac:dyDescent="0.25">
      <c r="N8733" t="s">
        <v>1135</v>
      </c>
    </row>
    <row r="8734" spans="14:14" ht="15" customHeight="1" x14ac:dyDescent="0.25">
      <c r="N8734" t="s">
        <v>1138</v>
      </c>
    </row>
    <row r="8735" spans="14:14" ht="15" customHeight="1" x14ac:dyDescent="0.25">
      <c r="N8735" t="s">
        <v>904</v>
      </c>
    </row>
    <row r="8736" spans="14:14" ht="15" customHeight="1" x14ac:dyDescent="0.25">
      <c r="N8736" t="s">
        <v>1068</v>
      </c>
    </row>
    <row r="8737" spans="14:14" ht="15" customHeight="1" x14ac:dyDescent="0.25">
      <c r="N8737" t="s">
        <v>1097</v>
      </c>
    </row>
    <row r="8738" spans="14:14" ht="15" customHeight="1" x14ac:dyDescent="0.25">
      <c r="N8738" t="s">
        <v>967</v>
      </c>
    </row>
    <row r="8739" spans="14:14" ht="15" customHeight="1" x14ac:dyDescent="0.25">
      <c r="N8739" t="s">
        <v>1146</v>
      </c>
    </row>
    <row r="8740" spans="14:14" ht="15" customHeight="1" x14ac:dyDescent="0.25">
      <c r="N8740" t="s">
        <v>1146</v>
      </c>
    </row>
    <row r="8741" spans="14:14" ht="15" customHeight="1" x14ac:dyDescent="0.25">
      <c r="N8741" t="s">
        <v>1147</v>
      </c>
    </row>
    <row r="8742" spans="14:14" ht="15" customHeight="1" x14ac:dyDescent="0.25">
      <c r="N8742" t="s">
        <v>934</v>
      </c>
    </row>
    <row r="8743" spans="14:14" ht="15" customHeight="1" x14ac:dyDescent="0.25">
      <c r="N8743" t="s">
        <v>1068</v>
      </c>
    </row>
    <row r="8744" spans="14:14" ht="15" customHeight="1" x14ac:dyDescent="0.25">
      <c r="N8744" t="s">
        <v>1068</v>
      </c>
    </row>
    <row r="8745" spans="14:14" ht="15" customHeight="1" x14ac:dyDescent="0.25">
      <c r="N8745" t="s">
        <v>998</v>
      </c>
    </row>
    <row r="8746" spans="14:14" ht="15" customHeight="1" x14ac:dyDescent="0.25">
      <c r="N8746" t="s">
        <v>319</v>
      </c>
    </row>
    <row r="8747" spans="14:14" ht="15" customHeight="1" x14ac:dyDescent="0.25">
      <c r="N8747" t="s">
        <v>319</v>
      </c>
    </row>
    <row r="8748" spans="14:14" ht="15" customHeight="1" x14ac:dyDescent="0.25">
      <c r="N8748" t="s">
        <v>319</v>
      </c>
    </row>
    <row r="8749" spans="14:14" ht="15" customHeight="1" x14ac:dyDescent="0.25">
      <c r="N8749" t="s">
        <v>319</v>
      </c>
    </row>
    <row r="8750" spans="14:14" ht="15" customHeight="1" x14ac:dyDescent="0.25">
      <c r="N8750" t="s">
        <v>286</v>
      </c>
    </row>
    <row r="8751" spans="14:14" ht="15" customHeight="1" x14ac:dyDescent="0.25">
      <c r="N8751" t="s">
        <v>286</v>
      </c>
    </row>
    <row r="8752" spans="14:14" ht="15" customHeight="1" x14ac:dyDescent="0.25">
      <c r="N8752" t="s">
        <v>334</v>
      </c>
    </row>
    <row r="8753" spans="14:14" ht="15" customHeight="1" x14ac:dyDescent="0.25">
      <c r="N8753" t="s">
        <v>298</v>
      </c>
    </row>
    <row r="8754" spans="14:14" ht="15" customHeight="1" x14ac:dyDescent="0.25">
      <c r="N8754" t="s">
        <v>254</v>
      </c>
    </row>
    <row r="8755" spans="14:14" ht="15" customHeight="1" x14ac:dyDescent="0.25">
      <c r="N8755" t="s">
        <v>1154</v>
      </c>
    </row>
    <row r="8756" spans="14:14" ht="15" customHeight="1" x14ac:dyDescent="0.25">
      <c r="N8756" t="s">
        <v>1154</v>
      </c>
    </row>
    <row r="8757" spans="14:14" ht="15" customHeight="1" x14ac:dyDescent="0.25">
      <c r="N8757" t="s">
        <v>279</v>
      </c>
    </row>
    <row r="8758" spans="14:14" ht="15" customHeight="1" x14ac:dyDescent="0.25">
      <c r="N8758" t="s">
        <v>334</v>
      </c>
    </row>
    <row r="8759" spans="14:14" ht="15" customHeight="1" x14ac:dyDescent="0.25">
      <c r="N8759" t="s">
        <v>1024</v>
      </c>
    </row>
    <row r="8760" spans="14:14" ht="15" customHeight="1" x14ac:dyDescent="0.25">
      <c r="N8760" t="s">
        <v>1024</v>
      </c>
    </row>
    <row r="8761" spans="14:14" ht="15" customHeight="1" x14ac:dyDescent="0.25">
      <c r="N8761" t="s">
        <v>1106</v>
      </c>
    </row>
    <row r="8762" spans="14:14" ht="15" customHeight="1" x14ac:dyDescent="0.25">
      <c r="N8762" t="s">
        <v>985</v>
      </c>
    </row>
    <row r="8763" spans="14:14" ht="15" customHeight="1" x14ac:dyDescent="0.25">
      <c r="N8763" t="s">
        <v>985</v>
      </c>
    </row>
    <row r="8764" spans="14:14" ht="15" customHeight="1" x14ac:dyDescent="0.25">
      <c r="N8764" t="s">
        <v>985</v>
      </c>
    </row>
    <row r="8765" spans="14:14" ht="15" customHeight="1" x14ac:dyDescent="0.25">
      <c r="N8765" t="s">
        <v>985</v>
      </c>
    </row>
    <row r="8766" spans="14:14" ht="15" customHeight="1" x14ac:dyDescent="0.25">
      <c r="N8766" t="s">
        <v>1030</v>
      </c>
    </row>
    <row r="8767" spans="14:14" ht="15" customHeight="1" x14ac:dyDescent="0.25">
      <c r="N8767" t="s">
        <v>1030</v>
      </c>
    </row>
    <row r="8768" spans="14:14" ht="15" customHeight="1" x14ac:dyDescent="0.25">
      <c r="N8768" t="s">
        <v>1030</v>
      </c>
    </row>
    <row r="8769" spans="14:14" ht="15" customHeight="1" x14ac:dyDescent="0.25">
      <c r="N8769" t="s">
        <v>1163</v>
      </c>
    </row>
    <row r="8770" spans="14:14" ht="15" customHeight="1" x14ac:dyDescent="0.25">
      <c r="N8770" t="s">
        <v>1163</v>
      </c>
    </row>
    <row r="8771" spans="14:14" ht="15" customHeight="1" x14ac:dyDescent="0.25">
      <c r="N8771" t="s">
        <v>1163</v>
      </c>
    </row>
    <row r="8772" spans="14:14" ht="15" customHeight="1" x14ac:dyDescent="0.25">
      <c r="N8772" t="s">
        <v>1166</v>
      </c>
    </row>
    <row r="8773" spans="14:14" ht="15" customHeight="1" x14ac:dyDescent="0.25">
      <c r="N8773" t="s">
        <v>1166</v>
      </c>
    </row>
    <row r="8774" spans="14:14" ht="15" customHeight="1" x14ac:dyDescent="0.25">
      <c r="N8774" t="s">
        <v>904</v>
      </c>
    </row>
    <row r="8775" spans="14:14" ht="15" customHeight="1" x14ac:dyDescent="0.25">
      <c r="N8775" t="s">
        <v>1083</v>
      </c>
    </row>
    <row r="8776" spans="14:14" ht="15" customHeight="1" x14ac:dyDescent="0.25">
      <c r="N8776" t="s">
        <v>894</v>
      </c>
    </row>
    <row r="8777" spans="14:14" ht="15" customHeight="1" x14ac:dyDescent="0.25">
      <c r="N8777" t="s">
        <v>933</v>
      </c>
    </row>
    <row r="8778" spans="14:14" ht="15" customHeight="1" x14ac:dyDescent="0.25">
      <c r="N8778" t="s">
        <v>1132</v>
      </c>
    </row>
    <row r="8779" spans="14:14" ht="15" customHeight="1" x14ac:dyDescent="0.25">
      <c r="N8779" t="s">
        <v>1132</v>
      </c>
    </row>
    <row r="8780" spans="14:14" ht="15" customHeight="1" x14ac:dyDescent="0.25">
      <c r="N8780" t="s">
        <v>1132</v>
      </c>
    </row>
    <row r="8781" spans="14:14" ht="15" customHeight="1" x14ac:dyDescent="0.25">
      <c r="N8781" t="s">
        <v>1132</v>
      </c>
    </row>
    <row r="8782" spans="14:14" ht="15" customHeight="1" x14ac:dyDescent="0.25">
      <c r="N8782" t="s">
        <v>1132</v>
      </c>
    </row>
    <row r="8783" spans="14:14" ht="15" customHeight="1" x14ac:dyDescent="0.25">
      <c r="N8783" t="s">
        <v>1132</v>
      </c>
    </row>
    <row r="8784" spans="14:14" ht="15" customHeight="1" x14ac:dyDescent="0.25">
      <c r="N8784" t="s">
        <v>901</v>
      </c>
    </row>
    <row r="8785" spans="14:14" ht="15" customHeight="1" x14ac:dyDescent="0.25">
      <c r="N8785" t="s">
        <v>286</v>
      </c>
    </row>
    <row r="8786" spans="14:14" ht="15" customHeight="1" x14ac:dyDescent="0.25">
      <c r="N8786" t="s">
        <v>1135</v>
      </c>
    </row>
    <row r="8787" spans="14:14" ht="15" customHeight="1" x14ac:dyDescent="0.25">
      <c r="N8787" t="s">
        <v>934</v>
      </c>
    </row>
    <row r="8788" spans="14:14" ht="15" customHeight="1" x14ac:dyDescent="0.25">
      <c r="N8788" t="s">
        <v>1138</v>
      </c>
    </row>
    <row r="8789" spans="14:14" ht="15" customHeight="1" x14ac:dyDescent="0.25">
      <c r="N8789" t="s">
        <v>1181</v>
      </c>
    </row>
    <row r="8790" spans="14:14" ht="15" customHeight="1" x14ac:dyDescent="0.25">
      <c r="N8790" t="s">
        <v>1181</v>
      </c>
    </row>
    <row r="8791" spans="14:14" ht="15" customHeight="1" x14ac:dyDescent="0.25">
      <c r="N8791" t="s">
        <v>1182</v>
      </c>
    </row>
    <row r="8792" spans="14:14" ht="15" customHeight="1" x14ac:dyDescent="0.25">
      <c r="N8792" t="s">
        <v>1125</v>
      </c>
    </row>
    <row r="8793" spans="14:14" ht="15" customHeight="1" x14ac:dyDescent="0.25">
      <c r="N8793" t="s">
        <v>988</v>
      </c>
    </row>
    <row r="8794" spans="14:14" ht="15" customHeight="1" x14ac:dyDescent="0.25">
      <c r="N8794" t="s">
        <v>988</v>
      </c>
    </row>
    <row r="8795" spans="14:14" ht="15" customHeight="1" x14ac:dyDescent="0.25">
      <c r="N8795" t="s">
        <v>1042</v>
      </c>
    </row>
    <row r="8796" spans="14:14" ht="15" customHeight="1" x14ac:dyDescent="0.25">
      <c r="N8796" t="s">
        <v>249</v>
      </c>
    </row>
    <row r="8797" spans="14:14" ht="15" customHeight="1" x14ac:dyDescent="0.25">
      <c r="N8797" t="s">
        <v>249</v>
      </c>
    </row>
    <row r="8798" spans="14:14" ht="15" customHeight="1" x14ac:dyDescent="0.25">
      <c r="N8798" t="s">
        <v>249</v>
      </c>
    </row>
    <row r="8799" spans="14:14" ht="15" customHeight="1" x14ac:dyDescent="0.25">
      <c r="N8799" t="s">
        <v>249</v>
      </c>
    </row>
    <row r="8800" spans="14:14" ht="15" customHeight="1" x14ac:dyDescent="0.25">
      <c r="N8800" t="s">
        <v>1185</v>
      </c>
    </row>
    <row r="8801" spans="14:14" ht="15" customHeight="1" x14ac:dyDescent="0.25">
      <c r="N8801" t="s">
        <v>1185</v>
      </c>
    </row>
    <row r="8802" spans="14:14" ht="15" customHeight="1" x14ac:dyDescent="0.25">
      <c r="N8802" t="s">
        <v>773</v>
      </c>
    </row>
    <row r="8803" spans="14:14" ht="15" customHeight="1" x14ac:dyDescent="0.25">
      <c r="N8803" t="s">
        <v>773</v>
      </c>
    </row>
    <row r="8804" spans="14:14" ht="15" customHeight="1" x14ac:dyDescent="0.25">
      <c r="N8804" t="s">
        <v>773</v>
      </c>
    </row>
    <row r="8805" spans="14:14" ht="15" customHeight="1" x14ac:dyDescent="0.25">
      <c r="N8805" t="s">
        <v>773</v>
      </c>
    </row>
    <row r="8806" spans="14:14" ht="15" customHeight="1" x14ac:dyDescent="0.25">
      <c r="N8806" t="s">
        <v>286</v>
      </c>
    </row>
    <row r="8807" spans="14:14" ht="15" customHeight="1" x14ac:dyDescent="0.25">
      <c r="N8807" t="s">
        <v>302</v>
      </c>
    </row>
    <row r="8808" spans="14:14" ht="15" customHeight="1" x14ac:dyDescent="0.25">
      <c r="N8808" t="s">
        <v>1334</v>
      </c>
    </row>
    <row r="8809" spans="14:14" ht="15" customHeight="1" x14ac:dyDescent="0.25">
      <c r="N8809" t="s">
        <v>279</v>
      </c>
    </row>
    <row r="8810" spans="14:14" ht="15" customHeight="1" x14ac:dyDescent="0.25">
      <c r="N8810" t="s">
        <v>1069</v>
      </c>
    </row>
    <row r="8811" spans="14:14" ht="15" customHeight="1" x14ac:dyDescent="0.25">
      <c r="N8811" t="s">
        <v>1069</v>
      </c>
    </row>
    <row r="8812" spans="14:14" ht="15" customHeight="1" x14ac:dyDescent="0.25">
      <c r="N8812" t="s">
        <v>998</v>
      </c>
    </row>
    <row r="8813" spans="14:14" ht="15" customHeight="1" x14ac:dyDescent="0.25">
      <c r="N8813" t="s">
        <v>1069</v>
      </c>
    </row>
    <row r="8814" spans="14:14" ht="15" customHeight="1" x14ac:dyDescent="0.25">
      <c r="N8814" t="s">
        <v>988</v>
      </c>
    </row>
    <row r="8815" spans="14:14" ht="15" customHeight="1" x14ac:dyDescent="0.25">
      <c r="N8815" t="s">
        <v>988</v>
      </c>
    </row>
    <row r="8816" spans="14:14" ht="15" customHeight="1" x14ac:dyDescent="0.25">
      <c r="N8816" t="s">
        <v>1188</v>
      </c>
    </row>
    <row r="8817" spans="14:14" ht="15" customHeight="1" x14ac:dyDescent="0.25">
      <c r="N8817" t="s">
        <v>1188</v>
      </c>
    </row>
    <row r="8818" spans="14:14" ht="15" customHeight="1" x14ac:dyDescent="0.25">
      <c r="N8818" t="s">
        <v>1106</v>
      </c>
    </row>
    <row r="8819" spans="14:14" ht="15" customHeight="1" x14ac:dyDescent="0.25">
      <c r="N8819" t="s">
        <v>1106</v>
      </c>
    </row>
    <row r="8820" spans="14:14" ht="15" customHeight="1" x14ac:dyDescent="0.25">
      <c r="N8820" t="s">
        <v>1106</v>
      </c>
    </row>
    <row r="8821" spans="14:14" ht="15" customHeight="1" x14ac:dyDescent="0.25">
      <c r="N8821" t="s">
        <v>1106</v>
      </c>
    </row>
    <row r="8822" spans="14:14" ht="15" customHeight="1" x14ac:dyDescent="0.25">
      <c r="N8822" t="s">
        <v>1106</v>
      </c>
    </row>
    <row r="8823" spans="14:14" ht="15" customHeight="1" x14ac:dyDescent="0.25">
      <c r="N8823" t="s">
        <v>1106</v>
      </c>
    </row>
    <row r="8824" spans="14:14" ht="15" customHeight="1" x14ac:dyDescent="0.25">
      <c r="N8824" t="s">
        <v>1106</v>
      </c>
    </row>
    <row r="8825" spans="14:14" ht="15" customHeight="1" x14ac:dyDescent="0.25">
      <c r="N8825" t="s">
        <v>1106</v>
      </c>
    </row>
    <row r="8826" spans="14:14" ht="15" customHeight="1" x14ac:dyDescent="0.25">
      <c r="N8826" t="s">
        <v>1119</v>
      </c>
    </row>
    <row r="8827" spans="14:14" ht="15" customHeight="1" x14ac:dyDescent="0.25">
      <c r="N8827" t="s">
        <v>1191</v>
      </c>
    </row>
    <row r="8828" spans="14:14" ht="15" customHeight="1" x14ac:dyDescent="0.25">
      <c r="N8828" t="s">
        <v>1191</v>
      </c>
    </row>
    <row r="8829" spans="14:14" ht="15" customHeight="1" x14ac:dyDescent="0.25">
      <c r="N8829" t="s">
        <v>998</v>
      </c>
    </row>
    <row r="8830" spans="14:14" ht="15" customHeight="1" x14ac:dyDescent="0.25">
      <c r="N8830" t="s">
        <v>998</v>
      </c>
    </row>
    <row r="8831" spans="14:14" ht="15" customHeight="1" x14ac:dyDescent="0.25">
      <c r="N8831" t="s">
        <v>934</v>
      </c>
    </row>
    <row r="8832" spans="14:14" ht="15" customHeight="1" x14ac:dyDescent="0.25">
      <c r="N8832" t="s">
        <v>1195</v>
      </c>
    </row>
    <row r="8833" spans="14:14" ht="15" customHeight="1" x14ac:dyDescent="0.25">
      <c r="N8833" t="s">
        <v>1042</v>
      </c>
    </row>
    <row r="8834" spans="14:14" ht="15" customHeight="1" x14ac:dyDescent="0.25">
      <c r="N8834" t="s">
        <v>1135</v>
      </c>
    </row>
    <row r="8835" spans="14:14" ht="15" customHeight="1" x14ac:dyDescent="0.25">
      <c r="N8835" t="s">
        <v>933</v>
      </c>
    </row>
    <row r="8836" spans="14:14" ht="15" customHeight="1" x14ac:dyDescent="0.25">
      <c r="N8836" t="s">
        <v>904</v>
      </c>
    </row>
    <row r="8837" spans="14:14" ht="15" customHeight="1" x14ac:dyDescent="0.25">
      <c r="N8837" t="s">
        <v>904</v>
      </c>
    </row>
    <row r="8838" spans="14:14" ht="15" customHeight="1" x14ac:dyDescent="0.25">
      <c r="N8838" t="s">
        <v>249</v>
      </c>
    </row>
    <row r="8839" spans="14:14" ht="15" customHeight="1" x14ac:dyDescent="0.25">
      <c r="N8839" t="s">
        <v>1205</v>
      </c>
    </row>
    <row r="8840" spans="14:14" ht="15" customHeight="1" x14ac:dyDescent="0.25">
      <c r="N8840" t="s">
        <v>1147</v>
      </c>
    </row>
    <row r="8841" spans="14:14" ht="15" customHeight="1" x14ac:dyDescent="0.25">
      <c r="N8841" t="s">
        <v>254</v>
      </c>
    </row>
    <row r="8842" spans="14:14" ht="15" customHeight="1" x14ac:dyDescent="0.25">
      <c r="N8842" t="s">
        <v>254</v>
      </c>
    </row>
    <row r="8843" spans="14:14" ht="15" customHeight="1" x14ac:dyDescent="0.25">
      <c r="N8843" t="s">
        <v>254</v>
      </c>
    </row>
    <row r="8844" spans="14:14" ht="15" customHeight="1" x14ac:dyDescent="0.25">
      <c r="N8844" t="s">
        <v>1208</v>
      </c>
    </row>
    <row r="8845" spans="14:14" ht="15" customHeight="1" x14ac:dyDescent="0.25">
      <c r="N8845" t="s">
        <v>480</v>
      </c>
    </row>
    <row r="8846" spans="14:14" ht="15" customHeight="1" x14ac:dyDescent="0.25">
      <c r="N8846" t="s">
        <v>1209</v>
      </c>
    </row>
    <row r="8847" spans="14:14" ht="15" customHeight="1" x14ac:dyDescent="0.25">
      <c r="N8847" t="s">
        <v>480</v>
      </c>
    </row>
    <row r="8848" spans="14:14" ht="15" customHeight="1" x14ac:dyDescent="0.25">
      <c r="N8848" t="s">
        <v>777</v>
      </c>
    </row>
    <row r="8849" spans="14:14" ht="15" customHeight="1" x14ac:dyDescent="0.25">
      <c r="N8849" t="s">
        <v>1209</v>
      </c>
    </row>
    <row r="8850" spans="14:14" ht="15" customHeight="1" x14ac:dyDescent="0.25">
      <c r="N8850" t="s">
        <v>254</v>
      </c>
    </row>
    <row r="8851" spans="14:14" ht="15" customHeight="1" x14ac:dyDescent="0.25">
      <c r="N8851" t="s">
        <v>885</v>
      </c>
    </row>
    <row r="8852" spans="14:14" ht="15" customHeight="1" x14ac:dyDescent="0.25">
      <c r="N8852" t="s">
        <v>273</v>
      </c>
    </row>
    <row r="8853" spans="14:14" ht="15" customHeight="1" x14ac:dyDescent="0.25">
      <c r="N8853" t="s">
        <v>273</v>
      </c>
    </row>
    <row r="8854" spans="14:14" ht="15" customHeight="1" x14ac:dyDescent="0.25">
      <c r="N8854" t="s">
        <v>279</v>
      </c>
    </row>
    <row r="8855" spans="14:14" ht="15" customHeight="1" x14ac:dyDescent="0.25">
      <c r="N8855" t="s">
        <v>1042</v>
      </c>
    </row>
    <row r="8856" spans="14:14" ht="15" customHeight="1" x14ac:dyDescent="0.25">
      <c r="N8856" t="s">
        <v>904</v>
      </c>
    </row>
    <row r="8857" spans="14:14" ht="15" customHeight="1" x14ac:dyDescent="0.25">
      <c r="N8857" t="s">
        <v>904</v>
      </c>
    </row>
    <row r="8858" spans="14:14" ht="15" customHeight="1" x14ac:dyDescent="0.25">
      <c r="N8858" t="s">
        <v>1069</v>
      </c>
    </row>
    <row r="8859" spans="14:14" ht="15" customHeight="1" x14ac:dyDescent="0.25">
      <c r="N8859" t="s">
        <v>1069</v>
      </c>
    </row>
    <row r="8860" spans="14:14" ht="15" customHeight="1" x14ac:dyDescent="0.25">
      <c r="N8860" t="s">
        <v>1188</v>
      </c>
    </row>
    <row r="8861" spans="14:14" ht="15" customHeight="1" x14ac:dyDescent="0.25">
      <c r="N8861" t="s">
        <v>1188</v>
      </c>
    </row>
    <row r="8862" spans="14:14" ht="15" customHeight="1" x14ac:dyDescent="0.25">
      <c r="N8862" t="s">
        <v>1188</v>
      </c>
    </row>
    <row r="8863" spans="14:14" ht="15" customHeight="1" x14ac:dyDescent="0.25">
      <c r="N8863" t="s">
        <v>1188</v>
      </c>
    </row>
    <row r="8864" spans="14:14" ht="15" customHeight="1" x14ac:dyDescent="0.25">
      <c r="N8864" t="s">
        <v>1188</v>
      </c>
    </row>
    <row r="8865" spans="14:14" ht="15" customHeight="1" x14ac:dyDescent="0.25">
      <c r="N8865" t="s">
        <v>1188</v>
      </c>
    </row>
    <row r="8866" spans="14:14" ht="15" customHeight="1" x14ac:dyDescent="0.25">
      <c r="N8866" t="s">
        <v>1188</v>
      </c>
    </row>
    <row r="8867" spans="14:14" ht="15" customHeight="1" x14ac:dyDescent="0.25">
      <c r="N8867" t="s">
        <v>1188</v>
      </c>
    </row>
    <row r="8868" spans="14:14" ht="15" customHeight="1" x14ac:dyDescent="0.25">
      <c r="N8868" t="s">
        <v>1216</v>
      </c>
    </row>
    <row r="8869" spans="14:14" ht="15" customHeight="1" x14ac:dyDescent="0.25">
      <c r="N8869" t="s">
        <v>1030</v>
      </c>
    </row>
    <row r="8870" spans="14:14" ht="15" customHeight="1" x14ac:dyDescent="0.25">
      <c r="N8870" t="s">
        <v>1049</v>
      </c>
    </row>
    <row r="8871" spans="14:14" ht="15" customHeight="1" x14ac:dyDescent="0.25">
      <c r="N8871" t="s">
        <v>1163</v>
      </c>
    </row>
    <row r="8872" spans="14:14" ht="15" customHeight="1" x14ac:dyDescent="0.25">
      <c r="N8872" t="s">
        <v>1163</v>
      </c>
    </row>
    <row r="8873" spans="14:14" ht="15" customHeight="1" x14ac:dyDescent="0.25">
      <c r="N8873" t="s">
        <v>1218</v>
      </c>
    </row>
    <row r="8874" spans="14:14" ht="15" customHeight="1" x14ac:dyDescent="0.25">
      <c r="N8874" t="s">
        <v>1042</v>
      </c>
    </row>
    <row r="8875" spans="14:14" ht="15" customHeight="1" x14ac:dyDescent="0.25">
      <c r="N8875" t="s">
        <v>1042</v>
      </c>
    </row>
    <row r="8876" spans="14:14" ht="15" customHeight="1" x14ac:dyDescent="0.25">
      <c r="N8876" t="s">
        <v>985</v>
      </c>
    </row>
    <row r="8877" spans="14:14" ht="15" customHeight="1" x14ac:dyDescent="0.25">
      <c r="N8877" t="s">
        <v>934</v>
      </c>
    </row>
    <row r="8878" spans="14:14" ht="15" customHeight="1" x14ac:dyDescent="0.25">
      <c r="N8878" t="s">
        <v>934</v>
      </c>
    </row>
    <row r="8879" spans="14:14" ht="15" customHeight="1" x14ac:dyDescent="0.25">
      <c r="N8879" t="s">
        <v>934</v>
      </c>
    </row>
    <row r="8880" spans="14:14" ht="15" customHeight="1" x14ac:dyDescent="0.25">
      <c r="N8880" t="s">
        <v>319</v>
      </c>
    </row>
    <row r="8881" spans="14:14" ht="15" customHeight="1" x14ac:dyDescent="0.25">
      <c r="N8881" t="s">
        <v>1042</v>
      </c>
    </row>
    <row r="8882" spans="14:14" ht="15" customHeight="1" x14ac:dyDescent="0.25">
      <c r="N8882" t="s">
        <v>1225</v>
      </c>
    </row>
    <row r="8883" spans="14:14" ht="15" customHeight="1" x14ac:dyDescent="0.25">
      <c r="N8883" t="s">
        <v>249</v>
      </c>
    </row>
    <row r="8884" spans="14:14" ht="15" customHeight="1" x14ac:dyDescent="0.25">
      <c r="N8884" t="s">
        <v>249</v>
      </c>
    </row>
    <row r="8885" spans="14:14" ht="15" customHeight="1" x14ac:dyDescent="0.25">
      <c r="N8885" t="s">
        <v>249</v>
      </c>
    </row>
    <row r="8886" spans="14:14" ht="15" customHeight="1" x14ac:dyDescent="0.25">
      <c r="N8886" t="s">
        <v>371</v>
      </c>
    </row>
    <row r="8887" spans="14:14" ht="15" customHeight="1" x14ac:dyDescent="0.25">
      <c r="N8887" t="s">
        <v>319</v>
      </c>
    </row>
    <row r="8888" spans="14:14" ht="15" customHeight="1" x14ac:dyDescent="0.25">
      <c r="N8888" t="s">
        <v>773</v>
      </c>
    </row>
    <row r="8889" spans="14:14" ht="15" customHeight="1" x14ac:dyDescent="0.25">
      <c r="N8889" t="s">
        <v>773</v>
      </c>
    </row>
    <row r="8890" spans="14:14" ht="15" customHeight="1" x14ac:dyDescent="0.25">
      <c r="N8890" t="s">
        <v>719</v>
      </c>
    </row>
    <row r="8891" spans="14:14" ht="15" customHeight="1" x14ac:dyDescent="0.25">
      <c r="N8891" t="s">
        <v>1228</v>
      </c>
    </row>
    <row r="8892" spans="14:14" ht="15" customHeight="1" x14ac:dyDescent="0.25">
      <c r="N8892" t="s">
        <v>934</v>
      </c>
    </row>
    <row r="8893" spans="14:14" ht="15" customHeight="1" x14ac:dyDescent="0.25">
      <c r="N8893" t="s">
        <v>934</v>
      </c>
    </row>
    <row r="8894" spans="14:14" ht="15" customHeight="1" x14ac:dyDescent="0.25">
      <c r="N8894" t="s">
        <v>1230</v>
      </c>
    </row>
    <row r="8895" spans="14:14" ht="15" customHeight="1" x14ac:dyDescent="0.25">
      <c r="N8895" t="s">
        <v>1083</v>
      </c>
    </row>
    <row r="8896" spans="14:14" ht="15" customHeight="1" x14ac:dyDescent="0.25">
      <c r="N8896" t="s">
        <v>1232</v>
      </c>
    </row>
    <row r="8897" spans="14:14" ht="15" customHeight="1" x14ac:dyDescent="0.25">
      <c r="N8897" t="s">
        <v>1232</v>
      </c>
    </row>
    <row r="8898" spans="14:14" ht="15" customHeight="1" x14ac:dyDescent="0.25">
      <c r="N8898" t="s">
        <v>1166</v>
      </c>
    </row>
    <row r="8899" spans="14:14" ht="15" customHeight="1" x14ac:dyDescent="0.25">
      <c r="N8899" t="s">
        <v>1069</v>
      </c>
    </row>
    <row r="8900" spans="14:14" ht="15" customHeight="1" x14ac:dyDescent="0.25">
      <c r="N8900" t="s">
        <v>1201</v>
      </c>
    </row>
    <row r="8901" spans="14:14" ht="15" customHeight="1" x14ac:dyDescent="0.25">
      <c r="N8901" t="s">
        <v>912</v>
      </c>
    </row>
    <row r="8902" spans="14:14" ht="15" customHeight="1" x14ac:dyDescent="0.25">
      <c r="N8902" t="s">
        <v>1163</v>
      </c>
    </row>
    <row r="8903" spans="14:14" ht="15" customHeight="1" x14ac:dyDescent="0.25">
      <c r="N8903" t="s">
        <v>1163</v>
      </c>
    </row>
    <row r="8904" spans="14:14" ht="15" customHeight="1" x14ac:dyDescent="0.25">
      <c r="N8904" t="s">
        <v>993</v>
      </c>
    </row>
    <row r="8905" spans="14:14" ht="15" customHeight="1" x14ac:dyDescent="0.25">
      <c r="N8905" t="s">
        <v>1042</v>
      </c>
    </row>
    <row r="8906" spans="14:14" ht="15" customHeight="1" x14ac:dyDescent="0.25">
      <c r="N8906" t="s">
        <v>985</v>
      </c>
    </row>
    <row r="8907" spans="14:14" ht="15" customHeight="1" x14ac:dyDescent="0.25">
      <c r="N8907" t="s">
        <v>1236</v>
      </c>
    </row>
    <row r="8908" spans="14:14" ht="15" customHeight="1" x14ac:dyDescent="0.25">
      <c r="N8908" t="s">
        <v>934</v>
      </c>
    </row>
    <row r="8909" spans="14:14" ht="15" customHeight="1" x14ac:dyDescent="0.25">
      <c r="N8909" t="s">
        <v>894</v>
      </c>
    </row>
    <row r="8910" spans="14:14" ht="15" customHeight="1" x14ac:dyDescent="0.25">
      <c r="N8910" t="s">
        <v>1188</v>
      </c>
    </row>
    <row r="8911" spans="14:14" ht="15" customHeight="1" x14ac:dyDescent="0.25">
      <c r="N8911" t="s">
        <v>1188</v>
      </c>
    </row>
    <row r="8912" spans="14:14" ht="15" customHeight="1" x14ac:dyDescent="0.25">
      <c r="N8912" t="s">
        <v>1125</v>
      </c>
    </row>
    <row r="8913" spans="14:14" ht="15" customHeight="1" x14ac:dyDescent="0.25">
      <c r="N8913" t="s">
        <v>1237</v>
      </c>
    </row>
    <row r="8914" spans="14:14" ht="15" customHeight="1" x14ac:dyDescent="0.25">
      <c r="N8914" t="s">
        <v>1185</v>
      </c>
    </row>
    <row r="8915" spans="14:14" ht="15" customHeight="1" x14ac:dyDescent="0.25">
      <c r="N8915" t="s">
        <v>249</v>
      </c>
    </row>
    <row r="8916" spans="14:14" ht="15" customHeight="1" x14ac:dyDescent="0.25">
      <c r="N8916" t="s">
        <v>777</v>
      </c>
    </row>
    <row r="8917" spans="14:14" ht="15" customHeight="1" x14ac:dyDescent="0.25">
      <c r="N8917" t="s">
        <v>480</v>
      </c>
    </row>
    <row r="8918" spans="14:14" ht="15" customHeight="1" x14ac:dyDescent="0.25">
      <c r="N8918" t="s">
        <v>319</v>
      </c>
    </row>
    <row r="8919" spans="14:14" ht="15" customHeight="1" x14ac:dyDescent="0.25">
      <c r="N8919" t="s">
        <v>334</v>
      </c>
    </row>
    <row r="8920" spans="14:14" ht="15" customHeight="1" x14ac:dyDescent="0.25">
      <c r="N8920" t="s">
        <v>254</v>
      </c>
    </row>
    <row r="8921" spans="14:14" ht="15" customHeight="1" x14ac:dyDescent="0.25">
      <c r="N8921" t="s">
        <v>273</v>
      </c>
    </row>
    <row r="8922" spans="14:14" ht="15" customHeight="1" x14ac:dyDescent="0.25">
      <c r="N8922" t="s">
        <v>1188</v>
      </c>
    </row>
    <row r="8923" spans="14:14" ht="15" customHeight="1" x14ac:dyDescent="0.25">
      <c r="N8923" t="s">
        <v>1166</v>
      </c>
    </row>
    <row r="8924" spans="14:14" ht="15" customHeight="1" x14ac:dyDescent="0.25">
      <c r="N8924" t="s">
        <v>1166</v>
      </c>
    </row>
    <row r="8925" spans="14:14" ht="15" customHeight="1" x14ac:dyDescent="0.25">
      <c r="N8925" t="s">
        <v>1240</v>
      </c>
    </row>
    <row r="8926" spans="14:14" ht="15" customHeight="1" x14ac:dyDescent="0.25">
      <c r="N8926" t="s">
        <v>998</v>
      </c>
    </row>
    <row r="8927" spans="14:14" ht="15" customHeight="1" x14ac:dyDescent="0.25">
      <c r="N8927" t="s">
        <v>933</v>
      </c>
    </row>
    <row r="8928" spans="14:14" ht="15" customHeight="1" x14ac:dyDescent="0.25">
      <c r="N8928" t="s">
        <v>980</v>
      </c>
    </row>
    <row r="8929" spans="14:14" ht="15" customHeight="1" x14ac:dyDescent="0.25">
      <c r="N8929" t="s">
        <v>1042</v>
      </c>
    </row>
    <row r="8930" spans="14:14" ht="15" customHeight="1" x14ac:dyDescent="0.25">
      <c r="N8930" t="s">
        <v>1242</v>
      </c>
    </row>
    <row r="8931" spans="14:14" ht="15" customHeight="1" x14ac:dyDescent="0.25">
      <c r="N8931" t="s">
        <v>933</v>
      </c>
    </row>
    <row r="8932" spans="14:14" ht="15" customHeight="1" x14ac:dyDescent="0.25">
      <c r="N8932" t="s">
        <v>909</v>
      </c>
    </row>
    <row r="8933" spans="14:14" ht="15" customHeight="1" x14ac:dyDescent="0.25">
      <c r="N8933" t="s">
        <v>1243</v>
      </c>
    </row>
    <row r="8934" spans="14:14" ht="15" customHeight="1" x14ac:dyDescent="0.25">
      <c r="N8934" t="s">
        <v>1243</v>
      </c>
    </row>
    <row r="8935" spans="14:14" ht="15" customHeight="1" x14ac:dyDescent="0.25">
      <c r="N8935" t="s">
        <v>1205</v>
      </c>
    </row>
    <row r="8936" spans="14:14" ht="15" customHeight="1" x14ac:dyDescent="0.25">
      <c r="N8936" t="s">
        <v>334</v>
      </c>
    </row>
    <row r="8937" spans="14:14" ht="15" customHeight="1" x14ac:dyDescent="0.25">
      <c r="N8937" t="s">
        <v>818</v>
      </c>
    </row>
    <row r="8938" spans="14:14" ht="15" customHeight="1" x14ac:dyDescent="0.25">
      <c r="N8938" t="s">
        <v>247</v>
      </c>
    </row>
    <row r="8939" spans="14:14" ht="15" customHeight="1" x14ac:dyDescent="0.25">
      <c r="N8939" t="s">
        <v>998</v>
      </c>
    </row>
    <row r="8940" spans="14:14" ht="15" customHeight="1" x14ac:dyDescent="0.25">
      <c r="N8940" t="s">
        <v>998</v>
      </c>
    </row>
    <row r="8941" spans="14:14" ht="15" customHeight="1" x14ac:dyDescent="0.25">
      <c r="N8941" t="s">
        <v>933</v>
      </c>
    </row>
    <row r="8942" spans="14:14" ht="15" customHeight="1" x14ac:dyDescent="0.25">
      <c r="N8942" t="s">
        <v>1244</v>
      </c>
    </row>
    <row r="8943" spans="14:14" ht="15" customHeight="1" x14ac:dyDescent="0.25">
      <c r="N8943" t="s">
        <v>934</v>
      </c>
    </row>
    <row r="8944" spans="14:14" ht="15" customHeight="1" x14ac:dyDescent="0.25">
      <c r="N8944" t="s">
        <v>1195</v>
      </c>
    </row>
    <row r="8945" spans="14:14" ht="15" customHeight="1" x14ac:dyDescent="0.25">
      <c r="N8945" t="s">
        <v>1166</v>
      </c>
    </row>
    <row r="8946" spans="14:14" ht="15" customHeight="1" x14ac:dyDescent="0.25">
      <c r="N8946" t="s">
        <v>998</v>
      </c>
    </row>
    <row r="8947" spans="14:14" ht="15" customHeight="1" x14ac:dyDescent="0.25">
      <c r="N8947" t="s">
        <v>1245</v>
      </c>
    </row>
    <row r="8948" spans="14:14" ht="15" customHeight="1" x14ac:dyDescent="0.25">
      <c r="N8948" t="s">
        <v>1245</v>
      </c>
    </row>
    <row r="8949" spans="14:14" ht="15" customHeight="1" x14ac:dyDescent="0.25">
      <c r="N8949" t="s">
        <v>1247</v>
      </c>
    </row>
    <row r="8950" spans="14:14" ht="15" customHeight="1" x14ac:dyDescent="0.25">
      <c r="N8950" t="s">
        <v>273</v>
      </c>
    </row>
    <row r="8951" spans="14:14" ht="15" customHeight="1" x14ac:dyDescent="0.25">
      <c r="N8951" t="s">
        <v>254</v>
      </c>
    </row>
    <row r="8952" spans="14:14" ht="15" customHeight="1" x14ac:dyDescent="0.25">
      <c r="N8952" t="s">
        <v>907</v>
      </c>
    </row>
    <row r="8953" spans="14:14" ht="15" customHeight="1" x14ac:dyDescent="0.25">
      <c r="N8953" t="s">
        <v>901</v>
      </c>
    </row>
    <row r="8954" spans="14:14" ht="15" customHeight="1" x14ac:dyDescent="0.25">
      <c r="N8954" t="s">
        <v>1251</v>
      </c>
    </row>
    <row r="8955" spans="14:14" ht="15" customHeight="1" x14ac:dyDescent="0.25">
      <c r="N8955" t="s">
        <v>1252</v>
      </c>
    </row>
    <row r="8956" spans="14:14" ht="15" customHeight="1" x14ac:dyDescent="0.25">
      <c r="N8956" t="s">
        <v>998</v>
      </c>
    </row>
    <row r="8957" spans="14:14" ht="15" customHeight="1" x14ac:dyDescent="0.25">
      <c r="N8957" t="s">
        <v>1042</v>
      </c>
    </row>
    <row r="8958" spans="14:14" ht="15" customHeight="1" x14ac:dyDescent="0.25">
      <c r="N8958" t="s">
        <v>988</v>
      </c>
    </row>
    <row r="8959" spans="14:14" ht="15" customHeight="1" x14ac:dyDescent="0.25">
      <c r="N8959" t="s">
        <v>1166</v>
      </c>
    </row>
    <row r="8960" spans="14:14" ht="15" customHeight="1" x14ac:dyDescent="0.25">
      <c r="N8960" t="s">
        <v>1166</v>
      </c>
    </row>
    <row r="8961" spans="14:14" ht="15" customHeight="1" x14ac:dyDescent="0.25">
      <c r="N8961" t="s">
        <v>1247</v>
      </c>
    </row>
    <row r="8962" spans="14:14" ht="15" customHeight="1" x14ac:dyDescent="0.25">
      <c r="N8962" t="s">
        <v>319</v>
      </c>
    </row>
    <row r="8963" spans="14:14" ht="15" customHeight="1" x14ac:dyDescent="0.25">
      <c r="N8963" t="s">
        <v>907</v>
      </c>
    </row>
    <row r="8964" spans="14:14" ht="15" customHeight="1" x14ac:dyDescent="0.25">
      <c r="N8964" t="s">
        <v>1185</v>
      </c>
    </row>
    <row r="8965" spans="14:14" ht="15" customHeight="1" x14ac:dyDescent="0.25">
      <c r="N8965" t="s">
        <v>934</v>
      </c>
    </row>
    <row r="8966" spans="14:14" ht="15" customHeight="1" x14ac:dyDescent="0.25">
      <c r="N8966" t="s">
        <v>1106</v>
      </c>
    </row>
    <row r="8967" spans="14:14" ht="15" customHeight="1" x14ac:dyDescent="0.25">
      <c r="N8967" t="s">
        <v>1106</v>
      </c>
    </row>
    <row r="8968" spans="14:14" ht="15" customHeight="1" x14ac:dyDescent="0.25">
      <c r="N8968" t="s">
        <v>1106</v>
      </c>
    </row>
    <row r="8969" spans="14:14" ht="15" customHeight="1" x14ac:dyDescent="0.25">
      <c r="N8969" t="s">
        <v>1106</v>
      </c>
    </row>
    <row r="8970" spans="14:14" ht="15" customHeight="1" x14ac:dyDescent="0.25">
      <c r="N8970" t="s">
        <v>1106</v>
      </c>
    </row>
    <row r="8971" spans="14:14" ht="15" customHeight="1" x14ac:dyDescent="0.25">
      <c r="N8971" t="s">
        <v>1106</v>
      </c>
    </row>
    <row r="8972" spans="14:14" ht="15" customHeight="1" x14ac:dyDescent="0.25">
      <c r="N8972" t="s">
        <v>1042</v>
      </c>
    </row>
    <row r="8973" spans="14:14" ht="15" customHeight="1" x14ac:dyDescent="0.25">
      <c r="N8973" t="s">
        <v>998</v>
      </c>
    </row>
    <row r="8974" spans="14:14" ht="15" customHeight="1" x14ac:dyDescent="0.25">
      <c r="N8974" t="s">
        <v>998</v>
      </c>
    </row>
    <row r="8975" spans="14:14" ht="15" customHeight="1" x14ac:dyDescent="0.25">
      <c r="N8975" t="s">
        <v>254</v>
      </c>
    </row>
    <row r="8976" spans="14:14" ht="15" customHeight="1" x14ac:dyDescent="0.25">
      <c r="N8976" t="s">
        <v>998</v>
      </c>
    </row>
    <row r="8977" spans="14:14" ht="15" customHeight="1" x14ac:dyDescent="0.25">
      <c r="N8977" t="s">
        <v>319</v>
      </c>
    </row>
    <row r="8978" spans="14:14" ht="15" customHeight="1" x14ac:dyDescent="0.25">
      <c r="N8978" t="s">
        <v>1230</v>
      </c>
    </row>
    <row r="8979" spans="14:14" ht="15" customHeight="1" x14ac:dyDescent="0.25">
      <c r="N8979" t="s">
        <v>1188</v>
      </c>
    </row>
    <row r="8980" spans="14:14" ht="15" customHeight="1" x14ac:dyDescent="0.25">
      <c r="N8980" t="s">
        <v>1188</v>
      </c>
    </row>
    <row r="8981" spans="14:14" ht="15" customHeight="1" x14ac:dyDescent="0.25">
      <c r="N8981" t="s">
        <v>1188</v>
      </c>
    </row>
    <row r="8982" spans="14:14" ht="15" customHeight="1" x14ac:dyDescent="0.25">
      <c r="N8982" t="s">
        <v>1188</v>
      </c>
    </row>
    <row r="8983" spans="14:14" ht="15" customHeight="1" x14ac:dyDescent="0.25">
      <c r="N8983" t="s">
        <v>1188</v>
      </c>
    </row>
    <row r="8984" spans="14:14" ht="15" customHeight="1" x14ac:dyDescent="0.25">
      <c r="N8984" t="s">
        <v>1188</v>
      </c>
    </row>
    <row r="8985" spans="14:14" ht="15" customHeight="1" x14ac:dyDescent="0.25">
      <c r="N8985" t="s">
        <v>1261</v>
      </c>
    </row>
    <row r="8986" spans="14:14" ht="15" customHeight="1" x14ac:dyDescent="0.25">
      <c r="N8986" t="s">
        <v>777</v>
      </c>
    </row>
    <row r="8987" spans="14:14" ht="15" customHeight="1" x14ac:dyDescent="0.25">
      <c r="N8987" t="s">
        <v>1240</v>
      </c>
    </row>
    <row r="8988" spans="14:14" ht="15" customHeight="1" x14ac:dyDescent="0.25">
      <c r="N8988" t="s">
        <v>1042</v>
      </c>
    </row>
    <row r="8989" spans="14:14" ht="15" customHeight="1" x14ac:dyDescent="0.25">
      <c r="N8989" t="s">
        <v>1336</v>
      </c>
    </row>
    <row r="8990" spans="14:14" ht="15" customHeight="1" x14ac:dyDescent="0.25">
      <c r="N8990" t="s">
        <v>1042</v>
      </c>
    </row>
    <row r="8991" spans="14:14" ht="15" customHeight="1" x14ac:dyDescent="0.25">
      <c r="N8991" t="s">
        <v>998</v>
      </c>
    </row>
    <row r="8992" spans="14:14" ht="15" customHeight="1" x14ac:dyDescent="0.25">
      <c r="N8992" t="s">
        <v>302</v>
      </c>
    </row>
    <row r="8993" spans="14:14" ht="15" customHeight="1" x14ac:dyDescent="0.25">
      <c r="N8993" t="s">
        <v>319</v>
      </c>
    </row>
    <row r="8994" spans="14:14" ht="15" customHeight="1" x14ac:dyDescent="0.25">
      <c r="N8994" t="s">
        <v>985</v>
      </c>
    </row>
    <row r="8995" spans="14:14" ht="15" customHeight="1" x14ac:dyDescent="0.25">
      <c r="N8995" t="s">
        <v>1263</v>
      </c>
    </row>
    <row r="8996" spans="14:14" ht="15" customHeight="1" x14ac:dyDescent="0.25">
      <c r="N8996" t="s">
        <v>302</v>
      </c>
    </row>
    <row r="8997" spans="14:14" ht="15" customHeight="1" x14ac:dyDescent="0.25">
      <c r="N8997" t="s">
        <v>249</v>
      </c>
    </row>
    <row r="8998" spans="14:14" ht="15" customHeight="1" x14ac:dyDescent="0.25">
      <c r="N8998" t="s">
        <v>302</v>
      </c>
    </row>
    <row r="8999" spans="14:14" ht="15" customHeight="1" x14ac:dyDescent="0.25">
      <c r="N8999" t="s">
        <v>371</v>
      </c>
    </row>
    <row r="9000" spans="14:14" ht="15" customHeight="1" x14ac:dyDescent="0.25">
      <c r="N9000" t="s">
        <v>302</v>
      </c>
    </row>
    <row r="9001" spans="14:14" ht="15" customHeight="1" x14ac:dyDescent="0.25">
      <c r="N9001" t="s">
        <v>930</v>
      </c>
    </row>
    <row r="9002" spans="14:14" ht="15" customHeight="1" x14ac:dyDescent="0.25">
      <c r="N9002" t="s">
        <v>910</v>
      </c>
    </row>
    <row r="9003" spans="14:14" ht="15" customHeight="1" x14ac:dyDescent="0.25">
      <c r="N9003" t="s">
        <v>967</v>
      </c>
    </row>
    <row r="9004" spans="14:14" ht="15" customHeight="1" x14ac:dyDescent="0.25">
      <c r="N9004" t="s">
        <v>971</v>
      </c>
    </row>
    <row r="9005" spans="14:14" ht="15" customHeight="1" x14ac:dyDescent="0.25">
      <c r="N9005" t="s">
        <v>971</v>
      </c>
    </row>
    <row r="9006" spans="14:14" ht="15" customHeight="1" x14ac:dyDescent="0.25">
      <c r="N9006" t="s">
        <v>247</v>
      </c>
    </row>
    <row r="9007" spans="14:14" ht="15" customHeight="1" x14ac:dyDescent="0.25">
      <c r="N9007" t="s">
        <v>247</v>
      </c>
    </row>
    <row r="9008" spans="14:14" ht="15" customHeight="1" x14ac:dyDescent="0.25">
      <c r="N9008" t="s">
        <v>247</v>
      </c>
    </row>
    <row r="9009" spans="14:14" ht="15" customHeight="1" x14ac:dyDescent="0.25">
      <c r="N9009" t="s">
        <v>207</v>
      </c>
    </row>
    <row r="9010" spans="14:14" ht="15" customHeight="1" x14ac:dyDescent="0.25">
      <c r="N9010" t="s">
        <v>975</v>
      </c>
    </row>
    <row r="9011" spans="14:14" ht="15" customHeight="1" x14ac:dyDescent="0.25">
      <c r="N9011" t="s">
        <v>975</v>
      </c>
    </row>
    <row r="9012" spans="14:14" ht="15" customHeight="1" x14ac:dyDescent="0.25">
      <c r="N9012" t="s">
        <v>931</v>
      </c>
    </row>
    <row r="9013" spans="14:14" ht="15" customHeight="1" x14ac:dyDescent="0.25">
      <c r="N9013" t="s">
        <v>967</v>
      </c>
    </row>
    <row r="9014" spans="14:14" ht="15" customHeight="1" x14ac:dyDescent="0.25">
      <c r="N9014" t="s">
        <v>912</v>
      </c>
    </row>
    <row r="9015" spans="14:14" ht="15" customHeight="1" x14ac:dyDescent="0.25">
      <c r="N9015" t="s">
        <v>1014</v>
      </c>
    </row>
    <row r="9016" spans="14:14" ht="15" customHeight="1" x14ac:dyDescent="0.25">
      <c r="N9016" t="s">
        <v>971</v>
      </c>
    </row>
    <row r="9017" spans="14:14" ht="15" customHeight="1" x14ac:dyDescent="0.25">
      <c r="N9017" t="s">
        <v>971</v>
      </c>
    </row>
    <row r="9018" spans="14:14" ht="15" customHeight="1" x14ac:dyDescent="0.25">
      <c r="N9018" t="s">
        <v>247</v>
      </c>
    </row>
    <row r="9019" spans="14:14" ht="15" customHeight="1" x14ac:dyDescent="0.25">
      <c r="N9019" t="s">
        <v>247</v>
      </c>
    </row>
    <row r="9020" spans="14:14" ht="15" customHeight="1" x14ac:dyDescent="0.25">
      <c r="N9020" t="s">
        <v>247</v>
      </c>
    </row>
    <row r="9021" spans="14:14" ht="15" customHeight="1" x14ac:dyDescent="0.25">
      <c r="N9021" t="s">
        <v>251</v>
      </c>
    </row>
    <row r="9022" spans="14:14" ht="15" customHeight="1" x14ac:dyDescent="0.25">
      <c r="N9022" t="s">
        <v>971</v>
      </c>
    </row>
    <row r="9023" spans="14:14" ht="15" customHeight="1" x14ac:dyDescent="0.25">
      <c r="N9023" t="s">
        <v>971</v>
      </c>
    </row>
    <row r="9024" spans="14:14" ht="15" customHeight="1" x14ac:dyDescent="0.25">
      <c r="N9024" t="s">
        <v>247</v>
      </c>
    </row>
    <row r="9025" spans="14:14" ht="15" customHeight="1" x14ac:dyDescent="0.25">
      <c r="N9025" t="s">
        <v>247</v>
      </c>
    </row>
    <row r="9026" spans="14:14" ht="15" customHeight="1" x14ac:dyDescent="0.25">
      <c r="N9026" t="s">
        <v>247</v>
      </c>
    </row>
    <row r="9027" spans="14:14" ht="15" customHeight="1" x14ac:dyDescent="0.25">
      <c r="N9027" t="s">
        <v>302</v>
      </c>
    </row>
    <row r="9028" spans="14:14" ht="15" customHeight="1" x14ac:dyDescent="0.25">
      <c r="N9028" t="s">
        <v>971</v>
      </c>
    </row>
    <row r="9029" spans="14:14" ht="15" customHeight="1" x14ac:dyDescent="0.25">
      <c r="N9029" t="s">
        <v>971</v>
      </c>
    </row>
    <row r="9030" spans="14:14" ht="15" customHeight="1" x14ac:dyDescent="0.25">
      <c r="N9030" t="s">
        <v>1079</v>
      </c>
    </row>
    <row r="9031" spans="14:14" ht="15" customHeight="1" x14ac:dyDescent="0.25">
      <c r="N9031" t="s">
        <v>1085</v>
      </c>
    </row>
    <row r="9032" spans="14:14" ht="15" customHeight="1" x14ac:dyDescent="0.25">
      <c r="N9032" t="s">
        <v>1085</v>
      </c>
    </row>
    <row r="9033" spans="14:14" ht="15" customHeight="1" x14ac:dyDescent="0.25">
      <c r="N9033" t="s">
        <v>1014</v>
      </c>
    </row>
    <row r="9034" spans="14:14" ht="15" customHeight="1" x14ac:dyDescent="0.25">
      <c r="N9034" t="s">
        <v>971</v>
      </c>
    </row>
    <row r="9035" spans="14:14" ht="15" customHeight="1" x14ac:dyDescent="0.25">
      <c r="N9035" t="s">
        <v>971</v>
      </c>
    </row>
    <row r="9036" spans="14:14" ht="15" customHeight="1" x14ac:dyDescent="0.25">
      <c r="N9036" t="s">
        <v>247</v>
      </c>
    </row>
    <row r="9037" spans="14:14" ht="15" customHeight="1" x14ac:dyDescent="0.25">
      <c r="N9037" t="s">
        <v>247</v>
      </c>
    </row>
    <row r="9038" spans="14:14" ht="15" customHeight="1" x14ac:dyDescent="0.25">
      <c r="N9038" t="s">
        <v>247</v>
      </c>
    </row>
    <row r="9039" spans="14:14" ht="15" customHeight="1" x14ac:dyDescent="0.25">
      <c r="N9039" t="s">
        <v>302</v>
      </c>
    </row>
    <row r="9040" spans="14:14" ht="15" customHeight="1" x14ac:dyDescent="0.25">
      <c r="N9040" t="s">
        <v>302</v>
      </c>
    </row>
    <row r="9041" spans="14:14" ht="15" customHeight="1" x14ac:dyDescent="0.25">
      <c r="N9041" t="s">
        <v>302</v>
      </c>
    </row>
    <row r="9042" spans="14:14" ht="15" customHeight="1" x14ac:dyDescent="0.25">
      <c r="N9042" t="s">
        <v>302</v>
      </c>
    </row>
    <row r="9043" spans="14:14" ht="15" customHeight="1" x14ac:dyDescent="0.25">
      <c r="N9043" t="s">
        <v>971</v>
      </c>
    </row>
    <row r="9044" spans="14:14" ht="15" customHeight="1" x14ac:dyDescent="0.25">
      <c r="N9044" t="s">
        <v>971</v>
      </c>
    </row>
    <row r="9045" spans="14:14" ht="15" customHeight="1" x14ac:dyDescent="0.25">
      <c r="N9045" t="s">
        <v>1121</v>
      </c>
    </row>
    <row r="9046" spans="14:14" ht="15" customHeight="1" x14ac:dyDescent="0.25">
      <c r="N9046" t="s">
        <v>1121</v>
      </c>
    </row>
    <row r="9047" spans="14:14" ht="15" customHeight="1" x14ac:dyDescent="0.25">
      <c r="N9047" t="s">
        <v>1121</v>
      </c>
    </row>
    <row r="9048" spans="14:14" ht="15" customHeight="1" x14ac:dyDescent="0.25">
      <c r="N9048" t="s">
        <v>971</v>
      </c>
    </row>
    <row r="9049" spans="14:14" ht="15" customHeight="1" x14ac:dyDescent="0.25">
      <c r="N9049" t="s">
        <v>971</v>
      </c>
    </row>
    <row r="9050" spans="14:14" ht="15" customHeight="1" x14ac:dyDescent="0.25">
      <c r="N9050" t="s">
        <v>971</v>
      </c>
    </row>
    <row r="9051" spans="14:14" ht="15" customHeight="1" x14ac:dyDescent="0.25">
      <c r="N9051" t="s">
        <v>1119</v>
      </c>
    </row>
    <row r="9052" spans="14:14" ht="15" customHeight="1" x14ac:dyDescent="0.25">
      <c r="N9052" t="s">
        <v>1034</v>
      </c>
    </row>
    <row r="9053" spans="14:14" ht="15" customHeight="1" x14ac:dyDescent="0.25">
      <c r="N9053" t="s">
        <v>971</v>
      </c>
    </row>
    <row r="9054" spans="14:14" ht="15" customHeight="1" x14ac:dyDescent="0.25">
      <c r="N9054" t="s">
        <v>971</v>
      </c>
    </row>
    <row r="9055" spans="14:14" ht="15" customHeight="1" x14ac:dyDescent="0.25">
      <c r="N9055" t="s">
        <v>273</v>
      </c>
    </row>
    <row r="9056" spans="14:14" ht="15" customHeight="1" x14ac:dyDescent="0.25">
      <c r="N9056" t="s">
        <v>247</v>
      </c>
    </row>
    <row r="9057" spans="14:14" ht="15" customHeight="1" x14ac:dyDescent="0.25">
      <c r="N9057" t="s">
        <v>247</v>
      </c>
    </row>
    <row r="9058" spans="14:14" ht="15" customHeight="1" x14ac:dyDescent="0.25">
      <c r="N9058" t="s">
        <v>247</v>
      </c>
    </row>
    <row r="9059" spans="14:14" ht="15" customHeight="1" x14ac:dyDescent="0.25">
      <c r="N9059" t="s">
        <v>402</v>
      </c>
    </row>
    <row r="9060" spans="14:14" ht="15" customHeight="1" x14ac:dyDescent="0.25">
      <c r="N9060" t="s">
        <v>823</v>
      </c>
    </row>
    <row r="9061" spans="14:14" ht="15" customHeight="1" x14ac:dyDescent="0.25">
      <c r="N9061" t="s">
        <v>1164</v>
      </c>
    </row>
    <row r="9062" spans="14:14" ht="15" customHeight="1" x14ac:dyDescent="0.25">
      <c r="N9062" t="s">
        <v>1164</v>
      </c>
    </row>
    <row r="9063" spans="14:14" ht="15" customHeight="1" x14ac:dyDescent="0.25">
      <c r="N9063" t="s">
        <v>1164</v>
      </c>
    </row>
    <row r="9064" spans="14:14" ht="15" customHeight="1" x14ac:dyDescent="0.25">
      <c r="N9064" t="s">
        <v>971</v>
      </c>
    </row>
    <row r="9065" spans="14:14" ht="15" customHeight="1" x14ac:dyDescent="0.25">
      <c r="N9065" t="s">
        <v>1175</v>
      </c>
    </row>
    <row r="9066" spans="14:14" ht="15" customHeight="1" x14ac:dyDescent="0.25">
      <c r="N9066" t="s">
        <v>971</v>
      </c>
    </row>
    <row r="9067" spans="14:14" ht="15" customHeight="1" x14ac:dyDescent="0.25">
      <c r="N9067" t="s">
        <v>971</v>
      </c>
    </row>
    <row r="9068" spans="14:14" ht="15" customHeight="1" x14ac:dyDescent="0.25">
      <c r="N9068" t="s">
        <v>273</v>
      </c>
    </row>
    <row r="9069" spans="14:14" ht="15" customHeight="1" x14ac:dyDescent="0.25">
      <c r="N9069" t="s">
        <v>247</v>
      </c>
    </row>
    <row r="9070" spans="14:14" ht="15" customHeight="1" x14ac:dyDescent="0.25">
      <c r="N9070" t="s">
        <v>247</v>
      </c>
    </row>
    <row r="9071" spans="14:14" ht="15" customHeight="1" x14ac:dyDescent="0.25">
      <c r="N9071" t="s">
        <v>247</v>
      </c>
    </row>
    <row r="9072" spans="14:14" ht="15" customHeight="1" x14ac:dyDescent="0.25">
      <c r="N9072" t="s">
        <v>971</v>
      </c>
    </row>
    <row r="9073" spans="14:14" ht="15" customHeight="1" x14ac:dyDescent="0.25">
      <c r="N9073" t="s">
        <v>971</v>
      </c>
    </row>
    <row r="9074" spans="14:14" ht="15" customHeight="1" x14ac:dyDescent="0.25">
      <c r="N9074" t="s">
        <v>971</v>
      </c>
    </row>
    <row r="9075" spans="14:14" ht="15" customHeight="1" x14ac:dyDescent="0.25">
      <c r="N9075" t="s">
        <v>247</v>
      </c>
    </row>
    <row r="9076" spans="14:14" ht="15" customHeight="1" x14ac:dyDescent="0.25">
      <c r="N9076" t="s">
        <v>247</v>
      </c>
    </row>
    <row r="9077" spans="14:14" ht="15" customHeight="1" x14ac:dyDescent="0.25">
      <c r="N9077" t="s">
        <v>247</v>
      </c>
    </row>
    <row r="9078" spans="14:14" ht="15" customHeight="1" x14ac:dyDescent="0.25">
      <c r="N9078" t="s">
        <v>301</v>
      </c>
    </row>
    <row r="9079" spans="14:14" ht="15" customHeight="1" x14ac:dyDescent="0.25">
      <c r="N9079" t="s">
        <v>247</v>
      </c>
    </row>
    <row r="9080" spans="14:14" ht="15" customHeight="1" x14ac:dyDescent="0.25">
      <c r="N9080" t="s">
        <v>247</v>
      </c>
    </row>
    <row r="9081" spans="14:14" ht="15" customHeight="1" x14ac:dyDescent="0.25">
      <c r="N9081" t="s">
        <v>247</v>
      </c>
    </row>
    <row r="9082" spans="14:14" ht="15" customHeight="1" x14ac:dyDescent="0.25">
      <c r="N9082" t="s">
        <v>1217</v>
      </c>
    </row>
    <row r="9083" spans="14:14" ht="15" customHeight="1" x14ac:dyDescent="0.25">
      <c r="N9083" t="s">
        <v>1217</v>
      </c>
    </row>
    <row r="9084" spans="14:14" ht="15" customHeight="1" x14ac:dyDescent="0.25">
      <c r="N9084" t="s">
        <v>971</v>
      </c>
    </row>
    <row r="9085" spans="14:14" ht="15" customHeight="1" x14ac:dyDescent="0.25">
      <c r="N9085" t="s">
        <v>247</v>
      </c>
    </row>
    <row r="9086" spans="14:14" ht="15" customHeight="1" x14ac:dyDescent="0.25">
      <c r="N9086" t="s">
        <v>247</v>
      </c>
    </row>
    <row r="9087" spans="14:14" ht="15" customHeight="1" x14ac:dyDescent="0.25">
      <c r="N9087" t="s">
        <v>247</v>
      </c>
    </row>
    <row r="9088" spans="14:14" ht="15" customHeight="1" x14ac:dyDescent="0.25">
      <c r="N9088" t="s">
        <v>971</v>
      </c>
    </row>
    <row r="9089" spans="14:14" ht="15" customHeight="1" x14ac:dyDescent="0.25">
      <c r="N9089" t="s">
        <v>971</v>
      </c>
    </row>
    <row r="9090" spans="14:14" ht="15" customHeight="1" x14ac:dyDescent="0.25">
      <c r="N9090" t="s">
        <v>971</v>
      </c>
    </row>
    <row r="9091" spans="14:14" ht="15" customHeight="1" x14ac:dyDescent="0.25">
      <c r="N9091" t="s">
        <v>971</v>
      </c>
    </row>
    <row r="9092" spans="14:14" ht="15" customHeight="1" x14ac:dyDescent="0.25">
      <c r="N9092" t="s">
        <v>247</v>
      </c>
    </row>
    <row r="9093" spans="14:14" ht="15" customHeight="1" x14ac:dyDescent="0.25">
      <c r="N9093" t="s">
        <v>302</v>
      </c>
    </row>
    <row r="9094" spans="14:14" ht="15" customHeight="1" x14ac:dyDescent="0.25">
      <c r="N9094" t="s">
        <v>1085</v>
      </c>
    </row>
    <row r="9095" spans="14:14" ht="15" customHeight="1" x14ac:dyDescent="0.25">
      <c r="N9095" t="s">
        <v>971</v>
      </c>
    </row>
    <row r="9096" spans="14:14" ht="15" customHeight="1" x14ac:dyDescent="0.25">
      <c r="N9096" t="s">
        <v>971</v>
      </c>
    </row>
    <row r="9097" spans="14:14" ht="15" customHeight="1" x14ac:dyDescent="0.25">
      <c r="N9097" t="s">
        <v>971</v>
      </c>
    </row>
    <row r="9098" spans="14:14" ht="15" customHeight="1" x14ac:dyDescent="0.25">
      <c r="N9098" t="s">
        <v>971</v>
      </c>
    </row>
    <row r="9099" spans="14:14" ht="15" customHeight="1" x14ac:dyDescent="0.25">
      <c r="N9099" t="s">
        <v>971</v>
      </c>
    </row>
    <row r="9100" spans="14:14" ht="15" customHeight="1" x14ac:dyDescent="0.25">
      <c r="N9100" t="s">
        <v>1217</v>
      </c>
    </row>
    <row r="9101" spans="14:14" ht="15" customHeight="1" x14ac:dyDescent="0.25">
      <c r="N9101" t="s">
        <v>432</v>
      </c>
    </row>
    <row r="9102" spans="14:14" ht="15" customHeight="1" x14ac:dyDescent="0.25">
      <c r="N9102" t="s">
        <v>931</v>
      </c>
    </row>
    <row r="9103" spans="14:14" ht="15" customHeight="1" x14ac:dyDescent="0.25">
      <c r="N9103" t="s">
        <v>971</v>
      </c>
    </row>
    <row r="9104" spans="14:14" ht="15" customHeight="1" x14ac:dyDescent="0.25">
      <c r="N9104" t="s">
        <v>971</v>
      </c>
    </row>
    <row r="9105" spans="14:14" ht="15" customHeight="1" x14ac:dyDescent="0.25">
      <c r="N9105" t="s">
        <v>971</v>
      </c>
    </row>
    <row r="9106" spans="14:14" ht="15" customHeight="1" x14ac:dyDescent="0.25">
      <c r="N9106" t="s">
        <v>247</v>
      </c>
    </row>
    <row r="9107" spans="14:14" ht="15" customHeight="1" x14ac:dyDescent="0.25">
      <c r="N9107" t="s">
        <v>971</v>
      </c>
    </row>
    <row r="9108" spans="14:14" ht="15" customHeight="1" x14ac:dyDescent="0.25">
      <c r="N9108" t="s">
        <v>971</v>
      </c>
    </row>
    <row r="9109" spans="14:14" ht="15" customHeight="1" x14ac:dyDescent="0.25">
      <c r="N9109" t="s">
        <v>971</v>
      </c>
    </row>
    <row r="9110" spans="14:14" ht="15" customHeight="1" x14ac:dyDescent="0.25">
      <c r="N9110" t="s">
        <v>894</v>
      </c>
    </row>
    <row r="9111" spans="14:14" ht="15" customHeight="1" x14ac:dyDescent="0.25">
      <c r="N9111" t="s">
        <v>897</v>
      </c>
    </row>
    <row r="9112" spans="14:14" ht="15" customHeight="1" x14ac:dyDescent="0.25">
      <c r="N9112" t="s">
        <v>897</v>
      </c>
    </row>
    <row r="9113" spans="14:14" ht="15" customHeight="1" x14ac:dyDescent="0.25">
      <c r="N9113" t="s">
        <v>900</v>
      </c>
    </row>
    <row r="9114" spans="14:14" ht="15" customHeight="1" x14ac:dyDescent="0.25">
      <c r="N9114" t="s">
        <v>900</v>
      </c>
    </row>
    <row r="9115" spans="14:14" ht="15" customHeight="1" x14ac:dyDescent="0.25">
      <c r="N9115" t="s">
        <v>900</v>
      </c>
    </row>
    <row r="9116" spans="14:14" ht="15" customHeight="1" x14ac:dyDescent="0.25">
      <c r="N9116" t="s">
        <v>900</v>
      </c>
    </row>
    <row r="9117" spans="14:14" ht="15" customHeight="1" x14ac:dyDescent="0.25">
      <c r="N9117" t="s">
        <v>900</v>
      </c>
    </row>
    <row r="9118" spans="14:14" ht="15" customHeight="1" x14ac:dyDescent="0.25">
      <c r="N9118" t="s">
        <v>900</v>
      </c>
    </row>
    <row r="9119" spans="14:14" ht="15" customHeight="1" x14ac:dyDescent="0.25">
      <c r="N9119" t="s">
        <v>904</v>
      </c>
    </row>
    <row r="9120" spans="14:14" ht="15" customHeight="1" x14ac:dyDescent="0.25">
      <c r="N9120" t="s">
        <v>904</v>
      </c>
    </row>
    <row r="9121" spans="14:14" ht="15" customHeight="1" x14ac:dyDescent="0.25">
      <c r="N9121" t="s">
        <v>904</v>
      </c>
    </row>
    <row r="9122" spans="14:14" ht="15" customHeight="1" x14ac:dyDescent="0.25">
      <c r="N9122" t="s">
        <v>904</v>
      </c>
    </row>
    <row r="9123" spans="14:14" ht="15" customHeight="1" x14ac:dyDescent="0.25">
      <c r="N9123" t="s">
        <v>904</v>
      </c>
    </row>
    <row r="9124" spans="14:14" ht="15" customHeight="1" x14ac:dyDescent="0.25">
      <c r="N9124" t="s">
        <v>904</v>
      </c>
    </row>
    <row r="9125" spans="14:14" ht="15" customHeight="1" x14ac:dyDescent="0.25">
      <c r="N9125" t="s">
        <v>904</v>
      </c>
    </row>
    <row r="9126" spans="14:14" ht="15" customHeight="1" x14ac:dyDescent="0.25">
      <c r="N9126" t="s">
        <v>904</v>
      </c>
    </row>
    <row r="9127" spans="14:14" ht="15" customHeight="1" x14ac:dyDescent="0.25">
      <c r="N9127" t="s">
        <v>906</v>
      </c>
    </row>
    <row r="9128" spans="14:14" ht="15" customHeight="1" x14ac:dyDescent="0.25">
      <c r="N9128" t="s">
        <v>909</v>
      </c>
    </row>
    <row r="9129" spans="14:14" ht="15" customHeight="1" x14ac:dyDescent="0.25">
      <c r="N9129" t="s">
        <v>912</v>
      </c>
    </row>
    <row r="9130" spans="14:14" ht="15" customHeight="1" x14ac:dyDescent="0.25">
      <c r="N9130" t="s">
        <v>914</v>
      </c>
    </row>
    <row r="9131" spans="14:14" ht="15" customHeight="1" x14ac:dyDescent="0.25">
      <c r="N9131" t="s">
        <v>917</v>
      </c>
    </row>
    <row r="9132" spans="14:14" ht="15" customHeight="1" x14ac:dyDescent="0.25">
      <c r="N9132" t="s">
        <v>901</v>
      </c>
    </row>
    <row r="9133" spans="14:14" ht="15" customHeight="1" x14ac:dyDescent="0.25">
      <c r="N9133" t="s">
        <v>901</v>
      </c>
    </row>
    <row r="9134" spans="14:14" ht="15" customHeight="1" x14ac:dyDescent="0.25">
      <c r="N9134" t="s">
        <v>897</v>
      </c>
    </row>
    <row r="9135" spans="14:14" ht="15" customHeight="1" x14ac:dyDescent="0.25">
      <c r="N9135" t="s">
        <v>897</v>
      </c>
    </row>
    <row r="9136" spans="14:14" ht="15" customHeight="1" x14ac:dyDescent="0.25">
      <c r="N9136" t="s">
        <v>921</v>
      </c>
    </row>
    <row r="9137" spans="14:14" ht="15" customHeight="1" x14ac:dyDescent="0.25">
      <c r="N9137" t="s">
        <v>897</v>
      </c>
    </row>
    <row r="9138" spans="14:14" ht="15" customHeight="1" x14ac:dyDescent="0.25">
      <c r="N9138" t="s">
        <v>909</v>
      </c>
    </row>
    <row r="9139" spans="14:14" ht="15" customHeight="1" x14ac:dyDescent="0.25">
      <c r="N9139" t="s">
        <v>254</v>
      </c>
    </row>
    <row r="9140" spans="14:14" ht="15" customHeight="1" x14ac:dyDescent="0.25">
      <c r="N9140" t="s">
        <v>927</v>
      </c>
    </row>
    <row r="9141" spans="14:14" ht="15" customHeight="1" x14ac:dyDescent="0.25">
      <c r="N9141" t="s">
        <v>914</v>
      </c>
    </row>
    <row r="9142" spans="14:14" ht="15" customHeight="1" x14ac:dyDescent="0.25">
      <c r="N9142" t="s">
        <v>933</v>
      </c>
    </row>
    <row r="9143" spans="14:14" ht="15" customHeight="1" x14ac:dyDescent="0.25">
      <c r="N9143" t="s">
        <v>934</v>
      </c>
    </row>
    <row r="9144" spans="14:14" ht="15" customHeight="1" x14ac:dyDescent="0.25">
      <c r="N9144" t="s">
        <v>914</v>
      </c>
    </row>
    <row r="9145" spans="14:14" ht="15" customHeight="1" x14ac:dyDescent="0.25">
      <c r="N9145" t="s">
        <v>938</v>
      </c>
    </row>
    <row r="9146" spans="14:14" ht="15" customHeight="1" x14ac:dyDescent="0.25">
      <c r="N9146" t="s">
        <v>940</v>
      </c>
    </row>
    <row r="9147" spans="14:14" ht="15" customHeight="1" x14ac:dyDescent="0.25">
      <c r="N9147" t="s">
        <v>942</v>
      </c>
    </row>
    <row r="9148" spans="14:14" ht="15" customHeight="1" x14ac:dyDescent="0.25">
      <c r="N9148" t="s">
        <v>943</v>
      </c>
    </row>
    <row r="9149" spans="14:14" ht="15" customHeight="1" x14ac:dyDescent="0.25">
      <c r="N9149" t="s">
        <v>943</v>
      </c>
    </row>
    <row r="9150" spans="14:14" ht="15" customHeight="1" x14ac:dyDescent="0.25">
      <c r="N9150" t="s">
        <v>943</v>
      </c>
    </row>
    <row r="9151" spans="14:14" ht="15" customHeight="1" x14ac:dyDescent="0.25">
      <c r="N9151" t="s">
        <v>943</v>
      </c>
    </row>
    <row r="9152" spans="14:14" ht="15" customHeight="1" x14ac:dyDescent="0.25">
      <c r="N9152" t="s">
        <v>943</v>
      </c>
    </row>
    <row r="9153" spans="14:14" ht="15" customHeight="1" x14ac:dyDescent="0.25">
      <c r="N9153" t="s">
        <v>943</v>
      </c>
    </row>
    <row r="9154" spans="14:14" ht="15" customHeight="1" x14ac:dyDescent="0.25">
      <c r="N9154" t="s">
        <v>945</v>
      </c>
    </row>
    <row r="9155" spans="14:14" ht="15" customHeight="1" x14ac:dyDescent="0.25">
      <c r="N9155" t="s">
        <v>946</v>
      </c>
    </row>
    <row r="9156" spans="14:14" ht="15" customHeight="1" x14ac:dyDescent="0.25">
      <c r="N9156" t="s">
        <v>914</v>
      </c>
    </row>
    <row r="9157" spans="14:14" ht="15" customHeight="1" x14ac:dyDescent="0.25">
      <c r="N9157" t="s">
        <v>934</v>
      </c>
    </row>
    <row r="9158" spans="14:14" ht="15" customHeight="1" x14ac:dyDescent="0.25">
      <c r="N9158" t="s">
        <v>951</v>
      </c>
    </row>
    <row r="9159" spans="14:14" ht="15" customHeight="1" x14ac:dyDescent="0.25">
      <c r="N9159" t="s">
        <v>894</v>
      </c>
    </row>
    <row r="9160" spans="14:14" ht="15" customHeight="1" x14ac:dyDescent="0.25">
      <c r="N9160" t="s">
        <v>917</v>
      </c>
    </row>
    <row r="9161" spans="14:14" ht="15" customHeight="1" x14ac:dyDescent="0.25">
      <c r="N9161" t="s">
        <v>917</v>
      </c>
    </row>
    <row r="9162" spans="14:14" ht="15" customHeight="1" x14ac:dyDescent="0.25">
      <c r="N9162" t="s">
        <v>914</v>
      </c>
    </row>
    <row r="9163" spans="14:14" ht="15" customHeight="1" x14ac:dyDescent="0.25">
      <c r="N9163" t="s">
        <v>958</v>
      </c>
    </row>
    <row r="9164" spans="14:14" ht="15" customHeight="1" x14ac:dyDescent="0.25">
      <c r="N9164" t="s">
        <v>914</v>
      </c>
    </row>
    <row r="9165" spans="14:14" ht="15" customHeight="1" x14ac:dyDescent="0.25">
      <c r="N9165" t="s">
        <v>961</v>
      </c>
    </row>
    <row r="9166" spans="14:14" ht="15" customHeight="1" x14ac:dyDescent="0.25">
      <c r="N9166" t="s">
        <v>961</v>
      </c>
    </row>
    <row r="9167" spans="14:14" ht="15" customHeight="1" x14ac:dyDescent="0.25">
      <c r="N9167" t="s">
        <v>961</v>
      </c>
    </row>
    <row r="9168" spans="14:14" ht="15" customHeight="1" x14ac:dyDescent="0.25">
      <c r="N9168" t="s">
        <v>914</v>
      </c>
    </row>
    <row r="9169" spans="14:14" ht="15" customHeight="1" x14ac:dyDescent="0.25">
      <c r="N9169" t="s">
        <v>921</v>
      </c>
    </row>
    <row r="9170" spans="14:14" ht="15" customHeight="1" x14ac:dyDescent="0.25">
      <c r="N9170" t="s">
        <v>921</v>
      </c>
    </row>
    <row r="9171" spans="14:14" ht="15" customHeight="1" x14ac:dyDescent="0.25">
      <c r="N9171" t="s">
        <v>969</v>
      </c>
    </row>
    <row r="9172" spans="14:14" ht="15" customHeight="1" x14ac:dyDescent="0.25">
      <c r="N9172" t="s">
        <v>933</v>
      </c>
    </row>
    <row r="9173" spans="14:14" ht="15" customHeight="1" x14ac:dyDescent="0.25">
      <c r="N9173" t="s">
        <v>940</v>
      </c>
    </row>
    <row r="9174" spans="14:14" ht="15" customHeight="1" x14ac:dyDescent="0.25">
      <c r="N9174" t="s">
        <v>940</v>
      </c>
    </row>
    <row r="9175" spans="14:14" ht="15" customHeight="1" x14ac:dyDescent="0.25">
      <c r="N9175" t="s">
        <v>719</v>
      </c>
    </row>
    <row r="9176" spans="14:14" ht="15" customHeight="1" x14ac:dyDescent="0.25">
      <c r="N9176" t="s">
        <v>719</v>
      </c>
    </row>
    <row r="9177" spans="14:14" ht="15" customHeight="1" x14ac:dyDescent="0.25">
      <c r="N9177" t="s">
        <v>719</v>
      </c>
    </row>
    <row r="9178" spans="14:14" ht="15" customHeight="1" x14ac:dyDescent="0.25">
      <c r="N9178" t="s">
        <v>894</v>
      </c>
    </row>
    <row r="9179" spans="14:14" ht="15" customHeight="1" x14ac:dyDescent="0.25">
      <c r="N9179" t="s">
        <v>286</v>
      </c>
    </row>
    <row r="9180" spans="14:14" ht="15" customHeight="1" x14ac:dyDescent="0.25">
      <c r="N9180" t="s">
        <v>286</v>
      </c>
    </row>
    <row r="9181" spans="14:14" ht="15" customHeight="1" x14ac:dyDescent="0.25">
      <c r="N9181" t="s">
        <v>286</v>
      </c>
    </row>
    <row r="9182" spans="14:14" ht="15" customHeight="1" x14ac:dyDescent="0.25">
      <c r="N9182" t="s">
        <v>319</v>
      </c>
    </row>
    <row r="9183" spans="14:14" ht="15" customHeight="1" x14ac:dyDescent="0.25">
      <c r="N9183" t="s">
        <v>249</v>
      </c>
    </row>
    <row r="9184" spans="14:14" ht="15" customHeight="1" x14ac:dyDescent="0.25">
      <c r="N9184" t="s">
        <v>319</v>
      </c>
    </row>
    <row r="9185" spans="14:14" ht="15" customHeight="1" x14ac:dyDescent="0.25">
      <c r="N9185" t="s">
        <v>286</v>
      </c>
    </row>
    <row r="9186" spans="14:14" ht="15" customHeight="1" x14ac:dyDescent="0.25">
      <c r="N9186" t="s">
        <v>224</v>
      </c>
    </row>
    <row r="9187" spans="14:14" ht="15" customHeight="1" x14ac:dyDescent="0.25">
      <c r="N9187" t="s">
        <v>818</v>
      </c>
    </row>
    <row r="9188" spans="14:14" ht="15" customHeight="1" x14ac:dyDescent="0.25">
      <c r="N9188" t="s">
        <v>249</v>
      </c>
    </row>
    <row r="9189" spans="14:14" ht="15" customHeight="1" x14ac:dyDescent="0.25">
      <c r="N9189" t="s">
        <v>249</v>
      </c>
    </row>
    <row r="9190" spans="14:14" ht="15" customHeight="1" x14ac:dyDescent="0.25">
      <c r="N9190" t="s">
        <v>249</v>
      </c>
    </row>
    <row r="9191" spans="14:14" ht="15" customHeight="1" x14ac:dyDescent="0.25">
      <c r="N9191" t="s">
        <v>319</v>
      </c>
    </row>
    <row r="9192" spans="14:14" ht="15" customHeight="1" x14ac:dyDescent="0.25">
      <c r="N9192" t="s">
        <v>319</v>
      </c>
    </row>
    <row r="9193" spans="14:14" ht="15" customHeight="1" x14ac:dyDescent="0.25">
      <c r="N9193" t="s">
        <v>334</v>
      </c>
    </row>
    <row r="9194" spans="14:14" ht="15" customHeight="1" x14ac:dyDescent="0.25">
      <c r="N9194" t="s">
        <v>249</v>
      </c>
    </row>
    <row r="9195" spans="14:14" ht="15" customHeight="1" x14ac:dyDescent="0.25">
      <c r="N9195" t="s">
        <v>719</v>
      </c>
    </row>
    <row r="9196" spans="14:14" ht="15" customHeight="1" x14ac:dyDescent="0.25">
      <c r="N9196" t="s">
        <v>719</v>
      </c>
    </row>
    <row r="9197" spans="14:14" ht="15" customHeight="1" x14ac:dyDescent="0.25">
      <c r="N9197" t="s">
        <v>978</v>
      </c>
    </row>
    <row r="9198" spans="14:14" ht="15" customHeight="1" x14ac:dyDescent="0.25">
      <c r="N9198" t="s">
        <v>294</v>
      </c>
    </row>
    <row r="9199" spans="14:14" ht="15" customHeight="1" x14ac:dyDescent="0.25">
      <c r="N9199" t="s">
        <v>319</v>
      </c>
    </row>
    <row r="9200" spans="14:14" ht="15" customHeight="1" x14ac:dyDescent="0.25">
      <c r="N9200" t="s">
        <v>286</v>
      </c>
    </row>
    <row r="9201" spans="14:14" ht="15" customHeight="1" x14ac:dyDescent="0.25">
      <c r="N9201" t="s">
        <v>319</v>
      </c>
    </row>
    <row r="9202" spans="14:14" ht="15" customHeight="1" x14ac:dyDescent="0.25">
      <c r="N9202" t="s">
        <v>319</v>
      </c>
    </row>
    <row r="9203" spans="14:14" ht="15" customHeight="1" x14ac:dyDescent="0.25">
      <c r="N9203" t="s">
        <v>286</v>
      </c>
    </row>
    <row r="9204" spans="14:14" ht="15" customHeight="1" x14ac:dyDescent="0.25">
      <c r="N9204" t="s">
        <v>286</v>
      </c>
    </row>
    <row r="9205" spans="14:14" ht="15" customHeight="1" x14ac:dyDescent="0.25">
      <c r="N9205" t="s">
        <v>719</v>
      </c>
    </row>
    <row r="9206" spans="14:14" ht="15" customHeight="1" x14ac:dyDescent="0.25">
      <c r="N9206" t="s">
        <v>273</v>
      </c>
    </row>
    <row r="9207" spans="14:14" ht="15" customHeight="1" x14ac:dyDescent="0.25">
      <c r="N9207" t="s">
        <v>249</v>
      </c>
    </row>
    <row r="9208" spans="14:14" ht="15" customHeight="1" x14ac:dyDescent="0.25">
      <c r="N9208" t="s">
        <v>319</v>
      </c>
    </row>
    <row r="9209" spans="14:14" ht="15" customHeight="1" x14ac:dyDescent="0.25">
      <c r="N9209" t="s">
        <v>254</v>
      </c>
    </row>
    <row r="9210" spans="14:14" ht="15" customHeight="1" x14ac:dyDescent="0.25">
      <c r="N9210" t="s">
        <v>1151</v>
      </c>
    </row>
    <row r="9211" spans="14:14" ht="15" customHeight="1" x14ac:dyDescent="0.25">
      <c r="N9211" t="s">
        <v>980</v>
      </c>
    </row>
    <row r="9212" spans="14:14" ht="15" customHeight="1" x14ac:dyDescent="0.25">
      <c r="N9212" t="s">
        <v>900</v>
      </c>
    </row>
    <row r="9213" spans="14:14" ht="15" customHeight="1" x14ac:dyDescent="0.25">
      <c r="N9213" t="s">
        <v>900</v>
      </c>
    </row>
    <row r="9214" spans="14:14" ht="15" customHeight="1" x14ac:dyDescent="0.25">
      <c r="N9214" t="s">
        <v>900</v>
      </c>
    </row>
    <row r="9215" spans="14:14" ht="15" customHeight="1" x14ac:dyDescent="0.25">
      <c r="N9215" t="s">
        <v>984</v>
      </c>
    </row>
    <row r="9216" spans="14:14" ht="15" customHeight="1" x14ac:dyDescent="0.25">
      <c r="N9216" t="s">
        <v>900</v>
      </c>
    </row>
    <row r="9217" spans="14:14" ht="15" customHeight="1" x14ac:dyDescent="0.25">
      <c r="N9217" t="s">
        <v>900</v>
      </c>
    </row>
    <row r="9218" spans="14:14" ht="15" customHeight="1" x14ac:dyDescent="0.25">
      <c r="N9218" t="s">
        <v>906</v>
      </c>
    </row>
    <row r="9219" spans="14:14" ht="15" customHeight="1" x14ac:dyDescent="0.25">
      <c r="N9219" t="s">
        <v>988</v>
      </c>
    </row>
    <row r="9220" spans="14:14" ht="15" customHeight="1" x14ac:dyDescent="0.25">
      <c r="N9220" t="s">
        <v>914</v>
      </c>
    </row>
    <row r="9221" spans="14:14" ht="15" customHeight="1" x14ac:dyDescent="0.25">
      <c r="N9221" t="s">
        <v>917</v>
      </c>
    </row>
    <row r="9222" spans="14:14" ht="15" customHeight="1" x14ac:dyDescent="0.25">
      <c r="N9222" t="s">
        <v>933</v>
      </c>
    </row>
    <row r="9223" spans="14:14" ht="15" customHeight="1" x14ac:dyDescent="0.25">
      <c r="N9223" t="s">
        <v>933</v>
      </c>
    </row>
    <row r="9224" spans="14:14" ht="15" customHeight="1" x14ac:dyDescent="0.25">
      <c r="N9224" t="s">
        <v>993</v>
      </c>
    </row>
    <row r="9225" spans="14:14" ht="15" customHeight="1" x14ac:dyDescent="0.25">
      <c r="N9225" t="s">
        <v>993</v>
      </c>
    </row>
    <row r="9226" spans="14:14" ht="15" customHeight="1" x14ac:dyDescent="0.25">
      <c r="N9226" t="s">
        <v>921</v>
      </c>
    </row>
    <row r="9227" spans="14:14" ht="15" customHeight="1" x14ac:dyDescent="0.25">
      <c r="N9227" t="s">
        <v>909</v>
      </c>
    </row>
    <row r="9228" spans="14:14" ht="15" customHeight="1" x14ac:dyDescent="0.25">
      <c r="N9228" t="s">
        <v>254</v>
      </c>
    </row>
    <row r="9229" spans="14:14" ht="15" customHeight="1" x14ac:dyDescent="0.25">
      <c r="N9229" t="s">
        <v>914</v>
      </c>
    </row>
    <row r="9230" spans="14:14" ht="15" customHeight="1" x14ac:dyDescent="0.25">
      <c r="N9230" t="s">
        <v>933</v>
      </c>
    </row>
    <row r="9231" spans="14:14" ht="15" customHeight="1" x14ac:dyDescent="0.25">
      <c r="N9231" t="s">
        <v>998</v>
      </c>
    </row>
    <row r="9232" spans="14:14" ht="15" customHeight="1" x14ac:dyDescent="0.25">
      <c r="N9232" t="s">
        <v>1000</v>
      </c>
    </row>
    <row r="9233" spans="14:14" ht="15" customHeight="1" x14ac:dyDescent="0.25">
      <c r="N9233" t="s">
        <v>914</v>
      </c>
    </row>
    <row r="9234" spans="14:14" ht="15" customHeight="1" x14ac:dyDescent="0.25">
      <c r="N9234" t="s">
        <v>1002</v>
      </c>
    </row>
    <row r="9235" spans="14:14" ht="15" customHeight="1" x14ac:dyDescent="0.25">
      <c r="N9235" t="s">
        <v>942</v>
      </c>
    </row>
    <row r="9236" spans="14:14" ht="15" customHeight="1" x14ac:dyDescent="0.25">
      <c r="N9236" t="s">
        <v>1004</v>
      </c>
    </row>
    <row r="9237" spans="14:14" ht="15" customHeight="1" x14ac:dyDescent="0.25">
      <c r="N9237" t="s">
        <v>1005</v>
      </c>
    </row>
    <row r="9238" spans="14:14" ht="15" customHeight="1" x14ac:dyDescent="0.25">
      <c r="N9238" t="s">
        <v>943</v>
      </c>
    </row>
    <row r="9239" spans="14:14" ht="15" customHeight="1" x14ac:dyDescent="0.25">
      <c r="N9239" t="s">
        <v>943</v>
      </c>
    </row>
    <row r="9240" spans="14:14" ht="15" customHeight="1" x14ac:dyDescent="0.25">
      <c r="N9240" t="s">
        <v>943</v>
      </c>
    </row>
    <row r="9241" spans="14:14" ht="15" customHeight="1" x14ac:dyDescent="0.25">
      <c r="N9241" t="s">
        <v>943</v>
      </c>
    </row>
    <row r="9242" spans="14:14" ht="15" customHeight="1" x14ac:dyDescent="0.25">
      <c r="N9242" t="s">
        <v>943</v>
      </c>
    </row>
    <row r="9243" spans="14:14" ht="15" customHeight="1" x14ac:dyDescent="0.25">
      <c r="N9243" t="s">
        <v>943</v>
      </c>
    </row>
    <row r="9244" spans="14:14" ht="15" customHeight="1" x14ac:dyDescent="0.25">
      <c r="N9244" t="s">
        <v>1007</v>
      </c>
    </row>
    <row r="9245" spans="14:14" ht="15" customHeight="1" x14ac:dyDescent="0.25">
      <c r="N9245" t="s">
        <v>901</v>
      </c>
    </row>
    <row r="9246" spans="14:14" ht="15" customHeight="1" x14ac:dyDescent="0.25">
      <c r="N9246" t="s">
        <v>912</v>
      </c>
    </row>
    <row r="9247" spans="14:14" ht="15" customHeight="1" x14ac:dyDescent="0.25">
      <c r="N9247" t="s">
        <v>901</v>
      </c>
    </row>
    <row r="9248" spans="14:14" ht="15" customHeight="1" x14ac:dyDescent="0.25">
      <c r="N9248" t="s">
        <v>917</v>
      </c>
    </row>
    <row r="9249" spans="14:14" ht="15" customHeight="1" x14ac:dyDescent="0.25">
      <c r="N9249" t="s">
        <v>1011</v>
      </c>
    </row>
    <row r="9250" spans="14:14" ht="15" customHeight="1" x14ac:dyDescent="0.25">
      <c r="N9250" t="s">
        <v>914</v>
      </c>
    </row>
    <row r="9251" spans="14:14" ht="15" customHeight="1" x14ac:dyDescent="0.25">
      <c r="N9251" t="s">
        <v>909</v>
      </c>
    </row>
    <row r="9252" spans="14:14" ht="15" customHeight="1" x14ac:dyDescent="0.25">
      <c r="N9252" t="s">
        <v>914</v>
      </c>
    </row>
    <row r="9253" spans="14:14" ht="15" customHeight="1" x14ac:dyDescent="0.25">
      <c r="N9253" t="s">
        <v>1015</v>
      </c>
    </row>
    <row r="9254" spans="14:14" ht="15" customHeight="1" x14ac:dyDescent="0.25">
      <c r="N9254" t="s">
        <v>1015</v>
      </c>
    </row>
    <row r="9255" spans="14:14" ht="15" customHeight="1" x14ac:dyDescent="0.25">
      <c r="N9255" t="s">
        <v>1015</v>
      </c>
    </row>
    <row r="9256" spans="14:14" ht="15" customHeight="1" x14ac:dyDescent="0.25">
      <c r="N9256" t="s">
        <v>969</v>
      </c>
    </row>
    <row r="9257" spans="14:14" ht="15" customHeight="1" x14ac:dyDescent="0.25">
      <c r="N9257" t="s">
        <v>934</v>
      </c>
    </row>
    <row r="9258" spans="14:14" ht="15" customHeight="1" x14ac:dyDescent="0.25">
      <c r="N9258" t="s">
        <v>894</v>
      </c>
    </row>
    <row r="9259" spans="14:14" ht="15" customHeight="1" x14ac:dyDescent="0.25">
      <c r="N9259" t="s">
        <v>894</v>
      </c>
    </row>
    <row r="9260" spans="14:14" ht="15" customHeight="1" x14ac:dyDescent="0.25">
      <c r="N9260" t="s">
        <v>319</v>
      </c>
    </row>
    <row r="9261" spans="14:14" ht="15" customHeight="1" x14ac:dyDescent="0.25">
      <c r="N9261" t="s">
        <v>319</v>
      </c>
    </row>
    <row r="9262" spans="14:14" ht="15" customHeight="1" x14ac:dyDescent="0.25">
      <c r="N9262" t="s">
        <v>319</v>
      </c>
    </row>
    <row r="9263" spans="14:14" ht="15" customHeight="1" x14ac:dyDescent="0.25">
      <c r="N9263" t="s">
        <v>894</v>
      </c>
    </row>
    <row r="9264" spans="14:14" ht="15" customHeight="1" x14ac:dyDescent="0.25">
      <c r="N9264" t="s">
        <v>254</v>
      </c>
    </row>
    <row r="9265" spans="14:14" ht="15" customHeight="1" x14ac:dyDescent="0.25">
      <c r="N9265" t="s">
        <v>254</v>
      </c>
    </row>
    <row r="9266" spans="14:14" ht="15" customHeight="1" x14ac:dyDescent="0.25">
      <c r="N9266" t="s">
        <v>254</v>
      </c>
    </row>
    <row r="9267" spans="14:14" ht="15" customHeight="1" x14ac:dyDescent="0.25">
      <c r="N9267" t="s">
        <v>249</v>
      </c>
    </row>
    <row r="9268" spans="14:14" ht="15" customHeight="1" x14ac:dyDescent="0.25">
      <c r="N9268" t="s">
        <v>1018</v>
      </c>
    </row>
    <row r="9269" spans="14:14" ht="15" customHeight="1" x14ac:dyDescent="0.25">
      <c r="N9269" t="s">
        <v>1019</v>
      </c>
    </row>
    <row r="9270" spans="14:14" ht="15" customHeight="1" x14ac:dyDescent="0.25">
      <c r="N9270" t="s">
        <v>1021</v>
      </c>
    </row>
    <row r="9271" spans="14:14" ht="15" customHeight="1" x14ac:dyDescent="0.25">
      <c r="N9271" t="s">
        <v>223</v>
      </c>
    </row>
    <row r="9272" spans="14:14" ht="15" customHeight="1" x14ac:dyDescent="0.25">
      <c r="N9272" t="s">
        <v>223</v>
      </c>
    </row>
    <row r="9273" spans="14:14" ht="15" customHeight="1" x14ac:dyDescent="0.25">
      <c r="N9273" t="s">
        <v>223</v>
      </c>
    </row>
    <row r="9274" spans="14:14" ht="15" customHeight="1" x14ac:dyDescent="0.25">
      <c r="N9274" t="s">
        <v>717</v>
      </c>
    </row>
    <row r="9275" spans="14:14" ht="15" customHeight="1" x14ac:dyDescent="0.25">
      <c r="N9275" t="s">
        <v>717</v>
      </c>
    </row>
    <row r="9276" spans="14:14" ht="15" customHeight="1" x14ac:dyDescent="0.25">
      <c r="N9276" t="s">
        <v>294</v>
      </c>
    </row>
    <row r="9277" spans="14:14" ht="15" customHeight="1" x14ac:dyDescent="0.25">
      <c r="N9277" t="s">
        <v>254</v>
      </c>
    </row>
    <row r="9278" spans="14:14" ht="15" customHeight="1" x14ac:dyDescent="0.25">
      <c r="N9278" t="s">
        <v>254</v>
      </c>
    </row>
    <row r="9279" spans="14:14" ht="15" customHeight="1" x14ac:dyDescent="0.25">
      <c r="N9279" t="s">
        <v>254</v>
      </c>
    </row>
    <row r="9280" spans="14:14" ht="15" customHeight="1" x14ac:dyDescent="0.25">
      <c r="N9280" t="s">
        <v>319</v>
      </c>
    </row>
    <row r="9281" spans="14:14" ht="15" customHeight="1" x14ac:dyDescent="0.25">
      <c r="N9281" t="s">
        <v>273</v>
      </c>
    </row>
    <row r="9282" spans="14:14" ht="15" customHeight="1" x14ac:dyDescent="0.25">
      <c r="N9282" t="s">
        <v>319</v>
      </c>
    </row>
    <row r="9283" spans="14:14" ht="15" customHeight="1" x14ac:dyDescent="0.25">
      <c r="N9283" t="s">
        <v>1329</v>
      </c>
    </row>
    <row r="9284" spans="14:14" ht="15" customHeight="1" x14ac:dyDescent="0.25">
      <c r="N9284" t="s">
        <v>319</v>
      </c>
    </row>
    <row r="9285" spans="14:14" ht="15" customHeight="1" x14ac:dyDescent="0.25">
      <c r="N9285" t="s">
        <v>254</v>
      </c>
    </row>
    <row r="9286" spans="14:14" ht="15" customHeight="1" x14ac:dyDescent="0.25">
      <c r="N9286" t="s">
        <v>1005</v>
      </c>
    </row>
    <row r="9287" spans="14:14" ht="15" customHeight="1" x14ac:dyDescent="0.25">
      <c r="N9287" t="s">
        <v>1005</v>
      </c>
    </row>
    <row r="9288" spans="14:14" ht="15" customHeight="1" x14ac:dyDescent="0.25">
      <c r="N9288" t="s">
        <v>1004</v>
      </c>
    </row>
    <row r="9289" spans="14:14" ht="15" customHeight="1" x14ac:dyDescent="0.25">
      <c r="N9289" t="s">
        <v>1004</v>
      </c>
    </row>
    <row r="9290" spans="14:14" ht="15" customHeight="1" x14ac:dyDescent="0.25">
      <c r="N9290" t="s">
        <v>1004</v>
      </c>
    </row>
    <row r="9291" spans="14:14" ht="15" customHeight="1" x14ac:dyDescent="0.25">
      <c r="N9291" t="s">
        <v>1004</v>
      </c>
    </row>
    <row r="9292" spans="14:14" ht="15" customHeight="1" x14ac:dyDescent="0.25">
      <c r="N9292" t="s">
        <v>1004</v>
      </c>
    </row>
    <row r="9293" spans="14:14" ht="15" customHeight="1" x14ac:dyDescent="0.25">
      <c r="N9293" t="s">
        <v>1004</v>
      </c>
    </row>
    <row r="9294" spans="14:14" ht="15" customHeight="1" x14ac:dyDescent="0.25">
      <c r="N9294" t="s">
        <v>1004</v>
      </c>
    </row>
    <row r="9295" spans="14:14" ht="15" customHeight="1" x14ac:dyDescent="0.25">
      <c r="N9295" t="s">
        <v>1004</v>
      </c>
    </row>
    <row r="9296" spans="14:14" ht="15" customHeight="1" x14ac:dyDescent="0.25">
      <c r="N9296" t="s">
        <v>1004</v>
      </c>
    </row>
    <row r="9297" spans="14:14" ht="15" customHeight="1" x14ac:dyDescent="0.25">
      <c r="N9297" t="s">
        <v>1004</v>
      </c>
    </row>
    <row r="9298" spans="14:14" ht="15" customHeight="1" x14ac:dyDescent="0.25">
      <c r="N9298" t="s">
        <v>1023</v>
      </c>
    </row>
    <row r="9299" spans="14:14" ht="15" customHeight="1" x14ac:dyDescent="0.25">
      <c r="N9299" t="s">
        <v>1023</v>
      </c>
    </row>
    <row r="9300" spans="14:14" ht="15" customHeight="1" x14ac:dyDescent="0.25">
      <c r="N9300" t="s">
        <v>1004</v>
      </c>
    </row>
    <row r="9301" spans="14:14" ht="15" customHeight="1" x14ac:dyDescent="0.25">
      <c r="N9301" t="s">
        <v>1027</v>
      </c>
    </row>
    <row r="9302" spans="14:14" ht="15" customHeight="1" x14ac:dyDescent="0.25">
      <c r="N9302" t="s">
        <v>1029</v>
      </c>
    </row>
    <row r="9303" spans="14:14" ht="15" customHeight="1" x14ac:dyDescent="0.25">
      <c r="N9303" t="s">
        <v>1029</v>
      </c>
    </row>
    <row r="9304" spans="14:14" ht="15" customHeight="1" x14ac:dyDescent="0.25">
      <c r="N9304" t="s">
        <v>1029</v>
      </c>
    </row>
    <row r="9305" spans="14:14" ht="15" customHeight="1" x14ac:dyDescent="0.25">
      <c r="N9305" t="s">
        <v>1029</v>
      </c>
    </row>
    <row r="9306" spans="14:14" ht="15" customHeight="1" x14ac:dyDescent="0.25">
      <c r="N9306" t="s">
        <v>1029</v>
      </c>
    </row>
    <row r="9307" spans="14:14" ht="15" customHeight="1" x14ac:dyDescent="0.25">
      <c r="N9307" t="s">
        <v>930</v>
      </c>
    </row>
    <row r="9308" spans="14:14" ht="15" customHeight="1" x14ac:dyDescent="0.25">
      <c r="N9308" t="s">
        <v>971</v>
      </c>
    </row>
    <row r="9309" spans="14:14" ht="15" customHeight="1" x14ac:dyDescent="0.25">
      <c r="N9309" t="s">
        <v>971</v>
      </c>
    </row>
    <row r="9310" spans="14:14" ht="15" customHeight="1" x14ac:dyDescent="0.25">
      <c r="N9310" t="s">
        <v>907</v>
      </c>
    </row>
    <row r="9311" spans="14:14" ht="15" customHeight="1" x14ac:dyDescent="0.25">
      <c r="N9311" t="s">
        <v>1034</v>
      </c>
    </row>
    <row r="9312" spans="14:14" ht="15" customHeight="1" x14ac:dyDescent="0.25">
      <c r="N9312" t="s">
        <v>901</v>
      </c>
    </row>
    <row r="9313" spans="14:14" ht="15" customHeight="1" x14ac:dyDescent="0.25">
      <c r="N9313" t="s">
        <v>1011</v>
      </c>
    </row>
    <row r="9314" spans="14:14" ht="15" customHeight="1" x14ac:dyDescent="0.25">
      <c r="N9314" t="s">
        <v>985</v>
      </c>
    </row>
    <row r="9315" spans="14:14" ht="15" customHeight="1" x14ac:dyDescent="0.25">
      <c r="N9315" t="s">
        <v>985</v>
      </c>
    </row>
    <row r="9316" spans="14:14" ht="15" customHeight="1" x14ac:dyDescent="0.25">
      <c r="N9316" t="s">
        <v>901</v>
      </c>
    </row>
    <row r="9317" spans="14:14" ht="15" customHeight="1" x14ac:dyDescent="0.25">
      <c r="N9317" t="s">
        <v>958</v>
      </c>
    </row>
    <row r="9318" spans="14:14" ht="15" customHeight="1" x14ac:dyDescent="0.25">
      <c r="N9318" t="s">
        <v>1037</v>
      </c>
    </row>
    <row r="9319" spans="14:14" ht="15" customHeight="1" x14ac:dyDescent="0.25">
      <c r="N9319" t="s">
        <v>1039</v>
      </c>
    </row>
    <row r="9320" spans="14:14" ht="15" customHeight="1" x14ac:dyDescent="0.25">
      <c r="N9320" t="s">
        <v>930</v>
      </c>
    </row>
    <row r="9321" spans="14:14" ht="15" customHeight="1" x14ac:dyDescent="0.25">
      <c r="N9321" t="s">
        <v>1042</v>
      </c>
    </row>
    <row r="9322" spans="14:14" ht="15" customHeight="1" x14ac:dyDescent="0.25">
      <c r="N9322" t="s">
        <v>1000</v>
      </c>
    </row>
    <row r="9323" spans="14:14" ht="15" customHeight="1" x14ac:dyDescent="0.25">
      <c r="N9323" t="s">
        <v>894</v>
      </c>
    </row>
    <row r="9324" spans="14:14" ht="15" customHeight="1" x14ac:dyDescent="0.25">
      <c r="N9324" t="s">
        <v>1044</v>
      </c>
    </row>
    <row r="9325" spans="14:14" ht="15" customHeight="1" x14ac:dyDescent="0.25">
      <c r="N9325" t="s">
        <v>958</v>
      </c>
    </row>
    <row r="9326" spans="14:14" ht="15" customHeight="1" x14ac:dyDescent="0.25">
      <c r="N9326" t="s">
        <v>1004</v>
      </c>
    </row>
    <row r="9327" spans="14:14" ht="15" customHeight="1" x14ac:dyDescent="0.25">
      <c r="N9327" t="s">
        <v>1005</v>
      </c>
    </row>
    <row r="9328" spans="14:14" ht="15" customHeight="1" x14ac:dyDescent="0.25">
      <c r="N9328" t="s">
        <v>969</v>
      </c>
    </row>
    <row r="9329" spans="14:14" ht="15" customHeight="1" x14ac:dyDescent="0.25">
      <c r="N9329" t="s">
        <v>969</v>
      </c>
    </row>
    <row r="9330" spans="14:14" ht="15" customHeight="1" x14ac:dyDescent="0.25">
      <c r="N9330" t="s">
        <v>969</v>
      </c>
    </row>
    <row r="9331" spans="14:14" ht="15" customHeight="1" x14ac:dyDescent="0.25">
      <c r="N9331" t="s">
        <v>969</v>
      </c>
    </row>
    <row r="9332" spans="14:14" ht="15" customHeight="1" x14ac:dyDescent="0.25">
      <c r="N9332" t="s">
        <v>969</v>
      </c>
    </row>
    <row r="9333" spans="14:14" ht="15" customHeight="1" x14ac:dyDescent="0.25">
      <c r="N9333" t="s">
        <v>969</v>
      </c>
    </row>
    <row r="9334" spans="14:14" ht="15" customHeight="1" x14ac:dyDescent="0.25">
      <c r="N9334" t="s">
        <v>1007</v>
      </c>
    </row>
    <row r="9335" spans="14:14" ht="15" customHeight="1" x14ac:dyDescent="0.25">
      <c r="N9335" t="s">
        <v>998</v>
      </c>
    </row>
    <row r="9336" spans="14:14" ht="15" customHeight="1" x14ac:dyDescent="0.25">
      <c r="N9336" t="s">
        <v>980</v>
      </c>
    </row>
    <row r="9337" spans="14:14" ht="15" customHeight="1" x14ac:dyDescent="0.25">
      <c r="N9337" t="s">
        <v>1049</v>
      </c>
    </row>
    <row r="9338" spans="14:14" ht="15" customHeight="1" x14ac:dyDescent="0.25">
      <c r="N9338" t="s">
        <v>914</v>
      </c>
    </row>
    <row r="9339" spans="14:14" ht="15" customHeight="1" x14ac:dyDescent="0.25">
      <c r="N9339" t="s">
        <v>901</v>
      </c>
    </row>
    <row r="9340" spans="14:14" ht="15" customHeight="1" x14ac:dyDescent="0.25">
      <c r="N9340" t="s">
        <v>914</v>
      </c>
    </row>
    <row r="9341" spans="14:14" ht="15" customHeight="1" x14ac:dyDescent="0.25">
      <c r="N9341" t="s">
        <v>901</v>
      </c>
    </row>
    <row r="9342" spans="14:14" ht="15" customHeight="1" x14ac:dyDescent="0.25">
      <c r="N9342" t="s">
        <v>901</v>
      </c>
    </row>
    <row r="9343" spans="14:14" ht="15" customHeight="1" x14ac:dyDescent="0.25">
      <c r="N9343" t="s">
        <v>901</v>
      </c>
    </row>
    <row r="9344" spans="14:14" ht="15" customHeight="1" x14ac:dyDescent="0.25">
      <c r="N9344" t="s">
        <v>1055</v>
      </c>
    </row>
    <row r="9345" spans="14:14" ht="15" customHeight="1" x14ac:dyDescent="0.25">
      <c r="N9345" t="s">
        <v>969</v>
      </c>
    </row>
    <row r="9346" spans="14:14" ht="15" customHeight="1" x14ac:dyDescent="0.25">
      <c r="N9346" t="s">
        <v>1042</v>
      </c>
    </row>
    <row r="9347" spans="14:14" ht="15" customHeight="1" x14ac:dyDescent="0.25">
      <c r="N9347" t="s">
        <v>1057</v>
      </c>
    </row>
    <row r="9348" spans="14:14" ht="15" customHeight="1" x14ac:dyDescent="0.25">
      <c r="N9348" t="s">
        <v>1057</v>
      </c>
    </row>
    <row r="9349" spans="14:14" ht="15" customHeight="1" x14ac:dyDescent="0.25">
      <c r="N9349" t="s">
        <v>223</v>
      </c>
    </row>
    <row r="9350" spans="14:14" ht="15" customHeight="1" x14ac:dyDescent="0.25">
      <c r="N9350" t="s">
        <v>223</v>
      </c>
    </row>
    <row r="9351" spans="14:14" ht="15" customHeight="1" x14ac:dyDescent="0.25">
      <c r="N9351" t="s">
        <v>223</v>
      </c>
    </row>
    <row r="9352" spans="14:14" ht="15" customHeight="1" x14ac:dyDescent="0.25">
      <c r="N9352" t="s">
        <v>894</v>
      </c>
    </row>
    <row r="9353" spans="14:14" ht="15" customHeight="1" x14ac:dyDescent="0.25">
      <c r="N9353" t="s">
        <v>273</v>
      </c>
    </row>
    <row r="9354" spans="14:14" ht="15" customHeight="1" x14ac:dyDescent="0.25">
      <c r="N9354" t="s">
        <v>301</v>
      </c>
    </row>
    <row r="9355" spans="14:14" ht="15" customHeight="1" x14ac:dyDescent="0.25">
      <c r="N9355" t="s">
        <v>223</v>
      </c>
    </row>
    <row r="9356" spans="14:14" ht="15" customHeight="1" x14ac:dyDescent="0.25">
      <c r="N9356" t="s">
        <v>231</v>
      </c>
    </row>
    <row r="9357" spans="14:14" ht="15" customHeight="1" x14ac:dyDescent="0.25">
      <c r="N9357" t="s">
        <v>470</v>
      </c>
    </row>
    <row r="9358" spans="14:14" ht="15" customHeight="1" x14ac:dyDescent="0.25">
      <c r="N9358" t="s">
        <v>1062</v>
      </c>
    </row>
    <row r="9359" spans="14:14" ht="15" customHeight="1" x14ac:dyDescent="0.25">
      <c r="N9359" t="s">
        <v>1063</v>
      </c>
    </row>
    <row r="9360" spans="14:14" ht="15" customHeight="1" x14ac:dyDescent="0.25">
      <c r="N9360" t="s">
        <v>1005</v>
      </c>
    </row>
    <row r="9361" spans="14:14" ht="15" customHeight="1" x14ac:dyDescent="0.25">
      <c r="N9361" t="s">
        <v>254</v>
      </c>
    </row>
    <row r="9362" spans="14:14" ht="15" customHeight="1" x14ac:dyDescent="0.25">
      <c r="N9362" t="s">
        <v>254</v>
      </c>
    </row>
    <row r="9363" spans="14:14" ht="15" customHeight="1" x14ac:dyDescent="0.25">
      <c r="N9363" t="s">
        <v>334</v>
      </c>
    </row>
    <row r="9364" spans="14:14" ht="15" customHeight="1" x14ac:dyDescent="0.25">
      <c r="N9364" t="s">
        <v>273</v>
      </c>
    </row>
    <row r="9365" spans="14:14" ht="15" customHeight="1" x14ac:dyDescent="0.25">
      <c r="N9365" t="s">
        <v>319</v>
      </c>
    </row>
    <row r="9366" spans="14:14" ht="15" customHeight="1" x14ac:dyDescent="0.25">
      <c r="N9366" t="s">
        <v>1331</v>
      </c>
    </row>
    <row r="9367" spans="14:14" ht="15" customHeight="1" x14ac:dyDescent="0.25">
      <c r="N9367" t="s">
        <v>319</v>
      </c>
    </row>
    <row r="9368" spans="14:14" ht="15" customHeight="1" x14ac:dyDescent="0.25">
      <c r="N9368" t="s">
        <v>1005</v>
      </c>
    </row>
    <row r="9369" spans="14:14" ht="15" customHeight="1" x14ac:dyDescent="0.25">
      <c r="N9369" t="s">
        <v>1005</v>
      </c>
    </row>
    <row r="9370" spans="14:14" ht="15" customHeight="1" x14ac:dyDescent="0.25">
      <c r="N9370" t="s">
        <v>1005</v>
      </c>
    </row>
    <row r="9371" spans="14:14" ht="15" customHeight="1" x14ac:dyDescent="0.25">
      <c r="N9371" t="s">
        <v>1066</v>
      </c>
    </row>
    <row r="9372" spans="14:14" ht="15" customHeight="1" x14ac:dyDescent="0.25">
      <c r="N9372" t="s">
        <v>1066</v>
      </c>
    </row>
    <row r="9373" spans="14:14" ht="15" customHeight="1" x14ac:dyDescent="0.25">
      <c r="N9373" t="s">
        <v>1066</v>
      </c>
    </row>
    <row r="9374" spans="14:14" ht="15" customHeight="1" x14ac:dyDescent="0.25">
      <c r="N9374" t="s">
        <v>1066</v>
      </c>
    </row>
    <row r="9375" spans="14:14" ht="15" customHeight="1" x14ac:dyDescent="0.25">
      <c r="N9375" t="s">
        <v>1066</v>
      </c>
    </row>
    <row r="9376" spans="14:14" ht="15" customHeight="1" x14ac:dyDescent="0.25">
      <c r="N9376" t="s">
        <v>1066</v>
      </c>
    </row>
    <row r="9377" spans="14:14" ht="15" customHeight="1" x14ac:dyDescent="0.25">
      <c r="N9377" t="s">
        <v>1066</v>
      </c>
    </row>
    <row r="9378" spans="14:14" ht="15" customHeight="1" x14ac:dyDescent="0.25">
      <c r="N9378" t="s">
        <v>1066</v>
      </c>
    </row>
    <row r="9379" spans="14:14" ht="15" customHeight="1" x14ac:dyDescent="0.25">
      <c r="N9379" t="s">
        <v>1066</v>
      </c>
    </row>
    <row r="9380" spans="14:14" ht="15" customHeight="1" x14ac:dyDescent="0.25">
      <c r="N9380" t="s">
        <v>1066</v>
      </c>
    </row>
    <row r="9381" spans="14:14" ht="15" customHeight="1" x14ac:dyDescent="0.25">
      <c r="N9381" t="s">
        <v>930</v>
      </c>
    </row>
    <row r="9382" spans="14:14" ht="15" customHeight="1" x14ac:dyDescent="0.25">
      <c r="N9382" t="s">
        <v>930</v>
      </c>
    </row>
    <row r="9383" spans="14:14" ht="15" customHeight="1" x14ac:dyDescent="0.25">
      <c r="N9383" t="s">
        <v>1004</v>
      </c>
    </row>
    <row r="9384" spans="14:14" ht="15" customHeight="1" x14ac:dyDescent="0.25">
      <c r="N9384" t="s">
        <v>901</v>
      </c>
    </row>
    <row r="9385" spans="14:14" ht="15" customHeight="1" x14ac:dyDescent="0.25">
      <c r="N9385" t="s">
        <v>901</v>
      </c>
    </row>
    <row r="9386" spans="14:14" ht="15" customHeight="1" x14ac:dyDescent="0.25">
      <c r="N9386" t="s">
        <v>901</v>
      </c>
    </row>
    <row r="9387" spans="14:14" ht="15" customHeight="1" x14ac:dyDescent="0.25">
      <c r="N9387" t="s">
        <v>901</v>
      </c>
    </row>
    <row r="9388" spans="14:14" ht="15" customHeight="1" x14ac:dyDescent="0.25">
      <c r="N9388" t="s">
        <v>901</v>
      </c>
    </row>
    <row r="9389" spans="14:14" ht="15" customHeight="1" x14ac:dyDescent="0.25">
      <c r="N9389" t="s">
        <v>1068</v>
      </c>
    </row>
    <row r="9390" spans="14:14" ht="15" customHeight="1" x14ac:dyDescent="0.25">
      <c r="N9390" t="s">
        <v>1070</v>
      </c>
    </row>
    <row r="9391" spans="14:14" ht="15" customHeight="1" x14ac:dyDescent="0.25">
      <c r="N9391" t="s">
        <v>1070</v>
      </c>
    </row>
    <row r="9392" spans="14:14" ht="15" customHeight="1" x14ac:dyDescent="0.25">
      <c r="N9392" t="s">
        <v>1072</v>
      </c>
    </row>
    <row r="9393" spans="14:14" ht="15" customHeight="1" x14ac:dyDescent="0.25">
      <c r="N9393" t="s">
        <v>1072</v>
      </c>
    </row>
    <row r="9394" spans="14:14" ht="15" customHeight="1" x14ac:dyDescent="0.25">
      <c r="N9394" t="s">
        <v>894</v>
      </c>
    </row>
    <row r="9395" spans="14:14" ht="15" customHeight="1" x14ac:dyDescent="0.25">
      <c r="N9395" t="s">
        <v>1042</v>
      </c>
    </row>
    <row r="9396" spans="14:14" ht="15" customHeight="1" x14ac:dyDescent="0.25">
      <c r="N9396" t="s">
        <v>1042</v>
      </c>
    </row>
    <row r="9397" spans="14:14" ht="15" customHeight="1" x14ac:dyDescent="0.25">
      <c r="N9397" t="s">
        <v>1004</v>
      </c>
    </row>
    <row r="9398" spans="14:14" ht="15" customHeight="1" x14ac:dyDescent="0.25">
      <c r="N9398" t="s">
        <v>1004</v>
      </c>
    </row>
    <row r="9399" spans="14:14" ht="15" customHeight="1" x14ac:dyDescent="0.25">
      <c r="N9399" t="s">
        <v>901</v>
      </c>
    </row>
    <row r="9400" spans="14:14" ht="15" customHeight="1" x14ac:dyDescent="0.25">
      <c r="N9400" t="s">
        <v>993</v>
      </c>
    </row>
    <row r="9401" spans="14:14" ht="15" customHeight="1" x14ac:dyDescent="0.25">
      <c r="N9401" t="s">
        <v>1074</v>
      </c>
    </row>
    <row r="9402" spans="14:14" ht="15" customHeight="1" x14ac:dyDescent="0.25">
      <c r="N9402" t="s">
        <v>1076</v>
      </c>
    </row>
    <row r="9403" spans="14:14" ht="15" customHeight="1" x14ac:dyDescent="0.25">
      <c r="N9403" t="s">
        <v>1078</v>
      </c>
    </row>
    <row r="9404" spans="14:14" ht="15" customHeight="1" x14ac:dyDescent="0.25">
      <c r="N9404" t="s">
        <v>1042</v>
      </c>
    </row>
    <row r="9405" spans="14:14" ht="15" customHeight="1" x14ac:dyDescent="0.25">
      <c r="N9405" t="s">
        <v>980</v>
      </c>
    </row>
    <row r="9406" spans="14:14" ht="15" customHeight="1" x14ac:dyDescent="0.25">
      <c r="N9406" t="s">
        <v>1082</v>
      </c>
    </row>
    <row r="9407" spans="14:14" ht="15" customHeight="1" x14ac:dyDescent="0.25">
      <c r="N9407" t="s">
        <v>930</v>
      </c>
    </row>
    <row r="9408" spans="14:14" ht="15" customHeight="1" x14ac:dyDescent="0.25">
      <c r="N9408" t="s">
        <v>930</v>
      </c>
    </row>
    <row r="9409" spans="14:14" ht="15" customHeight="1" x14ac:dyDescent="0.25">
      <c r="N9409" t="s">
        <v>910</v>
      </c>
    </row>
    <row r="9410" spans="14:14" ht="15" customHeight="1" x14ac:dyDescent="0.25">
      <c r="N9410" t="s">
        <v>942</v>
      </c>
    </row>
    <row r="9411" spans="14:14" ht="15" customHeight="1" x14ac:dyDescent="0.25">
      <c r="N9411" t="s">
        <v>1087</v>
      </c>
    </row>
    <row r="9412" spans="14:14" ht="15" customHeight="1" x14ac:dyDescent="0.25">
      <c r="N9412" t="s">
        <v>943</v>
      </c>
    </row>
    <row r="9413" spans="14:14" ht="15" customHeight="1" x14ac:dyDescent="0.25">
      <c r="N9413" t="s">
        <v>943</v>
      </c>
    </row>
    <row r="9414" spans="14:14" ht="15" customHeight="1" x14ac:dyDescent="0.25">
      <c r="N9414" t="s">
        <v>943</v>
      </c>
    </row>
    <row r="9415" spans="14:14" ht="15" customHeight="1" x14ac:dyDescent="0.25">
      <c r="N9415" t="s">
        <v>943</v>
      </c>
    </row>
    <row r="9416" spans="14:14" ht="15" customHeight="1" x14ac:dyDescent="0.25">
      <c r="N9416" t="s">
        <v>943</v>
      </c>
    </row>
    <row r="9417" spans="14:14" ht="15" customHeight="1" x14ac:dyDescent="0.25">
      <c r="N9417" t="s">
        <v>943</v>
      </c>
    </row>
    <row r="9418" spans="14:14" ht="15" customHeight="1" x14ac:dyDescent="0.25">
      <c r="N9418" t="s">
        <v>1089</v>
      </c>
    </row>
    <row r="9419" spans="14:14" ht="15" customHeight="1" x14ac:dyDescent="0.25">
      <c r="N9419" t="s">
        <v>1090</v>
      </c>
    </row>
    <row r="9420" spans="14:14" ht="15" customHeight="1" x14ac:dyDescent="0.25">
      <c r="N9420" t="s">
        <v>1092</v>
      </c>
    </row>
    <row r="9421" spans="14:14" ht="15" customHeight="1" x14ac:dyDescent="0.25">
      <c r="N9421" t="s">
        <v>969</v>
      </c>
    </row>
    <row r="9422" spans="14:14" ht="15" customHeight="1" x14ac:dyDescent="0.25">
      <c r="N9422" t="s">
        <v>1034</v>
      </c>
    </row>
    <row r="9423" spans="14:14" ht="15" customHeight="1" x14ac:dyDescent="0.25">
      <c r="N9423" t="s">
        <v>917</v>
      </c>
    </row>
    <row r="9424" spans="14:14" ht="15" customHeight="1" x14ac:dyDescent="0.25">
      <c r="N9424" t="s">
        <v>1078</v>
      </c>
    </row>
    <row r="9425" spans="14:14" ht="15" customHeight="1" x14ac:dyDescent="0.25">
      <c r="N9425" t="s">
        <v>930</v>
      </c>
    </row>
    <row r="9426" spans="14:14" ht="15" customHeight="1" x14ac:dyDescent="0.25">
      <c r="N9426" t="s">
        <v>1100</v>
      </c>
    </row>
    <row r="9427" spans="14:14" ht="15" customHeight="1" x14ac:dyDescent="0.25">
      <c r="N9427" t="s">
        <v>914</v>
      </c>
    </row>
    <row r="9428" spans="14:14" ht="15" customHeight="1" x14ac:dyDescent="0.25">
      <c r="N9428" t="s">
        <v>1103</v>
      </c>
    </row>
    <row r="9429" spans="14:14" ht="15" customHeight="1" x14ac:dyDescent="0.25">
      <c r="N9429" t="s">
        <v>1103</v>
      </c>
    </row>
    <row r="9430" spans="14:14" ht="15" customHeight="1" x14ac:dyDescent="0.25">
      <c r="N9430" t="s">
        <v>1103</v>
      </c>
    </row>
    <row r="9431" spans="14:14" ht="15" customHeight="1" x14ac:dyDescent="0.25">
      <c r="N9431" t="s">
        <v>1072</v>
      </c>
    </row>
    <row r="9432" spans="14:14" ht="15" customHeight="1" x14ac:dyDescent="0.25">
      <c r="N9432" t="s">
        <v>1105</v>
      </c>
    </row>
    <row r="9433" spans="14:14" ht="15" customHeight="1" x14ac:dyDescent="0.25">
      <c r="N9433" t="s">
        <v>969</v>
      </c>
    </row>
    <row r="9434" spans="14:14" ht="15" customHeight="1" x14ac:dyDescent="0.25">
      <c r="N9434" t="s">
        <v>998</v>
      </c>
    </row>
    <row r="9435" spans="14:14" ht="15" customHeight="1" x14ac:dyDescent="0.25">
      <c r="N9435" t="s">
        <v>930</v>
      </c>
    </row>
    <row r="9436" spans="14:14" ht="15" customHeight="1" x14ac:dyDescent="0.25">
      <c r="N9436" t="s">
        <v>930</v>
      </c>
    </row>
    <row r="9437" spans="14:14" ht="15" customHeight="1" x14ac:dyDescent="0.25">
      <c r="N9437" t="s">
        <v>273</v>
      </c>
    </row>
    <row r="9438" spans="14:14" ht="15" customHeight="1" x14ac:dyDescent="0.25">
      <c r="N9438" t="s">
        <v>1070</v>
      </c>
    </row>
    <row r="9439" spans="14:14" ht="15" customHeight="1" x14ac:dyDescent="0.25">
      <c r="N9439" t="s">
        <v>1107</v>
      </c>
    </row>
    <row r="9440" spans="14:14" ht="15" customHeight="1" x14ac:dyDescent="0.25">
      <c r="N9440" t="s">
        <v>1107</v>
      </c>
    </row>
    <row r="9441" spans="14:14" ht="15" customHeight="1" x14ac:dyDescent="0.25">
      <c r="N9441" t="s">
        <v>717</v>
      </c>
    </row>
    <row r="9442" spans="14:14" ht="15" customHeight="1" x14ac:dyDescent="0.25">
      <c r="N9442" t="s">
        <v>717</v>
      </c>
    </row>
    <row r="9443" spans="14:14" ht="15" customHeight="1" x14ac:dyDescent="0.25">
      <c r="N9443" t="s">
        <v>717</v>
      </c>
    </row>
    <row r="9444" spans="14:14" ht="15" customHeight="1" x14ac:dyDescent="0.25">
      <c r="N9444" t="s">
        <v>909</v>
      </c>
    </row>
    <row r="9445" spans="14:14" ht="15" customHeight="1" x14ac:dyDescent="0.25">
      <c r="N9445" t="s">
        <v>231</v>
      </c>
    </row>
    <row r="9446" spans="14:14" ht="15" customHeight="1" x14ac:dyDescent="0.25">
      <c r="N9446" t="s">
        <v>1109</v>
      </c>
    </row>
    <row r="9447" spans="14:14" ht="15" customHeight="1" x14ac:dyDescent="0.25">
      <c r="N9447" t="s">
        <v>1109</v>
      </c>
    </row>
    <row r="9448" spans="14:14" ht="15" customHeight="1" x14ac:dyDescent="0.25">
      <c r="N9448" t="s">
        <v>402</v>
      </c>
    </row>
    <row r="9449" spans="14:14" ht="15" customHeight="1" x14ac:dyDescent="0.25">
      <c r="N9449" t="s">
        <v>717</v>
      </c>
    </row>
    <row r="9450" spans="14:14" ht="15" customHeight="1" x14ac:dyDescent="0.25">
      <c r="N9450" t="s">
        <v>1111</v>
      </c>
    </row>
    <row r="9451" spans="14:14" ht="15" customHeight="1" x14ac:dyDescent="0.25">
      <c r="N9451" t="s">
        <v>286</v>
      </c>
    </row>
    <row r="9452" spans="14:14" ht="15" customHeight="1" x14ac:dyDescent="0.25">
      <c r="N9452" t="s">
        <v>1005</v>
      </c>
    </row>
    <row r="9453" spans="14:14" ht="15" customHeight="1" x14ac:dyDescent="0.25">
      <c r="N9453" t="s">
        <v>254</v>
      </c>
    </row>
    <row r="9454" spans="14:14" ht="15" customHeight="1" x14ac:dyDescent="0.25">
      <c r="N9454" t="s">
        <v>254</v>
      </c>
    </row>
    <row r="9455" spans="14:14" ht="15" customHeight="1" x14ac:dyDescent="0.25">
      <c r="N9455" t="s">
        <v>249</v>
      </c>
    </row>
    <row r="9456" spans="14:14" ht="15" customHeight="1" x14ac:dyDescent="0.25">
      <c r="N9456" t="s">
        <v>273</v>
      </c>
    </row>
    <row r="9457" spans="14:14" ht="15" customHeight="1" x14ac:dyDescent="0.25">
      <c r="N9457" t="s">
        <v>319</v>
      </c>
    </row>
    <row r="9458" spans="14:14" ht="15" customHeight="1" x14ac:dyDescent="0.25">
      <c r="N9458" t="s">
        <v>1333</v>
      </c>
    </row>
    <row r="9459" spans="14:14" ht="15" customHeight="1" x14ac:dyDescent="0.25">
      <c r="N9459" t="s">
        <v>1005</v>
      </c>
    </row>
    <row r="9460" spans="14:14" ht="15" customHeight="1" x14ac:dyDescent="0.25">
      <c r="N9460" t="s">
        <v>789</v>
      </c>
    </row>
    <row r="9461" spans="14:14" ht="15" customHeight="1" x14ac:dyDescent="0.25">
      <c r="N9461" t="s">
        <v>1113</v>
      </c>
    </row>
    <row r="9462" spans="14:14" ht="15" customHeight="1" x14ac:dyDescent="0.25">
      <c r="N9462" t="s">
        <v>930</v>
      </c>
    </row>
    <row r="9463" spans="14:14" ht="15" customHeight="1" x14ac:dyDescent="0.25">
      <c r="N9463" t="s">
        <v>930</v>
      </c>
    </row>
    <row r="9464" spans="14:14" ht="15" customHeight="1" x14ac:dyDescent="0.25">
      <c r="N9464" t="s">
        <v>1004</v>
      </c>
    </row>
    <row r="9465" spans="14:14" ht="15" customHeight="1" x14ac:dyDescent="0.25">
      <c r="N9465" t="s">
        <v>984</v>
      </c>
    </row>
    <row r="9466" spans="14:14" ht="15" customHeight="1" x14ac:dyDescent="0.25">
      <c r="N9466" t="s">
        <v>984</v>
      </c>
    </row>
    <row r="9467" spans="14:14" ht="15" customHeight="1" x14ac:dyDescent="0.25">
      <c r="N9467" t="s">
        <v>984</v>
      </c>
    </row>
    <row r="9468" spans="14:14" ht="15" customHeight="1" x14ac:dyDescent="0.25">
      <c r="N9468" t="s">
        <v>984</v>
      </c>
    </row>
    <row r="9469" spans="14:14" ht="15" customHeight="1" x14ac:dyDescent="0.25">
      <c r="N9469" t="s">
        <v>1070</v>
      </c>
    </row>
    <row r="9470" spans="14:14" ht="15" customHeight="1" x14ac:dyDescent="0.25">
      <c r="N9470" t="s">
        <v>1070</v>
      </c>
    </row>
    <row r="9471" spans="14:14" ht="15" customHeight="1" x14ac:dyDescent="0.25">
      <c r="N9471" t="s">
        <v>1105</v>
      </c>
    </row>
    <row r="9472" spans="14:14" ht="15" customHeight="1" x14ac:dyDescent="0.25">
      <c r="N9472" t="s">
        <v>1105</v>
      </c>
    </row>
    <row r="9473" spans="14:14" ht="15" customHeight="1" x14ac:dyDescent="0.25">
      <c r="N9473" t="s">
        <v>1116</v>
      </c>
    </row>
    <row r="9474" spans="14:14" ht="15" customHeight="1" x14ac:dyDescent="0.25">
      <c r="N9474" t="s">
        <v>1116</v>
      </c>
    </row>
    <row r="9475" spans="14:14" ht="15" customHeight="1" x14ac:dyDescent="0.25">
      <c r="N9475" t="s">
        <v>1116</v>
      </c>
    </row>
    <row r="9476" spans="14:14" ht="15" customHeight="1" x14ac:dyDescent="0.25">
      <c r="N9476" t="s">
        <v>1116</v>
      </c>
    </row>
    <row r="9477" spans="14:14" ht="15" customHeight="1" x14ac:dyDescent="0.25">
      <c r="N9477" t="s">
        <v>1116</v>
      </c>
    </row>
    <row r="9478" spans="14:14" ht="15" customHeight="1" x14ac:dyDescent="0.25">
      <c r="N9478" t="s">
        <v>1116</v>
      </c>
    </row>
    <row r="9479" spans="14:14" ht="15" customHeight="1" x14ac:dyDescent="0.25">
      <c r="N9479" t="s">
        <v>1116</v>
      </c>
    </row>
    <row r="9480" spans="14:14" ht="15" customHeight="1" x14ac:dyDescent="0.25">
      <c r="N9480" t="s">
        <v>1116</v>
      </c>
    </row>
    <row r="9481" spans="14:14" ht="15" customHeight="1" x14ac:dyDescent="0.25">
      <c r="N9481" t="s">
        <v>1118</v>
      </c>
    </row>
    <row r="9482" spans="14:14" ht="15" customHeight="1" x14ac:dyDescent="0.25">
      <c r="N9482" t="s">
        <v>914</v>
      </c>
    </row>
    <row r="9483" spans="14:14" ht="15" customHeight="1" x14ac:dyDescent="0.25">
      <c r="N9483" t="s">
        <v>930</v>
      </c>
    </row>
    <row r="9484" spans="14:14" ht="15" customHeight="1" x14ac:dyDescent="0.25">
      <c r="N9484" t="s">
        <v>930</v>
      </c>
    </row>
    <row r="9485" spans="14:14" ht="15" customHeight="1" x14ac:dyDescent="0.25">
      <c r="N9485" t="s">
        <v>930</v>
      </c>
    </row>
    <row r="9486" spans="14:14" ht="15" customHeight="1" x14ac:dyDescent="0.25">
      <c r="N9486" t="s">
        <v>910</v>
      </c>
    </row>
    <row r="9487" spans="14:14" ht="15" customHeight="1" x14ac:dyDescent="0.25">
      <c r="N9487" t="s">
        <v>1004</v>
      </c>
    </row>
    <row r="9488" spans="14:14" ht="15" customHeight="1" x14ac:dyDescent="0.25">
      <c r="N9488" t="s">
        <v>1004</v>
      </c>
    </row>
    <row r="9489" spans="14:14" ht="15" customHeight="1" x14ac:dyDescent="0.25">
      <c r="N9489" t="s">
        <v>901</v>
      </c>
    </row>
    <row r="9490" spans="14:14" ht="15" customHeight="1" x14ac:dyDescent="0.25">
      <c r="N9490" t="s">
        <v>1124</v>
      </c>
    </row>
    <row r="9491" spans="14:14" ht="15" customHeight="1" x14ac:dyDescent="0.25">
      <c r="N9491" t="s">
        <v>1100</v>
      </c>
    </row>
    <row r="9492" spans="14:14" ht="15" customHeight="1" x14ac:dyDescent="0.25">
      <c r="N9492" t="s">
        <v>1068</v>
      </c>
    </row>
    <row r="9493" spans="14:14" ht="15" customHeight="1" x14ac:dyDescent="0.25">
      <c r="N9493" t="s">
        <v>1000</v>
      </c>
    </row>
    <row r="9494" spans="14:14" ht="15" customHeight="1" x14ac:dyDescent="0.25">
      <c r="N9494" t="s">
        <v>1044</v>
      </c>
    </row>
    <row r="9495" spans="14:14" ht="15" customHeight="1" x14ac:dyDescent="0.25">
      <c r="N9495" t="s">
        <v>930</v>
      </c>
    </row>
    <row r="9496" spans="14:14" ht="15" customHeight="1" x14ac:dyDescent="0.25">
      <c r="N9496" t="s">
        <v>930</v>
      </c>
    </row>
    <row r="9497" spans="14:14" ht="15" customHeight="1" x14ac:dyDescent="0.25">
      <c r="N9497" t="s">
        <v>989</v>
      </c>
    </row>
    <row r="9498" spans="14:14" ht="15" customHeight="1" x14ac:dyDescent="0.25">
      <c r="N9498" t="s">
        <v>1004</v>
      </c>
    </row>
    <row r="9499" spans="14:14" ht="15" customHeight="1" x14ac:dyDescent="0.25">
      <c r="N9499" t="s">
        <v>958</v>
      </c>
    </row>
    <row r="9500" spans="14:14" ht="15" customHeight="1" x14ac:dyDescent="0.25">
      <c r="N9500" t="s">
        <v>1087</v>
      </c>
    </row>
    <row r="9501" spans="14:14" ht="15" customHeight="1" x14ac:dyDescent="0.25">
      <c r="N9501" t="s">
        <v>1131</v>
      </c>
    </row>
    <row r="9502" spans="14:14" ht="15" customHeight="1" x14ac:dyDescent="0.25">
      <c r="N9502" t="s">
        <v>1131</v>
      </c>
    </row>
    <row r="9503" spans="14:14" ht="15" customHeight="1" x14ac:dyDescent="0.25">
      <c r="N9503" t="s">
        <v>1131</v>
      </c>
    </row>
    <row r="9504" spans="14:14" ht="15" customHeight="1" x14ac:dyDescent="0.25">
      <c r="N9504" t="s">
        <v>1131</v>
      </c>
    </row>
    <row r="9505" spans="14:14" ht="15" customHeight="1" x14ac:dyDescent="0.25">
      <c r="N9505" t="s">
        <v>1131</v>
      </c>
    </row>
    <row r="9506" spans="14:14" ht="15" customHeight="1" x14ac:dyDescent="0.25">
      <c r="N9506" t="s">
        <v>1131</v>
      </c>
    </row>
    <row r="9507" spans="14:14" ht="15" customHeight="1" x14ac:dyDescent="0.25">
      <c r="N9507" t="s">
        <v>1004</v>
      </c>
    </row>
    <row r="9508" spans="14:14" ht="15" customHeight="1" x14ac:dyDescent="0.25">
      <c r="N9508" t="s">
        <v>1005</v>
      </c>
    </row>
    <row r="9509" spans="14:14" ht="15" customHeight="1" x14ac:dyDescent="0.25">
      <c r="N9509" t="s">
        <v>1078</v>
      </c>
    </row>
    <row r="9510" spans="14:14" ht="15" customHeight="1" x14ac:dyDescent="0.25">
      <c r="N9510" t="s">
        <v>969</v>
      </c>
    </row>
    <row r="9511" spans="14:14" ht="15" customHeight="1" x14ac:dyDescent="0.25">
      <c r="N9511" t="s">
        <v>1011</v>
      </c>
    </row>
    <row r="9512" spans="14:14" ht="15" customHeight="1" x14ac:dyDescent="0.25">
      <c r="N9512" t="s">
        <v>1078</v>
      </c>
    </row>
    <row r="9513" spans="14:14" ht="15" customHeight="1" x14ac:dyDescent="0.25">
      <c r="N9513" t="s">
        <v>1004</v>
      </c>
    </row>
    <row r="9514" spans="14:14" ht="15" customHeight="1" x14ac:dyDescent="0.25">
      <c r="N9514" t="s">
        <v>988</v>
      </c>
    </row>
    <row r="9515" spans="14:14" ht="15" customHeight="1" x14ac:dyDescent="0.25">
      <c r="N9515" t="s">
        <v>1078</v>
      </c>
    </row>
    <row r="9516" spans="14:14" ht="15" customHeight="1" x14ac:dyDescent="0.25">
      <c r="N9516" t="s">
        <v>1141</v>
      </c>
    </row>
    <row r="9517" spans="14:14" ht="15" customHeight="1" x14ac:dyDescent="0.25">
      <c r="N9517" t="s">
        <v>1141</v>
      </c>
    </row>
    <row r="9518" spans="14:14" ht="15" customHeight="1" x14ac:dyDescent="0.25">
      <c r="N9518" t="s">
        <v>1141</v>
      </c>
    </row>
    <row r="9519" spans="14:14" ht="15" customHeight="1" x14ac:dyDescent="0.25">
      <c r="N9519" t="s">
        <v>1116</v>
      </c>
    </row>
    <row r="9520" spans="14:14" ht="15" customHeight="1" x14ac:dyDescent="0.25">
      <c r="N9520" t="s">
        <v>1144</v>
      </c>
    </row>
    <row r="9521" spans="14:14" ht="15" customHeight="1" x14ac:dyDescent="0.25">
      <c r="N9521" t="s">
        <v>1145</v>
      </c>
    </row>
    <row r="9522" spans="14:14" ht="15" customHeight="1" x14ac:dyDescent="0.25">
      <c r="N9522" t="s">
        <v>930</v>
      </c>
    </row>
    <row r="9523" spans="14:14" ht="15" customHeight="1" x14ac:dyDescent="0.25">
      <c r="N9523" t="s">
        <v>930</v>
      </c>
    </row>
    <row r="9524" spans="14:14" ht="15" customHeight="1" x14ac:dyDescent="0.25">
      <c r="N9524" t="s">
        <v>273</v>
      </c>
    </row>
    <row r="9525" spans="14:14" ht="15" customHeight="1" x14ac:dyDescent="0.25">
      <c r="N9525" t="s">
        <v>1070</v>
      </c>
    </row>
    <row r="9526" spans="14:14" ht="15" customHeight="1" x14ac:dyDescent="0.25">
      <c r="N9526" t="s">
        <v>980</v>
      </c>
    </row>
    <row r="9527" spans="14:14" ht="15" customHeight="1" x14ac:dyDescent="0.25">
      <c r="N9527" t="s">
        <v>980</v>
      </c>
    </row>
    <row r="9528" spans="14:14" ht="15" customHeight="1" x14ac:dyDescent="0.25">
      <c r="N9528" t="s">
        <v>1150</v>
      </c>
    </row>
    <row r="9529" spans="14:14" ht="15" customHeight="1" x14ac:dyDescent="0.25">
      <c r="N9529" t="s">
        <v>1109</v>
      </c>
    </row>
    <row r="9530" spans="14:14" ht="15" customHeight="1" x14ac:dyDescent="0.25">
      <c r="N9530" t="s">
        <v>1005</v>
      </c>
    </row>
    <row r="9531" spans="14:14" ht="15" customHeight="1" x14ac:dyDescent="0.25">
      <c r="N9531" t="s">
        <v>1005</v>
      </c>
    </row>
    <row r="9532" spans="14:14" ht="15" customHeight="1" x14ac:dyDescent="0.25">
      <c r="N9532" t="s">
        <v>1005</v>
      </c>
    </row>
    <row r="9533" spans="14:14" ht="15" customHeight="1" x14ac:dyDescent="0.25">
      <c r="N9533" t="s">
        <v>1109</v>
      </c>
    </row>
    <row r="9534" spans="14:14" ht="15" customHeight="1" x14ac:dyDescent="0.25">
      <c r="N9534" t="s">
        <v>1109</v>
      </c>
    </row>
    <row r="9535" spans="14:14" ht="15" customHeight="1" x14ac:dyDescent="0.25">
      <c r="N9535" t="s">
        <v>273</v>
      </c>
    </row>
    <row r="9536" spans="14:14" ht="15" customHeight="1" x14ac:dyDescent="0.25">
      <c r="N9536" t="s">
        <v>1152</v>
      </c>
    </row>
    <row r="9537" spans="14:14" ht="15" customHeight="1" x14ac:dyDescent="0.25">
      <c r="N9537" t="s">
        <v>286</v>
      </c>
    </row>
    <row r="9538" spans="14:14" ht="15" customHeight="1" x14ac:dyDescent="0.25">
      <c r="N9538" t="s">
        <v>1005</v>
      </c>
    </row>
    <row r="9539" spans="14:14" ht="15" customHeight="1" x14ac:dyDescent="0.25">
      <c r="N9539" t="s">
        <v>1153</v>
      </c>
    </row>
    <row r="9540" spans="14:14" ht="15" customHeight="1" x14ac:dyDescent="0.25">
      <c r="N9540" t="s">
        <v>1153</v>
      </c>
    </row>
    <row r="9541" spans="14:14" ht="15" customHeight="1" x14ac:dyDescent="0.25">
      <c r="N9541" t="s">
        <v>1155</v>
      </c>
    </row>
    <row r="9542" spans="14:14" ht="15" customHeight="1" x14ac:dyDescent="0.25">
      <c r="N9542" t="s">
        <v>319</v>
      </c>
    </row>
    <row r="9543" spans="14:14" ht="15" customHeight="1" x14ac:dyDescent="0.25">
      <c r="N9543" t="s">
        <v>1207</v>
      </c>
    </row>
    <row r="9544" spans="14:14" ht="15" customHeight="1" x14ac:dyDescent="0.25">
      <c r="N9544" t="s">
        <v>1207</v>
      </c>
    </row>
    <row r="9545" spans="14:14" ht="15" customHeight="1" x14ac:dyDescent="0.25">
      <c r="N9545" t="s">
        <v>1005</v>
      </c>
    </row>
    <row r="9546" spans="14:14" ht="15" customHeight="1" x14ac:dyDescent="0.25">
      <c r="N9546" t="s">
        <v>273</v>
      </c>
    </row>
    <row r="9547" spans="14:14" ht="15" customHeight="1" x14ac:dyDescent="0.25">
      <c r="N9547" t="s">
        <v>895</v>
      </c>
    </row>
    <row r="9548" spans="14:14" ht="15" customHeight="1" x14ac:dyDescent="0.25">
      <c r="N9548" t="s">
        <v>1156</v>
      </c>
    </row>
    <row r="9549" spans="14:14" ht="15" customHeight="1" x14ac:dyDescent="0.25">
      <c r="N9549" t="s">
        <v>1156</v>
      </c>
    </row>
    <row r="9550" spans="14:14" ht="15" customHeight="1" x14ac:dyDescent="0.25">
      <c r="N9550" t="s">
        <v>1004</v>
      </c>
    </row>
    <row r="9551" spans="14:14" ht="15" customHeight="1" x14ac:dyDescent="0.25">
      <c r="N9551" t="s">
        <v>898</v>
      </c>
    </row>
    <row r="9552" spans="14:14" ht="15" customHeight="1" x14ac:dyDescent="0.25">
      <c r="N9552" t="s">
        <v>898</v>
      </c>
    </row>
    <row r="9553" spans="14:14" ht="15" customHeight="1" x14ac:dyDescent="0.25">
      <c r="N9553" t="s">
        <v>1158</v>
      </c>
    </row>
    <row r="9554" spans="14:14" ht="15" customHeight="1" x14ac:dyDescent="0.25">
      <c r="N9554" t="s">
        <v>984</v>
      </c>
    </row>
    <row r="9555" spans="14:14" ht="15" customHeight="1" x14ac:dyDescent="0.25">
      <c r="N9555" t="s">
        <v>984</v>
      </c>
    </row>
    <row r="9556" spans="14:14" ht="15" customHeight="1" x14ac:dyDescent="0.25">
      <c r="N9556" t="s">
        <v>984</v>
      </c>
    </row>
    <row r="9557" spans="14:14" ht="15" customHeight="1" x14ac:dyDescent="0.25">
      <c r="N9557" t="s">
        <v>984</v>
      </c>
    </row>
    <row r="9558" spans="14:14" ht="15" customHeight="1" x14ac:dyDescent="0.25">
      <c r="N9558" t="s">
        <v>930</v>
      </c>
    </row>
    <row r="9559" spans="14:14" ht="15" customHeight="1" x14ac:dyDescent="0.25">
      <c r="N9559" t="s">
        <v>971</v>
      </c>
    </row>
    <row r="9560" spans="14:14" ht="15" customHeight="1" x14ac:dyDescent="0.25">
      <c r="N9560" t="s">
        <v>971</v>
      </c>
    </row>
    <row r="9561" spans="14:14" ht="15" customHeight="1" x14ac:dyDescent="0.25">
      <c r="N9561" t="s">
        <v>930</v>
      </c>
    </row>
    <row r="9562" spans="14:14" ht="15" customHeight="1" x14ac:dyDescent="0.25">
      <c r="N9562" t="s">
        <v>930</v>
      </c>
    </row>
    <row r="9563" spans="14:14" ht="15" customHeight="1" x14ac:dyDescent="0.25">
      <c r="N9563" t="s">
        <v>1072</v>
      </c>
    </row>
    <row r="9564" spans="14:14" ht="15" customHeight="1" x14ac:dyDescent="0.25">
      <c r="N9564" t="s">
        <v>1072</v>
      </c>
    </row>
    <row r="9565" spans="14:14" ht="15" customHeight="1" x14ac:dyDescent="0.25">
      <c r="N9565" t="s">
        <v>1072</v>
      </c>
    </row>
    <row r="9566" spans="14:14" ht="15" customHeight="1" x14ac:dyDescent="0.25">
      <c r="N9566" t="s">
        <v>1072</v>
      </c>
    </row>
    <row r="9567" spans="14:14" ht="15" customHeight="1" x14ac:dyDescent="0.25">
      <c r="N9567" t="s">
        <v>1072</v>
      </c>
    </row>
    <row r="9568" spans="14:14" ht="15" customHeight="1" x14ac:dyDescent="0.25">
      <c r="N9568" t="s">
        <v>1072</v>
      </c>
    </row>
    <row r="9569" spans="14:14" ht="15" customHeight="1" x14ac:dyDescent="0.25">
      <c r="N9569" t="s">
        <v>1072</v>
      </c>
    </row>
    <row r="9570" spans="14:14" ht="15" customHeight="1" x14ac:dyDescent="0.25">
      <c r="N9570" t="s">
        <v>1072</v>
      </c>
    </row>
    <row r="9571" spans="14:14" ht="15" customHeight="1" x14ac:dyDescent="0.25">
      <c r="N9571" t="s">
        <v>1135</v>
      </c>
    </row>
    <row r="9572" spans="14:14" ht="15" customHeight="1" x14ac:dyDescent="0.25">
      <c r="N9572" t="s">
        <v>1083</v>
      </c>
    </row>
    <row r="9573" spans="14:14" ht="15" customHeight="1" x14ac:dyDescent="0.25">
      <c r="N9573" t="s">
        <v>1068</v>
      </c>
    </row>
    <row r="9574" spans="14:14" ht="15" customHeight="1" x14ac:dyDescent="0.25">
      <c r="N9574" t="s">
        <v>1068</v>
      </c>
    </row>
    <row r="9575" spans="14:14" ht="15" customHeight="1" x14ac:dyDescent="0.25">
      <c r="N9575" t="s">
        <v>1068</v>
      </c>
    </row>
    <row r="9576" spans="14:14" ht="15" customHeight="1" x14ac:dyDescent="0.25">
      <c r="N9576" t="s">
        <v>910</v>
      </c>
    </row>
    <row r="9577" spans="14:14" ht="15" customHeight="1" x14ac:dyDescent="0.25">
      <c r="N9577" t="s">
        <v>1087</v>
      </c>
    </row>
    <row r="9578" spans="14:14" ht="15" customHeight="1" x14ac:dyDescent="0.25">
      <c r="N9578" t="s">
        <v>1087</v>
      </c>
    </row>
    <row r="9579" spans="14:14" ht="15" customHeight="1" x14ac:dyDescent="0.25">
      <c r="N9579" t="s">
        <v>1168</v>
      </c>
    </row>
    <row r="9580" spans="14:14" ht="15" customHeight="1" x14ac:dyDescent="0.25">
      <c r="N9580" t="s">
        <v>910</v>
      </c>
    </row>
    <row r="9581" spans="14:14" ht="15" customHeight="1" x14ac:dyDescent="0.25">
      <c r="N9581" t="s">
        <v>1004</v>
      </c>
    </row>
    <row r="9582" spans="14:14" ht="15" customHeight="1" x14ac:dyDescent="0.25">
      <c r="N9582" t="s">
        <v>910</v>
      </c>
    </row>
    <row r="9583" spans="14:14" ht="15" customHeight="1" x14ac:dyDescent="0.25">
      <c r="N9583" t="s">
        <v>1000</v>
      </c>
    </row>
    <row r="9584" spans="14:14" ht="15" customHeight="1" x14ac:dyDescent="0.25">
      <c r="N9584" t="s">
        <v>1085</v>
      </c>
    </row>
    <row r="9585" spans="14:14" ht="15" customHeight="1" x14ac:dyDescent="0.25">
      <c r="N9585" t="s">
        <v>1085</v>
      </c>
    </row>
    <row r="9586" spans="14:14" ht="15" customHeight="1" x14ac:dyDescent="0.25">
      <c r="N9586" t="s">
        <v>1004</v>
      </c>
    </row>
    <row r="9587" spans="14:14" ht="15" customHeight="1" x14ac:dyDescent="0.25">
      <c r="N9587" t="s">
        <v>1107</v>
      </c>
    </row>
    <row r="9588" spans="14:14" ht="15" customHeight="1" x14ac:dyDescent="0.25">
      <c r="N9588" t="s">
        <v>1131</v>
      </c>
    </row>
    <row r="9589" spans="14:14" ht="15" customHeight="1" x14ac:dyDescent="0.25">
      <c r="N9589" t="s">
        <v>1131</v>
      </c>
    </row>
    <row r="9590" spans="14:14" ht="15" customHeight="1" x14ac:dyDescent="0.25">
      <c r="N9590" t="s">
        <v>1131</v>
      </c>
    </row>
    <row r="9591" spans="14:14" ht="15" customHeight="1" x14ac:dyDescent="0.25">
      <c r="N9591" t="s">
        <v>1131</v>
      </c>
    </row>
    <row r="9592" spans="14:14" ht="15" customHeight="1" x14ac:dyDescent="0.25">
      <c r="N9592" t="s">
        <v>1131</v>
      </c>
    </row>
    <row r="9593" spans="14:14" ht="15" customHeight="1" x14ac:dyDescent="0.25">
      <c r="N9593" t="s">
        <v>1131</v>
      </c>
    </row>
    <row r="9594" spans="14:14" ht="15" customHeight="1" x14ac:dyDescent="0.25">
      <c r="N9594" t="s">
        <v>1004</v>
      </c>
    </row>
    <row r="9595" spans="14:14" ht="15" customHeight="1" x14ac:dyDescent="0.25">
      <c r="N9595" t="s">
        <v>1005</v>
      </c>
    </row>
    <row r="9596" spans="14:14" ht="15" customHeight="1" x14ac:dyDescent="0.25">
      <c r="N9596" t="s">
        <v>1172</v>
      </c>
    </row>
    <row r="9597" spans="14:14" ht="15" customHeight="1" x14ac:dyDescent="0.25">
      <c r="N9597" t="s">
        <v>1011</v>
      </c>
    </row>
    <row r="9598" spans="14:14" ht="15" customHeight="1" x14ac:dyDescent="0.25">
      <c r="N9598" t="s">
        <v>1004</v>
      </c>
    </row>
    <row r="9599" spans="14:14" ht="15" customHeight="1" x14ac:dyDescent="0.25">
      <c r="N9599" t="s">
        <v>985</v>
      </c>
    </row>
    <row r="9600" spans="14:14" ht="15" customHeight="1" x14ac:dyDescent="0.25">
      <c r="N9600" t="s">
        <v>1078</v>
      </c>
    </row>
    <row r="9601" spans="14:14" ht="15" customHeight="1" x14ac:dyDescent="0.25">
      <c r="N9601" t="s">
        <v>985</v>
      </c>
    </row>
    <row r="9602" spans="14:14" ht="15" customHeight="1" x14ac:dyDescent="0.25">
      <c r="N9602" t="s">
        <v>985</v>
      </c>
    </row>
    <row r="9603" spans="14:14" ht="15" customHeight="1" x14ac:dyDescent="0.25">
      <c r="N9603" t="s">
        <v>985</v>
      </c>
    </row>
    <row r="9604" spans="14:14" ht="15" customHeight="1" x14ac:dyDescent="0.25">
      <c r="N9604" t="s">
        <v>1178</v>
      </c>
    </row>
    <row r="9605" spans="14:14" ht="15" customHeight="1" x14ac:dyDescent="0.25">
      <c r="N9605" t="s">
        <v>1179</v>
      </c>
    </row>
    <row r="9606" spans="14:14" ht="15" customHeight="1" x14ac:dyDescent="0.25">
      <c r="N9606" t="s">
        <v>1145</v>
      </c>
    </row>
    <row r="9607" spans="14:14" ht="15" customHeight="1" x14ac:dyDescent="0.25">
      <c r="N9607" t="s">
        <v>930</v>
      </c>
    </row>
    <row r="9608" spans="14:14" ht="15" customHeight="1" x14ac:dyDescent="0.25">
      <c r="N9608" t="s">
        <v>930</v>
      </c>
    </row>
    <row r="9609" spans="14:14" ht="15" customHeight="1" x14ac:dyDescent="0.25">
      <c r="N9609" t="s">
        <v>273</v>
      </c>
    </row>
    <row r="9610" spans="14:14" ht="15" customHeight="1" x14ac:dyDescent="0.25">
      <c r="N9610" t="s">
        <v>1004</v>
      </c>
    </row>
    <row r="9611" spans="14:14" ht="15" customHeight="1" x14ac:dyDescent="0.25">
      <c r="N9611" t="s">
        <v>1183</v>
      </c>
    </row>
    <row r="9612" spans="14:14" ht="15" customHeight="1" x14ac:dyDescent="0.25">
      <c r="N9612" t="s">
        <v>1183</v>
      </c>
    </row>
    <row r="9613" spans="14:14" ht="15" customHeight="1" x14ac:dyDescent="0.25">
      <c r="N9613" t="s">
        <v>1150</v>
      </c>
    </row>
    <row r="9614" spans="14:14" ht="15" customHeight="1" x14ac:dyDescent="0.25">
      <c r="N9614" t="s">
        <v>1109</v>
      </c>
    </row>
    <row r="9615" spans="14:14" ht="15" customHeight="1" x14ac:dyDescent="0.25">
      <c r="N9615" t="s">
        <v>1005</v>
      </c>
    </row>
    <row r="9616" spans="14:14" ht="15" customHeight="1" x14ac:dyDescent="0.25">
      <c r="N9616" t="s">
        <v>1005</v>
      </c>
    </row>
    <row r="9617" spans="14:14" ht="15" customHeight="1" x14ac:dyDescent="0.25">
      <c r="N9617" t="s">
        <v>1005</v>
      </c>
    </row>
    <row r="9618" spans="14:14" ht="15" customHeight="1" x14ac:dyDescent="0.25">
      <c r="N9618" t="s">
        <v>273</v>
      </c>
    </row>
    <row r="9619" spans="14:14" ht="15" customHeight="1" x14ac:dyDescent="0.25">
      <c r="N9619" t="s">
        <v>273</v>
      </c>
    </row>
    <row r="9620" spans="14:14" ht="15" customHeight="1" x14ac:dyDescent="0.25">
      <c r="N9620" t="s">
        <v>273</v>
      </c>
    </row>
    <row r="9621" spans="14:14" ht="15" customHeight="1" x14ac:dyDescent="0.25">
      <c r="N9621" t="s">
        <v>273</v>
      </c>
    </row>
    <row r="9622" spans="14:14" ht="15" customHeight="1" x14ac:dyDescent="0.25">
      <c r="N9622" t="s">
        <v>273</v>
      </c>
    </row>
    <row r="9623" spans="14:14" ht="15" customHeight="1" x14ac:dyDescent="0.25">
      <c r="N9623" t="s">
        <v>1062</v>
      </c>
    </row>
    <row r="9624" spans="14:14" ht="15" customHeight="1" x14ac:dyDescent="0.25">
      <c r="N9624" t="s">
        <v>1062</v>
      </c>
    </row>
    <row r="9625" spans="14:14" ht="15" customHeight="1" x14ac:dyDescent="0.25">
      <c r="N9625" t="s">
        <v>1062</v>
      </c>
    </row>
    <row r="9626" spans="14:14" ht="15" customHeight="1" x14ac:dyDescent="0.25">
      <c r="N9626" t="s">
        <v>1062</v>
      </c>
    </row>
    <row r="9627" spans="14:14" ht="15" customHeight="1" x14ac:dyDescent="0.25">
      <c r="N9627" t="s">
        <v>976</v>
      </c>
    </row>
    <row r="9628" spans="14:14" ht="15" customHeight="1" x14ac:dyDescent="0.25">
      <c r="N9628" t="s">
        <v>976</v>
      </c>
    </row>
    <row r="9629" spans="14:14" ht="15" customHeight="1" x14ac:dyDescent="0.25">
      <c r="N9629" t="s">
        <v>976</v>
      </c>
    </row>
    <row r="9630" spans="14:14" ht="15" customHeight="1" x14ac:dyDescent="0.25">
      <c r="N9630" t="s">
        <v>1005</v>
      </c>
    </row>
    <row r="9631" spans="14:14" ht="15" customHeight="1" x14ac:dyDescent="0.25">
      <c r="N9631" t="s">
        <v>1005</v>
      </c>
    </row>
    <row r="9632" spans="14:14" ht="15" customHeight="1" x14ac:dyDescent="0.25">
      <c r="N9632" t="s">
        <v>273</v>
      </c>
    </row>
    <row r="9633" spans="14:14" ht="15" customHeight="1" x14ac:dyDescent="0.25">
      <c r="N9633" t="s">
        <v>1005</v>
      </c>
    </row>
    <row r="9634" spans="14:14" ht="15" customHeight="1" x14ac:dyDescent="0.25">
      <c r="N9634" t="s">
        <v>273</v>
      </c>
    </row>
    <row r="9635" spans="14:14" ht="15" customHeight="1" x14ac:dyDescent="0.25">
      <c r="N9635" t="s">
        <v>273</v>
      </c>
    </row>
    <row r="9636" spans="14:14" ht="15" customHeight="1" x14ac:dyDescent="0.25">
      <c r="N9636" t="s">
        <v>319</v>
      </c>
    </row>
    <row r="9637" spans="14:14" ht="15" customHeight="1" x14ac:dyDescent="0.25">
      <c r="N9637" t="s">
        <v>273</v>
      </c>
    </row>
    <row r="9638" spans="14:14" ht="15" customHeight="1" x14ac:dyDescent="0.25">
      <c r="N9638" t="s">
        <v>789</v>
      </c>
    </row>
    <row r="9639" spans="14:14" ht="15" customHeight="1" x14ac:dyDescent="0.25">
      <c r="N9639" t="s">
        <v>1179</v>
      </c>
    </row>
    <row r="9640" spans="14:14" ht="15" customHeight="1" x14ac:dyDescent="0.25">
      <c r="N9640" t="s">
        <v>1068</v>
      </c>
    </row>
    <row r="9641" spans="14:14" ht="15" customHeight="1" x14ac:dyDescent="0.25">
      <c r="N9641" t="s">
        <v>1068</v>
      </c>
    </row>
    <row r="9642" spans="14:14" ht="15" customHeight="1" x14ac:dyDescent="0.25">
      <c r="N9642" t="s">
        <v>1087</v>
      </c>
    </row>
    <row r="9643" spans="14:14" ht="15" customHeight="1" x14ac:dyDescent="0.25">
      <c r="N9643" t="s">
        <v>985</v>
      </c>
    </row>
    <row r="9644" spans="14:14" ht="15" customHeight="1" x14ac:dyDescent="0.25">
      <c r="N9644" t="s">
        <v>985</v>
      </c>
    </row>
    <row r="9645" spans="14:14" ht="15" customHeight="1" x14ac:dyDescent="0.25">
      <c r="N9645" t="s">
        <v>985</v>
      </c>
    </row>
    <row r="9646" spans="14:14" ht="15" customHeight="1" x14ac:dyDescent="0.25">
      <c r="N9646" t="s">
        <v>985</v>
      </c>
    </row>
    <row r="9647" spans="14:14" ht="15" customHeight="1" x14ac:dyDescent="0.25">
      <c r="N9647" t="s">
        <v>1068</v>
      </c>
    </row>
    <row r="9648" spans="14:14" ht="15" customHeight="1" x14ac:dyDescent="0.25">
      <c r="N9648" t="s">
        <v>1070</v>
      </c>
    </row>
    <row r="9649" spans="14:14" ht="15" customHeight="1" x14ac:dyDescent="0.25">
      <c r="N9649" t="s">
        <v>1070</v>
      </c>
    </row>
    <row r="9650" spans="14:14" ht="15" customHeight="1" x14ac:dyDescent="0.25">
      <c r="N9650" t="s">
        <v>1187</v>
      </c>
    </row>
    <row r="9651" spans="14:14" ht="15" customHeight="1" x14ac:dyDescent="0.25">
      <c r="N9651" t="s">
        <v>1187</v>
      </c>
    </row>
    <row r="9652" spans="14:14" ht="15" customHeight="1" x14ac:dyDescent="0.25">
      <c r="N9652" t="s">
        <v>1105</v>
      </c>
    </row>
    <row r="9653" spans="14:14" ht="15" customHeight="1" x14ac:dyDescent="0.25">
      <c r="N9653" t="s">
        <v>1105</v>
      </c>
    </row>
    <row r="9654" spans="14:14" ht="15" customHeight="1" x14ac:dyDescent="0.25">
      <c r="N9654" t="s">
        <v>1105</v>
      </c>
    </row>
    <row r="9655" spans="14:14" ht="15" customHeight="1" x14ac:dyDescent="0.25">
      <c r="N9655" t="s">
        <v>1105</v>
      </c>
    </row>
    <row r="9656" spans="14:14" ht="15" customHeight="1" x14ac:dyDescent="0.25">
      <c r="N9656" t="s">
        <v>1105</v>
      </c>
    </row>
    <row r="9657" spans="14:14" ht="15" customHeight="1" x14ac:dyDescent="0.25">
      <c r="N9657" t="s">
        <v>1105</v>
      </c>
    </row>
    <row r="9658" spans="14:14" ht="15" customHeight="1" x14ac:dyDescent="0.25">
      <c r="N9658" t="s">
        <v>1105</v>
      </c>
    </row>
    <row r="9659" spans="14:14" ht="15" customHeight="1" x14ac:dyDescent="0.25">
      <c r="N9659" t="s">
        <v>1105</v>
      </c>
    </row>
    <row r="9660" spans="14:14" ht="15" customHeight="1" x14ac:dyDescent="0.25">
      <c r="N9660" t="s">
        <v>980</v>
      </c>
    </row>
    <row r="9661" spans="14:14" ht="15" customHeight="1" x14ac:dyDescent="0.25">
      <c r="N9661" t="s">
        <v>985</v>
      </c>
    </row>
    <row r="9662" spans="14:14" ht="15" customHeight="1" x14ac:dyDescent="0.25">
      <c r="N9662" t="s">
        <v>930</v>
      </c>
    </row>
    <row r="9663" spans="14:14" ht="15" customHeight="1" x14ac:dyDescent="0.25">
      <c r="N9663" t="s">
        <v>930</v>
      </c>
    </row>
    <row r="9664" spans="14:14" ht="15" customHeight="1" x14ac:dyDescent="0.25">
      <c r="N9664" t="s">
        <v>989</v>
      </c>
    </row>
    <row r="9665" spans="14:14" ht="15" customHeight="1" x14ac:dyDescent="0.25">
      <c r="N9665" t="s">
        <v>1087</v>
      </c>
    </row>
    <row r="9666" spans="14:14" ht="15" customHeight="1" x14ac:dyDescent="0.25">
      <c r="N9666" t="s">
        <v>1087</v>
      </c>
    </row>
    <row r="9667" spans="14:14" ht="15" customHeight="1" x14ac:dyDescent="0.25">
      <c r="N9667" t="s">
        <v>1004</v>
      </c>
    </row>
    <row r="9668" spans="14:14" ht="15" customHeight="1" x14ac:dyDescent="0.25">
      <c r="N9668" t="s">
        <v>1193</v>
      </c>
    </row>
    <row r="9669" spans="14:14" ht="15" customHeight="1" x14ac:dyDescent="0.25">
      <c r="N9669" t="s">
        <v>910</v>
      </c>
    </row>
    <row r="9670" spans="14:14" ht="15" customHeight="1" x14ac:dyDescent="0.25">
      <c r="N9670" t="s">
        <v>1085</v>
      </c>
    </row>
    <row r="9671" spans="14:14" ht="15" customHeight="1" x14ac:dyDescent="0.25">
      <c r="N9671" t="s">
        <v>1085</v>
      </c>
    </row>
    <row r="9672" spans="14:14" ht="15" customHeight="1" x14ac:dyDescent="0.25">
      <c r="N9672" t="s">
        <v>930</v>
      </c>
    </row>
    <row r="9673" spans="14:14" ht="15" customHeight="1" x14ac:dyDescent="0.25">
      <c r="N9673" t="s">
        <v>942</v>
      </c>
    </row>
    <row r="9674" spans="14:14" ht="15" customHeight="1" x14ac:dyDescent="0.25">
      <c r="N9674" t="s">
        <v>1145</v>
      </c>
    </row>
    <row r="9675" spans="14:14" ht="15" customHeight="1" x14ac:dyDescent="0.25">
      <c r="N9675" t="s">
        <v>1145</v>
      </c>
    </row>
    <row r="9676" spans="14:14" ht="15" customHeight="1" x14ac:dyDescent="0.25">
      <c r="N9676" t="s">
        <v>1145</v>
      </c>
    </row>
    <row r="9677" spans="14:14" ht="15" customHeight="1" x14ac:dyDescent="0.25">
      <c r="N9677" t="s">
        <v>1145</v>
      </c>
    </row>
    <row r="9678" spans="14:14" ht="15" customHeight="1" x14ac:dyDescent="0.25">
      <c r="N9678" t="s">
        <v>1145</v>
      </c>
    </row>
    <row r="9679" spans="14:14" ht="15" customHeight="1" x14ac:dyDescent="0.25">
      <c r="N9679" t="s">
        <v>1145</v>
      </c>
    </row>
    <row r="9680" spans="14:14" ht="15" customHeight="1" x14ac:dyDescent="0.25">
      <c r="N9680" t="s">
        <v>1197</v>
      </c>
    </row>
    <row r="9681" spans="14:14" ht="15" customHeight="1" x14ac:dyDescent="0.25">
      <c r="N9681" t="s">
        <v>1198</v>
      </c>
    </row>
    <row r="9682" spans="14:14" ht="15" customHeight="1" x14ac:dyDescent="0.25">
      <c r="N9682" t="s">
        <v>1172</v>
      </c>
    </row>
    <row r="9683" spans="14:14" ht="15" customHeight="1" x14ac:dyDescent="0.25">
      <c r="N9683" t="s">
        <v>1200</v>
      </c>
    </row>
    <row r="9684" spans="14:14" ht="15" customHeight="1" x14ac:dyDescent="0.25">
      <c r="N9684" t="s">
        <v>1201</v>
      </c>
    </row>
    <row r="9685" spans="14:14" ht="15" customHeight="1" x14ac:dyDescent="0.25">
      <c r="N9685" t="s">
        <v>1203</v>
      </c>
    </row>
    <row r="9686" spans="14:14" ht="15" customHeight="1" x14ac:dyDescent="0.25">
      <c r="N9686" t="s">
        <v>1004</v>
      </c>
    </row>
    <row r="9687" spans="14:14" ht="15" customHeight="1" x14ac:dyDescent="0.25">
      <c r="N9687" t="s">
        <v>1204</v>
      </c>
    </row>
    <row r="9688" spans="14:14" ht="15" customHeight="1" x14ac:dyDescent="0.25">
      <c r="N9688" t="s">
        <v>1204</v>
      </c>
    </row>
    <row r="9689" spans="14:14" ht="15" customHeight="1" x14ac:dyDescent="0.25">
      <c r="N9689" t="s">
        <v>1204</v>
      </c>
    </row>
    <row r="9690" spans="14:14" ht="15" customHeight="1" x14ac:dyDescent="0.25">
      <c r="N9690" t="s">
        <v>1145</v>
      </c>
    </row>
    <row r="9691" spans="14:14" ht="15" customHeight="1" x14ac:dyDescent="0.25">
      <c r="N9691" t="s">
        <v>1004</v>
      </c>
    </row>
    <row r="9692" spans="14:14" ht="15" customHeight="1" x14ac:dyDescent="0.25">
      <c r="N9692" t="s">
        <v>1004</v>
      </c>
    </row>
    <row r="9693" spans="14:14" ht="15" customHeight="1" x14ac:dyDescent="0.25">
      <c r="N9693" t="s">
        <v>1005</v>
      </c>
    </row>
    <row r="9694" spans="14:14" ht="15" customHeight="1" x14ac:dyDescent="0.25">
      <c r="N9694" t="s">
        <v>1004</v>
      </c>
    </row>
    <row r="9695" spans="14:14" ht="15" customHeight="1" x14ac:dyDescent="0.25">
      <c r="N9695" t="s">
        <v>907</v>
      </c>
    </row>
    <row r="9696" spans="14:14" ht="15" customHeight="1" x14ac:dyDescent="0.25">
      <c r="N9696" t="s">
        <v>273</v>
      </c>
    </row>
    <row r="9697" spans="14:14" ht="15" customHeight="1" x14ac:dyDescent="0.25">
      <c r="N9697" t="s">
        <v>1005</v>
      </c>
    </row>
    <row r="9698" spans="14:14" ht="15" customHeight="1" x14ac:dyDescent="0.25">
      <c r="N9698" t="s">
        <v>1005</v>
      </c>
    </row>
    <row r="9699" spans="14:14" ht="15" customHeight="1" x14ac:dyDescent="0.25">
      <c r="N9699" t="s">
        <v>1005</v>
      </c>
    </row>
    <row r="9700" spans="14:14" ht="15" customHeight="1" x14ac:dyDescent="0.25">
      <c r="N9700" t="s">
        <v>1207</v>
      </c>
    </row>
    <row r="9701" spans="14:14" ht="15" customHeight="1" x14ac:dyDescent="0.25">
      <c r="N9701" t="s">
        <v>1207</v>
      </c>
    </row>
    <row r="9702" spans="14:14" ht="15" customHeight="1" x14ac:dyDescent="0.25">
      <c r="N9702" t="s">
        <v>1207</v>
      </c>
    </row>
    <row r="9703" spans="14:14" ht="15" customHeight="1" x14ac:dyDescent="0.25">
      <c r="N9703" t="s">
        <v>273</v>
      </c>
    </row>
    <row r="9704" spans="14:14" ht="15" customHeight="1" x14ac:dyDescent="0.25">
      <c r="N9704" t="s">
        <v>273</v>
      </c>
    </row>
    <row r="9705" spans="14:14" ht="15" customHeight="1" x14ac:dyDescent="0.25">
      <c r="N9705" t="s">
        <v>1111</v>
      </c>
    </row>
    <row r="9706" spans="14:14" ht="15" customHeight="1" x14ac:dyDescent="0.25">
      <c r="N9706" t="s">
        <v>273</v>
      </c>
    </row>
    <row r="9707" spans="14:14" ht="15" customHeight="1" x14ac:dyDescent="0.25">
      <c r="N9707" t="s">
        <v>273</v>
      </c>
    </row>
    <row r="9708" spans="14:14" ht="15" customHeight="1" x14ac:dyDescent="0.25">
      <c r="N9708" t="s">
        <v>1211</v>
      </c>
    </row>
    <row r="9709" spans="14:14" ht="15" customHeight="1" x14ac:dyDescent="0.25">
      <c r="N9709" t="s">
        <v>1213</v>
      </c>
    </row>
    <row r="9710" spans="14:14" ht="15" customHeight="1" x14ac:dyDescent="0.25">
      <c r="N9710" t="s">
        <v>1005</v>
      </c>
    </row>
    <row r="9711" spans="14:14" ht="15" customHeight="1" x14ac:dyDescent="0.25">
      <c r="N9711" t="s">
        <v>789</v>
      </c>
    </row>
    <row r="9712" spans="14:14" ht="15" customHeight="1" x14ac:dyDescent="0.25">
      <c r="N9712" t="s">
        <v>1090</v>
      </c>
    </row>
    <row r="9713" spans="14:14" ht="15" customHeight="1" x14ac:dyDescent="0.25">
      <c r="N9713" t="s">
        <v>1090</v>
      </c>
    </row>
    <row r="9714" spans="14:14" ht="15" customHeight="1" x14ac:dyDescent="0.25">
      <c r="N9714" t="s">
        <v>1318</v>
      </c>
    </row>
    <row r="9715" spans="14:14" ht="15" customHeight="1" x14ac:dyDescent="0.25">
      <c r="N9715" t="s">
        <v>294</v>
      </c>
    </row>
    <row r="9716" spans="14:14" ht="15" customHeight="1" x14ac:dyDescent="0.25">
      <c r="N9716" t="s">
        <v>1087</v>
      </c>
    </row>
    <row r="9717" spans="14:14" ht="15" customHeight="1" x14ac:dyDescent="0.25">
      <c r="N9717" t="s">
        <v>1004</v>
      </c>
    </row>
    <row r="9718" spans="14:14" ht="15" customHeight="1" x14ac:dyDescent="0.25">
      <c r="N9718" t="s">
        <v>1004</v>
      </c>
    </row>
    <row r="9719" spans="14:14" ht="15" customHeight="1" x14ac:dyDescent="0.25">
      <c r="N9719" t="s">
        <v>1214</v>
      </c>
    </row>
    <row r="9720" spans="14:14" ht="15" customHeight="1" x14ac:dyDescent="0.25">
      <c r="N9720" t="s">
        <v>1214</v>
      </c>
    </row>
    <row r="9721" spans="14:14" ht="15" customHeight="1" x14ac:dyDescent="0.25">
      <c r="N9721" t="s">
        <v>1068</v>
      </c>
    </row>
    <row r="9722" spans="14:14" ht="15" customHeight="1" x14ac:dyDescent="0.25">
      <c r="N9722" t="s">
        <v>1068</v>
      </c>
    </row>
    <row r="9723" spans="14:14" ht="15" customHeight="1" x14ac:dyDescent="0.25">
      <c r="N9723" t="s">
        <v>1187</v>
      </c>
    </row>
    <row r="9724" spans="14:14" ht="15" customHeight="1" x14ac:dyDescent="0.25">
      <c r="N9724" t="s">
        <v>1187</v>
      </c>
    </row>
    <row r="9725" spans="14:14" ht="15" customHeight="1" x14ac:dyDescent="0.25">
      <c r="N9725" t="s">
        <v>1187</v>
      </c>
    </row>
    <row r="9726" spans="14:14" ht="15" customHeight="1" x14ac:dyDescent="0.25">
      <c r="N9726" t="s">
        <v>1187</v>
      </c>
    </row>
    <row r="9727" spans="14:14" ht="15" customHeight="1" x14ac:dyDescent="0.25">
      <c r="N9727" t="s">
        <v>1187</v>
      </c>
    </row>
    <row r="9728" spans="14:14" ht="15" customHeight="1" x14ac:dyDescent="0.25">
      <c r="N9728" t="s">
        <v>1187</v>
      </c>
    </row>
    <row r="9729" spans="14:14" ht="15" customHeight="1" x14ac:dyDescent="0.25">
      <c r="N9729" t="s">
        <v>1187</v>
      </c>
    </row>
    <row r="9730" spans="14:14" ht="15" customHeight="1" x14ac:dyDescent="0.25">
      <c r="N9730" t="s">
        <v>1187</v>
      </c>
    </row>
    <row r="9731" spans="14:14" ht="15" customHeight="1" x14ac:dyDescent="0.25">
      <c r="N9731" t="s">
        <v>1089</v>
      </c>
    </row>
    <row r="9732" spans="14:14" ht="15" customHeight="1" x14ac:dyDescent="0.25">
      <c r="N9732" t="s">
        <v>1089</v>
      </c>
    </row>
    <row r="9733" spans="14:14" ht="15" customHeight="1" x14ac:dyDescent="0.25">
      <c r="N9733" t="s">
        <v>1215</v>
      </c>
    </row>
    <row r="9734" spans="14:14" ht="15" customHeight="1" x14ac:dyDescent="0.25">
      <c r="N9734" t="s">
        <v>985</v>
      </c>
    </row>
    <row r="9735" spans="14:14" ht="15" customHeight="1" x14ac:dyDescent="0.25">
      <c r="N9735" t="s">
        <v>930</v>
      </c>
    </row>
    <row r="9736" spans="14:14" ht="15" customHeight="1" x14ac:dyDescent="0.25">
      <c r="N9736" t="s">
        <v>930</v>
      </c>
    </row>
    <row r="9737" spans="14:14" ht="15" customHeight="1" x14ac:dyDescent="0.25">
      <c r="N9737" t="s">
        <v>910</v>
      </c>
    </row>
    <row r="9738" spans="14:14" ht="15" customHeight="1" x14ac:dyDescent="0.25">
      <c r="N9738" t="s">
        <v>1124</v>
      </c>
    </row>
    <row r="9739" spans="14:14" ht="15" customHeight="1" x14ac:dyDescent="0.25">
      <c r="N9739" t="s">
        <v>1089</v>
      </c>
    </row>
    <row r="9740" spans="14:14" ht="15" customHeight="1" x14ac:dyDescent="0.25">
      <c r="N9740" t="s">
        <v>1068</v>
      </c>
    </row>
    <row r="9741" spans="14:14" ht="15" customHeight="1" x14ac:dyDescent="0.25">
      <c r="N9741" t="s">
        <v>1068</v>
      </c>
    </row>
    <row r="9742" spans="14:14" ht="15" customHeight="1" x14ac:dyDescent="0.25">
      <c r="N9742" t="s">
        <v>930</v>
      </c>
    </row>
    <row r="9743" spans="14:14" ht="15" customHeight="1" x14ac:dyDescent="0.25">
      <c r="N9743" t="s">
        <v>1100</v>
      </c>
    </row>
    <row r="9744" spans="14:14" ht="15" customHeight="1" x14ac:dyDescent="0.25">
      <c r="N9744" t="s">
        <v>1087</v>
      </c>
    </row>
    <row r="9745" spans="14:14" ht="15" customHeight="1" x14ac:dyDescent="0.25">
      <c r="N9745" t="s">
        <v>1220</v>
      </c>
    </row>
    <row r="9746" spans="14:14" ht="15" customHeight="1" x14ac:dyDescent="0.25">
      <c r="N9746" t="s">
        <v>985</v>
      </c>
    </row>
    <row r="9747" spans="14:14" ht="15" customHeight="1" x14ac:dyDescent="0.25">
      <c r="N9747" t="s">
        <v>1011</v>
      </c>
    </row>
    <row r="9748" spans="14:14" ht="15" customHeight="1" x14ac:dyDescent="0.25">
      <c r="N9748" t="s">
        <v>1004</v>
      </c>
    </row>
    <row r="9749" spans="14:14" ht="15" customHeight="1" x14ac:dyDescent="0.25">
      <c r="N9749" t="s">
        <v>1224</v>
      </c>
    </row>
    <row r="9750" spans="14:14" ht="15" customHeight="1" x14ac:dyDescent="0.25">
      <c r="N9750" t="s">
        <v>1224</v>
      </c>
    </row>
    <row r="9751" spans="14:14" ht="15" customHeight="1" x14ac:dyDescent="0.25">
      <c r="N9751" t="s">
        <v>1224</v>
      </c>
    </row>
    <row r="9752" spans="14:14" ht="15" customHeight="1" x14ac:dyDescent="0.25">
      <c r="N9752" t="s">
        <v>1004</v>
      </c>
    </row>
    <row r="9753" spans="14:14" ht="15" customHeight="1" x14ac:dyDescent="0.25">
      <c r="N9753" t="s">
        <v>1004</v>
      </c>
    </row>
    <row r="9754" spans="14:14" ht="15" customHeight="1" x14ac:dyDescent="0.25">
      <c r="N9754" t="s">
        <v>1005</v>
      </c>
    </row>
    <row r="9755" spans="14:14" ht="15" customHeight="1" x14ac:dyDescent="0.25">
      <c r="N9755" t="s">
        <v>1070</v>
      </c>
    </row>
    <row r="9756" spans="14:14" ht="15" customHeight="1" x14ac:dyDescent="0.25">
      <c r="N9756" t="s">
        <v>273</v>
      </c>
    </row>
    <row r="9757" spans="14:14" ht="15" customHeight="1" x14ac:dyDescent="0.25">
      <c r="N9757" t="s">
        <v>1005</v>
      </c>
    </row>
    <row r="9758" spans="14:14" ht="15" customHeight="1" x14ac:dyDescent="0.25">
      <c r="N9758" t="s">
        <v>1005</v>
      </c>
    </row>
    <row r="9759" spans="14:14" ht="15" customHeight="1" x14ac:dyDescent="0.25">
      <c r="N9759" t="s">
        <v>1005</v>
      </c>
    </row>
    <row r="9760" spans="14:14" ht="15" customHeight="1" x14ac:dyDescent="0.25">
      <c r="N9760" t="s">
        <v>1090</v>
      </c>
    </row>
    <row r="9761" spans="14:14" ht="15" customHeight="1" x14ac:dyDescent="0.25">
      <c r="N9761" t="s">
        <v>1090</v>
      </c>
    </row>
    <row r="9762" spans="14:14" ht="15" customHeight="1" x14ac:dyDescent="0.25">
      <c r="N9762" t="s">
        <v>1090</v>
      </c>
    </row>
    <row r="9763" spans="14:14" ht="15" customHeight="1" x14ac:dyDescent="0.25">
      <c r="N9763" t="s">
        <v>231</v>
      </c>
    </row>
    <row r="9764" spans="14:14" ht="15" customHeight="1" x14ac:dyDescent="0.25">
      <c r="N9764" t="s">
        <v>1109</v>
      </c>
    </row>
    <row r="9765" spans="14:14" ht="15" customHeight="1" x14ac:dyDescent="0.25">
      <c r="N9765" t="s">
        <v>1062</v>
      </c>
    </row>
    <row r="9766" spans="14:14" ht="15" customHeight="1" x14ac:dyDescent="0.25">
      <c r="N9766" t="s">
        <v>1062</v>
      </c>
    </row>
    <row r="9767" spans="14:14" ht="15" customHeight="1" x14ac:dyDescent="0.25">
      <c r="N9767" t="s">
        <v>1063</v>
      </c>
    </row>
    <row r="9768" spans="14:14" ht="15" customHeight="1" x14ac:dyDescent="0.25">
      <c r="N9768" t="s">
        <v>1226</v>
      </c>
    </row>
    <row r="9769" spans="14:14" ht="15" customHeight="1" x14ac:dyDescent="0.25">
      <c r="N9769" t="s">
        <v>273</v>
      </c>
    </row>
    <row r="9770" spans="14:14" ht="15" customHeight="1" x14ac:dyDescent="0.25">
      <c r="N9770" t="s">
        <v>1005</v>
      </c>
    </row>
    <row r="9771" spans="14:14" ht="15" customHeight="1" x14ac:dyDescent="0.25">
      <c r="N9771" t="s">
        <v>273</v>
      </c>
    </row>
    <row r="9772" spans="14:14" ht="15" customHeight="1" x14ac:dyDescent="0.25">
      <c r="N9772" t="s">
        <v>890</v>
      </c>
    </row>
    <row r="9773" spans="14:14" ht="15" customHeight="1" x14ac:dyDescent="0.25">
      <c r="N9773" t="s">
        <v>1238</v>
      </c>
    </row>
    <row r="9774" spans="14:14" ht="15" customHeight="1" x14ac:dyDescent="0.25">
      <c r="N9774" t="s">
        <v>1238</v>
      </c>
    </row>
    <row r="9775" spans="14:14" ht="15" customHeight="1" x14ac:dyDescent="0.25">
      <c r="N9775" t="s">
        <v>1087</v>
      </c>
    </row>
    <row r="9776" spans="14:14" ht="15" customHeight="1" x14ac:dyDescent="0.25">
      <c r="N9776" t="s">
        <v>1004</v>
      </c>
    </row>
    <row r="9777" spans="14:14" ht="15" customHeight="1" x14ac:dyDescent="0.25">
      <c r="N9777" t="s">
        <v>1004</v>
      </c>
    </row>
    <row r="9778" spans="14:14" ht="15" customHeight="1" x14ac:dyDescent="0.25">
      <c r="N9778" t="s">
        <v>1179</v>
      </c>
    </row>
    <row r="9779" spans="14:14" ht="15" customHeight="1" x14ac:dyDescent="0.25">
      <c r="N9779" t="s">
        <v>1179</v>
      </c>
    </row>
    <row r="9780" spans="14:14" ht="15" customHeight="1" x14ac:dyDescent="0.25">
      <c r="N9780" t="s">
        <v>1179</v>
      </c>
    </row>
    <row r="9781" spans="14:14" ht="15" customHeight="1" x14ac:dyDescent="0.25">
      <c r="N9781" t="s">
        <v>1179</v>
      </c>
    </row>
    <row r="9782" spans="14:14" ht="15" customHeight="1" x14ac:dyDescent="0.25">
      <c r="N9782" t="s">
        <v>1179</v>
      </c>
    </row>
    <row r="9783" spans="14:14" ht="15" customHeight="1" x14ac:dyDescent="0.25">
      <c r="N9783" t="s">
        <v>1179</v>
      </c>
    </row>
    <row r="9784" spans="14:14" ht="15" customHeight="1" x14ac:dyDescent="0.25">
      <c r="N9784" t="s">
        <v>1179</v>
      </c>
    </row>
    <row r="9785" spans="14:14" ht="15" customHeight="1" x14ac:dyDescent="0.25">
      <c r="N9785" t="s">
        <v>1179</v>
      </c>
    </row>
    <row r="9786" spans="14:14" ht="15" customHeight="1" x14ac:dyDescent="0.25">
      <c r="N9786" t="s">
        <v>1179</v>
      </c>
    </row>
    <row r="9787" spans="14:14" ht="15" customHeight="1" x14ac:dyDescent="0.25">
      <c r="N9787" t="s">
        <v>1179</v>
      </c>
    </row>
    <row r="9788" spans="14:14" ht="15" customHeight="1" x14ac:dyDescent="0.25">
      <c r="N9788" t="s">
        <v>907</v>
      </c>
    </row>
    <row r="9789" spans="14:14" ht="15" customHeight="1" x14ac:dyDescent="0.25">
      <c r="N9789" t="s">
        <v>1124</v>
      </c>
    </row>
    <row r="9790" spans="14:14" ht="15" customHeight="1" x14ac:dyDescent="0.25">
      <c r="N9790" t="s">
        <v>1078</v>
      </c>
    </row>
    <row r="9791" spans="14:14" ht="15" customHeight="1" x14ac:dyDescent="0.25">
      <c r="N9791" t="s">
        <v>1068</v>
      </c>
    </row>
    <row r="9792" spans="14:14" ht="15" customHeight="1" x14ac:dyDescent="0.25">
      <c r="N9792" t="s">
        <v>1068</v>
      </c>
    </row>
    <row r="9793" spans="14:14" ht="15" customHeight="1" x14ac:dyDescent="0.25">
      <c r="N9793" t="s">
        <v>985</v>
      </c>
    </row>
    <row r="9794" spans="14:14" ht="15" customHeight="1" x14ac:dyDescent="0.25">
      <c r="N9794" t="s">
        <v>1087</v>
      </c>
    </row>
    <row r="9795" spans="14:14" ht="15" customHeight="1" x14ac:dyDescent="0.25">
      <c r="N9795" t="s">
        <v>1068</v>
      </c>
    </row>
    <row r="9796" spans="14:14" ht="15" customHeight="1" x14ac:dyDescent="0.25">
      <c r="N9796" t="s">
        <v>989</v>
      </c>
    </row>
    <row r="9797" spans="14:14" ht="15" customHeight="1" x14ac:dyDescent="0.25">
      <c r="N9797" t="s">
        <v>1234</v>
      </c>
    </row>
    <row r="9798" spans="14:14" ht="15" customHeight="1" x14ac:dyDescent="0.25">
      <c r="N9798" t="s">
        <v>1004</v>
      </c>
    </row>
    <row r="9799" spans="14:14" ht="15" customHeight="1" x14ac:dyDescent="0.25">
      <c r="N9799" t="s">
        <v>1068</v>
      </c>
    </row>
    <row r="9800" spans="14:14" ht="15" customHeight="1" x14ac:dyDescent="0.25">
      <c r="N9800" t="s">
        <v>1068</v>
      </c>
    </row>
    <row r="9801" spans="14:14" ht="15" customHeight="1" x14ac:dyDescent="0.25">
      <c r="N9801" t="s">
        <v>1087</v>
      </c>
    </row>
    <row r="9802" spans="14:14" ht="15" customHeight="1" x14ac:dyDescent="0.25">
      <c r="N9802" t="s">
        <v>1100</v>
      </c>
    </row>
    <row r="9803" spans="14:14" ht="15" customHeight="1" x14ac:dyDescent="0.25">
      <c r="N9803" t="s">
        <v>1087</v>
      </c>
    </row>
    <row r="9804" spans="14:14" ht="15" customHeight="1" x14ac:dyDescent="0.25">
      <c r="N9804" t="s">
        <v>1145</v>
      </c>
    </row>
    <row r="9805" spans="14:14" ht="15" customHeight="1" x14ac:dyDescent="0.25">
      <c r="N9805" t="s">
        <v>930</v>
      </c>
    </row>
    <row r="9806" spans="14:14" ht="15" customHeight="1" x14ac:dyDescent="0.25">
      <c r="N9806" t="s">
        <v>1004</v>
      </c>
    </row>
    <row r="9807" spans="14:14" ht="15" customHeight="1" x14ac:dyDescent="0.25">
      <c r="N9807" t="s">
        <v>1070</v>
      </c>
    </row>
    <row r="9808" spans="14:14" ht="15" customHeight="1" x14ac:dyDescent="0.25">
      <c r="N9808" t="s">
        <v>1068</v>
      </c>
    </row>
    <row r="9809" spans="14:14" ht="15" customHeight="1" x14ac:dyDescent="0.25">
      <c r="N9809" t="s">
        <v>1068</v>
      </c>
    </row>
    <row r="9810" spans="14:14" ht="15" customHeight="1" x14ac:dyDescent="0.25">
      <c r="N9810" t="s">
        <v>1087</v>
      </c>
    </row>
    <row r="9811" spans="14:14" ht="15" customHeight="1" x14ac:dyDescent="0.25">
      <c r="N9811" t="s">
        <v>273</v>
      </c>
    </row>
    <row r="9812" spans="14:14" ht="15" customHeight="1" x14ac:dyDescent="0.25">
      <c r="N9812" t="s">
        <v>1238</v>
      </c>
    </row>
    <row r="9813" spans="14:14" ht="15" customHeight="1" x14ac:dyDescent="0.25">
      <c r="N9813" t="s">
        <v>1238</v>
      </c>
    </row>
    <row r="9814" spans="14:14" ht="15" customHeight="1" x14ac:dyDescent="0.25">
      <c r="N9814" t="s">
        <v>1238</v>
      </c>
    </row>
    <row r="9815" spans="14:14" ht="15" customHeight="1" x14ac:dyDescent="0.25">
      <c r="N9815" t="s">
        <v>148</v>
      </c>
    </row>
    <row r="9816" spans="14:14" ht="15" customHeight="1" x14ac:dyDescent="0.25">
      <c r="N9816" t="s">
        <v>273</v>
      </c>
    </row>
    <row r="9817" spans="14:14" ht="15" customHeight="1" x14ac:dyDescent="0.25">
      <c r="N9817" t="s">
        <v>1109</v>
      </c>
    </row>
    <row r="9818" spans="14:14" ht="15" customHeight="1" x14ac:dyDescent="0.25">
      <c r="N9818" t="s">
        <v>273</v>
      </c>
    </row>
    <row r="9819" spans="14:14" ht="15" customHeight="1" x14ac:dyDescent="0.25">
      <c r="N9819" t="s">
        <v>273</v>
      </c>
    </row>
    <row r="9820" spans="14:14" ht="15" customHeight="1" x14ac:dyDescent="0.25">
      <c r="N9820" t="s">
        <v>1239</v>
      </c>
    </row>
    <row r="9821" spans="14:14" ht="15" customHeight="1" x14ac:dyDescent="0.25">
      <c r="N9821" t="s">
        <v>1005</v>
      </c>
    </row>
    <row r="9822" spans="14:14" ht="15" customHeight="1" x14ac:dyDescent="0.25">
      <c r="N9822" t="s">
        <v>273</v>
      </c>
    </row>
    <row r="9823" spans="14:14" ht="15" customHeight="1" x14ac:dyDescent="0.25">
      <c r="N9823" t="s">
        <v>1005</v>
      </c>
    </row>
    <row r="9824" spans="14:14" ht="15" customHeight="1" x14ac:dyDescent="0.25">
      <c r="N9824" t="s">
        <v>1064</v>
      </c>
    </row>
    <row r="9825" spans="14:14" ht="15" customHeight="1" x14ac:dyDescent="0.25">
      <c r="N9825" t="s">
        <v>273</v>
      </c>
    </row>
    <row r="9826" spans="14:14" ht="15" customHeight="1" x14ac:dyDescent="0.25">
      <c r="N9826" t="s">
        <v>452</v>
      </c>
    </row>
    <row r="9827" spans="14:14" ht="15" customHeight="1" x14ac:dyDescent="0.25">
      <c r="N9827" t="s">
        <v>1087</v>
      </c>
    </row>
    <row r="9828" spans="14:14" ht="15" customHeight="1" x14ac:dyDescent="0.25">
      <c r="N9828" t="s">
        <v>1087</v>
      </c>
    </row>
    <row r="9829" spans="14:14" ht="15" customHeight="1" x14ac:dyDescent="0.25">
      <c r="N9829" t="s">
        <v>1087</v>
      </c>
    </row>
    <row r="9830" spans="14:14" ht="15" customHeight="1" x14ac:dyDescent="0.25">
      <c r="N9830" t="s">
        <v>930</v>
      </c>
    </row>
    <row r="9831" spans="14:14" ht="15" customHeight="1" x14ac:dyDescent="0.25">
      <c r="N9831" t="s">
        <v>1197</v>
      </c>
    </row>
    <row r="9832" spans="14:14" ht="15" customHeight="1" x14ac:dyDescent="0.25">
      <c r="N9832" t="s">
        <v>1197</v>
      </c>
    </row>
    <row r="9833" spans="14:14" ht="15" customHeight="1" x14ac:dyDescent="0.25">
      <c r="N9833" t="s">
        <v>1214</v>
      </c>
    </row>
    <row r="9834" spans="14:14" ht="15" customHeight="1" x14ac:dyDescent="0.25">
      <c r="N9834" t="s">
        <v>1087</v>
      </c>
    </row>
    <row r="9835" spans="14:14" ht="15" customHeight="1" x14ac:dyDescent="0.25">
      <c r="N9835" t="s">
        <v>1004</v>
      </c>
    </row>
    <row r="9836" spans="14:14" ht="15" customHeight="1" x14ac:dyDescent="0.25">
      <c r="N9836" t="s">
        <v>1087</v>
      </c>
    </row>
    <row r="9837" spans="14:14" ht="15" customHeight="1" x14ac:dyDescent="0.25">
      <c r="N9837" t="s">
        <v>1183</v>
      </c>
    </row>
    <row r="9838" spans="14:14" ht="15" customHeight="1" x14ac:dyDescent="0.25">
      <c r="N9838" t="s">
        <v>1214</v>
      </c>
    </row>
    <row r="9839" spans="14:14" ht="15" customHeight="1" x14ac:dyDescent="0.25">
      <c r="N9839" t="s">
        <v>1241</v>
      </c>
    </row>
    <row r="9840" spans="14:14" ht="15" customHeight="1" x14ac:dyDescent="0.25">
      <c r="N9840" t="s">
        <v>1068</v>
      </c>
    </row>
    <row r="9841" spans="14:14" ht="15" customHeight="1" x14ac:dyDescent="0.25">
      <c r="N9841" t="s">
        <v>1004</v>
      </c>
    </row>
    <row r="9842" spans="14:14" ht="15" customHeight="1" x14ac:dyDescent="0.25">
      <c r="N9842" t="s">
        <v>1070</v>
      </c>
    </row>
    <row r="9843" spans="14:14" ht="15" customHeight="1" x14ac:dyDescent="0.25">
      <c r="N9843" t="s">
        <v>1068</v>
      </c>
    </row>
    <row r="9844" spans="14:14" ht="15" customHeight="1" x14ac:dyDescent="0.25">
      <c r="N9844" t="s">
        <v>1068</v>
      </c>
    </row>
    <row r="9845" spans="14:14" ht="15" customHeight="1" x14ac:dyDescent="0.25">
      <c r="N9845" t="s">
        <v>1087</v>
      </c>
    </row>
    <row r="9846" spans="14:14" ht="15" customHeight="1" x14ac:dyDescent="0.25">
      <c r="N9846" t="s">
        <v>273</v>
      </c>
    </row>
    <row r="9847" spans="14:14" ht="15" customHeight="1" x14ac:dyDescent="0.25">
      <c r="N9847" t="s">
        <v>1198</v>
      </c>
    </row>
    <row r="9848" spans="14:14" ht="15" customHeight="1" x14ac:dyDescent="0.25">
      <c r="N9848" t="s">
        <v>1198</v>
      </c>
    </row>
    <row r="9849" spans="14:14" ht="15" customHeight="1" x14ac:dyDescent="0.25">
      <c r="N9849" t="s">
        <v>1198</v>
      </c>
    </row>
    <row r="9850" spans="14:14" ht="15" customHeight="1" x14ac:dyDescent="0.25">
      <c r="N9850" t="s">
        <v>1005</v>
      </c>
    </row>
    <row r="9851" spans="14:14" ht="15" customHeight="1" x14ac:dyDescent="0.25">
      <c r="N9851" t="s">
        <v>1227</v>
      </c>
    </row>
    <row r="9852" spans="14:14" ht="15" customHeight="1" x14ac:dyDescent="0.25">
      <c r="N9852" t="s">
        <v>273</v>
      </c>
    </row>
    <row r="9853" spans="14:14" ht="15" customHeight="1" x14ac:dyDescent="0.25">
      <c r="N9853" t="s">
        <v>1087</v>
      </c>
    </row>
    <row r="9854" spans="14:14" ht="15" customHeight="1" x14ac:dyDescent="0.25">
      <c r="N9854" t="s">
        <v>1087</v>
      </c>
    </row>
    <row r="9855" spans="14:14" ht="15" customHeight="1" x14ac:dyDescent="0.25">
      <c r="N9855" t="s">
        <v>1004</v>
      </c>
    </row>
    <row r="9856" spans="14:14" ht="15" customHeight="1" x14ac:dyDescent="0.25">
      <c r="N9856" t="s">
        <v>1214</v>
      </c>
    </row>
    <row r="9857" spans="14:14" ht="15" customHeight="1" x14ac:dyDescent="0.25">
      <c r="N9857" t="s">
        <v>1214</v>
      </c>
    </row>
    <row r="9858" spans="14:14" ht="15" customHeight="1" x14ac:dyDescent="0.25">
      <c r="N9858" t="s">
        <v>1068</v>
      </c>
    </row>
    <row r="9859" spans="14:14" ht="15" customHeight="1" x14ac:dyDescent="0.25">
      <c r="N9859" t="s">
        <v>1004</v>
      </c>
    </row>
    <row r="9860" spans="14:14" ht="15" customHeight="1" x14ac:dyDescent="0.25">
      <c r="N9860" t="s">
        <v>1068</v>
      </c>
    </row>
    <row r="9861" spans="14:14" ht="15" customHeight="1" x14ac:dyDescent="0.25">
      <c r="N9861" t="s">
        <v>1072</v>
      </c>
    </row>
    <row r="9862" spans="14:14" ht="15" customHeight="1" x14ac:dyDescent="0.25">
      <c r="N9862" t="s">
        <v>1072</v>
      </c>
    </row>
    <row r="9863" spans="14:14" ht="15" customHeight="1" x14ac:dyDescent="0.25">
      <c r="N9863" t="s">
        <v>1072</v>
      </c>
    </row>
    <row r="9864" spans="14:14" ht="15" customHeight="1" x14ac:dyDescent="0.25">
      <c r="N9864" t="s">
        <v>1072</v>
      </c>
    </row>
    <row r="9865" spans="14:14" ht="15" customHeight="1" x14ac:dyDescent="0.25">
      <c r="N9865" t="s">
        <v>1072</v>
      </c>
    </row>
    <row r="9866" spans="14:14" ht="15" customHeight="1" x14ac:dyDescent="0.25">
      <c r="N9866" t="s">
        <v>1072</v>
      </c>
    </row>
    <row r="9867" spans="14:14" ht="15" customHeight="1" x14ac:dyDescent="0.25">
      <c r="N9867" t="s">
        <v>1087</v>
      </c>
    </row>
    <row r="9868" spans="14:14" ht="15" customHeight="1" x14ac:dyDescent="0.25">
      <c r="N9868" t="s">
        <v>1087</v>
      </c>
    </row>
    <row r="9869" spans="14:14" ht="15" customHeight="1" x14ac:dyDescent="0.25">
      <c r="N9869" t="s">
        <v>1068</v>
      </c>
    </row>
    <row r="9870" spans="14:14" ht="15" customHeight="1" x14ac:dyDescent="0.25">
      <c r="N9870" t="s">
        <v>1068</v>
      </c>
    </row>
    <row r="9871" spans="14:14" ht="15" customHeight="1" x14ac:dyDescent="0.25">
      <c r="N9871" t="s">
        <v>148</v>
      </c>
    </row>
    <row r="9872" spans="14:14" ht="15" customHeight="1" x14ac:dyDescent="0.25">
      <c r="N9872" t="s">
        <v>1005</v>
      </c>
    </row>
    <row r="9873" spans="14:14" ht="15" customHeight="1" x14ac:dyDescent="0.25">
      <c r="N9873" t="s">
        <v>1090</v>
      </c>
    </row>
    <row r="9874" spans="14:14" ht="15" customHeight="1" x14ac:dyDescent="0.25">
      <c r="N9874" t="s">
        <v>1241</v>
      </c>
    </row>
    <row r="9875" spans="14:14" ht="15" customHeight="1" x14ac:dyDescent="0.25">
      <c r="N9875" t="s">
        <v>1241</v>
      </c>
    </row>
    <row r="9876" spans="14:14" ht="15" customHeight="1" x14ac:dyDescent="0.25">
      <c r="N9876" t="s">
        <v>1005</v>
      </c>
    </row>
    <row r="9877" spans="14:14" ht="15" customHeight="1" x14ac:dyDescent="0.25">
      <c r="N9877" t="s">
        <v>1105</v>
      </c>
    </row>
    <row r="9878" spans="14:14" ht="15" customHeight="1" x14ac:dyDescent="0.25">
      <c r="N9878" t="s">
        <v>1004</v>
      </c>
    </row>
    <row r="9879" spans="14:14" ht="15" customHeight="1" x14ac:dyDescent="0.25">
      <c r="N9879" t="s">
        <v>1250</v>
      </c>
    </row>
    <row r="9880" spans="14:14" ht="15" customHeight="1" x14ac:dyDescent="0.25">
      <c r="N9880" t="s">
        <v>1004</v>
      </c>
    </row>
    <row r="9881" spans="14:14" ht="15" customHeight="1" x14ac:dyDescent="0.25">
      <c r="N9881" t="s">
        <v>1068</v>
      </c>
    </row>
    <row r="9882" spans="14:14" ht="15" customHeight="1" x14ac:dyDescent="0.25">
      <c r="N9882" t="s">
        <v>1116</v>
      </c>
    </row>
    <row r="9883" spans="14:14" ht="15" customHeight="1" x14ac:dyDescent="0.25">
      <c r="N9883" t="s">
        <v>1116</v>
      </c>
    </row>
    <row r="9884" spans="14:14" ht="15" customHeight="1" x14ac:dyDescent="0.25">
      <c r="N9884" t="s">
        <v>1116</v>
      </c>
    </row>
    <row r="9885" spans="14:14" ht="15" customHeight="1" x14ac:dyDescent="0.25">
      <c r="N9885" t="s">
        <v>1116</v>
      </c>
    </row>
    <row r="9886" spans="14:14" ht="15" customHeight="1" x14ac:dyDescent="0.25">
      <c r="N9886" t="s">
        <v>1116</v>
      </c>
    </row>
    <row r="9887" spans="14:14" ht="15" customHeight="1" x14ac:dyDescent="0.25">
      <c r="N9887" t="s">
        <v>1116</v>
      </c>
    </row>
    <row r="9888" spans="14:14" ht="15" customHeight="1" x14ac:dyDescent="0.25">
      <c r="N9888" t="s">
        <v>1087</v>
      </c>
    </row>
    <row r="9889" spans="14:14" ht="15" customHeight="1" x14ac:dyDescent="0.25">
      <c r="N9889" t="s">
        <v>1087</v>
      </c>
    </row>
    <row r="9890" spans="14:14" ht="15" customHeight="1" x14ac:dyDescent="0.25">
      <c r="N9890" t="s">
        <v>1070</v>
      </c>
    </row>
    <row r="9891" spans="14:14" ht="15" customHeight="1" x14ac:dyDescent="0.25">
      <c r="N9891" t="s">
        <v>1087</v>
      </c>
    </row>
    <row r="9892" spans="14:14" ht="15" customHeight="1" x14ac:dyDescent="0.25">
      <c r="N9892" t="s">
        <v>1087</v>
      </c>
    </row>
    <row r="9893" spans="14:14" ht="15" customHeight="1" x14ac:dyDescent="0.25">
      <c r="N9893" t="s">
        <v>1253</v>
      </c>
    </row>
    <row r="9894" spans="14:14" ht="15" customHeight="1" x14ac:dyDescent="0.25">
      <c r="N9894" t="s">
        <v>1241</v>
      </c>
    </row>
    <row r="9895" spans="14:14" ht="15" customHeight="1" x14ac:dyDescent="0.25">
      <c r="N9895" t="s">
        <v>1005</v>
      </c>
    </row>
    <row r="9896" spans="14:14" ht="15" customHeight="1" x14ac:dyDescent="0.25">
      <c r="N9896" t="s">
        <v>1144</v>
      </c>
    </row>
    <row r="9897" spans="14:14" ht="15" customHeight="1" x14ac:dyDescent="0.25">
      <c r="N9897" t="s">
        <v>1254</v>
      </c>
    </row>
    <row r="9898" spans="14:14" ht="15" customHeight="1" x14ac:dyDescent="0.25">
      <c r="N9898" t="s">
        <v>273</v>
      </c>
    </row>
    <row r="9899" spans="14:14" ht="15" customHeight="1" x14ac:dyDescent="0.25">
      <c r="N9899" t="s">
        <v>1004</v>
      </c>
    </row>
    <row r="9900" spans="14:14" ht="15" customHeight="1" x14ac:dyDescent="0.25">
      <c r="N9900" t="s">
        <v>1105</v>
      </c>
    </row>
    <row r="9901" spans="14:14" ht="15" customHeight="1" x14ac:dyDescent="0.25">
      <c r="N9901" t="s">
        <v>1105</v>
      </c>
    </row>
    <row r="9902" spans="14:14" ht="15" customHeight="1" x14ac:dyDescent="0.25">
      <c r="N9902" t="s">
        <v>1105</v>
      </c>
    </row>
    <row r="9903" spans="14:14" ht="15" customHeight="1" x14ac:dyDescent="0.25">
      <c r="N9903" t="s">
        <v>1105</v>
      </c>
    </row>
    <row r="9904" spans="14:14" ht="15" customHeight="1" x14ac:dyDescent="0.25">
      <c r="N9904" t="s">
        <v>1105</v>
      </c>
    </row>
    <row r="9905" spans="14:14" ht="15" customHeight="1" x14ac:dyDescent="0.25">
      <c r="N9905" t="s">
        <v>1105</v>
      </c>
    </row>
    <row r="9906" spans="14:14" ht="15" customHeight="1" x14ac:dyDescent="0.25">
      <c r="N9906" t="s">
        <v>1087</v>
      </c>
    </row>
    <row r="9907" spans="14:14" ht="15" customHeight="1" x14ac:dyDescent="0.25">
      <c r="N9907" t="s">
        <v>1214</v>
      </c>
    </row>
    <row r="9908" spans="14:14" ht="15" customHeight="1" x14ac:dyDescent="0.25">
      <c r="N9908" t="s">
        <v>1087</v>
      </c>
    </row>
    <row r="9909" spans="14:14" ht="15" customHeight="1" x14ac:dyDescent="0.25">
      <c r="N9909" t="s">
        <v>1087</v>
      </c>
    </row>
    <row r="9910" spans="14:14" ht="15" customHeight="1" x14ac:dyDescent="0.25">
      <c r="N9910" t="s">
        <v>1241</v>
      </c>
    </row>
    <row r="9911" spans="14:14" ht="15" customHeight="1" x14ac:dyDescent="0.25">
      <c r="N9911" t="s">
        <v>1241</v>
      </c>
    </row>
    <row r="9912" spans="14:14" ht="15" customHeight="1" x14ac:dyDescent="0.25">
      <c r="N9912" t="s">
        <v>1241</v>
      </c>
    </row>
    <row r="9913" spans="14:14" ht="15" customHeight="1" x14ac:dyDescent="0.25">
      <c r="N9913" t="s">
        <v>1256</v>
      </c>
    </row>
    <row r="9914" spans="14:14" ht="15" customHeight="1" x14ac:dyDescent="0.25">
      <c r="N9914" t="s">
        <v>1335</v>
      </c>
    </row>
    <row r="9915" spans="14:14" ht="15" customHeight="1" x14ac:dyDescent="0.25">
      <c r="N9915" t="s">
        <v>1257</v>
      </c>
    </row>
    <row r="9916" spans="14:14" ht="15" customHeight="1" x14ac:dyDescent="0.25">
      <c r="N9916" t="s">
        <v>1258</v>
      </c>
    </row>
    <row r="9917" spans="14:14" ht="15" customHeight="1" x14ac:dyDescent="0.25">
      <c r="N9917" t="s">
        <v>989</v>
      </c>
    </row>
    <row r="9918" spans="14:14" ht="15" customHeight="1" x14ac:dyDescent="0.25">
      <c r="N9918" t="s">
        <v>1072</v>
      </c>
    </row>
    <row r="9919" spans="14:14" ht="15" customHeight="1" x14ac:dyDescent="0.25">
      <c r="N9919" t="s">
        <v>1072</v>
      </c>
    </row>
    <row r="9920" spans="14:14" ht="15" customHeight="1" x14ac:dyDescent="0.25">
      <c r="N9920" t="s">
        <v>1072</v>
      </c>
    </row>
    <row r="9921" spans="14:14" ht="15" customHeight="1" x14ac:dyDescent="0.25">
      <c r="N9921" t="s">
        <v>1072</v>
      </c>
    </row>
    <row r="9922" spans="14:14" ht="15" customHeight="1" x14ac:dyDescent="0.25">
      <c r="N9922" t="s">
        <v>1072</v>
      </c>
    </row>
    <row r="9923" spans="14:14" ht="15" customHeight="1" x14ac:dyDescent="0.25">
      <c r="N9923" t="s">
        <v>1072</v>
      </c>
    </row>
    <row r="9924" spans="14:14" ht="15" customHeight="1" x14ac:dyDescent="0.25">
      <c r="N9924" t="s">
        <v>1087</v>
      </c>
    </row>
    <row r="9925" spans="14:14" ht="15" customHeight="1" x14ac:dyDescent="0.25">
      <c r="N9925" t="s">
        <v>1215</v>
      </c>
    </row>
    <row r="9926" spans="14:14" ht="15" customHeight="1" x14ac:dyDescent="0.25">
      <c r="N9926" t="s">
        <v>1241</v>
      </c>
    </row>
    <row r="9927" spans="14:14" ht="15" customHeight="1" x14ac:dyDescent="0.25">
      <c r="N9927" t="s">
        <v>1281</v>
      </c>
    </row>
    <row r="9928" spans="14:14" ht="15" customHeight="1" x14ac:dyDescent="0.25">
      <c r="N9928" t="s">
        <v>1335</v>
      </c>
    </row>
    <row r="9929" spans="14:14" ht="15" customHeight="1" x14ac:dyDescent="0.25">
      <c r="N9929" t="s">
        <v>1234</v>
      </c>
    </row>
    <row r="9930" spans="14:14" ht="15" customHeight="1" x14ac:dyDescent="0.25">
      <c r="N9930" t="s">
        <v>1260</v>
      </c>
    </row>
    <row r="9931" spans="14:14" ht="15" customHeight="1" x14ac:dyDescent="0.25">
      <c r="N9931" t="s">
        <v>245</v>
      </c>
    </row>
    <row r="9932" spans="14:14" ht="15" customHeight="1" x14ac:dyDescent="0.25">
      <c r="N9932" t="s">
        <v>1197</v>
      </c>
    </row>
    <row r="9933" spans="14:14" ht="15" customHeight="1" x14ac:dyDescent="0.25">
      <c r="N9933" t="s">
        <v>1187</v>
      </c>
    </row>
    <row r="9934" spans="14:14" ht="15" customHeight="1" x14ac:dyDescent="0.25">
      <c r="N9934" t="s">
        <v>1187</v>
      </c>
    </row>
    <row r="9935" spans="14:14" ht="15" customHeight="1" x14ac:dyDescent="0.25">
      <c r="N9935" t="s">
        <v>1187</v>
      </c>
    </row>
    <row r="9936" spans="14:14" ht="15" customHeight="1" x14ac:dyDescent="0.25">
      <c r="N9936" t="s">
        <v>1187</v>
      </c>
    </row>
    <row r="9937" spans="14:14" ht="15" customHeight="1" x14ac:dyDescent="0.25">
      <c r="N9937" t="s">
        <v>1187</v>
      </c>
    </row>
    <row r="9938" spans="14:14" ht="15" customHeight="1" x14ac:dyDescent="0.25">
      <c r="N9938" t="s">
        <v>1187</v>
      </c>
    </row>
    <row r="9939" spans="14:14" ht="15" customHeight="1" x14ac:dyDescent="0.25">
      <c r="N9939" t="s">
        <v>1068</v>
      </c>
    </row>
    <row r="9940" spans="14:14" ht="15" customHeight="1" x14ac:dyDescent="0.25">
      <c r="N9940" t="s">
        <v>294</v>
      </c>
    </row>
    <row r="9941" spans="14:14" ht="15" customHeight="1" x14ac:dyDescent="0.25">
      <c r="N9941" t="s">
        <v>1005</v>
      </c>
    </row>
    <row r="9942" spans="14:14" ht="15" customHeight="1" x14ac:dyDescent="0.25">
      <c r="N9942" t="s">
        <v>1005</v>
      </c>
    </row>
    <row r="9943" spans="14:14" ht="15" customHeight="1" x14ac:dyDescent="0.25">
      <c r="N9943" t="s">
        <v>1068</v>
      </c>
    </row>
    <row r="9944" spans="14:14" ht="15" customHeight="1" x14ac:dyDescent="0.25">
      <c r="N9944" t="s">
        <v>1087</v>
      </c>
    </row>
    <row r="9945" spans="14:14" ht="15" customHeight="1" x14ac:dyDescent="0.25">
      <c r="N9945" t="s">
        <v>1178</v>
      </c>
    </row>
    <row r="9946" spans="14:14" ht="15" customHeight="1" x14ac:dyDescent="0.25">
      <c r="N9946" t="s">
        <v>1178</v>
      </c>
    </row>
    <row r="9947" spans="14:14" ht="15" customHeight="1" x14ac:dyDescent="0.25">
      <c r="N9947" t="s">
        <v>1178</v>
      </c>
    </row>
    <row r="9948" spans="14:14" ht="15" customHeight="1" x14ac:dyDescent="0.25">
      <c r="N9948" t="s">
        <v>1178</v>
      </c>
    </row>
    <row r="9949" spans="14:14" ht="15" customHeight="1" x14ac:dyDescent="0.25">
      <c r="N9949" t="s">
        <v>1178</v>
      </c>
    </row>
    <row r="9950" spans="14:14" ht="15" customHeight="1" x14ac:dyDescent="0.25">
      <c r="N9950" t="s">
        <v>1178</v>
      </c>
    </row>
    <row r="9951" spans="14:14" ht="15" customHeight="1" x14ac:dyDescent="0.25">
      <c r="N9951" t="s">
        <v>203</v>
      </c>
    </row>
    <row r="9952" spans="14:14" ht="15" customHeight="1" x14ac:dyDescent="0.25">
      <c r="N9952" t="s">
        <v>1005</v>
      </c>
    </row>
    <row r="9953" spans="14:14" ht="15" customHeight="1" x14ac:dyDescent="0.25">
      <c r="N9953" t="s">
        <v>1087</v>
      </c>
    </row>
    <row r="9954" spans="14:14" ht="15" customHeight="1" x14ac:dyDescent="0.25">
      <c r="N9954" t="s">
        <v>1087</v>
      </c>
    </row>
    <row r="9955" spans="14:14" ht="15" customHeight="1" x14ac:dyDescent="0.25">
      <c r="N9955" t="s">
        <v>789</v>
      </c>
    </row>
    <row r="9956" spans="14:14" ht="15" customHeight="1" x14ac:dyDescent="0.25">
      <c r="N9956" t="s">
        <v>1109</v>
      </c>
    </row>
    <row r="9957" spans="14:14" ht="15" customHeight="1" x14ac:dyDescent="0.25">
      <c r="N9957" t="s">
        <v>1087</v>
      </c>
    </row>
    <row r="9958" spans="14:14" ht="15" customHeight="1" x14ac:dyDescent="0.25">
      <c r="N9958" t="s">
        <v>1250</v>
      </c>
    </row>
    <row r="9959" spans="14:14" ht="15" customHeight="1" x14ac:dyDescent="0.25">
      <c r="N9959" t="s">
        <v>1087</v>
      </c>
    </row>
    <row r="9960" spans="14:14" ht="15" customHeight="1" x14ac:dyDescent="0.25">
      <c r="N9960" t="s">
        <v>294</v>
      </c>
    </row>
    <row r="9961" spans="14:14" ht="15" customHeight="1" x14ac:dyDescent="0.25">
      <c r="N9961" t="s">
        <v>1109</v>
      </c>
    </row>
    <row r="9962" spans="14:14" ht="15" customHeight="1" x14ac:dyDescent="0.25">
      <c r="N9962" t="s">
        <v>1214</v>
      </c>
    </row>
    <row r="9963" spans="14:14" ht="15" customHeight="1" x14ac:dyDescent="0.25">
      <c r="N9963" t="s">
        <v>203</v>
      </c>
    </row>
    <row r="9964" spans="14:14" ht="15" customHeight="1" x14ac:dyDescent="0.25">
      <c r="N9964" t="s">
        <v>1262</v>
      </c>
    </row>
    <row r="9965" spans="14:14" ht="15" customHeight="1" x14ac:dyDescent="0.25">
      <c r="N9965" t="s">
        <v>231</v>
      </c>
    </row>
    <row r="9966" spans="14:14" ht="15" customHeight="1" x14ac:dyDescent="0.25">
      <c r="N9966" t="s">
        <v>203</v>
      </c>
    </row>
    <row r="9967" spans="14:14" ht="15" customHeight="1" x14ac:dyDescent="0.25">
      <c r="N9967" t="s">
        <v>1112</v>
      </c>
    </row>
    <row r="9968" spans="14:14" ht="15" customHeight="1" x14ac:dyDescent="0.25">
      <c r="N9968" t="s">
        <v>895</v>
      </c>
    </row>
    <row r="9969" spans="14:14" ht="15" customHeight="1" x14ac:dyDescent="0.25">
      <c r="N9969" t="s">
        <v>898</v>
      </c>
    </row>
    <row r="9970" spans="14:14" ht="15" customHeight="1" x14ac:dyDescent="0.25">
      <c r="N9970" t="s">
        <v>898</v>
      </c>
    </row>
    <row r="9971" spans="14:14" ht="15" customHeight="1" x14ac:dyDescent="0.25">
      <c r="N9971" t="s">
        <v>901</v>
      </c>
    </row>
    <row r="9972" spans="14:14" ht="15" customHeight="1" x14ac:dyDescent="0.25">
      <c r="N9972" t="s">
        <v>901</v>
      </c>
    </row>
    <row r="9973" spans="14:14" ht="15" customHeight="1" x14ac:dyDescent="0.25">
      <c r="N9973" t="s">
        <v>901</v>
      </c>
    </row>
    <row r="9974" spans="14:14" ht="15" customHeight="1" x14ac:dyDescent="0.25">
      <c r="N9974" t="s">
        <v>901</v>
      </c>
    </row>
    <row r="9975" spans="14:14" ht="15" customHeight="1" x14ac:dyDescent="0.25">
      <c r="N9975" t="s">
        <v>901</v>
      </c>
    </row>
    <row r="9976" spans="14:14" ht="15" customHeight="1" x14ac:dyDescent="0.25">
      <c r="N9976" t="s">
        <v>901</v>
      </c>
    </row>
    <row r="9977" spans="14:14" ht="15" customHeight="1" x14ac:dyDescent="0.25">
      <c r="N9977" t="s">
        <v>907</v>
      </c>
    </row>
    <row r="9978" spans="14:14" ht="15" customHeight="1" x14ac:dyDescent="0.25">
      <c r="N9978" t="s">
        <v>910</v>
      </c>
    </row>
    <row r="9979" spans="14:14" ht="15" customHeight="1" x14ac:dyDescent="0.25">
      <c r="N9979" t="s">
        <v>915</v>
      </c>
    </row>
    <row r="9980" spans="14:14" ht="15" customHeight="1" x14ac:dyDescent="0.25">
      <c r="N9980" t="s">
        <v>910</v>
      </c>
    </row>
    <row r="9981" spans="14:14" ht="15" customHeight="1" x14ac:dyDescent="0.25">
      <c r="N9981" t="s">
        <v>910</v>
      </c>
    </row>
    <row r="9982" spans="14:14" ht="15" customHeight="1" x14ac:dyDescent="0.25">
      <c r="N9982" t="s">
        <v>922</v>
      </c>
    </row>
    <row r="9983" spans="14:14" ht="15" customHeight="1" x14ac:dyDescent="0.25">
      <c r="N9983" t="s">
        <v>923</v>
      </c>
    </row>
    <row r="9984" spans="14:14" ht="15" customHeight="1" x14ac:dyDescent="0.25">
      <c r="N9984" t="s">
        <v>925</v>
      </c>
    </row>
    <row r="9985" spans="14:14" ht="15" customHeight="1" x14ac:dyDescent="0.25">
      <c r="N9985" t="s">
        <v>245</v>
      </c>
    </row>
    <row r="9986" spans="14:14" ht="15" customHeight="1" x14ac:dyDescent="0.25">
      <c r="N9986" t="s">
        <v>929</v>
      </c>
    </row>
    <row r="9987" spans="14:14" ht="15" customHeight="1" x14ac:dyDescent="0.25">
      <c r="N9987" t="s">
        <v>936</v>
      </c>
    </row>
    <row r="9988" spans="14:14" ht="15" customHeight="1" x14ac:dyDescent="0.25">
      <c r="N9988" t="s">
        <v>915</v>
      </c>
    </row>
    <row r="9989" spans="14:14" ht="15" customHeight="1" x14ac:dyDescent="0.25">
      <c r="N9989" t="s">
        <v>910</v>
      </c>
    </row>
    <row r="9990" spans="14:14" ht="15" customHeight="1" x14ac:dyDescent="0.25">
      <c r="N9990" t="s">
        <v>933</v>
      </c>
    </row>
    <row r="9991" spans="14:14" ht="15" customHeight="1" x14ac:dyDescent="0.25">
      <c r="N9991" t="s">
        <v>944</v>
      </c>
    </row>
    <row r="9992" spans="14:14" ht="15" customHeight="1" x14ac:dyDescent="0.25">
      <c r="N9992" t="s">
        <v>944</v>
      </c>
    </row>
    <row r="9993" spans="14:14" ht="15" customHeight="1" x14ac:dyDescent="0.25">
      <c r="N9993" t="s">
        <v>944</v>
      </c>
    </row>
    <row r="9994" spans="14:14" ht="15" customHeight="1" x14ac:dyDescent="0.25">
      <c r="N9994" t="s">
        <v>944</v>
      </c>
    </row>
    <row r="9995" spans="14:14" ht="15" customHeight="1" x14ac:dyDescent="0.25">
      <c r="N9995" t="s">
        <v>944</v>
      </c>
    </row>
    <row r="9996" spans="14:14" ht="15" customHeight="1" x14ac:dyDescent="0.25">
      <c r="N9996" t="s">
        <v>944</v>
      </c>
    </row>
    <row r="9997" spans="14:14" ht="15" customHeight="1" x14ac:dyDescent="0.25">
      <c r="N9997" t="s">
        <v>901</v>
      </c>
    </row>
    <row r="9998" spans="14:14" ht="15" customHeight="1" x14ac:dyDescent="0.25">
      <c r="N9998" t="s">
        <v>286</v>
      </c>
    </row>
    <row r="9999" spans="14:14" ht="15" customHeight="1" x14ac:dyDescent="0.25">
      <c r="N9999" t="s">
        <v>948</v>
      </c>
    </row>
    <row r="10000" spans="14:14" ht="15" customHeight="1" x14ac:dyDescent="0.25">
      <c r="N10000" t="s">
        <v>895</v>
      </c>
    </row>
    <row r="10001" spans="14:14" ht="15" customHeight="1" x14ac:dyDescent="0.25">
      <c r="N10001" t="s">
        <v>956</v>
      </c>
    </row>
    <row r="10002" spans="14:14" ht="15" customHeight="1" x14ac:dyDescent="0.25">
      <c r="N10002" t="s">
        <v>933</v>
      </c>
    </row>
    <row r="10003" spans="14:14" ht="15" customHeight="1" x14ac:dyDescent="0.25">
      <c r="N10003" t="s">
        <v>956</v>
      </c>
    </row>
    <row r="10004" spans="14:14" ht="15" customHeight="1" x14ac:dyDescent="0.25">
      <c r="N10004" t="s">
        <v>963</v>
      </c>
    </row>
    <row r="10005" spans="14:14" ht="15" customHeight="1" x14ac:dyDescent="0.25">
      <c r="N10005" t="s">
        <v>964</v>
      </c>
    </row>
    <row r="10006" spans="14:14" ht="15" customHeight="1" x14ac:dyDescent="0.25">
      <c r="N10006" t="s">
        <v>966</v>
      </c>
    </row>
    <row r="10007" spans="14:14" ht="15" customHeight="1" x14ac:dyDescent="0.25">
      <c r="N10007" t="s">
        <v>930</v>
      </c>
    </row>
    <row r="10008" spans="14:14" ht="15" customHeight="1" x14ac:dyDescent="0.25">
      <c r="N10008" t="s">
        <v>930</v>
      </c>
    </row>
    <row r="10009" spans="14:14" ht="15" customHeight="1" x14ac:dyDescent="0.25">
      <c r="N10009" t="s">
        <v>273</v>
      </c>
    </row>
    <row r="10010" spans="14:14" ht="15" customHeight="1" x14ac:dyDescent="0.25">
      <c r="N10010" t="s">
        <v>273</v>
      </c>
    </row>
    <row r="10011" spans="14:14" ht="15" customHeight="1" x14ac:dyDescent="0.25">
      <c r="N10011" t="s">
        <v>273</v>
      </c>
    </row>
    <row r="10012" spans="14:14" ht="15" customHeight="1" x14ac:dyDescent="0.25">
      <c r="N10012" t="s">
        <v>907</v>
      </c>
    </row>
    <row r="10013" spans="14:14" ht="15" customHeight="1" x14ac:dyDescent="0.25">
      <c r="N10013" t="s">
        <v>231</v>
      </c>
    </row>
    <row r="10014" spans="14:14" ht="15" customHeight="1" x14ac:dyDescent="0.25">
      <c r="N10014" t="s">
        <v>773</v>
      </c>
    </row>
    <row r="10015" spans="14:14" ht="15" customHeight="1" x14ac:dyDescent="0.25">
      <c r="N10015" t="s">
        <v>975</v>
      </c>
    </row>
    <row r="10016" spans="14:14" ht="15" customHeight="1" x14ac:dyDescent="0.25">
      <c r="N10016" t="s">
        <v>976</v>
      </c>
    </row>
    <row r="10017" spans="14:14" ht="15" customHeight="1" x14ac:dyDescent="0.25">
      <c r="N10017" t="s">
        <v>976</v>
      </c>
    </row>
    <row r="10018" spans="14:14" ht="15" customHeight="1" x14ac:dyDescent="0.25">
      <c r="N10018" t="s">
        <v>976</v>
      </c>
    </row>
    <row r="10019" spans="14:14" ht="15" customHeight="1" x14ac:dyDescent="0.25">
      <c r="N10019" t="s">
        <v>294</v>
      </c>
    </row>
    <row r="10020" spans="14:14" ht="15" customHeight="1" x14ac:dyDescent="0.25">
      <c r="N10020" t="s">
        <v>273</v>
      </c>
    </row>
    <row r="10021" spans="14:14" ht="15" customHeight="1" x14ac:dyDescent="0.25">
      <c r="N10021" t="s">
        <v>273</v>
      </c>
    </row>
    <row r="10022" spans="14:14" ht="15" customHeight="1" x14ac:dyDescent="0.25">
      <c r="N10022" t="s">
        <v>247</v>
      </c>
    </row>
    <row r="10023" spans="14:14" ht="15" customHeight="1" x14ac:dyDescent="0.25">
      <c r="N10023" t="s">
        <v>273</v>
      </c>
    </row>
    <row r="10024" spans="14:14" ht="15" customHeight="1" x14ac:dyDescent="0.25">
      <c r="N10024" t="s">
        <v>273</v>
      </c>
    </row>
    <row r="10025" spans="14:14" ht="15" customHeight="1" x14ac:dyDescent="0.25">
      <c r="N10025" t="s">
        <v>279</v>
      </c>
    </row>
    <row r="10026" spans="14:14" ht="15" customHeight="1" x14ac:dyDescent="0.25">
      <c r="N10026" t="s">
        <v>975</v>
      </c>
    </row>
    <row r="10027" spans="14:14" ht="15" customHeight="1" x14ac:dyDescent="0.25">
      <c r="N10027" t="s">
        <v>273</v>
      </c>
    </row>
    <row r="10028" spans="14:14" ht="15" customHeight="1" x14ac:dyDescent="0.25">
      <c r="N10028" t="s">
        <v>273</v>
      </c>
    </row>
    <row r="10029" spans="14:14" ht="15" customHeight="1" x14ac:dyDescent="0.25">
      <c r="N10029" t="s">
        <v>981</v>
      </c>
    </row>
    <row r="10030" spans="14:14" ht="15" customHeight="1" x14ac:dyDescent="0.25">
      <c r="N10030" t="s">
        <v>901</v>
      </c>
    </row>
    <row r="10031" spans="14:14" ht="15" customHeight="1" x14ac:dyDescent="0.25">
      <c r="N10031" t="s">
        <v>901</v>
      </c>
    </row>
    <row r="10032" spans="14:14" ht="15" customHeight="1" x14ac:dyDescent="0.25">
      <c r="N10032" t="s">
        <v>901</v>
      </c>
    </row>
    <row r="10033" spans="14:14" ht="15" customHeight="1" x14ac:dyDescent="0.25">
      <c r="N10033" t="s">
        <v>985</v>
      </c>
    </row>
    <row r="10034" spans="14:14" ht="15" customHeight="1" x14ac:dyDescent="0.25">
      <c r="N10034" t="s">
        <v>901</v>
      </c>
    </row>
    <row r="10035" spans="14:14" ht="15" customHeight="1" x14ac:dyDescent="0.25">
      <c r="N10035" t="s">
        <v>901</v>
      </c>
    </row>
    <row r="10036" spans="14:14" ht="15" customHeight="1" x14ac:dyDescent="0.25">
      <c r="N10036" t="s">
        <v>907</v>
      </c>
    </row>
    <row r="10037" spans="14:14" ht="15" customHeight="1" x14ac:dyDescent="0.25">
      <c r="N10037" t="s">
        <v>989</v>
      </c>
    </row>
    <row r="10038" spans="14:14" ht="15" customHeight="1" x14ac:dyDescent="0.25">
      <c r="N10038" t="s">
        <v>915</v>
      </c>
    </row>
    <row r="10039" spans="14:14" ht="15" customHeight="1" x14ac:dyDescent="0.25">
      <c r="N10039" t="s">
        <v>989</v>
      </c>
    </row>
    <row r="10040" spans="14:14" ht="15" customHeight="1" x14ac:dyDescent="0.25">
      <c r="N10040" t="s">
        <v>989</v>
      </c>
    </row>
    <row r="10041" spans="14:14" ht="15" customHeight="1" x14ac:dyDescent="0.25">
      <c r="N10041" t="s">
        <v>922</v>
      </c>
    </row>
    <row r="10042" spans="14:14" ht="15" customHeight="1" x14ac:dyDescent="0.25">
      <c r="N10042" t="s">
        <v>910</v>
      </c>
    </row>
    <row r="10043" spans="14:14" ht="15" customHeight="1" x14ac:dyDescent="0.25">
      <c r="N10043" t="s">
        <v>273</v>
      </c>
    </row>
    <row r="10044" spans="14:14" ht="15" customHeight="1" x14ac:dyDescent="0.25">
      <c r="N10044" t="s">
        <v>929</v>
      </c>
    </row>
    <row r="10045" spans="14:14" ht="15" customHeight="1" x14ac:dyDescent="0.25">
      <c r="N10045" t="s">
        <v>915</v>
      </c>
    </row>
    <row r="10046" spans="14:14" ht="15" customHeight="1" x14ac:dyDescent="0.25">
      <c r="N10046" t="s">
        <v>936</v>
      </c>
    </row>
    <row r="10047" spans="14:14" ht="15" customHeight="1" x14ac:dyDescent="0.25">
      <c r="N10047" t="s">
        <v>915</v>
      </c>
    </row>
    <row r="10048" spans="14:14" ht="15" customHeight="1" x14ac:dyDescent="0.25">
      <c r="N10048" t="s">
        <v>933</v>
      </c>
    </row>
    <row r="10049" spans="14:14" ht="15" customHeight="1" x14ac:dyDescent="0.25">
      <c r="N10049" t="s">
        <v>933</v>
      </c>
    </row>
    <row r="10050" spans="14:14" ht="15" customHeight="1" x14ac:dyDescent="0.25">
      <c r="N10050" t="s">
        <v>254</v>
      </c>
    </row>
    <row r="10051" spans="14:14" ht="15" customHeight="1" x14ac:dyDescent="0.25">
      <c r="N10051" t="s">
        <v>944</v>
      </c>
    </row>
    <row r="10052" spans="14:14" ht="15" customHeight="1" x14ac:dyDescent="0.25">
      <c r="N10052" t="s">
        <v>944</v>
      </c>
    </row>
    <row r="10053" spans="14:14" ht="15" customHeight="1" x14ac:dyDescent="0.25">
      <c r="N10053" t="s">
        <v>944</v>
      </c>
    </row>
    <row r="10054" spans="14:14" ht="15" customHeight="1" x14ac:dyDescent="0.25">
      <c r="N10054" t="s">
        <v>944</v>
      </c>
    </row>
    <row r="10055" spans="14:14" ht="15" customHeight="1" x14ac:dyDescent="0.25">
      <c r="N10055" t="s">
        <v>944</v>
      </c>
    </row>
    <row r="10056" spans="14:14" ht="15" customHeight="1" x14ac:dyDescent="0.25">
      <c r="N10056" t="s">
        <v>944</v>
      </c>
    </row>
    <row r="10057" spans="14:14" ht="15" customHeight="1" x14ac:dyDescent="0.25">
      <c r="N10057" t="s">
        <v>948</v>
      </c>
    </row>
    <row r="10058" spans="14:14" ht="15" customHeight="1" x14ac:dyDescent="0.25">
      <c r="N10058" t="s">
        <v>1012</v>
      </c>
    </row>
    <row r="10059" spans="14:14" ht="15" customHeight="1" x14ac:dyDescent="0.25">
      <c r="N10059" t="s">
        <v>930</v>
      </c>
    </row>
    <row r="10060" spans="14:14" ht="15" customHeight="1" x14ac:dyDescent="0.25">
      <c r="N10060" t="s">
        <v>1012</v>
      </c>
    </row>
    <row r="10061" spans="14:14" ht="15" customHeight="1" x14ac:dyDescent="0.25">
      <c r="N10061" t="s">
        <v>930</v>
      </c>
    </row>
    <row r="10062" spans="14:14" ht="15" customHeight="1" x14ac:dyDescent="0.25">
      <c r="N10062" t="s">
        <v>930</v>
      </c>
    </row>
    <row r="10063" spans="14:14" ht="15" customHeight="1" x14ac:dyDescent="0.25">
      <c r="N10063" t="s">
        <v>273</v>
      </c>
    </row>
    <row r="10064" spans="14:14" ht="15" customHeight="1" x14ac:dyDescent="0.25">
      <c r="N10064" t="s">
        <v>273</v>
      </c>
    </row>
    <row r="10065" spans="14:14" ht="15" customHeight="1" x14ac:dyDescent="0.25">
      <c r="N10065" t="s">
        <v>273</v>
      </c>
    </row>
    <row r="10066" spans="14:14" ht="15" customHeight="1" x14ac:dyDescent="0.25">
      <c r="N10066" t="s">
        <v>907</v>
      </c>
    </row>
    <row r="10067" spans="14:14" ht="15" customHeight="1" x14ac:dyDescent="0.25">
      <c r="N10067" t="s">
        <v>231</v>
      </c>
    </row>
    <row r="10068" spans="14:14" ht="15" customHeight="1" x14ac:dyDescent="0.25">
      <c r="N10068" t="s">
        <v>1022</v>
      </c>
    </row>
    <row r="10069" spans="14:14" ht="15" customHeight="1" x14ac:dyDescent="0.25">
      <c r="N10069" t="s">
        <v>217</v>
      </c>
    </row>
    <row r="10070" spans="14:14" ht="15" customHeight="1" x14ac:dyDescent="0.25">
      <c r="N10070" t="s">
        <v>217</v>
      </c>
    </row>
    <row r="10071" spans="14:14" ht="15" customHeight="1" x14ac:dyDescent="0.25">
      <c r="N10071" t="s">
        <v>247</v>
      </c>
    </row>
    <row r="10072" spans="14:14" ht="15" customHeight="1" x14ac:dyDescent="0.25">
      <c r="N10072" t="s">
        <v>890</v>
      </c>
    </row>
    <row r="10073" spans="14:14" ht="15" customHeight="1" x14ac:dyDescent="0.25">
      <c r="N10073" t="s">
        <v>302</v>
      </c>
    </row>
    <row r="10074" spans="14:14" ht="15" customHeight="1" x14ac:dyDescent="0.25">
      <c r="N10074" t="s">
        <v>302</v>
      </c>
    </row>
    <row r="10075" spans="14:14" ht="15" customHeight="1" x14ac:dyDescent="0.25">
      <c r="N10075" t="s">
        <v>249</v>
      </c>
    </row>
    <row r="10076" spans="14:14" ht="15" customHeight="1" x14ac:dyDescent="0.25">
      <c r="N10076" t="s">
        <v>273</v>
      </c>
    </row>
    <row r="10077" spans="14:14" ht="15" customHeight="1" x14ac:dyDescent="0.25">
      <c r="N10077" t="s">
        <v>789</v>
      </c>
    </row>
    <row r="10078" spans="14:14" ht="15" customHeight="1" x14ac:dyDescent="0.25">
      <c r="N10078" t="s">
        <v>273</v>
      </c>
    </row>
    <row r="10079" spans="14:14" ht="15" customHeight="1" x14ac:dyDescent="0.25">
      <c r="N10079" t="s">
        <v>273</v>
      </c>
    </row>
    <row r="10080" spans="14:14" ht="15" customHeight="1" x14ac:dyDescent="0.25">
      <c r="N10080" t="s">
        <v>910</v>
      </c>
    </row>
    <row r="10081" spans="14:14" ht="15" customHeight="1" x14ac:dyDescent="0.25">
      <c r="N10081" t="s">
        <v>910</v>
      </c>
    </row>
    <row r="10082" spans="14:14" ht="15" customHeight="1" x14ac:dyDescent="0.25">
      <c r="N10082" t="s">
        <v>910</v>
      </c>
    </row>
    <row r="10083" spans="14:14" ht="15" customHeight="1" x14ac:dyDescent="0.25">
      <c r="N10083" t="s">
        <v>910</v>
      </c>
    </row>
    <row r="10084" spans="14:14" ht="15" customHeight="1" x14ac:dyDescent="0.25">
      <c r="N10084" t="s">
        <v>910</v>
      </c>
    </row>
    <row r="10085" spans="14:14" ht="15" customHeight="1" x14ac:dyDescent="0.25">
      <c r="N10085" t="s">
        <v>910</v>
      </c>
    </row>
    <row r="10086" spans="14:14" ht="15" customHeight="1" x14ac:dyDescent="0.25">
      <c r="N10086" t="s">
        <v>910</v>
      </c>
    </row>
    <row r="10087" spans="14:14" ht="15" customHeight="1" x14ac:dyDescent="0.25">
      <c r="N10087" t="s">
        <v>910</v>
      </c>
    </row>
    <row r="10088" spans="14:14" ht="15" customHeight="1" x14ac:dyDescent="0.25">
      <c r="N10088" t="s">
        <v>910</v>
      </c>
    </row>
    <row r="10089" spans="14:14" ht="15" customHeight="1" x14ac:dyDescent="0.25">
      <c r="N10089" t="s">
        <v>910</v>
      </c>
    </row>
    <row r="10090" spans="14:14" ht="15" customHeight="1" x14ac:dyDescent="0.25">
      <c r="N10090" t="s">
        <v>1024</v>
      </c>
    </row>
    <row r="10091" spans="14:14" ht="15" customHeight="1" x14ac:dyDescent="0.25">
      <c r="N10091" t="s">
        <v>1024</v>
      </c>
    </row>
    <row r="10092" spans="14:14" ht="15" customHeight="1" x14ac:dyDescent="0.25">
      <c r="N10092" t="s">
        <v>934</v>
      </c>
    </row>
    <row r="10093" spans="14:14" ht="15" customHeight="1" x14ac:dyDescent="0.25">
      <c r="N10093" t="s">
        <v>901</v>
      </c>
    </row>
    <row r="10094" spans="14:14" ht="15" customHeight="1" x14ac:dyDescent="0.25">
      <c r="N10094" t="s">
        <v>901</v>
      </c>
    </row>
    <row r="10095" spans="14:14" ht="15" customHeight="1" x14ac:dyDescent="0.25">
      <c r="N10095" t="s">
        <v>901</v>
      </c>
    </row>
    <row r="10096" spans="14:14" ht="15" customHeight="1" x14ac:dyDescent="0.25">
      <c r="N10096" t="s">
        <v>901</v>
      </c>
    </row>
    <row r="10097" spans="14:14" ht="15" customHeight="1" x14ac:dyDescent="0.25">
      <c r="N10097" t="s">
        <v>901</v>
      </c>
    </row>
    <row r="10098" spans="14:14" ht="15" customHeight="1" x14ac:dyDescent="0.25">
      <c r="N10098" t="s">
        <v>1030</v>
      </c>
    </row>
    <row r="10099" spans="14:14" ht="15" customHeight="1" x14ac:dyDescent="0.25">
      <c r="N10099" t="s">
        <v>933</v>
      </c>
    </row>
    <row r="10100" spans="14:14" ht="15" customHeight="1" x14ac:dyDescent="0.25">
      <c r="N10100" t="s">
        <v>254</v>
      </c>
    </row>
    <row r="10101" spans="14:14" ht="15" customHeight="1" x14ac:dyDescent="0.25">
      <c r="N10101" t="s">
        <v>931</v>
      </c>
    </row>
    <row r="10102" spans="14:14" ht="15" customHeight="1" x14ac:dyDescent="0.25">
      <c r="N10102" t="s">
        <v>915</v>
      </c>
    </row>
    <row r="10103" spans="14:14" ht="15" customHeight="1" x14ac:dyDescent="0.25">
      <c r="N10103" t="s">
        <v>910</v>
      </c>
    </row>
    <row r="10104" spans="14:14" ht="15" customHeight="1" x14ac:dyDescent="0.25">
      <c r="N10104" t="s">
        <v>915</v>
      </c>
    </row>
    <row r="10105" spans="14:14" ht="15" customHeight="1" x14ac:dyDescent="0.25">
      <c r="N10105" t="s">
        <v>933</v>
      </c>
    </row>
    <row r="10106" spans="14:14" ht="15" customHeight="1" x14ac:dyDescent="0.25">
      <c r="N10106" t="s">
        <v>934</v>
      </c>
    </row>
    <row r="10107" spans="14:14" ht="15" customHeight="1" x14ac:dyDescent="0.25">
      <c r="N10107" t="s">
        <v>319</v>
      </c>
    </row>
    <row r="10108" spans="14:14" ht="15" customHeight="1" x14ac:dyDescent="0.25">
      <c r="N10108" t="s">
        <v>948</v>
      </c>
    </row>
    <row r="10109" spans="14:14" ht="15" customHeight="1" x14ac:dyDescent="0.25">
      <c r="N10109" t="s">
        <v>981</v>
      </c>
    </row>
    <row r="10110" spans="14:14" ht="15" customHeight="1" x14ac:dyDescent="0.25">
      <c r="N10110" t="s">
        <v>956</v>
      </c>
    </row>
    <row r="10111" spans="14:14" ht="15" customHeight="1" x14ac:dyDescent="0.25">
      <c r="N10111" t="s">
        <v>956</v>
      </c>
    </row>
    <row r="10112" spans="14:14" ht="15" customHeight="1" x14ac:dyDescent="0.25">
      <c r="N10112" t="s">
        <v>940</v>
      </c>
    </row>
    <row r="10113" spans="14:14" ht="15" customHeight="1" x14ac:dyDescent="0.25">
      <c r="N10113" t="s">
        <v>940</v>
      </c>
    </row>
    <row r="10114" spans="14:14" ht="15" customHeight="1" x14ac:dyDescent="0.25">
      <c r="N10114" t="s">
        <v>719</v>
      </c>
    </row>
    <row r="10115" spans="14:14" ht="15" customHeight="1" x14ac:dyDescent="0.25">
      <c r="N10115" t="s">
        <v>719</v>
      </c>
    </row>
    <row r="10116" spans="14:14" ht="15" customHeight="1" x14ac:dyDescent="0.25">
      <c r="N10116" t="s">
        <v>719</v>
      </c>
    </row>
    <row r="10117" spans="14:14" ht="15" customHeight="1" x14ac:dyDescent="0.25">
      <c r="N10117" t="s">
        <v>907</v>
      </c>
    </row>
    <row r="10118" spans="14:14" ht="15" customHeight="1" x14ac:dyDescent="0.25">
      <c r="N10118" t="s">
        <v>1059</v>
      </c>
    </row>
    <row r="10119" spans="14:14" ht="15" customHeight="1" x14ac:dyDescent="0.25">
      <c r="N10119" t="s">
        <v>319</v>
      </c>
    </row>
    <row r="10120" spans="14:14" ht="15" customHeight="1" x14ac:dyDescent="0.25">
      <c r="N10120" t="s">
        <v>773</v>
      </c>
    </row>
    <row r="10121" spans="14:14" ht="15" customHeight="1" x14ac:dyDescent="0.25">
      <c r="N10121" t="s">
        <v>286</v>
      </c>
    </row>
    <row r="10122" spans="14:14" ht="15" customHeight="1" x14ac:dyDescent="0.25">
      <c r="N10122" t="s">
        <v>254</v>
      </c>
    </row>
    <row r="10123" spans="14:14" ht="15" customHeight="1" x14ac:dyDescent="0.25">
      <c r="N10123" t="s">
        <v>1064</v>
      </c>
    </row>
    <row r="10124" spans="14:14" ht="15" customHeight="1" x14ac:dyDescent="0.25">
      <c r="N10124" t="s">
        <v>975</v>
      </c>
    </row>
    <row r="10125" spans="14:14" ht="15" customHeight="1" x14ac:dyDescent="0.25">
      <c r="N10125" t="s">
        <v>273</v>
      </c>
    </row>
    <row r="10126" spans="14:14" ht="15" customHeight="1" x14ac:dyDescent="0.25">
      <c r="N10126" t="s">
        <v>273</v>
      </c>
    </row>
    <row r="10127" spans="14:14" ht="15" customHeight="1" x14ac:dyDescent="0.25">
      <c r="N10127" t="s">
        <v>273</v>
      </c>
    </row>
    <row r="10128" spans="14:14" ht="15" customHeight="1" x14ac:dyDescent="0.25">
      <c r="N10128" t="s">
        <v>1030</v>
      </c>
    </row>
    <row r="10129" spans="14:14" ht="15" customHeight="1" x14ac:dyDescent="0.25">
      <c r="N10129" t="s">
        <v>1030</v>
      </c>
    </row>
    <row r="10130" spans="14:14" ht="15" customHeight="1" x14ac:dyDescent="0.25">
      <c r="N10130" t="s">
        <v>933</v>
      </c>
    </row>
    <row r="10131" spans="14:14" ht="15" customHeight="1" x14ac:dyDescent="0.25">
      <c r="N10131" t="s">
        <v>1069</v>
      </c>
    </row>
    <row r="10132" spans="14:14" ht="15" customHeight="1" x14ac:dyDescent="0.25">
      <c r="N10132" t="s">
        <v>909</v>
      </c>
    </row>
    <row r="10133" spans="14:14" ht="15" customHeight="1" x14ac:dyDescent="0.25">
      <c r="N10133" t="s">
        <v>909</v>
      </c>
    </row>
    <row r="10134" spans="14:14" ht="15" customHeight="1" x14ac:dyDescent="0.25">
      <c r="N10134" t="s">
        <v>967</v>
      </c>
    </row>
    <row r="10135" spans="14:14" ht="15" customHeight="1" x14ac:dyDescent="0.25">
      <c r="N10135" t="s">
        <v>904</v>
      </c>
    </row>
    <row r="10136" spans="14:14" ht="15" customHeight="1" x14ac:dyDescent="0.25">
      <c r="N10136" t="s">
        <v>904</v>
      </c>
    </row>
    <row r="10137" spans="14:14" ht="15" customHeight="1" x14ac:dyDescent="0.25">
      <c r="N10137" t="s">
        <v>923</v>
      </c>
    </row>
    <row r="10138" spans="14:14" ht="15" customHeight="1" x14ac:dyDescent="0.25">
      <c r="N10138" t="s">
        <v>934</v>
      </c>
    </row>
    <row r="10139" spans="14:14" ht="15" customHeight="1" x14ac:dyDescent="0.25">
      <c r="N10139" t="s">
        <v>319</v>
      </c>
    </row>
    <row r="10140" spans="14:14" ht="15" customHeight="1" x14ac:dyDescent="0.25">
      <c r="N10140" t="s">
        <v>929</v>
      </c>
    </row>
    <row r="10141" spans="14:14" ht="15" customHeight="1" x14ac:dyDescent="0.25">
      <c r="N10141" t="s">
        <v>989</v>
      </c>
    </row>
    <row r="10142" spans="14:14" ht="15" customHeight="1" x14ac:dyDescent="0.25">
      <c r="N10142" t="s">
        <v>1083</v>
      </c>
    </row>
    <row r="10143" spans="14:14" ht="15" customHeight="1" x14ac:dyDescent="0.25">
      <c r="N10143" t="s">
        <v>1084</v>
      </c>
    </row>
    <row r="10144" spans="14:14" ht="15" customHeight="1" x14ac:dyDescent="0.25">
      <c r="N10144" t="s">
        <v>1084</v>
      </c>
    </row>
    <row r="10145" spans="14:14" ht="15" customHeight="1" x14ac:dyDescent="0.25">
      <c r="N10145" t="s">
        <v>933</v>
      </c>
    </row>
    <row r="10146" spans="14:14" ht="15" customHeight="1" x14ac:dyDescent="0.25">
      <c r="N10146" t="s">
        <v>1042</v>
      </c>
    </row>
    <row r="10147" spans="14:14" ht="15" customHeight="1" x14ac:dyDescent="0.25">
      <c r="N10147" t="s">
        <v>944</v>
      </c>
    </row>
    <row r="10148" spans="14:14" ht="15" customHeight="1" x14ac:dyDescent="0.25">
      <c r="N10148" t="s">
        <v>944</v>
      </c>
    </row>
    <row r="10149" spans="14:14" ht="15" customHeight="1" x14ac:dyDescent="0.25">
      <c r="N10149" t="s">
        <v>944</v>
      </c>
    </row>
    <row r="10150" spans="14:14" ht="15" customHeight="1" x14ac:dyDescent="0.25">
      <c r="N10150" t="s">
        <v>944</v>
      </c>
    </row>
    <row r="10151" spans="14:14" ht="15" customHeight="1" x14ac:dyDescent="0.25">
      <c r="N10151" t="s">
        <v>944</v>
      </c>
    </row>
    <row r="10152" spans="14:14" ht="15" customHeight="1" x14ac:dyDescent="0.25">
      <c r="N10152" t="s">
        <v>944</v>
      </c>
    </row>
    <row r="10153" spans="14:14" ht="15" customHeight="1" x14ac:dyDescent="0.25">
      <c r="N10153" t="s">
        <v>901</v>
      </c>
    </row>
    <row r="10154" spans="14:14" ht="15" customHeight="1" x14ac:dyDescent="0.25">
      <c r="N10154" t="s">
        <v>1097</v>
      </c>
    </row>
    <row r="10155" spans="14:14" ht="15" customHeight="1" x14ac:dyDescent="0.25">
      <c r="N10155" t="s">
        <v>1098</v>
      </c>
    </row>
    <row r="10156" spans="14:14" ht="15" customHeight="1" x14ac:dyDescent="0.25">
      <c r="N10156" t="s">
        <v>1042</v>
      </c>
    </row>
    <row r="10157" spans="14:14" ht="15" customHeight="1" x14ac:dyDescent="0.25">
      <c r="N10157" t="s">
        <v>1012</v>
      </c>
    </row>
    <row r="10158" spans="14:14" ht="15" customHeight="1" x14ac:dyDescent="0.25">
      <c r="N10158" t="s">
        <v>967</v>
      </c>
    </row>
    <row r="10159" spans="14:14" ht="15" customHeight="1" x14ac:dyDescent="0.25">
      <c r="N10159" t="s">
        <v>1106</v>
      </c>
    </row>
    <row r="10160" spans="14:14" ht="15" customHeight="1" x14ac:dyDescent="0.25">
      <c r="N10160" t="s">
        <v>1106</v>
      </c>
    </row>
    <row r="10161" spans="14:14" ht="15" customHeight="1" x14ac:dyDescent="0.25">
      <c r="N10161" t="s">
        <v>334</v>
      </c>
    </row>
    <row r="10162" spans="14:14" ht="15" customHeight="1" x14ac:dyDescent="0.25">
      <c r="N10162" t="s">
        <v>933</v>
      </c>
    </row>
    <row r="10163" spans="14:14" ht="15" customHeight="1" x14ac:dyDescent="0.25">
      <c r="N10163" t="s">
        <v>909</v>
      </c>
    </row>
    <row r="10164" spans="14:14" ht="15" customHeight="1" x14ac:dyDescent="0.25">
      <c r="N10164" t="s">
        <v>909</v>
      </c>
    </row>
    <row r="10165" spans="14:14" ht="15" customHeight="1" x14ac:dyDescent="0.25">
      <c r="N10165" t="s">
        <v>254</v>
      </c>
    </row>
    <row r="10166" spans="14:14" ht="15" customHeight="1" x14ac:dyDescent="0.25">
      <c r="N10166" t="s">
        <v>254</v>
      </c>
    </row>
    <row r="10167" spans="14:14" ht="15" customHeight="1" x14ac:dyDescent="0.25">
      <c r="N10167" t="s">
        <v>254</v>
      </c>
    </row>
    <row r="10168" spans="14:14" ht="15" customHeight="1" x14ac:dyDescent="0.25">
      <c r="N10168" t="s">
        <v>907</v>
      </c>
    </row>
    <row r="10169" spans="14:14" ht="15" customHeight="1" x14ac:dyDescent="0.25">
      <c r="N10169" t="s">
        <v>371</v>
      </c>
    </row>
    <row r="10170" spans="14:14" ht="15" customHeight="1" x14ac:dyDescent="0.25">
      <c r="N10170" t="s">
        <v>254</v>
      </c>
    </row>
    <row r="10171" spans="14:14" ht="15" customHeight="1" x14ac:dyDescent="0.25">
      <c r="N10171" t="s">
        <v>254</v>
      </c>
    </row>
    <row r="10172" spans="14:14" ht="15" customHeight="1" x14ac:dyDescent="0.25">
      <c r="N10172" t="s">
        <v>254</v>
      </c>
    </row>
    <row r="10173" spans="14:14" ht="15" customHeight="1" x14ac:dyDescent="0.25">
      <c r="N10173" t="s">
        <v>273</v>
      </c>
    </row>
    <row r="10174" spans="14:14" ht="15" customHeight="1" x14ac:dyDescent="0.25">
      <c r="N10174" t="s">
        <v>286</v>
      </c>
    </row>
    <row r="10175" spans="14:14" ht="15" customHeight="1" x14ac:dyDescent="0.25">
      <c r="N10175" t="s">
        <v>273</v>
      </c>
    </row>
    <row r="10176" spans="14:14" ht="15" customHeight="1" x14ac:dyDescent="0.25">
      <c r="N10176" t="s">
        <v>273</v>
      </c>
    </row>
    <row r="10177" spans="14:14" ht="15" customHeight="1" x14ac:dyDescent="0.25">
      <c r="N10177" t="s">
        <v>1112</v>
      </c>
    </row>
    <row r="10178" spans="14:14" ht="15" customHeight="1" x14ac:dyDescent="0.25">
      <c r="N10178" t="s">
        <v>302</v>
      </c>
    </row>
    <row r="10179" spans="14:14" ht="15" customHeight="1" x14ac:dyDescent="0.25">
      <c r="N10179" t="s">
        <v>273</v>
      </c>
    </row>
    <row r="10180" spans="14:14" ht="15" customHeight="1" x14ac:dyDescent="0.25">
      <c r="N10180" t="s">
        <v>1331</v>
      </c>
    </row>
    <row r="10181" spans="14:14" ht="15" customHeight="1" x14ac:dyDescent="0.25">
      <c r="N10181" t="s">
        <v>895</v>
      </c>
    </row>
    <row r="10182" spans="14:14" ht="15" customHeight="1" x14ac:dyDescent="0.25">
      <c r="N10182" t="s">
        <v>912</v>
      </c>
    </row>
    <row r="10183" spans="14:14" ht="15" customHeight="1" x14ac:dyDescent="0.25">
      <c r="N10183" t="s">
        <v>912</v>
      </c>
    </row>
    <row r="10184" spans="14:14" ht="15" customHeight="1" x14ac:dyDescent="0.25">
      <c r="N10184" t="s">
        <v>1114</v>
      </c>
    </row>
    <row r="10185" spans="14:14" ht="15" customHeight="1" x14ac:dyDescent="0.25">
      <c r="N10185" t="s">
        <v>985</v>
      </c>
    </row>
    <row r="10186" spans="14:14" ht="15" customHeight="1" x14ac:dyDescent="0.25">
      <c r="N10186" t="s">
        <v>985</v>
      </c>
    </row>
    <row r="10187" spans="14:14" ht="15" customHeight="1" x14ac:dyDescent="0.25">
      <c r="N10187" t="s">
        <v>985</v>
      </c>
    </row>
    <row r="10188" spans="14:14" ht="15" customHeight="1" x14ac:dyDescent="0.25">
      <c r="N10188" t="s">
        <v>985</v>
      </c>
    </row>
    <row r="10189" spans="14:14" ht="15" customHeight="1" x14ac:dyDescent="0.25">
      <c r="N10189" t="s">
        <v>894</v>
      </c>
    </row>
    <row r="10190" spans="14:14" ht="15" customHeight="1" x14ac:dyDescent="0.25">
      <c r="N10190" t="s">
        <v>894</v>
      </c>
    </row>
    <row r="10191" spans="14:14" ht="15" customHeight="1" x14ac:dyDescent="0.25">
      <c r="N10191" t="s">
        <v>1106</v>
      </c>
    </row>
    <row r="10192" spans="14:14" ht="15" customHeight="1" x14ac:dyDescent="0.25">
      <c r="N10192" t="s">
        <v>1106</v>
      </c>
    </row>
    <row r="10193" spans="14:14" ht="15" customHeight="1" x14ac:dyDescent="0.25">
      <c r="N10193" t="s">
        <v>1119</v>
      </c>
    </row>
    <row r="10194" spans="14:14" ht="15" customHeight="1" x14ac:dyDescent="0.25">
      <c r="N10194" t="s">
        <v>915</v>
      </c>
    </row>
    <row r="10195" spans="14:14" ht="15" customHeight="1" x14ac:dyDescent="0.25">
      <c r="N10195" t="s">
        <v>1084</v>
      </c>
    </row>
    <row r="10196" spans="14:14" ht="15" customHeight="1" x14ac:dyDescent="0.25">
      <c r="N10196" t="s">
        <v>1084</v>
      </c>
    </row>
    <row r="10197" spans="14:14" ht="15" customHeight="1" x14ac:dyDescent="0.25">
      <c r="N10197" t="s">
        <v>1084</v>
      </c>
    </row>
    <row r="10198" spans="14:14" ht="15" customHeight="1" x14ac:dyDescent="0.25">
      <c r="N10198" t="s">
        <v>934</v>
      </c>
    </row>
    <row r="10199" spans="14:14" ht="15" customHeight="1" x14ac:dyDescent="0.25">
      <c r="N10199" t="s">
        <v>934</v>
      </c>
    </row>
    <row r="10200" spans="14:14" ht="15" customHeight="1" x14ac:dyDescent="0.25">
      <c r="N10200" t="s">
        <v>1125</v>
      </c>
    </row>
    <row r="10201" spans="14:14" ht="15" customHeight="1" x14ac:dyDescent="0.25">
      <c r="N10201" t="s">
        <v>1042</v>
      </c>
    </row>
    <row r="10202" spans="14:14" ht="15" customHeight="1" x14ac:dyDescent="0.25">
      <c r="N10202" t="s">
        <v>1079</v>
      </c>
    </row>
    <row r="10203" spans="14:14" ht="15" customHeight="1" x14ac:dyDescent="0.25">
      <c r="N10203" t="s">
        <v>1083</v>
      </c>
    </row>
    <row r="10204" spans="14:14" ht="15" customHeight="1" x14ac:dyDescent="0.25">
      <c r="N10204" t="s">
        <v>1083</v>
      </c>
    </row>
    <row r="10205" spans="14:14" ht="15" customHeight="1" x14ac:dyDescent="0.25">
      <c r="N10205" t="s">
        <v>1084</v>
      </c>
    </row>
    <row r="10206" spans="14:14" ht="15" customHeight="1" x14ac:dyDescent="0.25">
      <c r="N10206" t="s">
        <v>1084</v>
      </c>
    </row>
    <row r="10207" spans="14:14" ht="15" customHeight="1" x14ac:dyDescent="0.25">
      <c r="N10207" t="s">
        <v>897</v>
      </c>
    </row>
    <row r="10208" spans="14:14" ht="15" customHeight="1" x14ac:dyDescent="0.25">
      <c r="N10208" t="s">
        <v>933</v>
      </c>
    </row>
    <row r="10209" spans="14:14" ht="15" customHeight="1" x14ac:dyDescent="0.25">
      <c r="N10209" t="s">
        <v>998</v>
      </c>
    </row>
    <row r="10210" spans="14:14" ht="15" customHeight="1" x14ac:dyDescent="0.25">
      <c r="N10210" t="s">
        <v>1132</v>
      </c>
    </row>
    <row r="10211" spans="14:14" ht="15" customHeight="1" x14ac:dyDescent="0.25">
      <c r="N10211" t="s">
        <v>1132</v>
      </c>
    </row>
    <row r="10212" spans="14:14" ht="15" customHeight="1" x14ac:dyDescent="0.25">
      <c r="N10212" t="s">
        <v>1132</v>
      </c>
    </row>
    <row r="10213" spans="14:14" ht="15" customHeight="1" x14ac:dyDescent="0.25">
      <c r="N10213" t="s">
        <v>1132</v>
      </c>
    </row>
    <row r="10214" spans="14:14" ht="15" customHeight="1" x14ac:dyDescent="0.25">
      <c r="N10214" t="s">
        <v>1132</v>
      </c>
    </row>
    <row r="10215" spans="14:14" ht="15" customHeight="1" x14ac:dyDescent="0.25">
      <c r="N10215" t="s">
        <v>1132</v>
      </c>
    </row>
    <row r="10216" spans="14:14" ht="15" customHeight="1" x14ac:dyDescent="0.25">
      <c r="N10216" t="s">
        <v>933</v>
      </c>
    </row>
    <row r="10217" spans="14:14" ht="15" customHeight="1" x14ac:dyDescent="0.25">
      <c r="N10217" t="s">
        <v>254</v>
      </c>
    </row>
    <row r="10218" spans="14:14" ht="15" customHeight="1" x14ac:dyDescent="0.25">
      <c r="N10218" t="s">
        <v>1135</v>
      </c>
    </row>
    <row r="10219" spans="14:14" ht="15" customHeight="1" x14ac:dyDescent="0.25">
      <c r="N10219" t="s">
        <v>1138</v>
      </c>
    </row>
    <row r="10220" spans="14:14" ht="15" customHeight="1" x14ac:dyDescent="0.25">
      <c r="N10220" t="s">
        <v>904</v>
      </c>
    </row>
    <row r="10221" spans="14:14" ht="15" customHeight="1" x14ac:dyDescent="0.25">
      <c r="N10221" t="s">
        <v>1068</v>
      </c>
    </row>
    <row r="10222" spans="14:14" ht="15" customHeight="1" x14ac:dyDescent="0.25">
      <c r="N10222" t="s">
        <v>1097</v>
      </c>
    </row>
    <row r="10223" spans="14:14" ht="15" customHeight="1" x14ac:dyDescent="0.25">
      <c r="N10223" t="s">
        <v>967</v>
      </c>
    </row>
    <row r="10224" spans="14:14" ht="15" customHeight="1" x14ac:dyDescent="0.25">
      <c r="N10224" t="s">
        <v>1146</v>
      </c>
    </row>
    <row r="10225" spans="14:14" ht="15" customHeight="1" x14ac:dyDescent="0.25">
      <c r="N10225" t="s">
        <v>1146</v>
      </c>
    </row>
    <row r="10226" spans="14:14" ht="15" customHeight="1" x14ac:dyDescent="0.25">
      <c r="N10226" t="s">
        <v>1147</v>
      </c>
    </row>
    <row r="10227" spans="14:14" ht="15" customHeight="1" x14ac:dyDescent="0.25">
      <c r="N10227" t="s">
        <v>934</v>
      </c>
    </row>
    <row r="10228" spans="14:14" ht="15" customHeight="1" x14ac:dyDescent="0.25">
      <c r="N10228" t="s">
        <v>1068</v>
      </c>
    </row>
    <row r="10229" spans="14:14" ht="15" customHeight="1" x14ac:dyDescent="0.25">
      <c r="N10229" t="s">
        <v>1068</v>
      </c>
    </row>
    <row r="10230" spans="14:14" ht="15" customHeight="1" x14ac:dyDescent="0.25">
      <c r="N10230" t="s">
        <v>998</v>
      </c>
    </row>
    <row r="10231" spans="14:14" ht="15" customHeight="1" x14ac:dyDescent="0.25">
      <c r="N10231" t="s">
        <v>319</v>
      </c>
    </row>
    <row r="10232" spans="14:14" ht="15" customHeight="1" x14ac:dyDescent="0.25">
      <c r="N10232" t="s">
        <v>319</v>
      </c>
    </row>
    <row r="10233" spans="14:14" ht="15" customHeight="1" x14ac:dyDescent="0.25">
      <c r="N10233" t="s">
        <v>319</v>
      </c>
    </row>
    <row r="10234" spans="14:14" ht="15" customHeight="1" x14ac:dyDescent="0.25">
      <c r="N10234" t="s">
        <v>319</v>
      </c>
    </row>
    <row r="10235" spans="14:14" ht="15" customHeight="1" x14ac:dyDescent="0.25">
      <c r="N10235" t="s">
        <v>286</v>
      </c>
    </row>
    <row r="10236" spans="14:14" ht="15" customHeight="1" x14ac:dyDescent="0.25">
      <c r="N10236" t="s">
        <v>286</v>
      </c>
    </row>
    <row r="10237" spans="14:14" ht="15" customHeight="1" x14ac:dyDescent="0.25">
      <c r="N10237" t="s">
        <v>334</v>
      </c>
    </row>
    <row r="10238" spans="14:14" ht="15" customHeight="1" x14ac:dyDescent="0.25">
      <c r="N10238" t="s">
        <v>298</v>
      </c>
    </row>
    <row r="10239" spans="14:14" ht="15" customHeight="1" x14ac:dyDescent="0.25">
      <c r="N10239" t="s">
        <v>254</v>
      </c>
    </row>
    <row r="10240" spans="14:14" ht="15" customHeight="1" x14ac:dyDescent="0.25">
      <c r="N10240" t="s">
        <v>1154</v>
      </c>
    </row>
    <row r="10241" spans="14:14" ht="15" customHeight="1" x14ac:dyDescent="0.25">
      <c r="N10241" t="s">
        <v>1154</v>
      </c>
    </row>
    <row r="10242" spans="14:14" ht="15" customHeight="1" x14ac:dyDescent="0.25">
      <c r="N10242" t="s">
        <v>279</v>
      </c>
    </row>
    <row r="10243" spans="14:14" ht="15" customHeight="1" x14ac:dyDescent="0.25">
      <c r="N10243" t="s">
        <v>334</v>
      </c>
    </row>
    <row r="10244" spans="14:14" ht="15" customHeight="1" x14ac:dyDescent="0.25">
      <c r="N10244" t="s">
        <v>1024</v>
      </c>
    </row>
    <row r="10245" spans="14:14" ht="15" customHeight="1" x14ac:dyDescent="0.25">
      <c r="N10245" t="s">
        <v>1024</v>
      </c>
    </row>
    <row r="10246" spans="14:14" ht="15" customHeight="1" x14ac:dyDescent="0.25">
      <c r="N10246" t="s">
        <v>1106</v>
      </c>
    </row>
    <row r="10247" spans="14:14" ht="15" customHeight="1" x14ac:dyDescent="0.25">
      <c r="N10247" t="s">
        <v>985</v>
      </c>
    </row>
    <row r="10248" spans="14:14" ht="15" customHeight="1" x14ac:dyDescent="0.25">
      <c r="N10248" t="s">
        <v>985</v>
      </c>
    </row>
    <row r="10249" spans="14:14" ht="15" customHeight="1" x14ac:dyDescent="0.25">
      <c r="N10249" t="s">
        <v>985</v>
      </c>
    </row>
    <row r="10250" spans="14:14" ht="15" customHeight="1" x14ac:dyDescent="0.25">
      <c r="N10250" t="s">
        <v>985</v>
      </c>
    </row>
    <row r="10251" spans="14:14" ht="15" customHeight="1" x14ac:dyDescent="0.25">
      <c r="N10251" t="s">
        <v>1030</v>
      </c>
    </row>
    <row r="10252" spans="14:14" ht="15" customHeight="1" x14ac:dyDescent="0.25">
      <c r="N10252" t="s">
        <v>1030</v>
      </c>
    </row>
    <row r="10253" spans="14:14" ht="15" customHeight="1" x14ac:dyDescent="0.25">
      <c r="N10253" t="s">
        <v>1030</v>
      </c>
    </row>
    <row r="10254" spans="14:14" ht="15" customHeight="1" x14ac:dyDescent="0.25">
      <c r="N10254" t="s">
        <v>1163</v>
      </c>
    </row>
    <row r="10255" spans="14:14" ht="15" customHeight="1" x14ac:dyDescent="0.25">
      <c r="N10255" t="s">
        <v>1163</v>
      </c>
    </row>
    <row r="10256" spans="14:14" ht="15" customHeight="1" x14ac:dyDescent="0.25">
      <c r="N10256" t="s">
        <v>1163</v>
      </c>
    </row>
    <row r="10257" spans="14:14" ht="15" customHeight="1" x14ac:dyDescent="0.25">
      <c r="N10257" t="s">
        <v>1166</v>
      </c>
    </row>
    <row r="10258" spans="14:14" ht="15" customHeight="1" x14ac:dyDescent="0.25">
      <c r="N10258" t="s">
        <v>1166</v>
      </c>
    </row>
    <row r="10259" spans="14:14" ht="15" customHeight="1" x14ac:dyDescent="0.25">
      <c r="N10259" t="s">
        <v>904</v>
      </c>
    </row>
    <row r="10260" spans="14:14" ht="15" customHeight="1" x14ac:dyDescent="0.25">
      <c r="N10260" t="s">
        <v>1083</v>
      </c>
    </row>
    <row r="10261" spans="14:14" ht="15" customHeight="1" x14ac:dyDescent="0.25">
      <c r="N10261" t="s">
        <v>894</v>
      </c>
    </row>
    <row r="10262" spans="14:14" ht="15" customHeight="1" x14ac:dyDescent="0.25">
      <c r="N10262" t="s">
        <v>933</v>
      </c>
    </row>
    <row r="10263" spans="14:14" ht="15" customHeight="1" x14ac:dyDescent="0.25">
      <c r="N10263" t="s">
        <v>1132</v>
      </c>
    </row>
    <row r="10264" spans="14:14" ht="15" customHeight="1" x14ac:dyDescent="0.25">
      <c r="N10264" t="s">
        <v>1132</v>
      </c>
    </row>
    <row r="10265" spans="14:14" ht="15" customHeight="1" x14ac:dyDescent="0.25">
      <c r="N10265" t="s">
        <v>1132</v>
      </c>
    </row>
    <row r="10266" spans="14:14" ht="15" customHeight="1" x14ac:dyDescent="0.25">
      <c r="N10266" t="s">
        <v>1132</v>
      </c>
    </row>
    <row r="10267" spans="14:14" ht="15" customHeight="1" x14ac:dyDescent="0.25">
      <c r="N10267" t="s">
        <v>1132</v>
      </c>
    </row>
    <row r="10268" spans="14:14" ht="15" customHeight="1" x14ac:dyDescent="0.25">
      <c r="N10268" t="s">
        <v>1132</v>
      </c>
    </row>
    <row r="10269" spans="14:14" ht="15" customHeight="1" x14ac:dyDescent="0.25">
      <c r="N10269" t="s">
        <v>901</v>
      </c>
    </row>
    <row r="10270" spans="14:14" ht="15" customHeight="1" x14ac:dyDescent="0.25">
      <c r="N10270" t="s">
        <v>286</v>
      </c>
    </row>
    <row r="10271" spans="14:14" ht="15" customHeight="1" x14ac:dyDescent="0.25">
      <c r="N10271" t="s">
        <v>1135</v>
      </c>
    </row>
    <row r="10272" spans="14:14" ht="15" customHeight="1" x14ac:dyDescent="0.25">
      <c r="N10272" t="s">
        <v>934</v>
      </c>
    </row>
    <row r="10273" spans="14:14" ht="15" customHeight="1" x14ac:dyDescent="0.25">
      <c r="N10273" t="s">
        <v>1138</v>
      </c>
    </row>
    <row r="10274" spans="14:14" ht="15" customHeight="1" x14ac:dyDescent="0.25">
      <c r="N10274" t="s">
        <v>1181</v>
      </c>
    </row>
    <row r="10275" spans="14:14" ht="15" customHeight="1" x14ac:dyDescent="0.25">
      <c r="N10275" t="s">
        <v>1181</v>
      </c>
    </row>
    <row r="10276" spans="14:14" ht="15" customHeight="1" x14ac:dyDescent="0.25">
      <c r="N10276" t="s">
        <v>1182</v>
      </c>
    </row>
    <row r="10277" spans="14:14" ht="15" customHeight="1" x14ac:dyDescent="0.25">
      <c r="N10277" t="s">
        <v>1125</v>
      </c>
    </row>
    <row r="10278" spans="14:14" ht="15" customHeight="1" x14ac:dyDescent="0.25">
      <c r="N10278" t="s">
        <v>988</v>
      </c>
    </row>
    <row r="10279" spans="14:14" ht="15" customHeight="1" x14ac:dyDescent="0.25">
      <c r="N10279" t="s">
        <v>988</v>
      </c>
    </row>
    <row r="10280" spans="14:14" ht="15" customHeight="1" x14ac:dyDescent="0.25">
      <c r="N10280" t="s">
        <v>1042</v>
      </c>
    </row>
    <row r="10281" spans="14:14" ht="15" customHeight="1" x14ac:dyDescent="0.25">
      <c r="N10281" t="s">
        <v>249</v>
      </c>
    </row>
    <row r="10282" spans="14:14" ht="15" customHeight="1" x14ac:dyDescent="0.25">
      <c r="N10282" t="s">
        <v>249</v>
      </c>
    </row>
    <row r="10283" spans="14:14" ht="15" customHeight="1" x14ac:dyDescent="0.25">
      <c r="N10283" t="s">
        <v>249</v>
      </c>
    </row>
    <row r="10284" spans="14:14" ht="15" customHeight="1" x14ac:dyDescent="0.25">
      <c r="N10284" t="s">
        <v>249</v>
      </c>
    </row>
    <row r="10285" spans="14:14" ht="15" customHeight="1" x14ac:dyDescent="0.25">
      <c r="N10285" t="s">
        <v>1185</v>
      </c>
    </row>
    <row r="10286" spans="14:14" ht="15" customHeight="1" x14ac:dyDescent="0.25">
      <c r="N10286" t="s">
        <v>1185</v>
      </c>
    </row>
    <row r="10287" spans="14:14" ht="15" customHeight="1" x14ac:dyDescent="0.25">
      <c r="N10287" t="s">
        <v>773</v>
      </c>
    </row>
    <row r="10288" spans="14:14" ht="15" customHeight="1" x14ac:dyDescent="0.25">
      <c r="N10288" t="s">
        <v>773</v>
      </c>
    </row>
    <row r="10289" spans="14:14" ht="15" customHeight="1" x14ac:dyDescent="0.25">
      <c r="N10289" t="s">
        <v>773</v>
      </c>
    </row>
    <row r="10290" spans="14:14" ht="15" customHeight="1" x14ac:dyDescent="0.25">
      <c r="N10290" t="s">
        <v>773</v>
      </c>
    </row>
    <row r="10291" spans="14:14" ht="15" customHeight="1" x14ac:dyDescent="0.25">
      <c r="N10291" t="s">
        <v>286</v>
      </c>
    </row>
    <row r="10292" spans="14:14" ht="15" customHeight="1" x14ac:dyDescent="0.25">
      <c r="N10292" t="s">
        <v>302</v>
      </c>
    </row>
    <row r="10293" spans="14:14" ht="15" customHeight="1" x14ac:dyDescent="0.25">
      <c r="N10293" t="s">
        <v>1334</v>
      </c>
    </row>
    <row r="10294" spans="14:14" ht="15" customHeight="1" x14ac:dyDescent="0.25">
      <c r="N10294" t="s">
        <v>279</v>
      </c>
    </row>
    <row r="10295" spans="14:14" ht="15" customHeight="1" x14ac:dyDescent="0.25">
      <c r="N10295" t="s">
        <v>1069</v>
      </c>
    </row>
    <row r="10296" spans="14:14" ht="15" customHeight="1" x14ac:dyDescent="0.25">
      <c r="N10296" t="s">
        <v>1069</v>
      </c>
    </row>
    <row r="10297" spans="14:14" ht="15" customHeight="1" x14ac:dyDescent="0.25">
      <c r="N10297" t="s">
        <v>998</v>
      </c>
    </row>
    <row r="10298" spans="14:14" ht="15" customHeight="1" x14ac:dyDescent="0.25">
      <c r="N10298" t="s">
        <v>1069</v>
      </c>
    </row>
    <row r="10299" spans="14:14" ht="15" customHeight="1" x14ac:dyDescent="0.25">
      <c r="N10299" t="s">
        <v>988</v>
      </c>
    </row>
    <row r="10300" spans="14:14" ht="15" customHeight="1" x14ac:dyDescent="0.25">
      <c r="N10300" t="s">
        <v>988</v>
      </c>
    </row>
    <row r="10301" spans="14:14" ht="15" customHeight="1" x14ac:dyDescent="0.25">
      <c r="N10301" t="s">
        <v>1188</v>
      </c>
    </row>
    <row r="10302" spans="14:14" ht="15" customHeight="1" x14ac:dyDescent="0.25">
      <c r="N10302" t="s">
        <v>1188</v>
      </c>
    </row>
    <row r="10303" spans="14:14" ht="15" customHeight="1" x14ac:dyDescent="0.25">
      <c r="N10303" t="s">
        <v>1106</v>
      </c>
    </row>
    <row r="10304" spans="14:14" ht="15" customHeight="1" x14ac:dyDescent="0.25">
      <c r="N10304" t="s">
        <v>1106</v>
      </c>
    </row>
    <row r="10305" spans="14:14" ht="15" customHeight="1" x14ac:dyDescent="0.25">
      <c r="N10305" t="s">
        <v>1106</v>
      </c>
    </row>
    <row r="10306" spans="14:14" ht="15" customHeight="1" x14ac:dyDescent="0.25">
      <c r="N10306" t="s">
        <v>1106</v>
      </c>
    </row>
    <row r="10307" spans="14:14" ht="15" customHeight="1" x14ac:dyDescent="0.25">
      <c r="N10307" t="s">
        <v>1106</v>
      </c>
    </row>
    <row r="10308" spans="14:14" ht="15" customHeight="1" x14ac:dyDescent="0.25">
      <c r="N10308" t="s">
        <v>1106</v>
      </c>
    </row>
    <row r="10309" spans="14:14" ht="15" customHeight="1" x14ac:dyDescent="0.25">
      <c r="N10309" t="s">
        <v>1106</v>
      </c>
    </row>
    <row r="10310" spans="14:14" ht="15" customHeight="1" x14ac:dyDescent="0.25">
      <c r="N10310" t="s">
        <v>1106</v>
      </c>
    </row>
    <row r="10311" spans="14:14" ht="15" customHeight="1" x14ac:dyDescent="0.25">
      <c r="N10311" t="s">
        <v>1119</v>
      </c>
    </row>
    <row r="10312" spans="14:14" ht="15" customHeight="1" x14ac:dyDescent="0.25">
      <c r="N10312" t="s">
        <v>1191</v>
      </c>
    </row>
    <row r="10313" spans="14:14" ht="15" customHeight="1" x14ac:dyDescent="0.25">
      <c r="N10313" t="s">
        <v>1191</v>
      </c>
    </row>
    <row r="10314" spans="14:14" ht="15" customHeight="1" x14ac:dyDescent="0.25">
      <c r="N10314" t="s">
        <v>998</v>
      </c>
    </row>
    <row r="10315" spans="14:14" ht="15" customHeight="1" x14ac:dyDescent="0.25">
      <c r="N10315" t="s">
        <v>998</v>
      </c>
    </row>
    <row r="10316" spans="14:14" ht="15" customHeight="1" x14ac:dyDescent="0.25">
      <c r="N10316" t="s">
        <v>934</v>
      </c>
    </row>
    <row r="10317" spans="14:14" ht="15" customHeight="1" x14ac:dyDescent="0.25">
      <c r="N10317" t="s">
        <v>1195</v>
      </c>
    </row>
    <row r="10318" spans="14:14" ht="15" customHeight="1" x14ac:dyDescent="0.25">
      <c r="N10318" t="s">
        <v>1042</v>
      </c>
    </row>
    <row r="10319" spans="14:14" ht="15" customHeight="1" x14ac:dyDescent="0.25">
      <c r="N10319" t="s">
        <v>1135</v>
      </c>
    </row>
    <row r="10320" spans="14:14" ht="15" customHeight="1" x14ac:dyDescent="0.25">
      <c r="N10320" t="s">
        <v>933</v>
      </c>
    </row>
    <row r="10321" spans="14:14" ht="15" customHeight="1" x14ac:dyDescent="0.25">
      <c r="N10321" t="s">
        <v>904</v>
      </c>
    </row>
    <row r="10322" spans="14:14" ht="15" customHeight="1" x14ac:dyDescent="0.25">
      <c r="N10322" t="s">
        <v>904</v>
      </c>
    </row>
    <row r="10323" spans="14:14" ht="15" customHeight="1" x14ac:dyDescent="0.25">
      <c r="N10323" t="s">
        <v>249</v>
      </c>
    </row>
    <row r="10324" spans="14:14" ht="15" customHeight="1" x14ac:dyDescent="0.25">
      <c r="N10324" t="s">
        <v>1205</v>
      </c>
    </row>
    <row r="10325" spans="14:14" ht="15" customHeight="1" x14ac:dyDescent="0.25">
      <c r="N10325" t="s">
        <v>1147</v>
      </c>
    </row>
    <row r="10326" spans="14:14" ht="15" customHeight="1" x14ac:dyDescent="0.25">
      <c r="N10326" t="s">
        <v>254</v>
      </c>
    </row>
    <row r="10327" spans="14:14" ht="15" customHeight="1" x14ac:dyDescent="0.25">
      <c r="N10327" t="s">
        <v>254</v>
      </c>
    </row>
    <row r="10328" spans="14:14" ht="15" customHeight="1" x14ac:dyDescent="0.25">
      <c r="N10328" t="s">
        <v>254</v>
      </c>
    </row>
    <row r="10329" spans="14:14" ht="15" customHeight="1" x14ac:dyDescent="0.25">
      <c r="N10329" t="s">
        <v>1208</v>
      </c>
    </row>
    <row r="10330" spans="14:14" ht="15" customHeight="1" x14ac:dyDescent="0.25">
      <c r="N10330" t="s">
        <v>480</v>
      </c>
    </row>
    <row r="10331" spans="14:14" ht="15" customHeight="1" x14ac:dyDescent="0.25">
      <c r="N10331" t="s">
        <v>1209</v>
      </c>
    </row>
    <row r="10332" spans="14:14" ht="15" customHeight="1" x14ac:dyDescent="0.25">
      <c r="N10332" t="s">
        <v>480</v>
      </c>
    </row>
    <row r="10333" spans="14:14" ht="15" customHeight="1" x14ac:dyDescent="0.25">
      <c r="N10333" t="s">
        <v>777</v>
      </c>
    </row>
    <row r="10334" spans="14:14" ht="15" customHeight="1" x14ac:dyDescent="0.25">
      <c r="N10334" t="s">
        <v>1209</v>
      </c>
    </row>
    <row r="10335" spans="14:14" ht="15" customHeight="1" x14ac:dyDescent="0.25">
      <c r="N10335" t="s">
        <v>254</v>
      </c>
    </row>
    <row r="10336" spans="14:14" ht="15" customHeight="1" x14ac:dyDescent="0.25">
      <c r="N10336" t="s">
        <v>885</v>
      </c>
    </row>
    <row r="10337" spans="14:14" ht="15" customHeight="1" x14ac:dyDescent="0.25">
      <c r="N10337" t="s">
        <v>273</v>
      </c>
    </row>
    <row r="10338" spans="14:14" ht="15" customHeight="1" x14ac:dyDescent="0.25">
      <c r="N10338" t="s">
        <v>273</v>
      </c>
    </row>
    <row r="10339" spans="14:14" ht="15" customHeight="1" x14ac:dyDescent="0.25">
      <c r="N10339" t="s">
        <v>279</v>
      </c>
    </row>
    <row r="10340" spans="14:14" ht="15" customHeight="1" x14ac:dyDescent="0.25">
      <c r="N10340" t="s">
        <v>1042</v>
      </c>
    </row>
    <row r="10341" spans="14:14" ht="15" customHeight="1" x14ac:dyDescent="0.25">
      <c r="N10341" t="s">
        <v>904</v>
      </c>
    </row>
    <row r="10342" spans="14:14" ht="15" customHeight="1" x14ac:dyDescent="0.25">
      <c r="N10342" t="s">
        <v>904</v>
      </c>
    </row>
    <row r="10343" spans="14:14" ht="15" customHeight="1" x14ac:dyDescent="0.25">
      <c r="N10343" t="s">
        <v>1069</v>
      </c>
    </row>
    <row r="10344" spans="14:14" ht="15" customHeight="1" x14ac:dyDescent="0.25">
      <c r="N10344" t="s">
        <v>1069</v>
      </c>
    </row>
    <row r="10345" spans="14:14" ht="15" customHeight="1" x14ac:dyDescent="0.25">
      <c r="N10345" t="s">
        <v>1188</v>
      </c>
    </row>
    <row r="10346" spans="14:14" ht="15" customHeight="1" x14ac:dyDescent="0.25">
      <c r="N10346" t="s">
        <v>1188</v>
      </c>
    </row>
    <row r="10347" spans="14:14" ht="15" customHeight="1" x14ac:dyDescent="0.25">
      <c r="N10347" t="s">
        <v>1188</v>
      </c>
    </row>
    <row r="10348" spans="14:14" ht="15" customHeight="1" x14ac:dyDescent="0.25">
      <c r="N10348" t="s">
        <v>1188</v>
      </c>
    </row>
    <row r="10349" spans="14:14" ht="15" customHeight="1" x14ac:dyDescent="0.25">
      <c r="N10349" t="s">
        <v>1188</v>
      </c>
    </row>
    <row r="10350" spans="14:14" ht="15" customHeight="1" x14ac:dyDescent="0.25">
      <c r="N10350" t="s">
        <v>1188</v>
      </c>
    </row>
    <row r="10351" spans="14:14" ht="15" customHeight="1" x14ac:dyDescent="0.25">
      <c r="N10351" t="s">
        <v>1188</v>
      </c>
    </row>
    <row r="10352" spans="14:14" ht="15" customHeight="1" x14ac:dyDescent="0.25">
      <c r="N10352" t="s">
        <v>1188</v>
      </c>
    </row>
    <row r="10353" spans="14:14" ht="15" customHeight="1" x14ac:dyDescent="0.25">
      <c r="N10353" t="s">
        <v>1216</v>
      </c>
    </row>
    <row r="10354" spans="14:14" ht="15" customHeight="1" x14ac:dyDescent="0.25">
      <c r="N10354" t="s">
        <v>1030</v>
      </c>
    </row>
    <row r="10355" spans="14:14" ht="15" customHeight="1" x14ac:dyDescent="0.25">
      <c r="N10355" t="s">
        <v>1049</v>
      </c>
    </row>
    <row r="10356" spans="14:14" ht="15" customHeight="1" x14ac:dyDescent="0.25">
      <c r="N10356" t="s">
        <v>1163</v>
      </c>
    </row>
    <row r="10357" spans="14:14" ht="15" customHeight="1" x14ac:dyDescent="0.25">
      <c r="N10357" t="s">
        <v>1163</v>
      </c>
    </row>
    <row r="10358" spans="14:14" ht="15" customHeight="1" x14ac:dyDescent="0.25">
      <c r="N10358" t="s">
        <v>1218</v>
      </c>
    </row>
    <row r="10359" spans="14:14" ht="15" customHeight="1" x14ac:dyDescent="0.25">
      <c r="N10359" t="s">
        <v>1042</v>
      </c>
    </row>
    <row r="10360" spans="14:14" ht="15" customHeight="1" x14ac:dyDescent="0.25">
      <c r="N10360" t="s">
        <v>1042</v>
      </c>
    </row>
    <row r="10361" spans="14:14" ht="15" customHeight="1" x14ac:dyDescent="0.25">
      <c r="N10361" t="s">
        <v>985</v>
      </c>
    </row>
    <row r="10362" spans="14:14" ht="15" customHeight="1" x14ac:dyDescent="0.25">
      <c r="N10362" t="s">
        <v>934</v>
      </c>
    </row>
    <row r="10363" spans="14:14" ht="15" customHeight="1" x14ac:dyDescent="0.25">
      <c r="N10363" t="s">
        <v>934</v>
      </c>
    </row>
    <row r="10364" spans="14:14" ht="15" customHeight="1" x14ac:dyDescent="0.25">
      <c r="N10364" t="s">
        <v>934</v>
      </c>
    </row>
    <row r="10365" spans="14:14" ht="15" customHeight="1" x14ac:dyDescent="0.25">
      <c r="N10365" t="s">
        <v>319</v>
      </c>
    </row>
    <row r="10366" spans="14:14" ht="15" customHeight="1" x14ac:dyDescent="0.25">
      <c r="N10366" t="s">
        <v>1042</v>
      </c>
    </row>
    <row r="10367" spans="14:14" ht="15" customHeight="1" x14ac:dyDescent="0.25">
      <c r="N10367" t="s">
        <v>1225</v>
      </c>
    </row>
    <row r="10368" spans="14:14" ht="15" customHeight="1" x14ac:dyDescent="0.25">
      <c r="N10368" t="s">
        <v>249</v>
      </c>
    </row>
    <row r="10369" spans="14:14" ht="15" customHeight="1" x14ac:dyDescent="0.25">
      <c r="N10369" t="s">
        <v>249</v>
      </c>
    </row>
    <row r="10370" spans="14:14" ht="15" customHeight="1" x14ac:dyDescent="0.25">
      <c r="N10370" t="s">
        <v>249</v>
      </c>
    </row>
    <row r="10371" spans="14:14" ht="15" customHeight="1" x14ac:dyDescent="0.25">
      <c r="N10371" t="s">
        <v>371</v>
      </c>
    </row>
    <row r="10372" spans="14:14" ht="15" customHeight="1" x14ac:dyDescent="0.25">
      <c r="N10372" t="s">
        <v>319</v>
      </c>
    </row>
    <row r="10373" spans="14:14" ht="15" customHeight="1" x14ac:dyDescent="0.25">
      <c r="N10373" t="s">
        <v>773</v>
      </c>
    </row>
    <row r="10374" spans="14:14" ht="15" customHeight="1" x14ac:dyDescent="0.25">
      <c r="N10374" t="s">
        <v>773</v>
      </c>
    </row>
    <row r="10375" spans="14:14" ht="15" customHeight="1" x14ac:dyDescent="0.25">
      <c r="N10375" t="s">
        <v>719</v>
      </c>
    </row>
    <row r="10376" spans="14:14" ht="15" customHeight="1" x14ac:dyDescent="0.25">
      <c r="N10376" t="s">
        <v>1228</v>
      </c>
    </row>
    <row r="10377" spans="14:14" ht="15" customHeight="1" x14ac:dyDescent="0.25">
      <c r="N10377" t="s">
        <v>934</v>
      </c>
    </row>
    <row r="10378" spans="14:14" ht="15" customHeight="1" x14ac:dyDescent="0.25">
      <c r="N10378" t="s">
        <v>934</v>
      </c>
    </row>
    <row r="10379" spans="14:14" ht="15" customHeight="1" x14ac:dyDescent="0.25">
      <c r="N10379" t="s">
        <v>1230</v>
      </c>
    </row>
    <row r="10380" spans="14:14" ht="15" customHeight="1" x14ac:dyDescent="0.25">
      <c r="N10380" t="s">
        <v>1083</v>
      </c>
    </row>
    <row r="10381" spans="14:14" ht="15" customHeight="1" x14ac:dyDescent="0.25">
      <c r="N10381" t="s">
        <v>1232</v>
      </c>
    </row>
    <row r="10382" spans="14:14" ht="15" customHeight="1" x14ac:dyDescent="0.25">
      <c r="N10382" t="s">
        <v>1232</v>
      </c>
    </row>
    <row r="10383" spans="14:14" ht="15" customHeight="1" x14ac:dyDescent="0.25">
      <c r="N10383" t="s">
        <v>1166</v>
      </c>
    </row>
    <row r="10384" spans="14:14" ht="15" customHeight="1" x14ac:dyDescent="0.25">
      <c r="N10384" t="s">
        <v>1069</v>
      </c>
    </row>
    <row r="10385" spans="14:14" ht="15" customHeight="1" x14ac:dyDescent="0.25">
      <c r="N10385" t="s">
        <v>1201</v>
      </c>
    </row>
    <row r="10386" spans="14:14" ht="15" customHeight="1" x14ac:dyDescent="0.25">
      <c r="N10386" t="s">
        <v>912</v>
      </c>
    </row>
    <row r="10387" spans="14:14" ht="15" customHeight="1" x14ac:dyDescent="0.25">
      <c r="N10387" t="s">
        <v>1163</v>
      </c>
    </row>
    <row r="10388" spans="14:14" ht="15" customHeight="1" x14ac:dyDescent="0.25">
      <c r="N10388" t="s">
        <v>1163</v>
      </c>
    </row>
    <row r="10389" spans="14:14" ht="15" customHeight="1" x14ac:dyDescent="0.25">
      <c r="N10389" t="s">
        <v>993</v>
      </c>
    </row>
    <row r="10390" spans="14:14" ht="15" customHeight="1" x14ac:dyDescent="0.25">
      <c r="N10390" t="s">
        <v>1042</v>
      </c>
    </row>
    <row r="10391" spans="14:14" ht="15" customHeight="1" x14ac:dyDescent="0.25">
      <c r="N10391" t="s">
        <v>985</v>
      </c>
    </row>
    <row r="10392" spans="14:14" ht="15" customHeight="1" x14ac:dyDescent="0.25">
      <c r="N10392" t="s">
        <v>1236</v>
      </c>
    </row>
    <row r="10393" spans="14:14" ht="15" customHeight="1" x14ac:dyDescent="0.25">
      <c r="N10393" t="s">
        <v>934</v>
      </c>
    </row>
    <row r="10394" spans="14:14" ht="15" customHeight="1" x14ac:dyDescent="0.25">
      <c r="N10394" t="s">
        <v>894</v>
      </c>
    </row>
    <row r="10395" spans="14:14" ht="15" customHeight="1" x14ac:dyDescent="0.25">
      <c r="N10395" t="s">
        <v>1188</v>
      </c>
    </row>
    <row r="10396" spans="14:14" ht="15" customHeight="1" x14ac:dyDescent="0.25">
      <c r="N10396" t="s">
        <v>1188</v>
      </c>
    </row>
    <row r="10397" spans="14:14" ht="15" customHeight="1" x14ac:dyDescent="0.25">
      <c r="N10397" t="s">
        <v>1125</v>
      </c>
    </row>
    <row r="10398" spans="14:14" ht="15" customHeight="1" x14ac:dyDescent="0.25">
      <c r="N10398" t="s">
        <v>1237</v>
      </c>
    </row>
    <row r="10399" spans="14:14" ht="15" customHeight="1" x14ac:dyDescent="0.25">
      <c r="N10399" t="s">
        <v>1185</v>
      </c>
    </row>
    <row r="10400" spans="14:14" ht="15" customHeight="1" x14ac:dyDescent="0.25">
      <c r="N10400" t="s">
        <v>249</v>
      </c>
    </row>
    <row r="10401" spans="14:14" ht="15" customHeight="1" x14ac:dyDescent="0.25">
      <c r="N10401" t="s">
        <v>777</v>
      </c>
    </row>
    <row r="10402" spans="14:14" ht="15" customHeight="1" x14ac:dyDescent="0.25">
      <c r="N10402" t="s">
        <v>480</v>
      </c>
    </row>
    <row r="10403" spans="14:14" ht="15" customHeight="1" x14ac:dyDescent="0.25">
      <c r="N10403" t="s">
        <v>319</v>
      </c>
    </row>
    <row r="10404" spans="14:14" ht="15" customHeight="1" x14ac:dyDescent="0.25">
      <c r="N10404" t="s">
        <v>334</v>
      </c>
    </row>
    <row r="10405" spans="14:14" ht="15" customHeight="1" x14ac:dyDescent="0.25">
      <c r="N10405" t="s">
        <v>254</v>
      </c>
    </row>
    <row r="10406" spans="14:14" ht="15" customHeight="1" x14ac:dyDescent="0.25">
      <c r="N10406" t="s">
        <v>273</v>
      </c>
    </row>
    <row r="10407" spans="14:14" ht="15" customHeight="1" x14ac:dyDescent="0.25">
      <c r="N10407" t="s">
        <v>1188</v>
      </c>
    </row>
    <row r="10408" spans="14:14" ht="15" customHeight="1" x14ac:dyDescent="0.25">
      <c r="N10408" t="s">
        <v>1166</v>
      </c>
    </row>
    <row r="10409" spans="14:14" ht="15" customHeight="1" x14ac:dyDescent="0.25">
      <c r="N10409" t="s">
        <v>1166</v>
      </c>
    </row>
    <row r="10410" spans="14:14" ht="15" customHeight="1" x14ac:dyDescent="0.25">
      <c r="N10410" t="s">
        <v>1240</v>
      </c>
    </row>
    <row r="10411" spans="14:14" ht="15" customHeight="1" x14ac:dyDescent="0.25">
      <c r="N10411" t="s">
        <v>998</v>
      </c>
    </row>
    <row r="10412" spans="14:14" ht="15" customHeight="1" x14ac:dyDescent="0.25">
      <c r="N10412" t="s">
        <v>933</v>
      </c>
    </row>
    <row r="10413" spans="14:14" ht="15" customHeight="1" x14ac:dyDescent="0.25">
      <c r="N10413" t="s">
        <v>980</v>
      </c>
    </row>
    <row r="10414" spans="14:14" ht="15" customHeight="1" x14ac:dyDescent="0.25">
      <c r="N10414" t="s">
        <v>1042</v>
      </c>
    </row>
    <row r="10415" spans="14:14" ht="15" customHeight="1" x14ac:dyDescent="0.25">
      <c r="N10415" t="s">
        <v>1242</v>
      </c>
    </row>
    <row r="10416" spans="14:14" ht="15" customHeight="1" x14ac:dyDescent="0.25">
      <c r="N10416" t="s">
        <v>933</v>
      </c>
    </row>
    <row r="10417" spans="14:14" ht="15" customHeight="1" x14ac:dyDescent="0.25">
      <c r="N10417" t="s">
        <v>909</v>
      </c>
    </row>
    <row r="10418" spans="14:14" ht="15" customHeight="1" x14ac:dyDescent="0.25">
      <c r="N10418" t="s">
        <v>1243</v>
      </c>
    </row>
    <row r="10419" spans="14:14" ht="15" customHeight="1" x14ac:dyDescent="0.25">
      <c r="N10419" t="s">
        <v>1243</v>
      </c>
    </row>
    <row r="10420" spans="14:14" ht="15" customHeight="1" x14ac:dyDescent="0.25">
      <c r="N10420" t="s">
        <v>1205</v>
      </c>
    </row>
    <row r="10421" spans="14:14" ht="15" customHeight="1" x14ac:dyDescent="0.25">
      <c r="N10421" t="s">
        <v>334</v>
      </c>
    </row>
    <row r="10422" spans="14:14" ht="15" customHeight="1" x14ac:dyDescent="0.25">
      <c r="N10422" t="s">
        <v>818</v>
      </c>
    </row>
    <row r="10423" spans="14:14" ht="15" customHeight="1" x14ac:dyDescent="0.25">
      <c r="N10423" t="s">
        <v>247</v>
      </c>
    </row>
    <row r="10424" spans="14:14" ht="15" customHeight="1" x14ac:dyDescent="0.25">
      <c r="N10424" t="s">
        <v>998</v>
      </c>
    </row>
    <row r="10425" spans="14:14" ht="15" customHeight="1" x14ac:dyDescent="0.25">
      <c r="N10425" t="s">
        <v>998</v>
      </c>
    </row>
    <row r="10426" spans="14:14" ht="15" customHeight="1" x14ac:dyDescent="0.25">
      <c r="N10426" t="s">
        <v>933</v>
      </c>
    </row>
    <row r="10427" spans="14:14" ht="15" customHeight="1" x14ac:dyDescent="0.25">
      <c r="N10427" t="s">
        <v>1244</v>
      </c>
    </row>
    <row r="10428" spans="14:14" ht="15" customHeight="1" x14ac:dyDescent="0.25">
      <c r="N10428" t="s">
        <v>934</v>
      </c>
    </row>
    <row r="10429" spans="14:14" ht="15" customHeight="1" x14ac:dyDescent="0.25">
      <c r="N10429" t="s">
        <v>1195</v>
      </c>
    </row>
    <row r="10430" spans="14:14" ht="15" customHeight="1" x14ac:dyDescent="0.25">
      <c r="N10430" t="s">
        <v>1166</v>
      </c>
    </row>
    <row r="10431" spans="14:14" ht="15" customHeight="1" x14ac:dyDescent="0.25">
      <c r="N10431" t="s">
        <v>998</v>
      </c>
    </row>
    <row r="10432" spans="14:14" ht="15" customHeight="1" x14ac:dyDescent="0.25">
      <c r="N10432" t="s">
        <v>1245</v>
      </c>
    </row>
    <row r="10433" spans="14:14" ht="15" customHeight="1" x14ac:dyDescent="0.25">
      <c r="N10433" t="s">
        <v>1245</v>
      </c>
    </row>
    <row r="10434" spans="14:14" ht="15" customHeight="1" x14ac:dyDescent="0.25">
      <c r="N10434" t="s">
        <v>1247</v>
      </c>
    </row>
    <row r="10435" spans="14:14" ht="15" customHeight="1" x14ac:dyDescent="0.25">
      <c r="N10435" t="s">
        <v>273</v>
      </c>
    </row>
    <row r="10436" spans="14:14" ht="15" customHeight="1" x14ac:dyDescent="0.25">
      <c r="N10436" t="s">
        <v>254</v>
      </c>
    </row>
    <row r="10437" spans="14:14" ht="15" customHeight="1" x14ac:dyDescent="0.25">
      <c r="N10437" t="s">
        <v>907</v>
      </c>
    </row>
    <row r="10438" spans="14:14" ht="15" customHeight="1" x14ac:dyDescent="0.25">
      <c r="N10438" t="s">
        <v>901</v>
      </c>
    </row>
    <row r="10439" spans="14:14" ht="15" customHeight="1" x14ac:dyDescent="0.25">
      <c r="N10439" t="s">
        <v>1251</v>
      </c>
    </row>
    <row r="10440" spans="14:14" ht="15" customHeight="1" x14ac:dyDescent="0.25">
      <c r="N10440" t="s">
        <v>1252</v>
      </c>
    </row>
    <row r="10441" spans="14:14" ht="15" customHeight="1" x14ac:dyDescent="0.25">
      <c r="N10441" t="s">
        <v>998</v>
      </c>
    </row>
    <row r="10442" spans="14:14" ht="15" customHeight="1" x14ac:dyDescent="0.25">
      <c r="N10442" t="s">
        <v>1042</v>
      </c>
    </row>
    <row r="10443" spans="14:14" ht="15" customHeight="1" x14ac:dyDescent="0.25">
      <c r="N10443" t="s">
        <v>988</v>
      </c>
    </row>
    <row r="10444" spans="14:14" ht="15" customHeight="1" x14ac:dyDescent="0.25">
      <c r="N10444" t="s">
        <v>1166</v>
      </c>
    </row>
    <row r="10445" spans="14:14" ht="15" customHeight="1" x14ac:dyDescent="0.25">
      <c r="N10445" t="s">
        <v>1166</v>
      </c>
    </row>
    <row r="10446" spans="14:14" ht="15" customHeight="1" x14ac:dyDescent="0.25">
      <c r="N10446" t="s">
        <v>1247</v>
      </c>
    </row>
    <row r="10447" spans="14:14" ht="15" customHeight="1" x14ac:dyDescent="0.25">
      <c r="N10447" t="s">
        <v>319</v>
      </c>
    </row>
    <row r="10448" spans="14:14" ht="15" customHeight="1" x14ac:dyDescent="0.25">
      <c r="N10448" t="s">
        <v>907</v>
      </c>
    </row>
    <row r="10449" spans="14:14" ht="15" customHeight="1" x14ac:dyDescent="0.25">
      <c r="N10449" t="s">
        <v>1185</v>
      </c>
    </row>
    <row r="10450" spans="14:14" ht="15" customHeight="1" x14ac:dyDescent="0.25">
      <c r="N10450" t="s">
        <v>934</v>
      </c>
    </row>
    <row r="10451" spans="14:14" ht="15" customHeight="1" x14ac:dyDescent="0.25">
      <c r="N10451" t="s">
        <v>1106</v>
      </c>
    </row>
    <row r="10452" spans="14:14" ht="15" customHeight="1" x14ac:dyDescent="0.25">
      <c r="N10452" t="s">
        <v>1106</v>
      </c>
    </row>
    <row r="10453" spans="14:14" ht="15" customHeight="1" x14ac:dyDescent="0.25">
      <c r="N10453" t="s">
        <v>1106</v>
      </c>
    </row>
    <row r="10454" spans="14:14" ht="15" customHeight="1" x14ac:dyDescent="0.25">
      <c r="N10454" t="s">
        <v>1106</v>
      </c>
    </row>
    <row r="10455" spans="14:14" ht="15" customHeight="1" x14ac:dyDescent="0.25">
      <c r="N10455" t="s">
        <v>1106</v>
      </c>
    </row>
    <row r="10456" spans="14:14" ht="15" customHeight="1" x14ac:dyDescent="0.25">
      <c r="N10456" t="s">
        <v>1106</v>
      </c>
    </row>
    <row r="10457" spans="14:14" ht="15" customHeight="1" x14ac:dyDescent="0.25">
      <c r="N10457" t="s">
        <v>1042</v>
      </c>
    </row>
    <row r="10458" spans="14:14" ht="15" customHeight="1" x14ac:dyDescent="0.25">
      <c r="N10458" t="s">
        <v>998</v>
      </c>
    </row>
    <row r="10459" spans="14:14" ht="15" customHeight="1" x14ac:dyDescent="0.25">
      <c r="N10459" t="s">
        <v>998</v>
      </c>
    </row>
    <row r="10460" spans="14:14" ht="15" customHeight="1" x14ac:dyDescent="0.25">
      <c r="N10460" t="s">
        <v>254</v>
      </c>
    </row>
    <row r="10461" spans="14:14" ht="15" customHeight="1" x14ac:dyDescent="0.25">
      <c r="N10461" t="s">
        <v>998</v>
      </c>
    </row>
    <row r="10462" spans="14:14" ht="15" customHeight="1" x14ac:dyDescent="0.25">
      <c r="N10462" t="s">
        <v>319</v>
      </c>
    </row>
    <row r="10463" spans="14:14" ht="15" customHeight="1" x14ac:dyDescent="0.25">
      <c r="N10463" t="s">
        <v>1230</v>
      </c>
    </row>
    <row r="10464" spans="14:14" ht="15" customHeight="1" x14ac:dyDescent="0.25">
      <c r="N10464" t="s">
        <v>1188</v>
      </c>
    </row>
    <row r="10465" spans="14:14" ht="15" customHeight="1" x14ac:dyDescent="0.25">
      <c r="N10465" t="s">
        <v>1188</v>
      </c>
    </row>
    <row r="10466" spans="14:14" ht="15" customHeight="1" x14ac:dyDescent="0.25">
      <c r="N10466" t="s">
        <v>1188</v>
      </c>
    </row>
    <row r="10467" spans="14:14" ht="15" customHeight="1" x14ac:dyDescent="0.25">
      <c r="N10467" t="s">
        <v>1188</v>
      </c>
    </row>
    <row r="10468" spans="14:14" ht="15" customHeight="1" x14ac:dyDescent="0.25">
      <c r="N10468" t="s">
        <v>1188</v>
      </c>
    </row>
    <row r="10469" spans="14:14" ht="15" customHeight="1" x14ac:dyDescent="0.25">
      <c r="N10469" t="s">
        <v>1188</v>
      </c>
    </row>
    <row r="10470" spans="14:14" ht="15" customHeight="1" x14ac:dyDescent="0.25">
      <c r="N10470" t="s">
        <v>1261</v>
      </c>
    </row>
    <row r="10471" spans="14:14" ht="15" customHeight="1" x14ac:dyDescent="0.25">
      <c r="N10471" t="s">
        <v>777</v>
      </c>
    </row>
    <row r="10472" spans="14:14" ht="15" customHeight="1" x14ac:dyDescent="0.25">
      <c r="N10472" t="s">
        <v>1240</v>
      </c>
    </row>
    <row r="10473" spans="14:14" ht="15" customHeight="1" x14ac:dyDescent="0.25">
      <c r="N10473" t="s">
        <v>1042</v>
      </c>
    </row>
    <row r="10474" spans="14:14" ht="15" customHeight="1" x14ac:dyDescent="0.25">
      <c r="N10474" t="s">
        <v>1336</v>
      </c>
    </row>
    <row r="10475" spans="14:14" ht="15" customHeight="1" x14ac:dyDescent="0.25">
      <c r="N10475" t="s">
        <v>1042</v>
      </c>
    </row>
    <row r="10476" spans="14:14" ht="15" customHeight="1" x14ac:dyDescent="0.25">
      <c r="N10476" t="s">
        <v>998</v>
      </c>
    </row>
    <row r="10477" spans="14:14" ht="15" customHeight="1" x14ac:dyDescent="0.25">
      <c r="N10477" t="s">
        <v>302</v>
      </c>
    </row>
    <row r="10478" spans="14:14" ht="15" customHeight="1" x14ac:dyDescent="0.25">
      <c r="N10478" t="s">
        <v>319</v>
      </c>
    </row>
    <row r="10479" spans="14:14" ht="15" customHeight="1" x14ac:dyDescent="0.25">
      <c r="N10479" t="s">
        <v>985</v>
      </c>
    </row>
    <row r="10480" spans="14:14" ht="15" customHeight="1" x14ac:dyDescent="0.25">
      <c r="N10480" t="s">
        <v>1263</v>
      </c>
    </row>
    <row r="10481" spans="14:14" ht="15" customHeight="1" x14ac:dyDescent="0.25">
      <c r="N10481" t="s">
        <v>302</v>
      </c>
    </row>
    <row r="10482" spans="14:14" ht="15" customHeight="1" x14ac:dyDescent="0.25">
      <c r="N10482" t="s">
        <v>249</v>
      </c>
    </row>
    <row r="10483" spans="14:14" ht="15" customHeight="1" x14ac:dyDescent="0.25">
      <c r="N10483" t="s">
        <v>302</v>
      </c>
    </row>
    <row r="10484" spans="14:14" ht="15" customHeight="1" x14ac:dyDescent="0.25">
      <c r="N10484" t="s">
        <v>371</v>
      </c>
    </row>
    <row r="10485" spans="14:14" ht="15" customHeight="1" x14ac:dyDescent="0.25">
      <c r="N10485" t="s">
        <v>302</v>
      </c>
    </row>
    <row r="10486" spans="14:14" ht="15" customHeight="1" x14ac:dyDescent="0.25">
      <c r="N10486" t="s">
        <v>930</v>
      </c>
    </row>
    <row r="10487" spans="14:14" ht="15" customHeight="1" x14ac:dyDescent="0.25">
      <c r="N10487" t="s">
        <v>910</v>
      </c>
    </row>
    <row r="10488" spans="14:14" ht="15" customHeight="1" x14ac:dyDescent="0.25">
      <c r="N10488" t="s">
        <v>967</v>
      </c>
    </row>
    <row r="10489" spans="14:14" ht="15" customHeight="1" x14ac:dyDescent="0.25">
      <c r="N10489" t="s">
        <v>971</v>
      </c>
    </row>
    <row r="10490" spans="14:14" ht="15" customHeight="1" x14ac:dyDescent="0.25">
      <c r="N10490" t="s">
        <v>971</v>
      </c>
    </row>
    <row r="10491" spans="14:14" ht="15" customHeight="1" x14ac:dyDescent="0.25">
      <c r="N10491" t="s">
        <v>247</v>
      </c>
    </row>
    <row r="10492" spans="14:14" ht="15" customHeight="1" x14ac:dyDescent="0.25">
      <c r="N10492" t="s">
        <v>247</v>
      </c>
    </row>
    <row r="10493" spans="14:14" ht="15" customHeight="1" x14ac:dyDescent="0.25">
      <c r="N10493" t="s">
        <v>247</v>
      </c>
    </row>
    <row r="10494" spans="14:14" ht="15" customHeight="1" x14ac:dyDescent="0.25">
      <c r="N10494" t="s">
        <v>207</v>
      </c>
    </row>
    <row r="10495" spans="14:14" ht="15" customHeight="1" x14ac:dyDescent="0.25">
      <c r="N10495" t="s">
        <v>975</v>
      </c>
    </row>
    <row r="10496" spans="14:14" ht="15" customHeight="1" x14ac:dyDescent="0.25">
      <c r="N10496" t="s">
        <v>975</v>
      </c>
    </row>
    <row r="10497" spans="14:14" ht="15" customHeight="1" x14ac:dyDescent="0.25">
      <c r="N10497" t="s">
        <v>931</v>
      </c>
    </row>
    <row r="10498" spans="14:14" ht="15" customHeight="1" x14ac:dyDescent="0.25">
      <c r="N10498" t="s">
        <v>967</v>
      </c>
    </row>
    <row r="10499" spans="14:14" ht="15" customHeight="1" x14ac:dyDescent="0.25">
      <c r="N10499" t="s">
        <v>912</v>
      </c>
    </row>
    <row r="10500" spans="14:14" ht="15" customHeight="1" x14ac:dyDescent="0.25">
      <c r="N10500" t="s">
        <v>1014</v>
      </c>
    </row>
    <row r="10501" spans="14:14" ht="15" customHeight="1" x14ac:dyDescent="0.25">
      <c r="N10501" t="s">
        <v>971</v>
      </c>
    </row>
    <row r="10502" spans="14:14" ht="15" customHeight="1" x14ac:dyDescent="0.25">
      <c r="N10502" t="s">
        <v>971</v>
      </c>
    </row>
    <row r="10503" spans="14:14" ht="15" customHeight="1" x14ac:dyDescent="0.25">
      <c r="N10503" t="s">
        <v>247</v>
      </c>
    </row>
    <row r="10504" spans="14:14" ht="15" customHeight="1" x14ac:dyDescent="0.25">
      <c r="N10504" t="s">
        <v>247</v>
      </c>
    </row>
    <row r="10505" spans="14:14" ht="15" customHeight="1" x14ac:dyDescent="0.25">
      <c r="N10505" t="s">
        <v>247</v>
      </c>
    </row>
    <row r="10506" spans="14:14" ht="15" customHeight="1" x14ac:dyDescent="0.25">
      <c r="N10506" t="s">
        <v>251</v>
      </c>
    </row>
    <row r="10507" spans="14:14" ht="15" customHeight="1" x14ac:dyDescent="0.25">
      <c r="N10507" t="s">
        <v>971</v>
      </c>
    </row>
    <row r="10508" spans="14:14" ht="15" customHeight="1" x14ac:dyDescent="0.25">
      <c r="N10508" t="s">
        <v>971</v>
      </c>
    </row>
    <row r="10509" spans="14:14" ht="15" customHeight="1" x14ac:dyDescent="0.25">
      <c r="N10509" t="s">
        <v>247</v>
      </c>
    </row>
    <row r="10510" spans="14:14" ht="15" customHeight="1" x14ac:dyDescent="0.25">
      <c r="N10510" t="s">
        <v>247</v>
      </c>
    </row>
    <row r="10511" spans="14:14" ht="15" customHeight="1" x14ac:dyDescent="0.25">
      <c r="N10511" t="s">
        <v>247</v>
      </c>
    </row>
    <row r="10512" spans="14:14" ht="15" customHeight="1" x14ac:dyDescent="0.25">
      <c r="N10512" t="s">
        <v>302</v>
      </c>
    </row>
    <row r="10513" spans="14:14" ht="15" customHeight="1" x14ac:dyDescent="0.25">
      <c r="N10513" t="s">
        <v>971</v>
      </c>
    </row>
    <row r="10514" spans="14:14" ht="15" customHeight="1" x14ac:dyDescent="0.25">
      <c r="N10514" t="s">
        <v>971</v>
      </c>
    </row>
    <row r="10515" spans="14:14" ht="15" customHeight="1" x14ac:dyDescent="0.25">
      <c r="N10515" t="s">
        <v>1079</v>
      </c>
    </row>
    <row r="10516" spans="14:14" ht="15" customHeight="1" x14ac:dyDescent="0.25">
      <c r="N10516" t="s">
        <v>1085</v>
      </c>
    </row>
    <row r="10517" spans="14:14" ht="15" customHeight="1" x14ac:dyDescent="0.25">
      <c r="N10517" t="s">
        <v>1085</v>
      </c>
    </row>
    <row r="10518" spans="14:14" ht="15" customHeight="1" x14ac:dyDescent="0.25">
      <c r="N10518" t="s">
        <v>1014</v>
      </c>
    </row>
    <row r="10519" spans="14:14" ht="15" customHeight="1" x14ac:dyDescent="0.25">
      <c r="N10519" t="s">
        <v>971</v>
      </c>
    </row>
    <row r="10520" spans="14:14" ht="15" customHeight="1" x14ac:dyDescent="0.25">
      <c r="N10520" t="s">
        <v>971</v>
      </c>
    </row>
    <row r="10521" spans="14:14" ht="15" customHeight="1" x14ac:dyDescent="0.25">
      <c r="N10521" t="s">
        <v>247</v>
      </c>
    </row>
    <row r="10522" spans="14:14" ht="15" customHeight="1" x14ac:dyDescent="0.25">
      <c r="N10522" t="s">
        <v>247</v>
      </c>
    </row>
    <row r="10523" spans="14:14" ht="15" customHeight="1" x14ac:dyDescent="0.25">
      <c r="N10523" t="s">
        <v>247</v>
      </c>
    </row>
    <row r="10524" spans="14:14" ht="15" customHeight="1" x14ac:dyDescent="0.25">
      <c r="N10524" t="s">
        <v>302</v>
      </c>
    </row>
    <row r="10525" spans="14:14" ht="15" customHeight="1" x14ac:dyDescent="0.25">
      <c r="N10525" t="s">
        <v>302</v>
      </c>
    </row>
    <row r="10526" spans="14:14" ht="15" customHeight="1" x14ac:dyDescent="0.25">
      <c r="N10526" t="s">
        <v>302</v>
      </c>
    </row>
    <row r="10527" spans="14:14" ht="15" customHeight="1" x14ac:dyDescent="0.25">
      <c r="N10527" t="s">
        <v>302</v>
      </c>
    </row>
    <row r="10528" spans="14:14" ht="15" customHeight="1" x14ac:dyDescent="0.25">
      <c r="N10528" t="s">
        <v>971</v>
      </c>
    </row>
    <row r="10529" spans="14:14" ht="15" customHeight="1" x14ac:dyDescent="0.25">
      <c r="N10529" t="s">
        <v>971</v>
      </c>
    </row>
    <row r="10530" spans="14:14" ht="15" customHeight="1" x14ac:dyDescent="0.25">
      <c r="N10530" t="s">
        <v>1121</v>
      </c>
    </row>
    <row r="10531" spans="14:14" ht="15" customHeight="1" x14ac:dyDescent="0.25">
      <c r="N10531" t="s">
        <v>1121</v>
      </c>
    </row>
    <row r="10532" spans="14:14" ht="15" customHeight="1" x14ac:dyDescent="0.25">
      <c r="N10532" t="s">
        <v>1121</v>
      </c>
    </row>
    <row r="10533" spans="14:14" ht="15" customHeight="1" x14ac:dyDescent="0.25">
      <c r="N10533" t="s">
        <v>971</v>
      </c>
    </row>
    <row r="10534" spans="14:14" ht="15" customHeight="1" x14ac:dyDescent="0.25">
      <c r="N10534" t="s">
        <v>971</v>
      </c>
    </row>
    <row r="10535" spans="14:14" ht="15" customHeight="1" x14ac:dyDescent="0.25">
      <c r="N10535" t="s">
        <v>971</v>
      </c>
    </row>
    <row r="10536" spans="14:14" ht="15" customHeight="1" x14ac:dyDescent="0.25">
      <c r="N10536" t="s">
        <v>1119</v>
      </c>
    </row>
    <row r="10537" spans="14:14" ht="15" customHeight="1" x14ac:dyDescent="0.25">
      <c r="N10537" t="s">
        <v>1034</v>
      </c>
    </row>
    <row r="10538" spans="14:14" ht="15" customHeight="1" x14ac:dyDescent="0.25">
      <c r="N10538" t="s">
        <v>971</v>
      </c>
    </row>
    <row r="10539" spans="14:14" ht="15" customHeight="1" x14ac:dyDescent="0.25">
      <c r="N10539" t="s">
        <v>971</v>
      </c>
    </row>
    <row r="10540" spans="14:14" ht="15" customHeight="1" x14ac:dyDescent="0.25">
      <c r="N10540" t="s">
        <v>273</v>
      </c>
    </row>
    <row r="10541" spans="14:14" ht="15" customHeight="1" x14ac:dyDescent="0.25">
      <c r="N10541" t="s">
        <v>247</v>
      </c>
    </row>
    <row r="10542" spans="14:14" ht="15" customHeight="1" x14ac:dyDescent="0.25">
      <c r="N10542" t="s">
        <v>247</v>
      </c>
    </row>
    <row r="10543" spans="14:14" ht="15" customHeight="1" x14ac:dyDescent="0.25">
      <c r="N10543" t="s">
        <v>247</v>
      </c>
    </row>
    <row r="10544" spans="14:14" ht="15" customHeight="1" x14ac:dyDescent="0.25">
      <c r="N10544" t="s">
        <v>402</v>
      </c>
    </row>
    <row r="10545" spans="14:14" ht="15" customHeight="1" x14ac:dyDescent="0.25">
      <c r="N10545" t="s">
        <v>823</v>
      </c>
    </row>
    <row r="10546" spans="14:14" ht="15" customHeight="1" x14ac:dyDescent="0.25">
      <c r="N10546" t="s">
        <v>1164</v>
      </c>
    </row>
    <row r="10547" spans="14:14" ht="15" customHeight="1" x14ac:dyDescent="0.25">
      <c r="N10547" t="s">
        <v>1164</v>
      </c>
    </row>
    <row r="10548" spans="14:14" ht="15" customHeight="1" x14ac:dyDescent="0.25">
      <c r="N10548" t="s">
        <v>1164</v>
      </c>
    </row>
    <row r="10549" spans="14:14" ht="15" customHeight="1" x14ac:dyDescent="0.25">
      <c r="N10549" t="s">
        <v>971</v>
      </c>
    </row>
    <row r="10550" spans="14:14" ht="15" customHeight="1" x14ac:dyDescent="0.25">
      <c r="N10550" t="s">
        <v>1175</v>
      </c>
    </row>
    <row r="10551" spans="14:14" ht="15" customHeight="1" x14ac:dyDescent="0.25">
      <c r="N10551" t="s">
        <v>971</v>
      </c>
    </row>
    <row r="10552" spans="14:14" ht="15" customHeight="1" x14ac:dyDescent="0.25">
      <c r="N10552" t="s">
        <v>971</v>
      </c>
    </row>
    <row r="10553" spans="14:14" ht="15" customHeight="1" x14ac:dyDescent="0.25">
      <c r="N10553" t="s">
        <v>273</v>
      </c>
    </row>
    <row r="10554" spans="14:14" ht="15" customHeight="1" x14ac:dyDescent="0.25">
      <c r="N10554" t="s">
        <v>247</v>
      </c>
    </row>
    <row r="10555" spans="14:14" ht="15" customHeight="1" x14ac:dyDescent="0.25">
      <c r="N10555" t="s">
        <v>247</v>
      </c>
    </row>
    <row r="10556" spans="14:14" ht="15" customHeight="1" x14ac:dyDescent="0.25">
      <c r="N10556" t="s">
        <v>247</v>
      </c>
    </row>
    <row r="10557" spans="14:14" ht="15" customHeight="1" x14ac:dyDescent="0.25">
      <c r="N10557" t="s">
        <v>971</v>
      </c>
    </row>
    <row r="10558" spans="14:14" ht="15" customHeight="1" x14ac:dyDescent="0.25">
      <c r="N10558" t="s">
        <v>971</v>
      </c>
    </row>
    <row r="10559" spans="14:14" ht="15" customHeight="1" x14ac:dyDescent="0.25">
      <c r="N10559" t="s">
        <v>971</v>
      </c>
    </row>
    <row r="10560" spans="14:14" ht="15" customHeight="1" x14ac:dyDescent="0.25">
      <c r="N10560" t="s">
        <v>247</v>
      </c>
    </row>
    <row r="10561" spans="14:14" ht="15" customHeight="1" x14ac:dyDescent="0.25">
      <c r="N10561" t="s">
        <v>247</v>
      </c>
    </row>
    <row r="10562" spans="14:14" ht="15" customHeight="1" x14ac:dyDescent="0.25">
      <c r="N10562" t="s">
        <v>247</v>
      </c>
    </row>
    <row r="10563" spans="14:14" ht="15" customHeight="1" x14ac:dyDescent="0.25">
      <c r="N10563" t="s">
        <v>301</v>
      </c>
    </row>
    <row r="10564" spans="14:14" ht="15" customHeight="1" x14ac:dyDescent="0.25">
      <c r="N10564" t="s">
        <v>247</v>
      </c>
    </row>
    <row r="10565" spans="14:14" ht="15" customHeight="1" x14ac:dyDescent="0.25">
      <c r="N10565" t="s">
        <v>247</v>
      </c>
    </row>
    <row r="10566" spans="14:14" ht="15" customHeight="1" x14ac:dyDescent="0.25">
      <c r="N10566" t="s">
        <v>247</v>
      </c>
    </row>
    <row r="10567" spans="14:14" ht="15" customHeight="1" x14ac:dyDescent="0.25">
      <c r="N10567" t="s">
        <v>1217</v>
      </c>
    </row>
    <row r="10568" spans="14:14" ht="15" customHeight="1" x14ac:dyDescent="0.25">
      <c r="N10568" t="s">
        <v>1217</v>
      </c>
    </row>
    <row r="10569" spans="14:14" ht="15" customHeight="1" x14ac:dyDescent="0.25">
      <c r="N10569" t="s">
        <v>971</v>
      </c>
    </row>
    <row r="10570" spans="14:14" ht="15" customHeight="1" x14ac:dyDescent="0.25">
      <c r="N10570" t="s">
        <v>247</v>
      </c>
    </row>
    <row r="10571" spans="14:14" ht="15" customHeight="1" x14ac:dyDescent="0.25">
      <c r="N10571" t="s">
        <v>247</v>
      </c>
    </row>
    <row r="10572" spans="14:14" ht="15" customHeight="1" x14ac:dyDescent="0.25">
      <c r="N10572" t="s">
        <v>247</v>
      </c>
    </row>
    <row r="10573" spans="14:14" ht="15" customHeight="1" x14ac:dyDescent="0.25">
      <c r="N10573" t="s">
        <v>971</v>
      </c>
    </row>
    <row r="10574" spans="14:14" ht="15" customHeight="1" x14ac:dyDescent="0.25">
      <c r="N10574" t="s">
        <v>971</v>
      </c>
    </row>
    <row r="10575" spans="14:14" ht="15" customHeight="1" x14ac:dyDescent="0.25">
      <c r="N10575" t="s">
        <v>971</v>
      </c>
    </row>
    <row r="10576" spans="14:14" ht="15" customHeight="1" x14ac:dyDescent="0.25">
      <c r="N10576" t="s">
        <v>971</v>
      </c>
    </row>
    <row r="10577" spans="14:14" ht="15" customHeight="1" x14ac:dyDescent="0.25">
      <c r="N10577" t="s">
        <v>247</v>
      </c>
    </row>
    <row r="10578" spans="14:14" ht="15" customHeight="1" x14ac:dyDescent="0.25">
      <c r="N10578" t="s">
        <v>302</v>
      </c>
    </row>
    <row r="10579" spans="14:14" ht="15" customHeight="1" x14ac:dyDescent="0.25">
      <c r="N10579" t="s">
        <v>1085</v>
      </c>
    </row>
    <row r="10580" spans="14:14" ht="15" customHeight="1" x14ac:dyDescent="0.25">
      <c r="N10580" t="s">
        <v>971</v>
      </c>
    </row>
    <row r="10581" spans="14:14" ht="15" customHeight="1" x14ac:dyDescent="0.25">
      <c r="N10581" t="s">
        <v>971</v>
      </c>
    </row>
    <row r="10582" spans="14:14" ht="15" customHeight="1" x14ac:dyDescent="0.25">
      <c r="N10582" t="s">
        <v>971</v>
      </c>
    </row>
    <row r="10583" spans="14:14" ht="15" customHeight="1" x14ac:dyDescent="0.25">
      <c r="N10583" t="s">
        <v>971</v>
      </c>
    </row>
    <row r="10584" spans="14:14" ht="15" customHeight="1" x14ac:dyDescent="0.25">
      <c r="N10584" t="s">
        <v>971</v>
      </c>
    </row>
    <row r="10585" spans="14:14" ht="15" customHeight="1" x14ac:dyDescent="0.25">
      <c r="N10585" t="s">
        <v>1217</v>
      </c>
    </row>
    <row r="10586" spans="14:14" ht="15" customHeight="1" x14ac:dyDescent="0.25">
      <c r="N10586" t="s">
        <v>432</v>
      </c>
    </row>
    <row r="10587" spans="14:14" ht="15" customHeight="1" x14ac:dyDescent="0.25">
      <c r="N10587" t="s">
        <v>931</v>
      </c>
    </row>
    <row r="10588" spans="14:14" ht="15" customHeight="1" x14ac:dyDescent="0.25">
      <c r="N10588" t="s">
        <v>971</v>
      </c>
    </row>
    <row r="10589" spans="14:14" ht="15" customHeight="1" x14ac:dyDescent="0.25">
      <c r="N10589" t="s">
        <v>971</v>
      </c>
    </row>
    <row r="10590" spans="14:14" ht="15" customHeight="1" x14ac:dyDescent="0.25">
      <c r="N10590" t="s">
        <v>971</v>
      </c>
    </row>
    <row r="10591" spans="14:14" ht="15" customHeight="1" x14ac:dyDescent="0.25">
      <c r="N10591" t="s">
        <v>247</v>
      </c>
    </row>
    <row r="10592" spans="14:14" ht="15" customHeight="1" x14ac:dyDescent="0.25">
      <c r="N10592" t="s">
        <v>971</v>
      </c>
    </row>
    <row r="10593" spans="14:14" ht="15" customHeight="1" x14ac:dyDescent="0.25">
      <c r="N10593" t="s">
        <v>971</v>
      </c>
    </row>
    <row r="10594" spans="14:14" ht="15" customHeight="1" x14ac:dyDescent="0.25">
      <c r="N10594" t="s">
        <v>971</v>
      </c>
    </row>
    <row r="10595" spans="14:14" ht="15" customHeight="1" x14ac:dyDescent="0.25">
      <c r="N10595" t="s">
        <v>894</v>
      </c>
    </row>
    <row r="10596" spans="14:14" ht="15" customHeight="1" x14ac:dyDescent="0.25">
      <c r="N10596" t="s">
        <v>897</v>
      </c>
    </row>
    <row r="10597" spans="14:14" ht="15" customHeight="1" x14ac:dyDescent="0.25">
      <c r="N10597" t="s">
        <v>897</v>
      </c>
    </row>
    <row r="10598" spans="14:14" ht="15" customHeight="1" x14ac:dyDescent="0.25">
      <c r="N10598" t="s">
        <v>900</v>
      </c>
    </row>
    <row r="10599" spans="14:14" ht="15" customHeight="1" x14ac:dyDescent="0.25">
      <c r="N10599" t="s">
        <v>900</v>
      </c>
    </row>
    <row r="10600" spans="14:14" ht="15" customHeight="1" x14ac:dyDescent="0.25">
      <c r="N10600" t="s">
        <v>900</v>
      </c>
    </row>
    <row r="10601" spans="14:14" ht="15" customHeight="1" x14ac:dyDescent="0.25">
      <c r="N10601" t="s">
        <v>900</v>
      </c>
    </row>
    <row r="10602" spans="14:14" ht="15" customHeight="1" x14ac:dyDescent="0.25">
      <c r="N10602" t="s">
        <v>900</v>
      </c>
    </row>
    <row r="10603" spans="14:14" ht="15" customHeight="1" x14ac:dyDescent="0.25">
      <c r="N10603" t="s">
        <v>900</v>
      </c>
    </row>
    <row r="10604" spans="14:14" ht="15" customHeight="1" x14ac:dyDescent="0.25">
      <c r="N10604" t="s">
        <v>904</v>
      </c>
    </row>
    <row r="10605" spans="14:14" ht="15" customHeight="1" x14ac:dyDescent="0.25">
      <c r="N10605" t="s">
        <v>904</v>
      </c>
    </row>
    <row r="10606" spans="14:14" ht="15" customHeight="1" x14ac:dyDescent="0.25">
      <c r="N10606" t="s">
        <v>904</v>
      </c>
    </row>
    <row r="10607" spans="14:14" ht="15" customHeight="1" x14ac:dyDescent="0.25">
      <c r="N10607" t="s">
        <v>904</v>
      </c>
    </row>
    <row r="10608" spans="14:14" ht="15" customHeight="1" x14ac:dyDescent="0.25">
      <c r="N10608" t="s">
        <v>904</v>
      </c>
    </row>
    <row r="10609" spans="14:14" ht="15" customHeight="1" x14ac:dyDescent="0.25">
      <c r="N10609" t="s">
        <v>904</v>
      </c>
    </row>
    <row r="10610" spans="14:14" ht="15" customHeight="1" x14ac:dyDescent="0.25">
      <c r="N10610" t="s">
        <v>904</v>
      </c>
    </row>
    <row r="10611" spans="14:14" ht="15" customHeight="1" x14ac:dyDescent="0.25">
      <c r="N10611" t="s">
        <v>904</v>
      </c>
    </row>
    <row r="10612" spans="14:14" ht="15" customHeight="1" x14ac:dyDescent="0.25">
      <c r="N10612" t="s">
        <v>906</v>
      </c>
    </row>
    <row r="10613" spans="14:14" ht="15" customHeight="1" x14ac:dyDescent="0.25">
      <c r="N10613" t="s">
        <v>909</v>
      </c>
    </row>
    <row r="10614" spans="14:14" ht="15" customHeight="1" x14ac:dyDescent="0.25">
      <c r="N10614" t="s">
        <v>912</v>
      </c>
    </row>
    <row r="10615" spans="14:14" ht="15" customHeight="1" x14ac:dyDescent="0.25">
      <c r="N10615" t="s">
        <v>914</v>
      </c>
    </row>
    <row r="10616" spans="14:14" ht="15" customHeight="1" x14ac:dyDescent="0.25">
      <c r="N10616" t="s">
        <v>917</v>
      </c>
    </row>
    <row r="10617" spans="14:14" ht="15" customHeight="1" x14ac:dyDescent="0.25">
      <c r="N10617" t="s">
        <v>901</v>
      </c>
    </row>
    <row r="10618" spans="14:14" ht="15" customHeight="1" x14ac:dyDescent="0.25">
      <c r="N10618" t="s">
        <v>901</v>
      </c>
    </row>
    <row r="10619" spans="14:14" ht="15" customHeight="1" x14ac:dyDescent="0.25">
      <c r="N10619" t="s">
        <v>897</v>
      </c>
    </row>
    <row r="10620" spans="14:14" ht="15" customHeight="1" x14ac:dyDescent="0.25">
      <c r="N10620" t="s">
        <v>897</v>
      </c>
    </row>
    <row r="10621" spans="14:14" ht="15" customHeight="1" x14ac:dyDescent="0.25">
      <c r="N10621" t="s">
        <v>921</v>
      </c>
    </row>
    <row r="10622" spans="14:14" ht="15" customHeight="1" x14ac:dyDescent="0.25">
      <c r="N10622" t="s">
        <v>897</v>
      </c>
    </row>
    <row r="10623" spans="14:14" ht="15" customHeight="1" x14ac:dyDescent="0.25">
      <c r="N10623" t="s">
        <v>909</v>
      </c>
    </row>
    <row r="10624" spans="14:14" ht="15" customHeight="1" x14ac:dyDescent="0.25">
      <c r="N10624" t="s">
        <v>254</v>
      </c>
    </row>
    <row r="10625" spans="14:14" ht="15" customHeight="1" x14ac:dyDescent="0.25">
      <c r="N10625" t="s">
        <v>927</v>
      </c>
    </row>
    <row r="10626" spans="14:14" ht="15" customHeight="1" x14ac:dyDescent="0.25">
      <c r="N10626" t="s">
        <v>914</v>
      </c>
    </row>
    <row r="10627" spans="14:14" ht="15" customHeight="1" x14ac:dyDescent="0.25">
      <c r="N10627" t="s">
        <v>933</v>
      </c>
    </row>
    <row r="10628" spans="14:14" ht="15" customHeight="1" x14ac:dyDescent="0.25">
      <c r="N10628" t="s">
        <v>934</v>
      </c>
    </row>
    <row r="10629" spans="14:14" ht="15" customHeight="1" x14ac:dyDescent="0.25">
      <c r="N10629" t="s">
        <v>914</v>
      </c>
    </row>
    <row r="10630" spans="14:14" ht="15" customHeight="1" x14ac:dyDescent="0.25">
      <c r="N10630" t="s">
        <v>938</v>
      </c>
    </row>
    <row r="10631" spans="14:14" ht="15" customHeight="1" x14ac:dyDescent="0.25">
      <c r="N10631" t="s">
        <v>940</v>
      </c>
    </row>
    <row r="10632" spans="14:14" ht="15" customHeight="1" x14ac:dyDescent="0.25">
      <c r="N10632" t="s">
        <v>942</v>
      </c>
    </row>
    <row r="10633" spans="14:14" ht="15" customHeight="1" x14ac:dyDescent="0.25">
      <c r="N10633" t="s">
        <v>943</v>
      </c>
    </row>
    <row r="10634" spans="14:14" ht="15" customHeight="1" x14ac:dyDescent="0.25">
      <c r="N10634" t="s">
        <v>943</v>
      </c>
    </row>
    <row r="10635" spans="14:14" ht="15" customHeight="1" x14ac:dyDescent="0.25">
      <c r="N10635" t="s">
        <v>943</v>
      </c>
    </row>
    <row r="10636" spans="14:14" ht="15" customHeight="1" x14ac:dyDescent="0.25">
      <c r="N10636" t="s">
        <v>943</v>
      </c>
    </row>
    <row r="10637" spans="14:14" ht="15" customHeight="1" x14ac:dyDescent="0.25">
      <c r="N10637" t="s">
        <v>943</v>
      </c>
    </row>
    <row r="10638" spans="14:14" ht="15" customHeight="1" x14ac:dyDescent="0.25">
      <c r="N10638" t="s">
        <v>943</v>
      </c>
    </row>
    <row r="10639" spans="14:14" ht="15" customHeight="1" x14ac:dyDescent="0.25">
      <c r="N10639" t="s">
        <v>945</v>
      </c>
    </row>
    <row r="10640" spans="14:14" ht="15" customHeight="1" x14ac:dyDescent="0.25">
      <c r="N10640" t="s">
        <v>946</v>
      </c>
    </row>
    <row r="10641" spans="14:14" ht="15" customHeight="1" x14ac:dyDescent="0.25">
      <c r="N10641" t="s">
        <v>914</v>
      </c>
    </row>
    <row r="10642" spans="14:14" ht="15" customHeight="1" x14ac:dyDescent="0.25">
      <c r="N10642" t="s">
        <v>934</v>
      </c>
    </row>
    <row r="10643" spans="14:14" ht="15" customHeight="1" x14ac:dyDescent="0.25">
      <c r="N10643" t="s">
        <v>951</v>
      </c>
    </row>
    <row r="10644" spans="14:14" ht="15" customHeight="1" x14ac:dyDescent="0.25">
      <c r="N10644" t="s">
        <v>894</v>
      </c>
    </row>
    <row r="10645" spans="14:14" ht="15" customHeight="1" x14ac:dyDescent="0.25">
      <c r="N10645" t="s">
        <v>917</v>
      </c>
    </row>
    <row r="10646" spans="14:14" ht="15" customHeight="1" x14ac:dyDescent="0.25">
      <c r="N10646" t="s">
        <v>917</v>
      </c>
    </row>
    <row r="10647" spans="14:14" ht="15" customHeight="1" x14ac:dyDescent="0.25">
      <c r="N10647" t="s">
        <v>914</v>
      </c>
    </row>
    <row r="10648" spans="14:14" ht="15" customHeight="1" x14ac:dyDescent="0.25">
      <c r="N10648" t="s">
        <v>958</v>
      </c>
    </row>
    <row r="10649" spans="14:14" ht="15" customHeight="1" x14ac:dyDescent="0.25">
      <c r="N10649" t="s">
        <v>914</v>
      </c>
    </row>
    <row r="10650" spans="14:14" ht="15" customHeight="1" x14ac:dyDescent="0.25">
      <c r="N10650" t="s">
        <v>961</v>
      </c>
    </row>
    <row r="10651" spans="14:14" ht="15" customHeight="1" x14ac:dyDescent="0.25">
      <c r="N10651" t="s">
        <v>961</v>
      </c>
    </row>
    <row r="10652" spans="14:14" ht="15" customHeight="1" x14ac:dyDescent="0.25">
      <c r="N10652" t="s">
        <v>961</v>
      </c>
    </row>
    <row r="10653" spans="14:14" ht="15" customHeight="1" x14ac:dyDescent="0.25">
      <c r="N10653" t="s">
        <v>914</v>
      </c>
    </row>
    <row r="10654" spans="14:14" ht="15" customHeight="1" x14ac:dyDescent="0.25">
      <c r="N10654" t="s">
        <v>921</v>
      </c>
    </row>
    <row r="10655" spans="14:14" ht="15" customHeight="1" x14ac:dyDescent="0.25">
      <c r="N10655" t="s">
        <v>921</v>
      </c>
    </row>
    <row r="10656" spans="14:14" ht="15" customHeight="1" x14ac:dyDescent="0.25">
      <c r="N10656" t="s">
        <v>969</v>
      </c>
    </row>
    <row r="10657" spans="14:14" ht="15" customHeight="1" x14ac:dyDescent="0.25">
      <c r="N10657" t="s">
        <v>933</v>
      </c>
    </row>
    <row r="10658" spans="14:14" ht="15" customHeight="1" x14ac:dyDescent="0.25">
      <c r="N10658" t="s">
        <v>940</v>
      </c>
    </row>
    <row r="10659" spans="14:14" ht="15" customHeight="1" x14ac:dyDescent="0.25">
      <c r="N10659" t="s">
        <v>940</v>
      </c>
    </row>
    <row r="10660" spans="14:14" ht="15" customHeight="1" x14ac:dyDescent="0.25">
      <c r="N10660" t="s">
        <v>719</v>
      </c>
    </row>
    <row r="10661" spans="14:14" ht="15" customHeight="1" x14ac:dyDescent="0.25">
      <c r="N10661" t="s">
        <v>719</v>
      </c>
    </row>
    <row r="10662" spans="14:14" ht="15" customHeight="1" x14ac:dyDescent="0.25">
      <c r="N10662" t="s">
        <v>719</v>
      </c>
    </row>
    <row r="10663" spans="14:14" ht="15" customHeight="1" x14ac:dyDescent="0.25">
      <c r="N10663" t="s">
        <v>894</v>
      </c>
    </row>
    <row r="10664" spans="14:14" ht="15" customHeight="1" x14ac:dyDescent="0.25">
      <c r="N10664" t="s">
        <v>286</v>
      </c>
    </row>
    <row r="10665" spans="14:14" ht="15" customHeight="1" x14ac:dyDescent="0.25">
      <c r="N10665" t="s">
        <v>286</v>
      </c>
    </row>
    <row r="10666" spans="14:14" ht="15" customHeight="1" x14ac:dyDescent="0.25">
      <c r="N10666" t="s">
        <v>286</v>
      </c>
    </row>
    <row r="10667" spans="14:14" ht="15" customHeight="1" x14ac:dyDescent="0.25">
      <c r="N10667" t="s">
        <v>319</v>
      </c>
    </row>
    <row r="10668" spans="14:14" ht="15" customHeight="1" x14ac:dyDescent="0.25">
      <c r="N10668" t="s">
        <v>249</v>
      </c>
    </row>
    <row r="10669" spans="14:14" ht="15" customHeight="1" x14ac:dyDescent="0.25">
      <c r="N10669" t="s">
        <v>319</v>
      </c>
    </row>
    <row r="10670" spans="14:14" ht="15" customHeight="1" x14ac:dyDescent="0.25">
      <c r="N10670" t="s">
        <v>286</v>
      </c>
    </row>
    <row r="10671" spans="14:14" ht="15" customHeight="1" x14ac:dyDescent="0.25">
      <c r="N10671" t="s">
        <v>224</v>
      </c>
    </row>
    <row r="10672" spans="14:14" ht="15" customHeight="1" x14ac:dyDescent="0.25">
      <c r="N10672" t="s">
        <v>818</v>
      </c>
    </row>
    <row r="10673" spans="14:14" ht="15" customHeight="1" x14ac:dyDescent="0.25">
      <c r="N10673" t="s">
        <v>249</v>
      </c>
    </row>
    <row r="10674" spans="14:14" ht="15" customHeight="1" x14ac:dyDescent="0.25">
      <c r="N10674" t="s">
        <v>249</v>
      </c>
    </row>
    <row r="10675" spans="14:14" ht="15" customHeight="1" x14ac:dyDescent="0.25">
      <c r="N10675" t="s">
        <v>249</v>
      </c>
    </row>
    <row r="10676" spans="14:14" ht="15" customHeight="1" x14ac:dyDescent="0.25">
      <c r="N10676" t="s">
        <v>319</v>
      </c>
    </row>
    <row r="10677" spans="14:14" ht="15" customHeight="1" x14ac:dyDescent="0.25">
      <c r="N10677" t="s">
        <v>319</v>
      </c>
    </row>
    <row r="10678" spans="14:14" ht="15" customHeight="1" x14ac:dyDescent="0.25">
      <c r="N10678" t="s">
        <v>334</v>
      </c>
    </row>
    <row r="10679" spans="14:14" ht="15" customHeight="1" x14ac:dyDescent="0.25">
      <c r="N10679" t="s">
        <v>249</v>
      </c>
    </row>
    <row r="10680" spans="14:14" ht="15" customHeight="1" x14ac:dyDescent="0.25">
      <c r="N10680" t="s">
        <v>719</v>
      </c>
    </row>
    <row r="10681" spans="14:14" ht="15" customHeight="1" x14ac:dyDescent="0.25">
      <c r="N10681" t="s">
        <v>719</v>
      </c>
    </row>
    <row r="10682" spans="14:14" ht="15" customHeight="1" x14ac:dyDescent="0.25">
      <c r="N10682" t="s">
        <v>978</v>
      </c>
    </row>
    <row r="10683" spans="14:14" ht="15" customHeight="1" x14ac:dyDescent="0.25">
      <c r="N10683" t="s">
        <v>294</v>
      </c>
    </row>
    <row r="10684" spans="14:14" ht="15" customHeight="1" x14ac:dyDescent="0.25">
      <c r="N10684" t="s">
        <v>319</v>
      </c>
    </row>
    <row r="10685" spans="14:14" ht="15" customHeight="1" x14ac:dyDescent="0.25">
      <c r="N10685" t="s">
        <v>286</v>
      </c>
    </row>
    <row r="10686" spans="14:14" ht="15" customHeight="1" x14ac:dyDescent="0.25">
      <c r="N10686" t="s">
        <v>319</v>
      </c>
    </row>
    <row r="10687" spans="14:14" ht="15" customHeight="1" x14ac:dyDescent="0.25">
      <c r="N10687" t="s">
        <v>319</v>
      </c>
    </row>
    <row r="10688" spans="14:14" ht="15" customHeight="1" x14ac:dyDescent="0.25">
      <c r="N10688" t="s">
        <v>286</v>
      </c>
    </row>
    <row r="10689" spans="14:14" ht="15" customHeight="1" x14ac:dyDescent="0.25">
      <c r="N10689" t="s">
        <v>286</v>
      </c>
    </row>
    <row r="10690" spans="14:14" ht="15" customHeight="1" x14ac:dyDescent="0.25">
      <c r="N10690" t="s">
        <v>719</v>
      </c>
    </row>
    <row r="10691" spans="14:14" ht="15" customHeight="1" x14ac:dyDescent="0.25">
      <c r="N10691" t="s">
        <v>273</v>
      </c>
    </row>
    <row r="10692" spans="14:14" ht="15" customHeight="1" x14ac:dyDescent="0.25">
      <c r="N10692" t="s">
        <v>249</v>
      </c>
    </row>
    <row r="10693" spans="14:14" ht="15" customHeight="1" x14ac:dyDescent="0.25">
      <c r="N10693" t="s">
        <v>319</v>
      </c>
    </row>
    <row r="10694" spans="14:14" ht="15" customHeight="1" x14ac:dyDescent="0.25">
      <c r="N10694" t="s">
        <v>254</v>
      </c>
    </row>
    <row r="10695" spans="14:14" ht="15" customHeight="1" x14ac:dyDescent="0.25">
      <c r="N10695" t="s">
        <v>1151</v>
      </c>
    </row>
    <row r="10696" spans="14:14" ht="15" customHeight="1" x14ac:dyDescent="0.25">
      <c r="N10696" t="s">
        <v>980</v>
      </c>
    </row>
    <row r="10697" spans="14:14" ht="15" customHeight="1" x14ac:dyDescent="0.25">
      <c r="N10697" t="s">
        <v>900</v>
      </c>
    </row>
    <row r="10698" spans="14:14" ht="15" customHeight="1" x14ac:dyDescent="0.25">
      <c r="N10698" t="s">
        <v>900</v>
      </c>
    </row>
    <row r="10699" spans="14:14" ht="15" customHeight="1" x14ac:dyDescent="0.25">
      <c r="N10699" t="s">
        <v>900</v>
      </c>
    </row>
    <row r="10700" spans="14:14" ht="15" customHeight="1" x14ac:dyDescent="0.25">
      <c r="N10700" t="s">
        <v>984</v>
      </c>
    </row>
    <row r="10701" spans="14:14" ht="15" customHeight="1" x14ac:dyDescent="0.25">
      <c r="N10701" t="s">
        <v>900</v>
      </c>
    </row>
    <row r="10702" spans="14:14" ht="15" customHeight="1" x14ac:dyDescent="0.25">
      <c r="N10702" t="s">
        <v>900</v>
      </c>
    </row>
    <row r="10703" spans="14:14" ht="15" customHeight="1" x14ac:dyDescent="0.25">
      <c r="N10703" t="s">
        <v>906</v>
      </c>
    </row>
    <row r="10704" spans="14:14" ht="15" customHeight="1" x14ac:dyDescent="0.25">
      <c r="N10704" t="s">
        <v>988</v>
      </c>
    </row>
    <row r="10705" spans="14:14" ht="15" customHeight="1" x14ac:dyDescent="0.25">
      <c r="N10705" t="s">
        <v>914</v>
      </c>
    </row>
    <row r="10706" spans="14:14" ht="15" customHeight="1" x14ac:dyDescent="0.25">
      <c r="N10706" t="s">
        <v>917</v>
      </c>
    </row>
    <row r="10707" spans="14:14" ht="15" customHeight="1" x14ac:dyDescent="0.25">
      <c r="N10707" t="s">
        <v>933</v>
      </c>
    </row>
    <row r="10708" spans="14:14" ht="15" customHeight="1" x14ac:dyDescent="0.25">
      <c r="N10708" t="s">
        <v>933</v>
      </c>
    </row>
    <row r="10709" spans="14:14" ht="15" customHeight="1" x14ac:dyDescent="0.25">
      <c r="N10709" t="s">
        <v>993</v>
      </c>
    </row>
    <row r="10710" spans="14:14" ht="15" customHeight="1" x14ac:dyDescent="0.25">
      <c r="N10710" t="s">
        <v>993</v>
      </c>
    </row>
    <row r="10711" spans="14:14" ht="15" customHeight="1" x14ac:dyDescent="0.25">
      <c r="N10711" t="s">
        <v>921</v>
      </c>
    </row>
    <row r="10712" spans="14:14" ht="15" customHeight="1" x14ac:dyDescent="0.25">
      <c r="N10712" t="s">
        <v>909</v>
      </c>
    </row>
    <row r="10713" spans="14:14" ht="15" customHeight="1" x14ac:dyDescent="0.25">
      <c r="N10713" t="s">
        <v>254</v>
      </c>
    </row>
    <row r="10714" spans="14:14" ht="15" customHeight="1" x14ac:dyDescent="0.25">
      <c r="N10714" t="s">
        <v>914</v>
      </c>
    </row>
    <row r="10715" spans="14:14" ht="15" customHeight="1" x14ac:dyDescent="0.25">
      <c r="N10715" t="s">
        <v>933</v>
      </c>
    </row>
    <row r="10716" spans="14:14" ht="15" customHeight="1" x14ac:dyDescent="0.25">
      <c r="N10716" t="s">
        <v>998</v>
      </c>
    </row>
    <row r="10717" spans="14:14" ht="15" customHeight="1" x14ac:dyDescent="0.25">
      <c r="N10717" t="s">
        <v>1000</v>
      </c>
    </row>
    <row r="10718" spans="14:14" ht="15" customHeight="1" x14ac:dyDescent="0.25">
      <c r="N10718" t="s">
        <v>914</v>
      </c>
    </row>
    <row r="10719" spans="14:14" ht="15" customHeight="1" x14ac:dyDescent="0.25">
      <c r="N10719" t="s">
        <v>1002</v>
      </c>
    </row>
    <row r="10720" spans="14:14" ht="15" customHeight="1" x14ac:dyDescent="0.25">
      <c r="N10720" t="s">
        <v>942</v>
      </c>
    </row>
    <row r="10721" spans="14:14" ht="15" customHeight="1" x14ac:dyDescent="0.25">
      <c r="N10721" t="s">
        <v>1004</v>
      </c>
    </row>
    <row r="10722" spans="14:14" ht="15" customHeight="1" x14ac:dyDescent="0.25">
      <c r="N10722" t="s">
        <v>1005</v>
      </c>
    </row>
    <row r="10723" spans="14:14" ht="15" customHeight="1" x14ac:dyDescent="0.25">
      <c r="N10723" t="s">
        <v>943</v>
      </c>
    </row>
    <row r="10724" spans="14:14" ht="15" customHeight="1" x14ac:dyDescent="0.25">
      <c r="N10724" t="s">
        <v>943</v>
      </c>
    </row>
    <row r="10725" spans="14:14" ht="15" customHeight="1" x14ac:dyDescent="0.25">
      <c r="N10725" t="s">
        <v>943</v>
      </c>
    </row>
    <row r="10726" spans="14:14" ht="15" customHeight="1" x14ac:dyDescent="0.25">
      <c r="N10726" t="s">
        <v>943</v>
      </c>
    </row>
    <row r="10727" spans="14:14" ht="15" customHeight="1" x14ac:dyDescent="0.25">
      <c r="N10727" t="s">
        <v>943</v>
      </c>
    </row>
    <row r="10728" spans="14:14" ht="15" customHeight="1" x14ac:dyDescent="0.25">
      <c r="N10728" t="s">
        <v>943</v>
      </c>
    </row>
    <row r="10729" spans="14:14" ht="15" customHeight="1" x14ac:dyDescent="0.25">
      <c r="N10729" t="s">
        <v>1007</v>
      </c>
    </row>
    <row r="10730" spans="14:14" ht="15" customHeight="1" x14ac:dyDescent="0.25">
      <c r="N10730" t="s">
        <v>901</v>
      </c>
    </row>
    <row r="10731" spans="14:14" ht="15" customHeight="1" x14ac:dyDescent="0.25">
      <c r="N10731" t="s">
        <v>912</v>
      </c>
    </row>
    <row r="10732" spans="14:14" ht="15" customHeight="1" x14ac:dyDescent="0.25">
      <c r="N10732" t="s">
        <v>901</v>
      </c>
    </row>
    <row r="10733" spans="14:14" ht="15" customHeight="1" x14ac:dyDescent="0.25">
      <c r="N10733" t="s">
        <v>917</v>
      </c>
    </row>
    <row r="10734" spans="14:14" ht="15" customHeight="1" x14ac:dyDescent="0.25">
      <c r="N10734" t="s">
        <v>1011</v>
      </c>
    </row>
    <row r="10735" spans="14:14" ht="15" customHeight="1" x14ac:dyDescent="0.25">
      <c r="N10735" t="s">
        <v>914</v>
      </c>
    </row>
    <row r="10736" spans="14:14" ht="15" customHeight="1" x14ac:dyDescent="0.25">
      <c r="N10736" t="s">
        <v>909</v>
      </c>
    </row>
    <row r="10737" spans="14:14" ht="15" customHeight="1" x14ac:dyDescent="0.25">
      <c r="N10737" t="s">
        <v>914</v>
      </c>
    </row>
    <row r="10738" spans="14:14" ht="15" customHeight="1" x14ac:dyDescent="0.25">
      <c r="N10738" t="s">
        <v>1015</v>
      </c>
    </row>
    <row r="10739" spans="14:14" ht="15" customHeight="1" x14ac:dyDescent="0.25">
      <c r="N10739" t="s">
        <v>1015</v>
      </c>
    </row>
    <row r="10740" spans="14:14" ht="15" customHeight="1" x14ac:dyDescent="0.25">
      <c r="N10740" t="s">
        <v>1015</v>
      </c>
    </row>
    <row r="10741" spans="14:14" ht="15" customHeight="1" x14ac:dyDescent="0.25">
      <c r="N10741" t="s">
        <v>969</v>
      </c>
    </row>
    <row r="10742" spans="14:14" ht="15" customHeight="1" x14ac:dyDescent="0.25">
      <c r="N10742" t="s">
        <v>934</v>
      </c>
    </row>
    <row r="10743" spans="14:14" ht="15" customHeight="1" x14ac:dyDescent="0.25">
      <c r="N10743" t="s">
        <v>894</v>
      </c>
    </row>
    <row r="10744" spans="14:14" ht="15" customHeight="1" x14ac:dyDescent="0.25">
      <c r="N10744" t="s">
        <v>894</v>
      </c>
    </row>
    <row r="10745" spans="14:14" ht="15" customHeight="1" x14ac:dyDescent="0.25">
      <c r="N10745" t="s">
        <v>319</v>
      </c>
    </row>
    <row r="10746" spans="14:14" ht="15" customHeight="1" x14ac:dyDescent="0.25">
      <c r="N10746" t="s">
        <v>319</v>
      </c>
    </row>
    <row r="10747" spans="14:14" ht="15" customHeight="1" x14ac:dyDescent="0.25">
      <c r="N10747" t="s">
        <v>319</v>
      </c>
    </row>
    <row r="10748" spans="14:14" ht="15" customHeight="1" x14ac:dyDescent="0.25">
      <c r="N10748" t="s">
        <v>894</v>
      </c>
    </row>
    <row r="10749" spans="14:14" ht="15" customHeight="1" x14ac:dyDescent="0.25">
      <c r="N10749" t="s">
        <v>254</v>
      </c>
    </row>
    <row r="10750" spans="14:14" ht="15" customHeight="1" x14ac:dyDescent="0.25">
      <c r="N10750" t="s">
        <v>254</v>
      </c>
    </row>
    <row r="10751" spans="14:14" ht="15" customHeight="1" x14ac:dyDescent="0.25">
      <c r="N10751" t="s">
        <v>254</v>
      </c>
    </row>
    <row r="10752" spans="14:14" ht="15" customHeight="1" x14ac:dyDescent="0.25">
      <c r="N10752" t="s">
        <v>249</v>
      </c>
    </row>
    <row r="10753" spans="14:14" ht="15" customHeight="1" x14ac:dyDescent="0.25">
      <c r="N10753" t="s">
        <v>1018</v>
      </c>
    </row>
    <row r="10754" spans="14:14" ht="15" customHeight="1" x14ac:dyDescent="0.25">
      <c r="N10754" t="s">
        <v>1019</v>
      </c>
    </row>
    <row r="10755" spans="14:14" ht="15" customHeight="1" x14ac:dyDescent="0.25">
      <c r="N10755" t="s">
        <v>1021</v>
      </c>
    </row>
    <row r="10756" spans="14:14" ht="15" customHeight="1" x14ac:dyDescent="0.25">
      <c r="N10756" t="s">
        <v>223</v>
      </c>
    </row>
    <row r="10757" spans="14:14" ht="15" customHeight="1" x14ac:dyDescent="0.25">
      <c r="N10757" t="s">
        <v>223</v>
      </c>
    </row>
    <row r="10758" spans="14:14" ht="15" customHeight="1" x14ac:dyDescent="0.25">
      <c r="N10758" t="s">
        <v>223</v>
      </c>
    </row>
    <row r="10759" spans="14:14" ht="15" customHeight="1" x14ac:dyDescent="0.25">
      <c r="N10759" t="s">
        <v>717</v>
      </c>
    </row>
    <row r="10760" spans="14:14" ht="15" customHeight="1" x14ac:dyDescent="0.25">
      <c r="N10760" t="s">
        <v>717</v>
      </c>
    </row>
    <row r="10761" spans="14:14" ht="15" customHeight="1" x14ac:dyDescent="0.25">
      <c r="N10761" t="s">
        <v>294</v>
      </c>
    </row>
    <row r="10762" spans="14:14" ht="15" customHeight="1" x14ac:dyDescent="0.25">
      <c r="N10762" t="s">
        <v>254</v>
      </c>
    </row>
    <row r="10763" spans="14:14" ht="15" customHeight="1" x14ac:dyDescent="0.25">
      <c r="N10763" t="s">
        <v>254</v>
      </c>
    </row>
    <row r="10764" spans="14:14" ht="15" customHeight="1" x14ac:dyDescent="0.25">
      <c r="N10764" t="s">
        <v>254</v>
      </c>
    </row>
    <row r="10765" spans="14:14" ht="15" customHeight="1" x14ac:dyDescent="0.25">
      <c r="N10765" t="s">
        <v>319</v>
      </c>
    </row>
    <row r="10766" spans="14:14" ht="15" customHeight="1" x14ac:dyDescent="0.25">
      <c r="N10766" t="s">
        <v>273</v>
      </c>
    </row>
    <row r="10767" spans="14:14" ht="15" customHeight="1" x14ac:dyDescent="0.25">
      <c r="N10767" t="s">
        <v>319</v>
      </c>
    </row>
    <row r="10768" spans="14:14" ht="15" customHeight="1" x14ac:dyDescent="0.25">
      <c r="N10768" t="s">
        <v>1329</v>
      </c>
    </row>
    <row r="10769" spans="14:14" ht="15" customHeight="1" x14ac:dyDescent="0.25">
      <c r="N10769" t="s">
        <v>319</v>
      </c>
    </row>
    <row r="10770" spans="14:14" ht="15" customHeight="1" x14ac:dyDescent="0.25">
      <c r="N10770" t="s">
        <v>254</v>
      </c>
    </row>
    <row r="10771" spans="14:14" ht="15" customHeight="1" x14ac:dyDescent="0.25">
      <c r="N10771" t="s">
        <v>1005</v>
      </c>
    </row>
    <row r="10772" spans="14:14" ht="15" customHeight="1" x14ac:dyDescent="0.25">
      <c r="N10772" t="s">
        <v>1005</v>
      </c>
    </row>
    <row r="10773" spans="14:14" ht="15" customHeight="1" x14ac:dyDescent="0.25">
      <c r="N10773" t="s">
        <v>1005</v>
      </c>
    </row>
    <row r="10774" spans="14:14" ht="15" customHeight="1" x14ac:dyDescent="0.25">
      <c r="N10774" t="s">
        <v>1004</v>
      </c>
    </row>
    <row r="10775" spans="14:14" ht="15" customHeight="1" x14ac:dyDescent="0.25">
      <c r="N10775" t="s">
        <v>1004</v>
      </c>
    </row>
    <row r="10776" spans="14:14" ht="15" customHeight="1" x14ac:dyDescent="0.25">
      <c r="N10776" t="s">
        <v>1004</v>
      </c>
    </row>
    <row r="10777" spans="14:14" ht="15" customHeight="1" x14ac:dyDescent="0.25">
      <c r="N10777" t="s">
        <v>1004</v>
      </c>
    </row>
    <row r="10778" spans="14:14" ht="15" customHeight="1" x14ac:dyDescent="0.25">
      <c r="N10778" t="s">
        <v>1004</v>
      </c>
    </row>
    <row r="10779" spans="14:14" ht="15" customHeight="1" x14ac:dyDescent="0.25">
      <c r="N10779" t="s">
        <v>1004</v>
      </c>
    </row>
    <row r="10780" spans="14:14" ht="15" customHeight="1" x14ac:dyDescent="0.25">
      <c r="N10780" t="s">
        <v>1004</v>
      </c>
    </row>
    <row r="10781" spans="14:14" ht="15" customHeight="1" x14ac:dyDescent="0.25">
      <c r="N10781" t="s">
        <v>1004</v>
      </c>
    </row>
    <row r="10782" spans="14:14" ht="15" customHeight="1" x14ac:dyDescent="0.25">
      <c r="N10782" t="s">
        <v>1004</v>
      </c>
    </row>
    <row r="10783" spans="14:14" ht="15" customHeight="1" x14ac:dyDescent="0.25">
      <c r="N10783" t="s">
        <v>1004</v>
      </c>
    </row>
    <row r="10784" spans="14:14" ht="15" customHeight="1" x14ac:dyDescent="0.25">
      <c r="N10784" t="s">
        <v>1023</v>
      </c>
    </row>
    <row r="10785" spans="14:14" ht="15" customHeight="1" x14ac:dyDescent="0.25">
      <c r="N10785" t="s">
        <v>1023</v>
      </c>
    </row>
    <row r="10786" spans="14:14" ht="15" customHeight="1" x14ac:dyDescent="0.25">
      <c r="N10786" t="s">
        <v>1004</v>
      </c>
    </row>
    <row r="10787" spans="14:14" ht="15" customHeight="1" x14ac:dyDescent="0.25">
      <c r="N10787" t="s">
        <v>1027</v>
      </c>
    </row>
    <row r="10788" spans="14:14" ht="15" customHeight="1" x14ac:dyDescent="0.25">
      <c r="N10788" t="s">
        <v>1029</v>
      </c>
    </row>
    <row r="10789" spans="14:14" ht="15" customHeight="1" x14ac:dyDescent="0.25">
      <c r="N10789" t="s">
        <v>1029</v>
      </c>
    </row>
    <row r="10790" spans="14:14" ht="15" customHeight="1" x14ac:dyDescent="0.25">
      <c r="N10790" t="s">
        <v>1029</v>
      </c>
    </row>
    <row r="10791" spans="14:14" ht="15" customHeight="1" x14ac:dyDescent="0.25">
      <c r="N10791" t="s">
        <v>1029</v>
      </c>
    </row>
    <row r="10792" spans="14:14" ht="15" customHeight="1" x14ac:dyDescent="0.25">
      <c r="N10792" t="s">
        <v>1029</v>
      </c>
    </row>
    <row r="10793" spans="14:14" ht="15" customHeight="1" x14ac:dyDescent="0.25">
      <c r="N10793" t="s">
        <v>930</v>
      </c>
    </row>
    <row r="10794" spans="14:14" ht="15" customHeight="1" x14ac:dyDescent="0.25">
      <c r="N10794" t="s">
        <v>971</v>
      </c>
    </row>
    <row r="10795" spans="14:14" ht="15" customHeight="1" x14ac:dyDescent="0.25">
      <c r="N10795" t="s">
        <v>971</v>
      </c>
    </row>
    <row r="10796" spans="14:14" ht="15" customHeight="1" x14ac:dyDescent="0.25">
      <c r="N10796" t="s">
        <v>907</v>
      </c>
    </row>
    <row r="10797" spans="14:14" ht="15" customHeight="1" x14ac:dyDescent="0.25">
      <c r="N10797" t="s">
        <v>1034</v>
      </c>
    </row>
    <row r="10798" spans="14:14" ht="15" customHeight="1" x14ac:dyDescent="0.25">
      <c r="N10798" t="s">
        <v>901</v>
      </c>
    </row>
    <row r="10799" spans="14:14" ht="15" customHeight="1" x14ac:dyDescent="0.25">
      <c r="N10799" t="s">
        <v>1011</v>
      </c>
    </row>
    <row r="10800" spans="14:14" ht="15" customHeight="1" x14ac:dyDescent="0.25">
      <c r="N10800" t="s">
        <v>985</v>
      </c>
    </row>
    <row r="10801" spans="14:14" ht="15" customHeight="1" x14ac:dyDescent="0.25">
      <c r="N10801" t="s">
        <v>985</v>
      </c>
    </row>
    <row r="10802" spans="14:14" ht="15" customHeight="1" x14ac:dyDescent="0.25">
      <c r="N10802" t="s">
        <v>901</v>
      </c>
    </row>
    <row r="10803" spans="14:14" ht="15" customHeight="1" x14ac:dyDescent="0.25">
      <c r="N10803" t="s">
        <v>958</v>
      </c>
    </row>
    <row r="10804" spans="14:14" ht="15" customHeight="1" x14ac:dyDescent="0.25">
      <c r="N10804" t="s">
        <v>1037</v>
      </c>
    </row>
    <row r="10805" spans="14:14" ht="15" customHeight="1" x14ac:dyDescent="0.25">
      <c r="N10805" t="s">
        <v>1039</v>
      </c>
    </row>
    <row r="10806" spans="14:14" ht="15" customHeight="1" x14ac:dyDescent="0.25">
      <c r="N10806" t="s">
        <v>930</v>
      </c>
    </row>
    <row r="10807" spans="14:14" ht="15" customHeight="1" x14ac:dyDescent="0.25">
      <c r="N10807" t="s">
        <v>1042</v>
      </c>
    </row>
    <row r="10808" spans="14:14" ht="15" customHeight="1" x14ac:dyDescent="0.25">
      <c r="N10808" t="s">
        <v>1000</v>
      </c>
    </row>
    <row r="10809" spans="14:14" ht="15" customHeight="1" x14ac:dyDescent="0.25">
      <c r="N10809" t="s">
        <v>894</v>
      </c>
    </row>
    <row r="10810" spans="14:14" ht="15" customHeight="1" x14ac:dyDescent="0.25">
      <c r="N10810" t="s">
        <v>1044</v>
      </c>
    </row>
    <row r="10811" spans="14:14" ht="15" customHeight="1" x14ac:dyDescent="0.25">
      <c r="N10811" t="s">
        <v>958</v>
      </c>
    </row>
    <row r="10812" spans="14:14" ht="15" customHeight="1" x14ac:dyDescent="0.25">
      <c r="N10812" t="s">
        <v>1004</v>
      </c>
    </row>
    <row r="10813" spans="14:14" ht="15" customHeight="1" x14ac:dyDescent="0.25">
      <c r="N10813" t="s">
        <v>1005</v>
      </c>
    </row>
    <row r="10814" spans="14:14" ht="15" customHeight="1" x14ac:dyDescent="0.25">
      <c r="N10814" t="s">
        <v>969</v>
      </c>
    </row>
    <row r="10815" spans="14:14" ht="15" customHeight="1" x14ac:dyDescent="0.25">
      <c r="N10815" t="s">
        <v>969</v>
      </c>
    </row>
    <row r="10816" spans="14:14" ht="15" customHeight="1" x14ac:dyDescent="0.25">
      <c r="N10816" t="s">
        <v>969</v>
      </c>
    </row>
    <row r="10817" spans="14:14" ht="15" customHeight="1" x14ac:dyDescent="0.25">
      <c r="N10817" t="s">
        <v>969</v>
      </c>
    </row>
    <row r="10818" spans="14:14" ht="15" customHeight="1" x14ac:dyDescent="0.25">
      <c r="N10818" t="s">
        <v>969</v>
      </c>
    </row>
    <row r="10819" spans="14:14" ht="15" customHeight="1" x14ac:dyDescent="0.25">
      <c r="N10819" t="s">
        <v>969</v>
      </c>
    </row>
    <row r="10820" spans="14:14" ht="15" customHeight="1" x14ac:dyDescent="0.25">
      <c r="N10820" t="s">
        <v>1007</v>
      </c>
    </row>
    <row r="10821" spans="14:14" ht="15" customHeight="1" x14ac:dyDescent="0.25">
      <c r="N10821" t="s">
        <v>998</v>
      </c>
    </row>
    <row r="10822" spans="14:14" ht="15" customHeight="1" x14ac:dyDescent="0.25">
      <c r="N10822" t="s">
        <v>980</v>
      </c>
    </row>
    <row r="10823" spans="14:14" ht="15" customHeight="1" x14ac:dyDescent="0.25">
      <c r="N10823" t="s">
        <v>1049</v>
      </c>
    </row>
    <row r="10824" spans="14:14" ht="15" customHeight="1" x14ac:dyDescent="0.25">
      <c r="N10824" t="s">
        <v>914</v>
      </c>
    </row>
    <row r="10825" spans="14:14" ht="15" customHeight="1" x14ac:dyDescent="0.25">
      <c r="N10825" t="s">
        <v>901</v>
      </c>
    </row>
    <row r="10826" spans="14:14" ht="15" customHeight="1" x14ac:dyDescent="0.25">
      <c r="N10826" t="s">
        <v>914</v>
      </c>
    </row>
    <row r="10827" spans="14:14" ht="15" customHeight="1" x14ac:dyDescent="0.25">
      <c r="N10827" t="s">
        <v>901</v>
      </c>
    </row>
    <row r="10828" spans="14:14" ht="15" customHeight="1" x14ac:dyDescent="0.25">
      <c r="N10828" t="s">
        <v>901</v>
      </c>
    </row>
    <row r="10829" spans="14:14" ht="15" customHeight="1" x14ac:dyDescent="0.25">
      <c r="N10829" t="s">
        <v>901</v>
      </c>
    </row>
    <row r="10830" spans="14:14" ht="15" customHeight="1" x14ac:dyDescent="0.25">
      <c r="N10830" t="s">
        <v>1055</v>
      </c>
    </row>
    <row r="10831" spans="14:14" ht="15" customHeight="1" x14ac:dyDescent="0.25">
      <c r="N10831" t="s">
        <v>969</v>
      </c>
    </row>
    <row r="10832" spans="14:14" ht="15" customHeight="1" x14ac:dyDescent="0.25">
      <c r="N10832" t="s">
        <v>1042</v>
      </c>
    </row>
    <row r="10833" spans="14:14" ht="15" customHeight="1" x14ac:dyDescent="0.25">
      <c r="N10833" t="s">
        <v>1057</v>
      </c>
    </row>
    <row r="10834" spans="14:14" ht="15" customHeight="1" x14ac:dyDescent="0.25">
      <c r="N10834" t="s">
        <v>1057</v>
      </c>
    </row>
    <row r="10835" spans="14:14" ht="15" customHeight="1" x14ac:dyDescent="0.25">
      <c r="N10835" t="s">
        <v>223</v>
      </c>
    </row>
    <row r="10836" spans="14:14" ht="15" customHeight="1" x14ac:dyDescent="0.25">
      <c r="N10836" t="s">
        <v>223</v>
      </c>
    </row>
    <row r="10837" spans="14:14" ht="15" customHeight="1" x14ac:dyDescent="0.25">
      <c r="N10837" t="s">
        <v>223</v>
      </c>
    </row>
    <row r="10838" spans="14:14" ht="15" customHeight="1" x14ac:dyDescent="0.25">
      <c r="N10838" t="s">
        <v>894</v>
      </c>
    </row>
    <row r="10839" spans="14:14" ht="15" customHeight="1" x14ac:dyDescent="0.25">
      <c r="N10839" t="s">
        <v>273</v>
      </c>
    </row>
    <row r="10840" spans="14:14" ht="15" customHeight="1" x14ac:dyDescent="0.25">
      <c r="N10840" t="s">
        <v>301</v>
      </c>
    </row>
    <row r="10841" spans="14:14" ht="15" customHeight="1" x14ac:dyDescent="0.25">
      <c r="N10841" t="s">
        <v>223</v>
      </c>
    </row>
    <row r="10842" spans="14:14" ht="15" customHeight="1" x14ac:dyDescent="0.25">
      <c r="N10842" t="s">
        <v>231</v>
      </c>
    </row>
    <row r="10843" spans="14:14" ht="15" customHeight="1" x14ac:dyDescent="0.25">
      <c r="N10843" t="s">
        <v>470</v>
      </c>
    </row>
    <row r="10844" spans="14:14" ht="15" customHeight="1" x14ac:dyDescent="0.25">
      <c r="N10844" t="s">
        <v>1062</v>
      </c>
    </row>
    <row r="10845" spans="14:14" ht="15" customHeight="1" x14ac:dyDescent="0.25">
      <c r="N10845" t="s">
        <v>1063</v>
      </c>
    </row>
    <row r="10846" spans="14:14" ht="15" customHeight="1" x14ac:dyDescent="0.25">
      <c r="N10846" t="s">
        <v>1005</v>
      </c>
    </row>
    <row r="10847" spans="14:14" ht="15" customHeight="1" x14ac:dyDescent="0.25">
      <c r="N10847" t="s">
        <v>254</v>
      </c>
    </row>
    <row r="10848" spans="14:14" ht="15" customHeight="1" x14ac:dyDescent="0.25">
      <c r="N10848" t="s">
        <v>254</v>
      </c>
    </row>
    <row r="10849" spans="14:14" ht="15" customHeight="1" x14ac:dyDescent="0.25">
      <c r="N10849" t="s">
        <v>334</v>
      </c>
    </row>
    <row r="10850" spans="14:14" ht="15" customHeight="1" x14ac:dyDescent="0.25">
      <c r="N10850" t="s">
        <v>273</v>
      </c>
    </row>
    <row r="10851" spans="14:14" ht="15" customHeight="1" x14ac:dyDescent="0.25">
      <c r="N10851" t="s">
        <v>319</v>
      </c>
    </row>
    <row r="10852" spans="14:14" ht="15" customHeight="1" x14ac:dyDescent="0.25">
      <c r="N10852" t="s">
        <v>1331</v>
      </c>
    </row>
    <row r="10853" spans="14:14" ht="15" customHeight="1" x14ac:dyDescent="0.25">
      <c r="N10853" t="s">
        <v>319</v>
      </c>
    </row>
    <row r="10854" spans="14:14" ht="15" customHeight="1" x14ac:dyDescent="0.25">
      <c r="N10854" t="s">
        <v>1005</v>
      </c>
    </row>
    <row r="10855" spans="14:14" ht="15" customHeight="1" x14ac:dyDescent="0.25">
      <c r="N10855" t="s">
        <v>1005</v>
      </c>
    </row>
    <row r="10856" spans="14:14" ht="15" customHeight="1" x14ac:dyDescent="0.25">
      <c r="N10856" t="s">
        <v>1005</v>
      </c>
    </row>
    <row r="10857" spans="14:14" ht="15" customHeight="1" x14ac:dyDescent="0.25">
      <c r="N10857" t="s">
        <v>1066</v>
      </c>
    </row>
    <row r="10858" spans="14:14" ht="15" customHeight="1" x14ac:dyDescent="0.25">
      <c r="N10858" t="s">
        <v>1066</v>
      </c>
    </row>
    <row r="10859" spans="14:14" ht="15" customHeight="1" x14ac:dyDescent="0.25">
      <c r="N10859" t="s">
        <v>1066</v>
      </c>
    </row>
    <row r="10860" spans="14:14" ht="15" customHeight="1" x14ac:dyDescent="0.25">
      <c r="N10860" t="s">
        <v>1066</v>
      </c>
    </row>
    <row r="10861" spans="14:14" ht="15" customHeight="1" x14ac:dyDescent="0.25">
      <c r="N10861" t="s">
        <v>1066</v>
      </c>
    </row>
    <row r="10862" spans="14:14" ht="15" customHeight="1" x14ac:dyDescent="0.25">
      <c r="N10862" t="s">
        <v>1066</v>
      </c>
    </row>
    <row r="10863" spans="14:14" ht="15" customHeight="1" x14ac:dyDescent="0.25">
      <c r="N10863" t="s">
        <v>1066</v>
      </c>
    </row>
    <row r="10864" spans="14:14" ht="15" customHeight="1" x14ac:dyDescent="0.25">
      <c r="N10864" t="s">
        <v>1066</v>
      </c>
    </row>
    <row r="10865" spans="14:14" ht="15" customHeight="1" x14ac:dyDescent="0.25">
      <c r="N10865" t="s">
        <v>1066</v>
      </c>
    </row>
    <row r="10866" spans="14:14" ht="15" customHeight="1" x14ac:dyDescent="0.25">
      <c r="N10866" t="s">
        <v>1066</v>
      </c>
    </row>
    <row r="10867" spans="14:14" ht="15" customHeight="1" x14ac:dyDescent="0.25">
      <c r="N10867" t="s">
        <v>930</v>
      </c>
    </row>
    <row r="10868" spans="14:14" ht="15" customHeight="1" x14ac:dyDescent="0.25">
      <c r="N10868" t="s">
        <v>930</v>
      </c>
    </row>
    <row r="10869" spans="14:14" ht="15" customHeight="1" x14ac:dyDescent="0.25">
      <c r="N10869" t="s">
        <v>1004</v>
      </c>
    </row>
    <row r="10870" spans="14:14" ht="15" customHeight="1" x14ac:dyDescent="0.25">
      <c r="N10870" t="s">
        <v>901</v>
      </c>
    </row>
    <row r="10871" spans="14:14" ht="15" customHeight="1" x14ac:dyDescent="0.25">
      <c r="N10871" t="s">
        <v>901</v>
      </c>
    </row>
    <row r="10872" spans="14:14" ht="15" customHeight="1" x14ac:dyDescent="0.25">
      <c r="N10872" t="s">
        <v>901</v>
      </c>
    </row>
    <row r="10873" spans="14:14" ht="15" customHeight="1" x14ac:dyDescent="0.25">
      <c r="N10873" t="s">
        <v>901</v>
      </c>
    </row>
    <row r="10874" spans="14:14" ht="15" customHeight="1" x14ac:dyDescent="0.25">
      <c r="N10874" t="s">
        <v>901</v>
      </c>
    </row>
    <row r="10875" spans="14:14" ht="15" customHeight="1" x14ac:dyDescent="0.25">
      <c r="N10875" t="s">
        <v>1068</v>
      </c>
    </row>
    <row r="10876" spans="14:14" ht="15" customHeight="1" x14ac:dyDescent="0.25">
      <c r="N10876" t="s">
        <v>1070</v>
      </c>
    </row>
    <row r="10877" spans="14:14" ht="15" customHeight="1" x14ac:dyDescent="0.25">
      <c r="N10877" t="s">
        <v>1070</v>
      </c>
    </row>
    <row r="10878" spans="14:14" ht="15" customHeight="1" x14ac:dyDescent="0.25">
      <c r="N10878" t="s">
        <v>1072</v>
      </c>
    </row>
    <row r="10879" spans="14:14" ht="15" customHeight="1" x14ac:dyDescent="0.25">
      <c r="N10879" t="s">
        <v>1072</v>
      </c>
    </row>
    <row r="10880" spans="14:14" ht="15" customHeight="1" x14ac:dyDescent="0.25">
      <c r="N10880" t="s">
        <v>894</v>
      </c>
    </row>
    <row r="10881" spans="14:14" ht="15" customHeight="1" x14ac:dyDescent="0.25">
      <c r="N10881" t="s">
        <v>1042</v>
      </c>
    </row>
    <row r="10882" spans="14:14" ht="15" customHeight="1" x14ac:dyDescent="0.25">
      <c r="N10882" t="s">
        <v>1042</v>
      </c>
    </row>
    <row r="10883" spans="14:14" ht="15" customHeight="1" x14ac:dyDescent="0.25">
      <c r="N10883" t="s">
        <v>1004</v>
      </c>
    </row>
    <row r="10884" spans="14:14" ht="15" customHeight="1" x14ac:dyDescent="0.25">
      <c r="N10884" t="s">
        <v>1004</v>
      </c>
    </row>
    <row r="10885" spans="14:14" ht="15" customHeight="1" x14ac:dyDescent="0.25">
      <c r="N10885" t="s">
        <v>901</v>
      </c>
    </row>
    <row r="10886" spans="14:14" ht="15" customHeight="1" x14ac:dyDescent="0.25">
      <c r="N10886" t="s">
        <v>993</v>
      </c>
    </row>
    <row r="10887" spans="14:14" ht="15" customHeight="1" x14ac:dyDescent="0.25">
      <c r="N10887" t="s">
        <v>1074</v>
      </c>
    </row>
    <row r="10888" spans="14:14" ht="15" customHeight="1" x14ac:dyDescent="0.25">
      <c r="N10888" t="s">
        <v>1076</v>
      </c>
    </row>
    <row r="10889" spans="14:14" ht="15" customHeight="1" x14ac:dyDescent="0.25">
      <c r="N10889" t="s">
        <v>1078</v>
      </c>
    </row>
    <row r="10890" spans="14:14" ht="15" customHeight="1" x14ac:dyDescent="0.25">
      <c r="N10890" t="s">
        <v>1042</v>
      </c>
    </row>
    <row r="10891" spans="14:14" ht="15" customHeight="1" x14ac:dyDescent="0.25">
      <c r="N10891" t="s">
        <v>980</v>
      </c>
    </row>
    <row r="10892" spans="14:14" ht="15" customHeight="1" x14ac:dyDescent="0.25">
      <c r="N10892" t="s">
        <v>1082</v>
      </c>
    </row>
    <row r="10893" spans="14:14" ht="15" customHeight="1" x14ac:dyDescent="0.25">
      <c r="N10893" t="s">
        <v>930</v>
      </c>
    </row>
    <row r="10894" spans="14:14" ht="15" customHeight="1" x14ac:dyDescent="0.25">
      <c r="N10894" t="s">
        <v>930</v>
      </c>
    </row>
    <row r="10895" spans="14:14" ht="15" customHeight="1" x14ac:dyDescent="0.25">
      <c r="N10895" t="s">
        <v>910</v>
      </c>
    </row>
    <row r="10896" spans="14:14" ht="15" customHeight="1" x14ac:dyDescent="0.25">
      <c r="N10896" t="s">
        <v>942</v>
      </c>
    </row>
    <row r="10897" spans="14:14" ht="15" customHeight="1" x14ac:dyDescent="0.25">
      <c r="N10897" t="s">
        <v>1087</v>
      </c>
    </row>
    <row r="10898" spans="14:14" ht="15" customHeight="1" x14ac:dyDescent="0.25">
      <c r="N10898" t="s">
        <v>943</v>
      </c>
    </row>
    <row r="10899" spans="14:14" ht="15" customHeight="1" x14ac:dyDescent="0.25">
      <c r="N10899" t="s">
        <v>943</v>
      </c>
    </row>
    <row r="10900" spans="14:14" ht="15" customHeight="1" x14ac:dyDescent="0.25">
      <c r="N10900" t="s">
        <v>943</v>
      </c>
    </row>
    <row r="10901" spans="14:14" ht="15" customHeight="1" x14ac:dyDescent="0.25">
      <c r="N10901" t="s">
        <v>943</v>
      </c>
    </row>
    <row r="10902" spans="14:14" ht="15" customHeight="1" x14ac:dyDescent="0.25">
      <c r="N10902" t="s">
        <v>943</v>
      </c>
    </row>
    <row r="10903" spans="14:14" ht="15" customHeight="1" x14ac:dyDescent="0.25">
      <c r="N10903" t="s">
        <v>943</v>
      </c>
    </row>
    <row r="10904" spans="14:14" ht="15" customHeight="1" x14ac:dyDescent="0.25">
      <c r="N10904" t="s">
        <v>1089</v>
      </c>
    </row>
    <row r="10905" spans="14:14" ht="15" customHeight="1" x14ac:dyDescent="0.25">
      <c r="N10905" t="s">
        <v>1090</v>
      </c>
    </row>
    <row r="10906" spans="14:14" ht="15" customHeight="1" x14ac:dyDescent="0.25">
      <c r="N10906" t="s">
        <v>1092</v>
      </c>
    </row>
    <row r="10907" spans="14:14" ht="15" customHeight="1" x14ac:dyDescent="0.25">
      <c r="N10907" t="s">
        <v>969</v>
      </c>
    </row>
    <row r="10908" spans="14:14" ht="15" customHeight="1" x14ac:dyDescent="0.25">
      <c r="N10908" t="s">
        <v>1034</v>
      </c>
    </row>
    <row r="10909" spans="14:14" ht="15" customHeight="1" x14ac:dyDescent="0.25">
      <c r="N10909" t="s">
        <v>917</v>
      </c>
    </row>
    <row r="10910" spans="14:14" ht="15" customHeight="1" x14ac:dyDescent="0.25">
      <c r="N10910" t="s">
        <v>1078</v>
      </c>
    </row>
    <row r="10911" spans="14:14" ht="15" customHeight="1" x14ac:dyDescent="0.25">
      <c r="N10911" t="s">
        <v>930</v>
      </c>
    </row>
    <row r="10912" spans="14:14" ht="15" customHeight="1" x14ac:dyDescent="0.25">
      <c r="N10912" t="s">
        <v>1100</v>
      </c>
    </row>
    <row r="10913" spans="14:14" ht="15" customHeight="1" x14ac:dyDescent="0.25">
      <c r="N10913" t="s">
        <v>914</v>
      </c>
    </row>
    <row r="10914" spans="14:14" ht="15" customHeight="1" x14ac:dyDescent="0.25">
      <c r="N10914" t="s">
        <v>1103</v>
      </c>
    </row>
    <row r="10915" spans="14:14" ht="15" customHeight="1" x14ac:dyDescent="0.25">
      <c r="N10915" t="s">
        <v>1103</v>
      </c>
    </row>
    <row r="10916" spans="14:14" ht="15" customHeight="1" x14ac:dyDescent="0.25">
      <c r="N10916" t="s">
        <v>1103</v>
      </c>
    </row>
    <row r="10917" spans="14:14" ht="15" customHeight="1" x14ac:dyDescent="0.25">
      <c r="N10917" t="s">
        <v>1072</v>
      </c>
    </row>
    <row r="10918" spans="14:14" ht="15" customHeight="1" x14ac:dyDescent="0.25">
      <c r="N10918" t="s">
        <v>1105</v>
      </c>
    </row>
    <row r="10919" spans="14:14" ht="15" customHeight="1" x14ac:dyDescent="0.25">
      <c r="N10919" t="s">
        <v>969</v>
      </c>
    </row>
    <row r="10920" spans="14:14" ht="15" customHeight="1" x14ac:dyDescent="0.25">
      <c r="N10920" t="s">
        <v>998</v>
      </c>
    </row>
    <row r="10921" spans="14:14" ht="15" customHeight="1" x14ac:dyDescent="0.25">
      <c r="N10921" t="s">
        <v>930</v>
      </c>
    </row>
    <row r="10922" spans="14:14" ht="15" customHeight="1" x14ac:dyDescent="0.25">
      <c r="N10922" t="s">
        <v>930</v>
      </c>
    </row>
    <row r="10923" spans="14:14" ht="15" customHeight="1" x14ac:dyDescent="0.25">
      <c r="N10923" t="s">
        <v>273</v>
      </c>
    </row>
    <row r="10924" spans="14:14" ht="15" customHeight="1" x14ac:dyDescent="0.25">
      <c r="N10924" t="s">
        <v>1070</v>
      </c>
    </row>
    <row r="10925" spans="14:14" ht="15" customHeight="1" x14ac:dyDescent="0.25">
      <c r="N10925" t="s">
        <v>1107</v>
      </c>
    </row>
    <row r="10926" spans="14:14" ht="15" customHeight="1" x14ac:dyDescent="0.25">
      <c r="N10926" t="s">
        <v>1107</v>
      </c>
    </row>
    <row r="10927" spans="14:14" ht="15" customHeight="1" x14ac:dyDescent="0.25">
      <c r="N10927" t="s">
        <v>717</v>
      </c>
    </row>
    <row r="10928" spans="14:14" ht="15" customHeight="1" x14ac:dyDescent="0.25">
      <c r="N10928" t="s">
        <v>717</v>
      </c>
    </row>
    <row r="10929" spans="14:14" ht="15" customHeight="1" x14ac:dyDescent="0.25">
      <c r="N10929" t="s">
        <v>717</v>
      </c>
    </row>
    <row r="10930" spans="14:14" ht="15" customHeight="1" x14ac:dyDescent="0.25">
      <c r="N10930" t="s">
        <v>909</v>
      </c>
    </row>
    <row r="10931" spans="14:14" ht="15" customHeight="1" x14ac:dyDescent="0.25">
      <c r="N10931" t="s">
        <v>231</v>
      </c>
    </row>
    <row r="10932" spans="14:14" ht="15" customHeight="1" x14ac:dyDescent="0.25">
      <c r="N10932" t="s">
        <v>1109</v>
      </c>
    </row>
    <row r="10933" spans="14:14" ht="15" customHeight="1" x14ac:dyDescent="0.25">
      <c r="N10933" t="s">
        <v>1109</v>
      </c>
    </row>
    <row r="10934" spans="14:14" ht="15" customHeight="1" x14ac:dyDescent="0.25">
      <c r="N10934" t="s">
        <v>402</v>
      </c>
    </row>
    <row r="10935" spans="14:14" ht="15" customHeight="1" x14ac:dyDescent="0.25">
      <c r="N10935" t="s">
        <v>717</v>
      </c>
    </row>
    <row r="10936" spans="14:14" ht="15" customHeight="1" x14ac:dyDescent="0.25">
      <c r="N10936" t="s">
        <v>1111</v>
      </c>
    </row>
    <row r="10937" spans="14:14" ht="15" customHeight="1" x14ac:dyDescent="0.25">
      <c r="N10937" t="s">
        <v>286</v>
      </c>
    </row>
    <row r="10938" spans="14:14" ht="15" customHeight="1" x14ac:dyDescent="0.25">
      <c r="N10938" t="s">
        <v>1005</v>
      </c>
    </row>
    <row r="10939" spans="14:14" ht="15" customHeight="1" x14ac:dyDescent="0.25">
      <c r="N10939" t="s">
        <v>254</v>
      </c>
    </row>
    <row r="10940" spans="14:14" ht="15" customHeight="1" x14ac:dyDescent="0.25">
      <c r="N10940" t="s">
        <v>254</v>
      </c>
    </row>
    <row r="10941" spans="14:14" ht="15" customHeight="1" x14ac:dyDescent="0.25">
      <c r="N10941" t="s">
        <v>249</v>
      </c>
    </row>
    <row r="10942" spans="14:14" ht="15" customHeight="1" x14ac:dyDescent="0.25">
      <c r="N10942" t="s">
        <v>273</v>
      </c>
    </row>
    <row r="10943" spans="14:14" ht="15" customHeight="1" x14ac:dyDescent="0.25">
      <c r="N10943" t="s">
        <v>319</v>
      </c>
    </row>
    <row r="10944" spans="14:14" ht="15" customHeight="1" x14ac:dyDescent="0.25">
      <c r="N10944" t="s">
        <v>1333</v>
      </c>
    </row>
    <row r="10945" spans="14:14" ht="15" customHeight="1" x14ac:dyDescent="0.25">
      <c r="N10945" t="s">
        <v>789</v>
      </c>
    </row>
    <row r="10946" spans="14:14" ht="15" customHeight="1" x14ac:dyDescent="0.25">
      <c r="N10946" t="s">
        <v>1113</v>
      </c>
    </row>
    <row r="10947" spans="14:14" ht="15" customHeight="1" x14ac:dyDescent="0.25">
      <c r="N10947" t="s">
        <v>930</v>
      </c>
    </row>
    <row r="10948" spans="14:14" ht="15" customHeight="1" x14ac:dyDescent="0.25">
      <c r="N10948" t="s">
        <v>930</v>
      </c>
    </row>
    <row r="10949" spans="14:14" ht="15" customHeight="1" x14ac:dyDescent="0.25">
      <c r="N10949" t="s">
        <v>1004</v>
      </c>
    </row>
    <row r="10950" spans="14:14" ht="15" customHeight="1" x14ac:dyDescent="0.25">
      <c r="N10950" t="s">
        <v>984</v>
      </c>
    </row>
    <row r="10951" spans="14:14" ht="15" customHeight="1" x14ac:dyDescent="0.25">
      <c r="N10951" t="s">
        <v>984</v>
      </c>
    </row>
    <row r="10952" spans="14:14" ht="15" customHeight="1" x14ac:dyDescent="0.25">
      <c r="N10952" t="s">
        <v>984</v>
      </c>
    </row>
    <row r="10953" spans="14:14" ht="15" customHeight="1" x14ac:dyDescent="0.25">
      <c r="N10953" t="s">
        <v>984</v>
      </c>
    </row>
    <row r="10954" spans="14:14" ht="15" customHeight="1" x14ac:dyDescent="0.25">
      <c r="N10954" t="s">
        <v>1070</v>
      </c>
    </row>
    <row r="10955" spans="14:14" ht="15" customHeight="1" x14ac:dyDescent="0.25">
      <c r="N10955" t="s">
        <v>1070</v>
      </c>
    </row>
    <row r="10956" spans="14:14" ht="15" customHeight="1" x14ac:dyDescent="0.25">
      <c r="N10956" t="s">
        <v>1105</v>
      </c>
    </row>
    <row r="10957" spans="14:14" ht="15" customHeight="1" x14ac:dyDescent="0.25">
      <c r="N10957" t="s">
        <v>1105</v>
      </c>
    </row>
    <row r="10958" spans="14:14" ht="15" customHeight="1" x14ac:dyDescent="0.25">
      <c r="N10958" t="s">
        <v>1116</v>
      </c>
    </row>
    <row r="10959" spans="14:14" ht="15" customHeight="1" x14ac:dyDescent="0.25">
      <c r="N10959" t="s">
        <v>1116</v>
      </c>
    </row>
    <row r="10960" spans="14:14" ht="15" customHeight="1" x14ac:dyDescent="0.25">
      <c r="N10960" t="s">
        <v>1116</v>
      </c>
    </row>
    <row r="10961" spans="14:14" ht="15" customHeight="1" x14ac:dyDescent="0.25">
      <c r="N10961" t="s">
        <v>1116</v>
      </c>
    </row>
    <row r="10962" spans="14:14" ht="15" customHeight="1" x14ac:dyDescent="0.25">
      <c r="N10962" t="s">
        <v>1116</v>
      </c>
    </row>
    <row r="10963" spans="14:14" ht="15" customHeight="1" x14ac:dyDescent="0.25">
      <c r="N10963" t="s">
        <v>1116</v>
      </c>
    </row>
    <row r="10964" spans="14:14" ht="15" customHeight="1" x14ac:dyDescent="0.25">
      <c r="N10964" t="s">
        <v>1116</v>
      </c>
    </row>
    <row r="10965" spans="14:14" ht="15" customHeight="1" x14ac:dyDescent="0.25">
      <c r="N10965" t="s">
        <v>1116</v>
      </c>
    </row>
    <row r="10966" spans="14:14" ht="15" customHeight="1" x14ac:dyDescent="0.25">
      <c r="N10966" t="s">
        <v>1118</v>
      </c>
    </row>
    <row r="10967" spans="14:14" ht="15" customHeight="1" x14ac:dyDescent="0.25">
      <c r="N10967" t="s">
        <v>914</v>
      </c>
    </row>
    <row r="10968" spans="14:14" ht="15" customHeight="1" x14ac:dyDescent="0.25">
      <c r="N10968" t="s">
        <v>930</v>
      </c>
    </row>
    <row r="10969" spans="14:14" ht="15" customHeight="1" x14ac:dyDescent="0.25">
      <c r="N10969" t="s">
        <v>930</v>
      </c>
    </row>
    <row r="10970" spans="14:14" ht="15" customHeight="1" x14ac:dyDescent="0.25">
      <c r="N10970" t="s">
        <v>930</v>
      </c>
    </row>
    <row r="10971" spans="14:14" ht="15" customHeight="1" x14ac:dyDescent="0.25">
      <c r="N10971" t="s">
        <v>910</v>
      </c>
    </row>
    <row r="10972" spans="14:14" ht="15" customHeight="1" x14ac:dyDescent="0.25">
      <c r="N10972" t="s">
        <v>1004</v>
      </c>
    </row>
    <row r="10973" spans="14:14" ht="15" customHeight="1" x14ac:dyDescent="0.25">
      <c r="N10973" t="s">
        <v>1004</v>
      </c>
    </row>
    <row r="10974" spans="14:14" ht="15" customHeight="1" x14ac:dyDescent="0.25">
      <c r="N10974" t="s">
        <v>901</v>
      </c>
    </row>
    <row r="10975" spans="14:14" ht="15" customHeight="1" x14ac:dyDescent="0.25">
      <c r="N10975" t="s">
        <v>1124</v>
      </c>
    </row>
    <row r="10976" spans="14:14" ht="15" customHeight="1" x14ac:dyDescent="0.25">
      <c r="N10976" t="s">
        <v>1100</v>
      </c>
    </row>
    <row r="10977" spans="14:14" ht="15" customHeight="1" x14ac:dyDescent="0.25">
      <c r="N10977" t="s">
        <v>1068</v>
      </c>
    </row>
    <row r="10978" spans="14:14" ht="15" customHeight="1" x14ac:dyDescent="0.25">
      <c r="N10978" t="s">
        <v>1000</v>
      </c>
    </row>
    <row r="10979" spans="14:14" ht="15" customHeight="1" x14ac:dyDescent="0.25">
      <c r="N10979" t="s">
        <v>1044</v>
      </c>
    </row>
    <row r="10980" spans="14:14" ht="15" customHeight="1" x14ac:dyDescent="0.25">
      <c r="N10980" t="s">
        <v>930</v>
      </c>
    </row>
    <row r="10981" spans="14:14" ht="15" customHeight="1" x14ac:dyDescent="0.25">
      <c r="N10981" t="s">
        <v>930</v>
      </c>
    </row>
    <row r="10982" spans="14:14" ht="15" customHeight="1" x14ac:dyDescent="0.25">
      <c r="N10982" t="s">
        <v>989</v>
      </c>
    </row>
    <row r="10983" spans="14:14" ht="15" customHeight="1" x14ac:dyDescent="0.25">
      <c r="N10983" t="s">
        <v>1004</v>
      </c>
    </row>
    <row r="10984" spans="14:14" ht="15" customHeight="1" x14ac:dyDescent="0.25">
      <c r="N10984" t="s">
        <v>958</v>
      </c>
    </row>
    <row r="10985" spans="14:14" ht="15" customHeight="1" x14ac:dyDescent="0.25">
      <c r="N10985" t="s">
        <v>1087</v>
      </c>
    </row>
    <row r="10986" spans="14:14" ht="15" customHeight="1" x14ac:dyDescent="0.25">
      <c r="N10986" t="s">
        <v>1131</v>
      </c>
    </row>
    <row r="10987" spans="14:14" ht="15" customHeight="1" x14ac:dyDescent="0.25">
      <c r="N10987" t="s">
        <v>1131</v>
      </c>
    </row>
    <row r="10988" spans="14:14" ht="15" customHeight="1" x14ac:dyDescent="0.25">
      <c r="N10988" t="s">
        <v>1131</v>
      </c>
    </row>
    <row r="10989" spans="14:14" ht="15" customHeight="1" x14ac:dyDescent="0.25">
      <c r="N10989" t="s">
        <v>1131</v>
      </c>
    </row>
    <row r="10990" spans="14:14" ht="15" customHeight="1" x14ac:dyDescent="0.25">
      <c r="N10990" t="s">
        <v>1131</v>
      </c>
    </row>
    <row r="10991" spans="14:14" ht="15" customHeight="1" x14ac:dyDescent="0.25">
      <c r="N10991" t="s">
        <v>1131</v>
      </c>
    </row>
    <row r="10992" spans="14:14" ht="15" customHeight="1" x14ac:dyDescent="0.25">
      <c r="N10992" t="s">
        <v>1004</v>
      </c>
    </row>
    <row r="10993" spans="14:14" ht="15" customHeight="1" x14ac:dyDescent="0.25">
      <c r="N10993" t="s">
        <v>1005</v>
      </c>
    </row>
    <row r="10994" spans="14:14" ht="15" customHeight="1" x14ac:dyDescent="0.25">
      <c r="N10994" t="s">
        <v>1078</v>
      </c>
    </row>
    <row r="10995" spans="14:14" ht="15" customHeight="1" x14ac:dyDescent="0.25">
      <c r="N10995" t="s">
        <v>969</v>
      </c>
    </row>
    <row r="10996" spans="14:14" ht="15" customHeight="1" x14ac:dyDescent="0.25">
      <c r="N10996" t="s">
        <v>1011</v>
      </c>
    </row>
    <row r="10997" spans="14:14" ht="15" customHeight="1" x14ac:dyDescent="0.25">
      <c r="N10997" t="s">
        <v>1078</v>
      </c>
    </row>
    <row r="10998" spans="14:14" ht="15" customHeight="1" x14ac:dyDescent="0.25">
      <c r="N10998" t="s">
        <v>1004</v>
      </c>
    </row>
    <row r="10999" spans="14:14" ht="15" customHeight="1" x14ac:dyDescent="0.25">
      <c r="N10999" t="s">
        <v>988</v>
      </c>
    </row>
    <row r="11000" spans="14:14" ht="15" customHeight="1" x14ac:dyDescent="0.25">
      <c r="N11000" t="s">
        <v>1078</v>
      </c>
    </row>
    <row r="11001" spans="14:14" ht="15" customHeight="1" x14ac:dyDescent="0.25">
      <c r="N11001" t="s">
        <v>1141</v>
      </c>
    </row>
    <row r="11002" spans="14:14" ht="15" customHeight="1" x14ac:dyDescent="0.25">
      <c r="N11002" t="s">
        <v>1141</v>
      </c>
    </row>
    <row r="11003" spans="14:14" ht="15" customHeight="1" x14ac:dyDescent="0.25">
      <c r="N11003" t="s">
        <v>1141</v>
      </c>
    </row>
    <row r="11004" spans="14:14" ht="15" customHeight="1" x14ac:dyDescent="0.25">
      <c r="N11004" t="s">
        <v>1116</v>
      </c>
    </row>
    <row r="11005" spans="14:14" ht="15" customHeight="1" x14ac:dyDescent="0.25">
      <c r="N11005" t="s">
        <v>1144</v>
      </c>
    </row>
    <row r="11006" spans="14:14" ht="15" customHeight="1" x14ac:dyDescent="0.25">
      <c r="N11006" t="s">
        <v>1145</v>
      </c>
    </row>
    <row r="11007" spans="14:14" ht="15" customHeight="1" x14ac:dyDescent="0.25">
      <c r="N11007" t="s">
        <v>930</v>
      </c>
    </row>
    <row r="11008" spans="14:14" ht="15" customHeight="1" x14ac:dyDescent="0.25">
      <c r="N11008" t="s">
        <v>930</v>
      </c>
    </row>
    <row r="11009" spans="14:14" ht="15" customHeight="1" x14ac:dyDescent="0.25">
      <c r="N11009" t="s">
        <v>273</v>
      </c>
    </row>
    <row r="11010" spans="14:14" ht="15" customHeight="1" x14ac:dyDescent="0.25">
      <c r="N11010" t="s">
        <v>1070</v>
      </c>
    </row>
    <row r="11011" spans="14:14" ht="15" customHeight="1" x14ac:dyDescent="0.25">
      <c r="N11011" t="s">
        <v>980</v>
      </c>
    </row>
    <row r="11012" spans="14:14" ht="15" customHeight="1" x14ac:dyDescent="0.25">
      <c r="N11012" t="s">
        <v>980</v>
      </c>
    </row>
    <row r="11013" spans="14:14" ht="15" customHeight="1" x14ac:dyDescent="0.25">
      <c r="N11013" t="s">
        <v>1150</v>
      </c>
    </row>
    <row r="11014" spans="14:14" ht="15" customHeight="1" x14ac:dyDescent="0.25">
      <c r="N11014" t="s">
        <v>1109</v>
      </c>
    </row>
    <row r="11015" spans="14:14" ht="15" customHeight="1" x14ac:dyDescent="0.25">
      <c r="N11015" t="s">
        <v>1005</v>
      </c>
    </row>
    <row r="11016" spans="14:14" ht="15" customHeight="1" x14ac:dyDescent="0.25">
      <c r="N11016" t="s">
        <v>1005</v>
      </c>
    </row>
    <row r="11017" spans="14:14" ht="15" customHeight="1" x14ac:dyDescent="0.25">
      <c r="N11017" t="s">
        <v>1005</v>
      </c>
    </row>
    <row r="11018" spans="14:14" ht="15" customHeight="1" x14ac:dyDescent="0.25">
      <c r="N11018" t="s">
        <v>1109</v>
      </c>
    </row>
    <row r="11019" spans="14:14" ht="15" customHeight="1" x14ac:dyDescent="0.25">
      <c r="N11019" t="s">
        <v>1109</v>
      </c>
    </row>
    <row r="11020" spans="14:14" ht="15" customHeight="1" x14ac:dyDescent="0.25">
      <c r="N11020" t="s">
        <v>273</v>
      </c>
    </row>
    <row r="11021" spans="14:14" ht="15" customHeight="1" x14ac:dyDescent="0.25">
      <c r="N11021" t="s">
        <v>1152</v>
      </c>
    </row>
    <row r="11022" spans="14:14" ht="15" customHeight="1" x14ac:dyDescent="0.25">
      <c r="N11022" t="s">
        <v>286</v>
      </c>
    </row>
    <row r="11023" spans="14:14" ht="15" customHeight="1" x14ac:dyDescent="0.25">
      <c r="N11023" t="s">
        <v>1005</v>
      </c>
    </row>
    <row r="11024" spans="14:14" ht="15" customHeight="1" x14ac:dyDescent="0.25">
      <c r="N11024" t="s">
        <v>1153</v>
      </c>
    </row>
    <row r="11025" spans="14:14" ht="15" customHeight="1" x14ac:dyDescent="0.25">
      <c r="N11025" t="s">
        <v>1153</v>
      </c>
    </row>
    <row r="11026" spans="14:14" ht="15" customHeight="1" x14ac:dyDescent="0.25">
      <c r="N11026" t="s">
        <v>1155</v>
      </c>
    </row>
    <row r="11027" spans="14:14" ht="15" customHeight="1" x14ac:dyDescent="0.25">
      <c r="N11027" t="s">
        <v>319</v>
      </c>
    </row>
    <row r="11028" spans="14:14" ht="15" customHeight="1" x14ac:dyDescent="0.25">
      <c r="N11028" t="s">
        <v>1207</v>
      </c>
    </row>
    <row r="11029" spans="14:14" ht="15" customHeight="1" x14ac:dyDescent="0.25">
      <c r="N11029" t="s">
        <v>1207</v>
      </c>
    </row>
    <row r="11030" spans="14:14" ht="15" customHeight="1" x14ac:dyDescent="0.25">
      <c r="N11030" t="s">
        <v>1005</v>
      </c>
    </row>
    <row r="11031" spans="14:14" ht="15" customHeight="1" x14ac:dyDescent="0.25">
      <c r="N11031" t="s">
        <v>273</v>
      </c>
    </row>
    <row r="11032" spans="14:14" ht="15" customHeight="1" x14ac:dyDescent="0.25">
      <c r="N11032" t="s">
        <v>895</v>
      </c>
    </row>
    <row r="11033" spans="14:14" ht="15" customHeight="1" x14ac:dyDescent="0.25">
      <c r="N11033" t="s">
        <v>1156</v>
      </c>
    </row>
    <row r="11034" spans="14:14" ht="15" customHeight="1" x14ac:dyDescent="0.25">
      <c r="N11034" t="s">
        <v>1156</v>
      </c>
    </row>
    <row r="11035" spans="14:14" ht="15" customHeight="1" x14ac:dyDescent="0.25">
      <c r="N11035" t="s">
        <v>1004</v>
      </c>
    </row>
    <row r="11036" spans="14:14" ht="15" customHeight="1" x14ac:dyDescent="0.25">
      <c r="N11036" t="s">
        <v>898</v>
      </c>
    </row>
    <row r="11037" spans="14:14" ht="15" customHeight="1" x14ac:dyDescent="0.25">
      <c r="N11037" t="s">
        <v>898</v>
      </c>
    </row>
    <row r="11038" spans="14:14" ht="15" customHeight="1" x14ac:dyDescent="0.25">
      <c r="N11038" t="s">
        <v>1158</v>
      </c>
    </row>
    <row r="11039" spans="14:14" ht="15" customHeight="1" x14ac:dyDescent="0.25">
      <c r="N11039" t="s">
        <v>984</v>
      </c>
    </row>
    <row r="11040" spans="14:14" ht="15" customHeight="1" x14ac:dyDescent="0.25">
      <c r="N11040" t="s">
        <v>984</v>
      </c>
    </row>
    <row r="11041" spans="14:14" ht="15" customHeight="1" x14ac:dyDescent="0.25">
      <c r="N11041" t="s">
        <v>984</v>
      </c>
    </row>
    <row r="11042" spans="14:14" ht="15" customHeight="1" x14ac:dyDescent="0.25">
      <c r="N11042" t="s">
        <v>984</v>
      </c>
    </row>
    <row r="11043" spans="14:14" ht="15" customHeight="1" x14ac:dyDescent="0.25">
      <c r="N11043" t="s">
        <v>930</v>
      </c>
    </row>
    <row r="11044" spans="14:14" ht="15" customHeight="1" x14ac:dyDescent="0.25">
      <c r="N11044" t="s">
        <v>971</v>
      </c>
    </row>
    <row r="11045" spans="14:14" ht="15" customHeight="1" x14ac:dyDescent="0.25">
      <c r="N11045" t="s">
        <v>971</v>
      </c>
    </row>
    <row r="11046" spans="14:14" ht="15" customHeight="1" x14ac:dyDescent="0.25">
      <c r="N11046" t="s">
        <v>930</v>
      </c>
    </row>
    <row r="11047" spans="14:14" ht="15" customHeight="1" x14ac:dyDescent="0.25">
      <c r="N11047" t="s">
        <v>930</v>
      </c>
    </row>
    <row r="11048" spans="14:14" ht="15" customHeight="1" x14ac:dyDescent="0.25">
      <c r="N11048" t="s">
        <v>1072</v>
      </c>
    </row>
    <row r="11049" spans="14:14" ht="15" customHeight="1" x14ac:dyDescent="0.25">
      <c r="N11049" t="s">
        <v>1072</v>
      </c>
    </row>
    <row r="11050" spans="14:14" ht="15" customHeight="1" x14ac:dyDescent="0.25">
      <c r="N11050" t="s">
        <v>1072</v>
      </c>
    </row>
    <row r="11051" spans="14:14" ht="15" customHeight="1" x14ac:dyDescent="0.25">
      <c r="N11051" t="s">
        <v>1072</v>
      </c>
    </row>
    <row r="11052" spans="14:14" ht="15" customHeight="1" x14ac:dyDescent="0.25">
      <c r="N11052" t="s">
        <v>1072</v>
      </c>
    </row>
    <row r="11053" spans="14:14" ht="15" customHeight="1" x14ac:dyDescent="0.25">
      <c r="N11053" t="s">
        <v>1072</v>
      </c>
    </row>
    <row r="11054" spans="14:14" ht="15" customHeight="1" x14ac:dyDescent="0.25">
      <c r="N11054" t="s">
        <v>1072</v>
      </c>
    </row>
    <row r="11055" spans="14:14" ht="15" customHeight="1" x14ac:dyDescent="0.25">
      <c r="N11055" t="s">
        <v>1072</v>
      </c>
    </row>
    <row r="11056" spans="14:14" ht="15" customHeight="1" x14ac:dyDescent="0.25">
      <c r="N11056" t="s">
        <v>1135</v>
      </c>
    </row>
    <row r="11057" spans="14:14" ht="15" customHeight="1" x14ac:dyDescent="0.25">
      <c r="N11057" t="s">
        <v>1083</v>
      </c>
    </row>
    <row r="11058" spans="14:14" ht="15" customHeight="1" x14ac:dyDescent="0.25">
      <c r="N11058" t="s">
        <v>1068</v>
      </c>
    </row>
    <row r="11059" spans="14:14" ht="15" customHeight="1" x14ac:dyDescent="0.25">
      <c r="N11059" t="s">
        <v>1068</v>
      </c>
    </row>
    <row r="11060" spans="14:14" ht="15" customHeight="1" x14ac:dyDescent="0.25">
      <c r="N11060" t="s">
        <v>1068</v>
      </c>
    </row>
    <row r="11061" spans="14:14" ht="15" customHeight="1" x14ac:dyDescent="0.25">
      <c r="N11061" t="s">
        <v>910</v>
      </c>
    </row>
    <row r="11062" spans="14:14" ht="15" customHeight="1" x14ac:dyDescent="0.25">
      <c r="N11062" t="s">
        <v>1087</v>
      </c>
    </row>
    <row r="11063" spans="14:14" ht="15" customHeight="1" x14ac:dyDescent="0.25">
      <c r="N11063" t="s">
        <v>1087</v>
      </c>
    </row>
    <row r="11064" spans="14:14" ht="15" customHeight="1" x14ac:dyDescent="0.25">
      <c r="N11064" t="s">
        <v>1168</v>
      </c>
    </row>
    <row r="11065" spans="14:14" ht="15" customHeight="1" x14ac:dyDescent="0.25">
      <c r="N11065" t="s">
        <v>910</v>
      </c>
    </row>
    <row r="11066" spans="14:14" ht="15" customHeight="1" x14ac:dyDescent="0.25">
      <c r="N11066" t="s">
        <v>1004</v>
      </c>
    </row>
    <row r="11067" spans="14:14" ht="15" customHeight="1" x14ac:dyDescent="0.25">
      <c r="N11067" t="s">
        <v>910</v>
      </c>
    </row>
    <row r="11068" spans="14:14" ht="15" customHeight="1" x14ac:dyDescent="0.25">
      <c r="N11068" t="s">
        <v>1000</v>
      </c>
    </row>
    <row r="11069" spans="14:14" ht="15" customHeight="1" x14ac:dyDescent="0.25">
      <c r="N11069" t="s">
        <v>1085</v>
      </c>
    </row>
    <row r="11070" spans="14:14" ht="15" customHeight="1" x14ac:dyDescent="0.25">
      <c r="N11070" t="s">
        <v>1085</v>
      </c>
    </row>
    <row r="11071" spans="14:14" ht="15" customHeight="1" x14ac:dyDescent="0.25">
      <c r="N11071" t="s">
        <v>1004</v>
      </c>
    </row>
    <row r="11072" spans="14:14" ht="15" customHeight="1" x14ac:dyDescent="0.25">
      <c r="N11072" t="s">
        <v>1107</v>
      </c>
    </row>
    <row r="11073" spans="14:14" ht="15" customHeight="1" x14ac:dyDescent="0.25">
      <c r="N11073" t="s">
        <v>1131</v>
      </c>
    </row>
    <row r="11074" spans="14:14" ht="15" customHeight="1" x14ac:dyDescent="0.25">
      <c r="N11074" t="s">
        <v>1131</v>
      </c>
    </row>
    <row r="11075" spans="14:14" ht="15" customHeight="1" x14ac:dyDescent="0.25">
      <c r="N11075" t="s">
        <v>1131</v>
      </c>
    </row>
    <row r="11076" spans="14:14" ht="15" customHeight="1" x14ac:dyDescent="0.25">
      <c r="N11076" t="s">
        <v>1131</v>
      </c>
    </row>
    <row r="11077" spans="14:14" ht="15" customHeight="1" x14ac:dyDescent="0.25">
      <c r="N11077" t="s">
        <v>1131</v>
      </c>
    </row>
    <row r="11078" spans="14:14" ht="15" customHeight="1" x14ac:dyDescent="0.25">
      <c r="N11078" t="s">
        <v>1131</v>
      </c>
    </row>
    <row r="11079" spans="14:14" ht="15" customHeight="1" x14ac:dyDescent="0.25">
      <c r="N11079" t="s">
        <v>1004</v>
      </c>
    </row>
    <row r="11080" spans="14:14" ht="15" customHeight="1" x14ac:dyDescent="0.25">
      <c r="N11080" t="s">
        <v>1005</v>
      </c>
    </row>
    <row r="11081" spans="14:14" ht="15" customHeight="1" x14ac:dyDescent="0.25">
      <c r="N11081" t="s">
        <v>1172</v>
      </c>
    </row>
    <row r="11082" spans="14:14" ht="15" customHeight="1" x14ac:dyDescent="0.25">
      <c r="N11082" t="s">
        <v>1011</v>
      </c>
    </row>
    <row r="11083" spans="14:14" ht="15" customHeight="1" x14ac:dyDescent="0.25">
      <c r="N11083" t="s">
        <v>1004</v>
      </c>
    </row>
    <row r="11084" spans="14:14" ht="15" customHeight="1" x14ac:dyDescent="0.25">
      <c r="N11084" t="s">
        <v>985</v>
      </c>
    </row>
    <row r="11085" spans="14:14" ht="15" customHeight="1" x14ac:dyDescent="0.25">
      <c r="N11085" t="s">
        <v>1078</v>
      </c>
    </row>
    <row r="11086" spans="14:14" ht="15" customHeight="1" x14ac:dyDescent="0.25">
      <c r="N11086" t="s">
        <v>985</v>
      </c>
    </row>
    <row r="11087" spans="14:14" ht="15" customHeight="1" x14ac:dyDescent="0.25">
      <c r="N11087" t="s">
        <v>985</v>
      </c>
    </row>
    <row r="11088" spans="14:14" ht="15" customHeight="1" x14ac:dyDescent="0.25">
      <c r="N11088" t="s">
        <v>985</v>
      </c>
    </row>
    <row r="11089" spans="14:14" ht="15" customHeight="1" x14ac:dyDescent="0.25">
      <c r="N11089" t="s">
        <v>1178</v>
      </c>
    </row>
    <row r="11090" spans="14:14" ht="15" customHeight="1" x14ac:dyDescent="0.25">
      <c r="N11090" t="s">
        <v>1179</v>
      </c>
    </row>
    <row r="11091" spans="14:14" ht="15" customHeight="1" x14ac:dyDescent="0.25">
      <c r="N11091" t="s">
        <v>1145</v>
      </c>
    </row>
    <row r="11092" spans="14:14" ht="15" customHeight="1" x14ac:dyDescent="0.25">
      <c r="N11092" t="s">
        <v>930</v>
      </c>
    </row>
    <row r="11093" spans="14:14" ht="15" customHeight="1" x14ac:dyDescent="0.25">
      <c r="N11093" t="s">
        <v>930</v>
      </c>
    </row>
    <row r="11094" spans="14:14" ht="15" customHeight="1" x14ac:dyDescent="0.25">
      <c r="N11094" t="s">
        <v>273</v>
      </c>
    </row>
    <row r="11095" spans="14:14" ht="15" customHeight="1" x14ac:dyDescent="0.25">
      <c r="N11095" t="s">
        <v>1004</v>
      </c>
    </row>
    <row r="11096" spans="14:14" ht="15" customHeight="1" x14ac:dyDescent="0.25">
      <c r="N11096" t="s">
        <v>1183</v>
      </c>
    </row>
    <row r="11097" spans="14:14" ht="15" customHeight="1" x14ac:dyDescent="0.25">
      <c r="N11097" t="s">
        <v>1183</v>
      </c>
    </row>
    <row r="11098" spans="14:14" ht="15" customHeight="1" x14ac:dyDescent="0.25">
      <c r="N11098" t="s">
        <v>1150</v>
      </c>
    </row>
    <row r="11099" spans="14:14" ht="15" customHeight="1" x14ac:dyDescent="0.25">
      <c r="N11099" t="s">
        <v>1109</v>
      </c>
    </row>
    <row r="11100" spans="14:14" ht="15" customHeight="1" x14ac:dyDescent="0.25">
      <c r="N11100" t="s">
        <v>1005</v>
      </c>
    </row>
    <row r="11101" spans="14:14" ht="15" customHeight="1" x14ac:dyDescent="0.25">
      <c r="N11101" t="s">
        <v>1005</v>
      </c>
    </row>
    <row r="11102" spans="14:14" ht="15" customHeight="1" x14ac:dyDescent="0.25">
      <c r="N11102" t="s">
        <v>1005</v>
      </c>
    </row>
    <row r="11103" spans="14:14" ht="15" customHeight="1" x14ac:dyDescent="0.25">
      <c r="N11103" t="s">
        <v>273</v>
      </c>
    </row>
    <row r="11104" spans="14:14" ht="15" customHeight="1" x14ac:dyDescent="0.25">
      <c r="N11104" t="s">
        <v>273</v>
      </c>
    </row>
    <row r="11105" spans="14:14" ht="15" customHeight="1" x14ac:dyDescent="0.25">
      <c r="N11105" t="s">
        <v>273</v>
      </c>
    </row>
    <row r="11106" spans="14:14" ht="15" customHeight="1" x14ac:dyDescent="0.25">
      <c r="N11106" t="s">
        <v>273</v>
      </c>
    </row>
    <row r="11107" spans="14:14" ht="15" customHeight="1" x14ac:dyDescent="0.25">
      <c r="N11107" t="s">
        <v>273</v>
      </c>
    </row>
    <row r="11108" spans="14:14" ht="15" customHeight="1" x14ac:dyDescent="0.25">
      <c r="N11108" t="s">
        <v>1062</v>
      </c>
    </row>
    <row r="11109" spans="14:14" ht="15" customHeight="1" x14ac:dyDescent="0.25">
      <c r="N11109" t="s">
        <v>1062</v>
      </c>
    </row>
    <row r="11110" spans="14:14" ht="15" customHeight="1" x14ac:dyDescent="0.25">
      <c r="N11110" t="s">
        <v>1062</v>
      </c>
    </row>
    <row r="11111" spans="14:14" ht="15" customHeight="1" x14ac:dyDescent="0.25">
      <c r="N11111" t="s">
        <v>1062</v>
      </c>
    </row>
    <row r="11112" spans="14:14" ht="15" customHeight="1" x14ac:dyDescent="0.25">
      <c r="N11112" t="s">
        <v>976</v>
      </c>
    </row>
    <row r="11113" spans="14:14" ht="15" customHeight="1" x14ac:dyDescent="0.25">
      <c r="N11113" t="s">
        <v>976</v>
      </c>
    </row>
    <row r="11114" spans="14:14" ht="15" customHeight="1" x14ac:dyDescent="0.25">
      <c r="N11114" t="s">
        <v>976</v>
      </c>
    </row>
    <row r="11115" spans="14:14" ht="15" customHeight="1" x14ac:dyDescent="0.25">
      <c r="N11115" t="s">
        <v>1005</v>
      </c>
    </row>
    <row r="11116" spans="14:14" ht="15" customHeight="1" x14ac:dyDescent="0.25">
      <c r="N11116" t="s">
        <v>1005</v>
      </c>
    </row>
    <row r="11117" spans="14:14" ht="15" customHeight="1" x14ac:dyDescent="0.25">
      <c r="N11117" t="s">
        <v>273</v>
      </c>
    </row>
    <row r="11118" spans="14:14" ht="15" customHeight="1" x14ac:dyDescent="0.25">
      <c r="N11118" t="s">
        <v>1005</v>
      </c>
    </row>
    <row r="11119" spans="14:14" ht="15" customHeight="1" x14ac:dyDescent="0.25">
      <c r="N11119" t="s">
        <v>273</v>
      </c>
    </row>
    <row r="11120" spans="14:14" ht="15" customHeight="1" x14ac:dyDescent="0.25">
      <c r="N11120" t="s">
        <v>273</v>
      </c>
    </row>
    <row r="11121" spans="14:14" ht="15" customHeight="1" x14ac:dyDescent="0.25">
      <c r="N11121" t="s">
        <v>319</v>
      </c>
    </row>
    <row r="11122" spans="14:14" ht="15" customHeight="1" x14ac:dyDescent="0.25">
      <c r="N11122" t="s">
        <v>273</v>
      </c>
    </row>
    <row r="11123" spans="14:14" ht="15" customHeight="1" x14ac:dyDescent="0.25">
      <c r="N11123" t="s">
        <v>789</v>
      </c>
    </row>
    <row r="11124" spans="14:14" ht="15" customHeight="1" x14ac:dyDescent="0.25">
      <c r="N11124" t="s">
        <v>273</v>
      </c>
    </row>
    <row r="11125" spans="14:14" ht="15" customHeight="1" x14ac:dyDescent="0.25">
      <c r="N11125" t="s">
        <v>273</v>
      </c>
    </row>
    <row r="11126" spans="14:14" ht="15" customHeight="1" x14ac:dyDescent="0.25">
      <c r="N11126" t="s">
        <v>1179</v>
      </c>
    </row>
    <row r="11127" spans="14:14" ht="15" customHeight="1" x14ac:dyDescent="0.25">
      <c r="N11127" t="s">
        <v>1068</v>
      </c>
    </row>
    <row r="11128" spans="14:14" ht="15" customHeight="1" x14ac:dyDescent="0.25">
      <c r="N11128" t="s">
        <v>1068</v>
      </c>
    </row>
    <row r="11129" spans="14:14" ht="15" customHeight="1" x14ac:dyDescent="0.25">
      <c r="N11129" t="s">
        <v>1087</v>
      </c>
    </row>
    <row r="11130" spans="14:14" ht="15" customHeight="1" x14ac:dyDescent="0.25">
      <c r="N11130" t="s">
        <v>985</v>
      </c>
    </row>
    <row r="11131" spans="14:14" ht="15" customHeight="1" x14ac:dyDescent="0.25">
      <c r="N11131" t="s">
        <v>985</v>
      </c>
    </row>
    <row r="11132" spans="14:14" ht="15" customHeight="1" x14ac:dyDescent="0.25">
      <c r="N11132" t="s">
        <v>985</v>
      </c>
    </row>
    <row r="11133" spans="14:14" ht="15" customHeight="1" x14ac:dyDescent="0.25">
      <c r="N11133" t="s">
        <v>985</v>
      </c>
    </row>
    <row r="11134" spans="14:14" ht="15" customHeight="1" x14ac:dyDescent="0.25">
      <c r="N11134" t="s">
        <v>1068</v>
      </c>
    </row>
    <row r="11135" spans="14:14" ht="15" customHeight="1" x14ac:dyDescent="0.25">
      <c r="N11135" t="s">
        <v>1070</v>
      </c>
    </row>
    <row r="11136" spans="14:14" ht="15" customHeight="1" x14ac:dyDescent="0.25">
      <c r="N11136" t="s">
        <v>1070</v>
      </c>
    </row>
    <row r="11137" spans="14:14" ht="15" customHeight="1" x14ac:dyDescent="0.25">
      <c r="N11137" t="s">
        <v>1187</v>
      </c>
    </row>
    <row r="11138" spans="14:14" ht="15" customHeight="1" x14ac:dyDescent="0.25">
      <c r="N11138" t="s">
        <v>1187</v>
      </c>
    </row>
    <row r="11139" spans="14:14" ht="15" customHeight="1" x14ac:dyDescent="0.25">
      <c r="N11139" t="s">
        <v>1105</v>
      </c>
    </row>
    <row r="11140" spans="14:14" ht="15" customHeight="1" x14ac:dyDescent="0.25">
      <c r="N11140" t="s">
        <v>1105</v>
      </c>
    </row>
    <row r="11141" spans="14:14" ht="15" customHeight="1" x14ac:dyDescent="0.25">
      <c r="N11141" t="s">
        <v>1105</v>
      </c>
    </row>
    <row r="11142" spans="14:14" ht="15" customHeight="1" x14ac:dyDescent="0.25">
      <c r="N11142" t="s">
        <v>1105</v>
      </c>
    </row>
    <row r="11143" spans="14:14" ht="15" customHeight="1" x14ac:dyDescent="0.25">
      <c r="N11143" t="s">
        <v>1105</v>
      </c>
    </row>
    <row r="11144" spans="14:14" ht="15" customHeight="1" x14ac:dyDescent="0.25">
      <c r="N11144" t="s">
        <v>1105</v>
      </c>
    </row>
    <row r="11145" spans="14:14" ht="15" customHeight="1" x14ac:dyDescent="0.25">
      <c r="N11145" t="s">
        <v>1105</v>
      </c>
    </row>
    <row r="11146" spans="14:14" ht="15" customHeight="1" x14ac:dyDescent="0.25">
      <c r="N11146" t="s">
        <v>1105</v>
      </c>
    </row>
    <row r="11147" spans="14:14" ht="15" customHeight="1" x14ac:dyDescent="0.25">
      <c r="N11147" t="s">
        <v>980</v>
      </c>
    </row>
    <row r="11148" spans="14:14" ht="15" customHeight="1" x14ac:dyDescent="0.25">
      <c r="N11148" t="s">
        <v>985</v>
      </c>
    </row>
    <row r="11149" spans="14:14" ht="15" customHeight="1" x14ac:dyDescent="0.25">
      <c r="N11149" t="s">
        <v>930</v>
      </c>
    </row>
    <row r="11150" spans="14:14" ht="15" customHeight="1" x14ac:dyDescent="0.25">
      <c r="N11150" t="s">
        <v>930</v>
      </c>
    </row>
    <row r="11151" spans="14:14" ht="15" customHeight="1" x14ac:dyDescent="0.25">
      <c r="N11151" t="s">
        <v>989</v>
      </c>
    </row>
    <row r="11152" spans="14:14" ht="15" customHeight="1" x14ac:dyDescent="0.25">
      <c r="N11152" t="s">
        <v>1087</v>
      </c>
    </row>
    <row r="11153" spans="14:14" ht="15" customHeight="1" x14ac:dyDescent="0.25">
      <c r="N11153" t="s">
        <v>1087</v>
      </c>
    </row>
    <row r="11154" spans="14:14" ht="15" customHeight="1" x14ac:dyDescent="0.25">
      <c r="N11154" t="s">
        <v>1004</v>
      </c>
    </row>
    <row r="11155" spans="14:14" ht="15" customHeight="1" x14ac:dyDescent="0.25">
      <c r="N11155" t="s">
        <v>1193</v>
      </c>
    </row>
    <row r="11156" spans="14:14" ht="15" customHeight="1" x14ac:dyDescent="0.25">
      <c r="N11156" t="s">
        <v>910</v>
      </c>
    </row>
    <row r="11157" spans="14:14" ht="15" customHeight="1" x14ac:dyDescent="0.25">
      <c r="N11157" t="s">
        <v>1085</v>
      </c>
    </row>
    <row r="11158" spans="14:14" ht="15" customHeight="1" x14ac:dyDescent="0.25">
      <c r="N11158" t="s">
        <v>1085</v>
      </c>
    </row>
    <row r="11159" spans="14:14" ht="15" customHeight="1" x14ac:dyDescent="0.25">
      <c r="N11159" t="s">
        <v>930</v>
      </c>
    </row>
    <row r="11160" spans="14:14" ht="15" customHeight="1" x14ac:dyDescent="0.25">
      <c r="N11160" t="s">
        <v>942</v>
      </c>
    </row>
    <row r="11161" spans="14:14" ht="15" customHeight="1" x14ac:dyDescent="0.25">
      <c r="N11161" t="s">
        <v>1145</v>
      </c>
    </row>
    <row r="11162" spans="14:14" ht="15" customHeight="1" x14ac:dyDescent="0.25">
      <c r="N11162" t="s">
        <v>1145</v>
      </c>
    </row>
    <row r="11163" spans="14:14" ht="15" customHeight="1" x14ac:dyDescent="0.25">
      <c r="N11163" t="s">
        <v>1145</v>
      </c>
    </row>
    <row r="11164" spans="14:14" ht="15" customHeight="1" x14ac:dyDescent="0.25">
      <c r="N11164" t="s">
        <v>1145</v>
      </c>
    </row>
    <row r="11165" spans="14:14" ht="15" customHeight="1" x14ac:dyDescent="0.25">
      <c r="N11165" t="s">
        <v>1145</v>
      </c>
    </row>
    <row r="11166" spans="14:14" ht="15" customHeight="1" x14ac:dyDescent="0.25">
      <c r="N11166" t="s">
        <v>1145</v>
      </c>
    </row>
    <row r="11167" spans="14:14" ht="15" customHeight="1" x14ac:dyDescent="0.25">
      <c r="N11167" t="s">
        <v>1197</v>
      </c>
    </row>
    <row r="11168" spans="14:14" ht="15" customHeight="1" x14ac:dyDescent="0.25">
      <c r="N11168" t="s">
        <v>1198</v>
      </c>
    </row>
    <row r="11169" spans="14:14" ht="15" customHeight="1" x14ac:dyDescent="0.25">
      <c r="N11169" t="s">
        <v>1172</v>
      </c>
    </row>
    <row r="11170" spans="14:14" ht="15" customHeight="1" x14ac:dyDescent="0.25">
      <c r="N11170" t="s">
        <v>1200</v>
      </c>
    </row>
    <row r="11171" spans="14:14" ht="15" customHeight="1" x14ac:dyDescent="0.25">
      <c r="N11171" t="s">
        <v>1201</v>
      </c>
    </row>
    <row r="11172" spans="14:14" ht="15" customHeight="1" x14ac:dyDescent="0.25">
      <c r="N11172" t="s">
        <v>1203</v>
      </c>
    </row>
    <row r="11173" spans="14:14" ht="15" customHeight="1" x14ac:dyDescent="0.25">
      <c r="N11173" t="s">
        <v>1004</v>
      </c>
    </row>
    <row r="11174" spans="14:14" ht="15" customHeight="1" x14ac:dyDescent="0.25">
      <c r="N11174" t="s">
        <v>1204</v>
      </c>
    </row>
    <row r="11175" spans="14:14" ht="15" customHeight="1" x14ac:dyDescent="0.25">
      <c r="N11175" t="s">
        <v>1204</v>
      </c>
    </row>
    <row r="11176" spans="14:14" ht="15" customHeight="1" x14ac:dyDescent="0.25">
      <c r="N11176" t="s">
        <v>1204</v>
      </c>
    </row>
    <row r="11177" spans="14:14" ht="15" customHeight="1" x14ac:dyDescent="0.25">
      <c r="N11177" t="s">
        <v>1145</v>
      </c>
    </row>
    <row r="11178" spans="14:14" ht="15" customHeight="1" x14ac:dyDescent="0.25">
      <c r="N11178" t="s">
        <v>1004</v>
      </c>
    </row>
    <row r="11179" spans="14:14" ht="15" customHeight="1" x14ac:dyDescent="0.25">
      <c r="N11179" t="s">
        <v>1004</v>
      </c>
    </row>
    <row r="11180" spans="14:14" ht="15" customHeight="1" x14ac:dyDescent="0.25">
      <c r="N11180" t="s">
        <v>1005</v>
      </c>
    </row>
    <row r="11181" spans="14:14" ht="15" customHeight="1" x14ac:dyDescent="0.25">
      <c r="N11181" t="s">
        <v>1004</v>
      </c>
    </row>
    <row r="11182" spans="14:14" ht="15" customHeight="1" x14ac:dyDescent="0.25">
      <c r="N11182" t="s">
        <v>907</v>
      </c>
    </row>
    <row r="11183" spans="14:14" ht="15" customHeight="1" x14ac:dyDescent="0.25">
      <c r="N11183" t="s">
        <v>273</v>
      </c>
    </row>
    <row r="11184" spans="14:14" ht="15" customHeight="1" x14ac:dyDescent="0.25">
      <c r="N11184" t="s">
        <v>1005</v>
      </c>
    </row>
    <row r="11185" spans="14:14" ht="15" customHeight="1" x14ac:dyDescent="0.25">
      <c r="N11185" t="s">
        <v>1005</v>
      </c>
    </row>
    <row r="11186" spans="14:14" ht="15" customHeight="1" x14ac:dyDescent="0.25">
      <c r="N11186" t="s">
        <v>1005</v>
      </c>
    </row>
    <row r="11187" spans="14:14" ht="15" customHeight="1" x14ac:dyDescent="0.25">
      <c r="N11187" t="s">
        <v>1207</v>
      </c>
    </row>
    <row r="11188" spans="14:14" ht="15" customHeight="1" x14ac:dyDescent="0.25">
      <c r="N11188" t="s">
        <v>1207</v>
      </c>
    </row>
    <row r="11189" spans="14:14" ht="15" customHeight="1" x14ac:dyDescent="0.25">
      <c r="N11189" t="s">
        <v>1207</v>
      </c>
    </row>
    <row r="11190" spans="14:14" ht="15" customHeight="1" x14ac:dyDescent="0.25">
      <c r="N11190" t="s">
        <v>273</v>
      </c>
    </row>
    <row r="11191" spans="14:14" ht="15" customHeight="1" x14ac:dyDescent="0.25">
      <c r="N11191" t="s">
        <v>273</v>
      </c>
    </row>
    <row r="11192" spans="14:14" ht="15" customHeight="1" x14ac:dyDescent="0.25">
      <c r="N11192" t="s">
        <v>1111</v>
      </c>
    </row>
    <row r="11193" spans="14:14" ht="15" customHeight="1" x14ac:dyDescent="0.25">
      <c r="N11193" t="s">
        <v>273</v>
      </c>
    </row>
    <row r="11194" spans="14:14" ht="15" customHeight="1" x14ac:dyDescent="0.25">
      <c r="N11194" t="s">
        <v>273</v>
      </c>
    </row>
    <row r="11195" spans="14:14" ht="15" customHeight="1" x14ac:dyDescent="0.25">
      <c r="N11195" t="s">
        <v>1211</v>
      </c>
    </row>
    <row r="11196" spans="14:14" ht="15" customHeight="1" x14ac:dyDescent="0.25">
      <c r="N11196" t="s">
        <v>1213</v>
      </c>
    </row>
    <row r="11197" spans="14:14" ht="15" customHeight="1" x14ac:dyDescent="0.25">
      <c r="N11197" t="s">
        <v>1005</v>
      </c>
    </row>
    <row r="11198" spans="14:14" ht="15" customHeight="1" x14ac:dyDescent="0.25">
      <c r="N11198" t="s">
        <v>789</v>
      </c>
    </row>
    <row r="11199" spans="14:14" ht="15" customHeight="1" x14ac:dyDescent="0.25">
      <c r="N11199" t="s">
        <v>1090</v>
      </c>
    </row>
    <row r="11200" spans="14:14" ht="15" customHeight="1" x14ac:dyDescent="0.25">
      <c r="N11200" t="s">
        <v>1090</v>
      </c>
    </row>
    <row r="11201" spans="14:14" ht="15" customHeight="1" x14ac:dyDescent="0.25">
      <c r="N11201" t="s">
        <v>1318</v>
      </c>
    </row>
    <row r="11202" spans="14:14" ht="15" customHeight="1" x14ac:dyDescent="0.25">
      <c r="N11202" t="s">
        <v>294</v>
      </c>
    </row>
    <row r="11203" spans="14:14" ht="15" customHeight="1" x14ac:dyDescent="0.25">
      <c r="N11203" t="s">
        <v>1005</v>
      </c>
    </row>
    <row r="11204" spans="14:14" ht="15" customHeight="1" x14ac:dyDescent="0.25">
      <c r="N11204" t="s">
        <v>1005</v>
      </c>
    </row>
    <row r="11205" spans="14:14" ht="15" customHeight="1" x14ac:dyDescent="0.25">
      <c r="N11205" t="s">
        <v>1087</v>
      </c>
    </row>
    <row r="11206" spans="14:14" ht="15" customHeight="1" x14ac:dyDescent="0.25">
      <c r="N11206" t="s">
        <v>1004</v>
      </c>
    </row>
    <row r="11207" spans="14:14" ht="15" customHeight="1" x14ac:dyDescent="0.25">
      <c r="N11207" t="s">
        <v>1004</v>
      </c>
    </row>
    <row r="11208" spans="14:14" ht="15" customHeight="1" x14ac:dyDescent="0.25">
      <c r="N11208" t="s">
        <v>1214</v>
      </c>
    </row>
    <row r="11209" spans="14:14" ht="15" customHeight="1" x14ac:dyDescent="0.25">
      <c r="N11209" t="s">
        <v>1214</v>
      </c>
    </row>
    <row r="11210" spans="14:14" ht="15" customHeight="1" x14ac:dyDescent="0.25">
      <c r="N11210" t="s">
        <v>1068</v>
      </c>
    </row>
    <row r="11211" spans="14:14" ht="15" customHeight="1" x14ac:dyDescent="0.25">
      <c r="N11211" t="s">
        <v>1068</v>
      </c>
    </row>
    <row r="11212" spans="14:14" ht="15" customHeight="1" x14ac:dyDescent="0.25">
      <c r="N11212" t="s">
        <v>1187</v>
      </c>
    </row>
    <row r="11213" spans="14:14" ht="15" customHeight="1" x14ac:dyDescent="0.25">
      <c r="N11213" t="s">
        <v>1187</v>
      </c>
    </row>
    <row r="11214" spans="14:14" ht="15" customHeight="1" x14ac:dyDescent="0.25">
      <c r="N11214" t="s">
        <v>1187</v>
      </c>
    </row>
    <row r="11215" spans="14:14" ht="15" customHeight="1" x14ac:dyDescent="0.25">
      <c r="N11215" t="s">
        <v>1187</v>
      </c>
    </row>
    <row r="11216" spans="14:14" ht="15" customHeight="1" x14ac:dyDescent="0.25">
      <c r="N11216" t="s">
        <v>1187</v>
      </c>
    </row>
    <row r="11217" spans="14:14" ht="15" customHeight="1" x14ac:dyDescent="0.25">
      <c r="N11217" t="s">
        <v>1187</v>
      </c>
    </row>
    <row r="11218" spans="14:14" ht="15" customHeight="1" x14ac:dyDescent="0.25">
      <c r="N11218" t="s">
        <v>1187</v>
      </c>
    </row>
    <row r="11219" spans="14:14" ht="15" customHeight="1" x14ac:dyDescent="0.25">
      <c r="N11219" t="s">
        <v>1187</v>
      </c>
    </row>
    <row r="11220" spans="14:14" ht="15" customHeight="1" x14ac:dyDescent="0.25">
      <c r="N11220" t="s">
        <v>1089</v>
      </c>
    </row>
    <row r="11221" spans="14:14" ht="15" customHeight="1" x14ac:dyDescent="0.25">
      <c r="N11221" t="s">
        <v>1089</v>
      </c>
    </row>
    <row r="11222" spans="14:14" ht="15" customHeight="1" x14ac:dyDescent="0.25">
      <c r="N11222" t="s">
        <v>1215</v>
      </c>
    </row>
    <row r="11223" spans="14:14" ht="15" customHeight="1" x14ac:dyDescent="0.25">
      <c r="N11223" t="s">
        <v>985</v>
      </c>
    </row>
    <row r="11224" spans="14:14" ht="15" customHeight="1" x14ac:dyDescent="0.25">
      <c r="N11224" t="s">
        <v>930</v>
      </c>
    </row>
    <row r="11225" spans="14:14" ht="15" customHeight="1" x14ac:dyDescent="0.25">
      <c r="N11225" t="s">
        <v>930</v>
      </c>
    </row>
    <row r="11226" spans="14:14" ht="15" customHeight="1" x14ac:dyDescent="0.25">
      <c r="N11226" t="s">
        <v>910</v>
      </c>
    </row>
    <row r="11227" spans="14:14" ht="15" customHeight="1" x14ac:dyDescent="0.25">
      <c r="N11227" t="s">
        <v>1124</v>
      </c>
    </row>
    <row r="11228" spans="14:14" ht="15" customHeight="1" x14ac:dyDescent="0.25">
      <c r="N11228" t="s">
        <v>1089</v>
      </c>
    </row>
    <row r="11229" spans="14:14" ht="15" customHeight="1" x14ac:dyDescent="0.25">
      <c r="N11229" t="s">
        <v>1068</v>
      </c>
    </row>
    <row r="11230" spans="14:14" ht="15" customHeight="1" x14ac:dyDescent="0.25">
      <c r="N11230" t="s">
        <v>1068</v>
      </c>
    </row>
    <row r="11231" spans="14:14" ht="15" customHeight="1" x14ac:dyDescent="0.25">
      <c r="N11231" t="s">
        <v>930</v>
      </c>
    </row>
    <row r="11232" spans="14:14" ht="15" customHeight="1" x14ac:dyDescent="0.25">
      <c r="N11232" t="s">
        <v>1100</v>
      </c>
    </row>
    <row r="11233" spans="14:14" ht="15" customHeight="1" x14ac:dyDescent="0.25">
      <c r="N11233" t="s">
        <v>1087</v>
      </c>
    </row>
    <row r="11234" spans="14:14" ht="15" customHeight="1" x14ac:dyDescent="0.25">
      <c r="N11234" t="s">
        <v>1220</v>
      </c>
    </row>
    <row r="11235" spans="14:14" ht="15" customHeight="1" x14ac:dyDescent="0.25">
      <c r="N11235" t="s">
        <v>985</v>
      </c>
    </row>
    <row r="11236" spans="14:14" ht="15" customHeight="1" x14ac:dyDescent="0.25">
      <c r="N11236" t="s">
        <v>1011</v>
      </c>
    </row>
    <row r="11237" spans="14:14" ht="15" customHeight="1" x14ac:dyDescent="0.25">
      <c r="N11237" t="s">
        <v>1004</v>
      </c>
    </row>
    <row r="11238" spans="14:14" ht="15" customHeight="1" x14ac:dyDescent="0.25">
      <c r="N11238" t="s">
        <v>1224</v>
      </c>
    </row>
    <row r="11239" spans="14:14" ht="15" customHeight="1" x14ac:dyDescent="0.25">
      <c r="N11239" t="s">
        <v>1224</v>
      </c>
    </row>
    <row r="11240" spans="14:14" ht="15" customHeight="1" x14ac:dyDescent="0.25">
      <c r="N11240" t="s">
        <v>1224</v>
      </c>
    </row>
    <row r="11241" spans="14:14" ht="15" customHeight="1" x14ac:dyDescent="0.25">
      <c r="N11241" t="s">
        <v>1004</v>
      </c>
    </row>
    <row r="11242" spans="14:14" ht="15" customHeight="1" x14ac:dyDescent="0.25">
      <c r="N11242" t="s">
        <v>1004</v>
      </c>
    </row>
    <row r="11243" spans="14:14" ht="15" customHeight="1" x14ac:dyDescent="0.25">
      <c r="N11243" t="s">
        <v>1005</v>
      </c>
    </row>
    <row r="11244" spans="14:14" ht="15" customHeight="1" x14ac:dyDescent="0.25">
      <c r="N11244" t="s">
        <v>1070</v>
      </c>
    </row>
    <row r="11245" spans="14:14" ht="15" customHeight="1" x14ac:dyDescent="0.25">
      <c r="N11245" t="s">
        <v>273</v>
      </c>
    </row>
    <row r="11246" spans="14:14" ht="15" customHeight="1" x14ac:dyDescent="0.25">
      <c r="N11246" t="s">
        <v>1005</v>
      </c>
    </row>
    <row r="11247" spans="14:14" ht="15" customHeight="1" x14ac:dyDescent="0.25">
      <c r="N11247" t="s">
        <v>1005</v>
      </c>
    </row>
    <row r="11248" spans="14:14" ht="15" customHeight="1" x14ac:dyDescent="0.25">
      <c r="N11248" t="s">
        <v>1005</v>
      </c>
    </row>
    <row r="11249" spans="14:14" ht="15" customHeight="1" x14ac:dyDescent="0.25">
      <c r="N11249" t="s">
        <v>1090</v>
      </c>
    </row>
    <row r="11250" spans="14:14" ht="15" customHeight="1" x14ac:dyDescent="0.25">
      <c r="N11250" t="s">
        <v>1090</v>
      </c>
    </row>
    <row r="11251" spans="14:14" ht="15" customHeight="1" x14ac:dyDescent="0.25">
      <c r="N11251" t="s">
        <v>1090</v>
      </c>
    </row>
    <row r="11252" spans="14:14" ht="15" customHeight="1" x14ac:dyDescent="0.25">
      <c r="N11252" t="s">
        <v>231</v>
      </c>
    </row>
    <row r="11253" spans="14:14" ht="15" customHeight="1" x14ac:dyDescent="0.25">
      <c r="N11253" t="s">
        <v>1109</v>
      </c>
    </row>
    <row r="11254" spans="14:14" ht="15" customHeight="1" x14ac:dyDescent="0.25">
      <c r="N11254" t="s">
        <v>1062</v>
      </c>
    </row>
    <row r="11255" spans="14:14" ht="15" customHeight="1" x14ac:dyDescent="0.25">
      <c r="N11255" t="s">
        <v>1062</v>
      </c>
    </row>
    <row r="11256" spans="14:14" ht="15" customHeight="1" x14ac:dyDescent="0.25">
      <c r="N11256" t="s">
        <v>1063</v>
      </c>
    </row>
    <row r="11257" spans="14:14" ht="15" customHeight="1" x14ac:dyDescent="0.25">
      <c r="N11257" t="s">
        <v>1226</v>
      </c>
    </row>
    <row r="11258" spans="14:14" ht="15" customHeight="1" x14ac:dyDescent="0.25">
      <c r="N11258" t="s">
        <v>273</v>
      </c>
    </row>
    <row r="11259" spans="14:14" ht="15" customHeight="1" x14ac:dyDescent="0.25">
      <c r="N11259" t="s">
        <v>1005</v>
      </c>
    </row>
    <row r="11260" spans="14:14" ht="15" customHeight="1" x14ac:dyDescent="0.25">
      <c r="N11260" t="s">
        <v>273</v>
      </c>
    </row>
    <row r="11261" spans="14:14" ht="15" customHeight="1" x14ac:dyDescent="0.25">
      <c r="N11261" t="s">
        <v>890</v>
      </c>
    </row>
    <row r="11262" spans="14:14" ht="15" customHeight="1" x14ac:dyDescent="0.25">
      <c r="N11262" t="s">
        <v>1238</v>
      </c>
    </row>
    <row r="11263" spans="14:14" ht="15" customHeight="1" x14ac:dyDescent="0.25">
      <c r="N11263" t="s">
        <v>1238</v>
      </c>
    </row>
    <row r="11264" spans="14:14" ht="15" customHeight="1" x14ac:dyDescent="0.25">
      <c r="N11264" t="s">
        <v>231</v>
      </c>
    </row>
    <row r="11265" spans="14:14" ht="15" customHeight="1" x14ac:dyDescent="0.25">
      <c r="N11265" t="s">
        <v>231</v>
      </c>
    </row>
    <row r="11266" spans="14:14" ht="15" customHeight="1" x14ac:dyDescent="0.25">
      <c r="N11266" t="s">
        <v>1087</v>
      </c>
    </row>
    <row r="11267" spans="14:14" ht="15" customHeight="1" x14ac:dyDescent="0.25">
      <c r="N11267" t="s">
        <v>1004</v>
      </c>
    </row>
    <row r="11268" spans="14:14" ht="15" customHeight="1" x14ac:dyDescent="0.25">
      <c r="N11268" t="s">
        <v>1004</v>
      </c>
    </row>
    <row r="11269" spans="14:14" ht="15" customHeight="1" x14ac:dyDescent="0.25">
      <c r="N11269" t="s">
        <v>1179</v>
      </c>
    </row>
    <row r="11270" spans="14:14" ht="15" customHeight="1" x14ac:dyDescent="0.25">
      <c r="N11270" t="s">
        <v>1179</v>
      </c>
    </row>
    <row r="11271" spans="14:14" ht="15" customHeight="1" x14ac:dyDescent="0.25">
      <c r="N11271" t="s">
        <v>1179</v>
      </c>
    </row>
    <row r="11272" spans="14:14" ht="15" customHeight="1" x14ac:dyDescent="0.25">
      <c r="N11272" t="s">
        <v>1179</v>
      </c>
    </row>
    <row r="11273" spans="14:14" ht="15" customHeight="1" x14ac:dyDescent="0.25">
      <c r="N11273" t="s">
        <v>1179</v>
      </c>
    </row>
    <row r="11274" spans="14:14" ht="15" customHeight="1" x14ac:dyDescent="0.25">
      <c r="N11274" t="s">
        <v>1179</v>
      </c>
    </row>
    <row r="11275" spans="14:14" ht="15" customHeight="1" x14ac:dyDescent="0.25">
      <c r="N11275" t="s">
        <v>1179</v>
      </c>
    </row>
    <row r="11276" spans="14:14" ht="15" customHeight="1" x14ac:dyDescent="0.25">
      <c r="N11276" t="s">
        <v>1179</v>
      </c>
    </row>
    <row r="11277" spans="14:14" ht="15" customHeight="1" x14ac:dyDescent="0.25">
      <c r="N11277" t="s">
        <v>1179</v>
      </c>
    </row>
    <row r="11278" spans="14:14" ht="15" customHeight="1" x14ac:dyDescent="0.25">
      <c r="N11278" t="s">
        <v>1179</v>
      </c>
    </row>
    <row r="11279" spans="14:14" ht="15" customHeight="1" x14ac:dyDescent="0.25">
      <c r="N11279" t="s">
        <v>907</v>
      </c>
    </row>
    <row r="11280" spans="14:14" ht="15" customHeight="1" x14ac:dyDescent="0.25">
      <c r="N11280" t="s">
        <v>1124</v>
      </c>
    </row>
    <row r="11281" spans="14:14" ht="15" customHeight="1" x14ac:dyDescent="0.25">
      <c r="N11281" t="s">
        <v>1078</v>
      </c>
    </row>
    <row r="11282" spans="14:14" ht="15" customHeight="1" x14ac:dyDescent="0.25">
      <c r="N11282" t="s">
        <v>1068</v>
      </c>
    </row>
    <row r="11283" spans="14:14" ht="15" customHeight="1" x14ac:dyDescent="0.25">
      <c r="N11283" t="s">
        <v>1068</v>
      </c>
    </row>
    <row r="11284" spans="14:14" ht="15" customHeight="1" x14ac:dyDescent="0.25">
      <c r="N11284" t="s">
        <v>985</v>
      </c>
    </row>
    <row r="11285" spans="14:14" ht="15" customHeight="1" x14ac:dyDescent="0.25">
      <c r="N11285" t="s">
        <v>1087</v>
      </c>
    </row>
    <row r="11286" spans="14:14" ht="15" customHeight="1" x14ac:dyDescent="0.25">
      <c r="N11286" t="s">
        <v>1068</v>
      </c>
    </row>
    <row r="11287" spans="14:14" ht="15" customHeight="1" x14ac:dyDescent="0.25">
      <c r="N11287" t="s">
        <v>989</v>
      </c>
    </row>
    <row r="11288" spans="14:14" ht="15" customHeight="1" x14ac:dyDescent="0.25">
      <c r="N11288" t="s">
        <v>1234</v>
      </c>
    </row>
    <row r="11289" spans="14:14" ht="15" customHeight="1" x14ac:dyDescent="0.25">
      <c r="N11289" t="s">
        <v>1004</v>
      </c>
    </row>
    <row r="11290" spans="14:14" ht="15" customHeight="1" x14ac:dyDescent="0.25">
      <c r="N11290" t="s">
        <v>1068</v>
      </c>
    </row>
    <row r="11291" spans="14:14" ht="15" customHeight="1" x14ac:dyDescent="0.25">
      <c r="N11291" t="s">
        <v>1068</v>
      </c>
    </row>
    <row r="11292" spans="14:14" ht="15" customHeight="1" x14ac:dyDescent="0.25">
      <c r="N11292" t="s">
        <v>1087</v>
      </c>
    </row>
    <row r="11293" spans="14:14" ht="15" customHeight="1" x14ac:dyDescent="0.25">
      <c r="N11293" t="s">
        <v>1100</v>
      </c>
    </row>
    <row r="11294" spans="14:14" ht="15" customHeight="1" x14ac:dyDescent="0.25">
      <c r="N11294" t="s">
        <v>1087</v>
      </c>
    </row>
    <row r="11295" spans="14:14" ht="15" customHeight="1" x14ac:dyDescent="0.25">
      <c r="N11295" t="s">
        <v>1145</v>
      </c>
    </row>
    <row r="11296" spans="14:14" ht="15" customHeight="1" x14ac:dyDescent="0.25">
      <c r="N11296" t="s">
        <v>930</v>
      </c>
    </row>
    <row r="11297" spans="14:14" ht="15" customHeight="1" x14ac:dyDescent="0.25">
      <c r="N11297" t="s">
        <v>1004</v>
      </c>
    </row>
    <row r="11298" spans="14:14" ht="15" customHeight="1" x14ac:dyDescent="0.25">
      <c r="N11298" t="s">
        <v>1070</v>
      </c>
    </row>
    <row r="11299" spans="14:14" ht="15" customHeight="1" x14ac:dyDescent="0.25">
      <c r="N11299" t="s">
        <v>1068</v>
      </c>
    </row>
    <row r="11300" spans="14:14" ht="15" customHeight="1" x14ac:dyDescent="0.25">
      <c r="N11300" t="s">
        <v>1068</v>
      </c>
    </row>
    <row r="11301" spans="14:14" ht="15" customHeight="1" x14ac:dyDescent="0.25">
      <c r="N11301" t="s">
        <v>1087</v>
      </c>
    </row>
    <row r="11302" spans="14:14" ht="15" customHeight="1" x14ac:dyDescent="0.25">
      <c r="N11302" t="s">
        <v>273</v>
      </c>
    </row>
    <row r="11303" spans="14:14" ht="15" customHeight="1" x14ac:dyDescent="0.25">
      <c r="N11303" t="s">
        <v>1238</v>
      </c>
    </row>
    <row r="11304" spans="14:14" ht="15" customHeight="1" x14ac:dyDescent="0.25">
      <c r="N11304" t="s">
        <v>1238</v>
      </c>
    </row>
    <row r="11305" spans="14:14" ht="15" customHeight="1" x14ac:dyDescent="0.25">
      <c r="N11305" t="s">
        <v>1238</v>
      </c>
    </row>
    <row r="11306" spans="14:14" ht="15" customHeight="1" x14ac:dyDescent="0.25">
      <c r="N11306" t="s">
        <v>148</v>
      </c>
    </row>
    <row r="11307" spans="14:14" ht="15" customHeight="1" x14ac:dyDescent="0.25">
      <c r="N11307" t="s">
        <v>273</v>
      </c>
    </row>
    <row r="11308" spans="14:14" ht="15" customHeight="1" x14ac:dyDescent="0.25">
      <c r="N11308" t="s">
        <v>1109</v>
      </c>
    </row>
    <row r="11309" spans="14:14" ht="15" customHeight="1" x14ac:dyDescent="0.25">
      <c r="N11309" t="s">
        <v>273</v>
      </c>
    </row>
    <row r="11310" spans="14:14" ht="15" customHeight="1" x14ac:dyDescent="0.25">
      <c r="N11310" t="s">
        <v>273</v>
      </c>
    </row>
    <row r="11311" spans="14:14" ht="15" customHeight="1" x14ac:dyDescent="0.25">
      <c r="N11311" t="s">
        <v>1239</v>
      </c>
    </row>
    <row r="11312" spans="14:14" ht="15" customHeight="1" x14ac:dyDescent="0.25">
      <c r="N11312" t="s">
        <v>1005</v>
      </c>
    </row>
    <row r="11313" spans="14:14" ht="15" customHeight="1" x14ac:dyDescent="0.25">
      <c r="N11313" t="s">
        <v>273</v>
      </c>
    </row>
    <row r="11314" spans="14:14" ht="15" customHeight="1" x14ac:dyDescent="0.25">
      <c r="N11314" t="s">
        <v>1005</v>
      </c>
    </row>
    <row r="11315" spans="14:14" ht="15" customHeight="1" x14ac:dyDescent="0.25">
      <c r="N11315" t="s">
        <v>1064</v>
      </c>
    </row>
    <row r="11316" spans="14:14" ht="15" customHeight="1" x14ac:dyDescent="0.25">
      <c r="N11316" t="s">
        <v>273</v>
      </c>
    </row>
    <row r="11317" spans="14:14" ht="15" customHeight="1" x14ac:dyDescent="0.25">
      <c r="N11317" t="s">
        <v>452</v>
      </c>
    </row>
    <row r="11318" spans="14:14" ht="15" customHeight="1" x14ac:dyDescent="0.25">
      <c r="N11318" t="s">
        <v>1087</v>
      </c>
    </row>
    <row r="11319" spans="14:14" ht="15" customHeight="1" x14ac:dyDescent="0.25">
      <c r="N11319" t="s">
        <v>1087</v>
      </c>
    </row>
    <row r="11320" spans="14:14" ht="15" customHeight="1" x14ac:dyDescent="0.25">
      <c r="N11320" t="s">
        <v>1087</v>
      </c>
    </row>
    <row r="11321" spans="14:14" ht="15" customHeight="1" x14ac:dyDescent="0.25">
      <c r="N11321" t="s">
        <v>930</v>
      </c>
    </row>
    <row r="11322" spans="14:14" ht="15" customHeight="1" x14ac:dyDescent="0.25">
      <c r="N11322" t="s">
        <v>1197</v>
      </c>
    </row>
    <row r="11323" spans="14:14" ht="15" customHeight="1" x14ac:dyDescent="0.25">
      <c r="N11323" t="s">
        <v>1197</v>
      </c>
    </row>
    <row r="11324" spans="14:14" ht="15" customHeight="1" x14ac:dyDescent="0.25">
      <c r="N11324" t="s">
        <v>1214</v>
      </c>
    </row>
    <row r="11325" spans="14:14" ht="15" customHeight="1" x14ac:dyDescent="0.25">
      <c r="N11325" t="s">
        <v>1087</v>
      </c>
    </row>
    <row r="11326" spans="14:14" ht="15" customHeight="1" x14ac:dyDescent="0.25">
      <c r="N11326" t="s">
        <v>1004</v>
      </c>
    </row>
    <row r="11327" spans="14:14" ht="15" customHeight="1" x14ac:dyDescent="0.25">
      <c r="N11327" t="s">
        <v>1087</v>
      </c>
    </row>
    <row r="11328" spans="14:14" ht="15" customHeight="1" x14ac:dyDescent="0.25">
      <c r="N11328" t="s">
        <v>1183</v>
      </c>
    </row>
    <row r="11329" spans="14:14" ht="15" customHeight="1" x14ac:dyDescent="0.25">
      <c r="N11329" t="s">
        <v>1214</v>
      </c>
    </row>
    <row r="11330" spans="14:14" ht="15" customHeight="1" x14ac:dyDescent="0.25">
      <c r="N11330" t="s">
        <v>1241</v>
      </c>
    </row>
    <row r="11331" spans="14:14" ht="15" customHeight="1" x14ac:dyDescent="0.25">
      <c r="N11331" t="s">
        <v>1068</v>
      </c>
    </row>
    <row r="11332" spans="14:14" ht="15" customHeight="1" x14ac:dyDescent="0.25">
      <c r="N11332" t="s">
        <v>1004</v>
      </c>
    </row>
    <row r="11333" spans="14:14" ht="15" customHeight="1" x14ac:dyDescent="0.25">
      <c r="N11333" t="s">
        <v>1070</v>
      </c>
    </row>
    <row r="11334" spans="14:14" ht="15" customHeight="1" x14ac:dyDescent="0.25">
      <c r="N11334" t="s">
        <v>1068</v>
      </c>
    </row>
    <row r="11335" spans="14:14" ht="15" customHeight="1" x14ac:dyDescent="0.25">
      <c r="N11335" t="s">
        <v>1068</v>
      </c>
    </row>
    <row r="11336" spans="14:14" ht="15" customHeight="1" x14ac:dyDescent="0.25">
      <c r="N11336" t="s">
        <v>1087</v>
      </c>
    </row>
    <row r="11337" spans="14:14" ht="15" customHeight="1" x14ac:dyDescent="0.25">
      <c r="N11337" t="s">
        <v>273</v>
      </c>
    </row>
    <row r="11338" spans="14:14" ht="15" customHeight="1" x14ac:dyDescent="0.25">
      <c r="N11338" t="s">
        <v>1198</v>
      </c>
    </row>
    <row r="11339" spans="14:14" ht="15" customHeight="1" x14ac:dyDescent="0.25">
      <c r="N11339" t="s">
        <v>1198</v>
      </c>
    </row>
    <row r="11340" spans="14:14" ht="15" customHeight="1" x14ac:dyDescent="0.25">
      <c r="N11340" t="s">
        <v>1198</v>
      </c>
    </row>
    <row r="11341" spans="14:14" ht="15" customHeight="1" x14ac:dyDescent="0.25">
      <c r="N11341" t="s">
        <v>1005</v>
      </c>
    </row>
    <row r="11342" spans="14:14" ht="15" customHeight="1" x14ac:dyDescent="0.25">
      <c r="N11342" t="s">
        <v>1227</v>
      </c>
    </row>
    <row r="11343" spans="14:14" ht="15" customHeight="1" x14ac:dyDescent="0.25">
      <c r="N11343" t="s">
        <v>273</v>
      </c>
    </row>
    <row r="11344" spans="14:14" ht="15" customHeight="1" x14ac:dyDescent="0.25">
      <c r="N11344" t="s">
        <v>1087</v>
      </c>
    </row>
    <row r="11345" spans="14:14" ht="15" customHeight="1" x14ac:dyDescent="0.25">
      <c r="N11345" t="s">
        <v>1087</v>
      </c>
    </row>
    <row r="11346" spans="14:14" ht="15" customHeight="1" x14ac:dyDescent="0.25">
      <c r="N11346" t="s">
        <v>1004</v>
      </c>
    </row>
    <row r="11347" spans="14:14" ht="15" customHeight="1" x14ac:dyDescent="0.25">
      <c r="N11347" t="s">
        <v>1214</v>
      </c>
    </row>
    <row r="11348" spans="14:14" ht="15" customHeight="1" x14ac:dyDescent="0.25">
      <c r="N11348" t="s">
        <v>1214</v>
      </c>
    </row>
    <row r="11349" spans="14:14" ht="15" customHeight="1" x14ac:dyDescent="0.25">
      <c r="N11349" t="s">
        <v>1068</v>
      </c>
    </row>
    <row r="11350" spans="14:14" ht="15" customHeight="1" x14ac:dyDescent="0.25">
      <c r="N11350" t="s">
        <v>1004</v>
      </c>
    </row>
    <row r="11351" spans="14:14" ht="15" customHeight="1" x14ac:dyDescent="0.25">
      <c r="N11351" t="s">
        <v>1068</v>
      </c>
    </row>
    <row r="11352" spans="14:14" ht="15" customHeight="1" x14ac:dyDescent="0.25">
      <c r="N11352" t="s">
        <v>1072</v>
      </c>
    </row>
    <row r="11353" spans="14:14" ht="15" customHeight="1" x14ac:dyDescent="0.25">
      <c r="N11353" t="s">
        <v>1072</v>
      </c>
    </row>
    <row r="11354" spans="14:14" ht="15" customHeight="1" x14ac:dyDescent="0.25">
      <c r="N11354" t="s">
        <v>1072</v>
      </c>
    </row>
    <row r="11355" spans="14:14" ht="15" customHeight="1" x14ac:dyDescent="0.25">
      <c r="N11355" t="s">
        <v>1072</v>
      </c>
    </row>
    <row r="11356" spans="14:14" ht="15" customHeight="1" x14ac:dyDescent="0.25">
      <c r="N11356" t="s">
        <v>1072</v>
      </c>
    </row>
    <row r="11357" spans="14:14" ht="15" customHeight="1" x14ac:dyDescent="0.25">
      <c r="N11357" t="s">
        <v>1072</v>
      </c>
    </row>
    <row r="11358" spans="14:14" ht="15" customHeight="1" x14ac:dyDescent="0.25">
      <c r="N11358" t="s">
        <v>1087</v>
      </c>
    </row>
    <row r="11359" spans="14:14" ht="15" customHeight="1" x14ac:dyDescent="0.25">
      <c r="N11359" t="s">
        <v>1087</v>
      </c>
    </row>
    <row r="11360" spans="14:14" ht="15" customHeight="1" x14ac:dyDescent="0.25">
      <c r="N11360" t="s">
        <v>1068</v>
      </c>
    </row>
    <row r="11361" spans="14:14" ht="15" customHeight="1" x14ac:dyDescent="0.25">
      <c r="N11361" t="s">
        <v>1068</v>
      </c>
    </row>
    <row r="11362" spans="14:14" ht="15" customHeight="1" x14ac:dyDescent="0.25">
      <c r="N11362" t="s">
        <v>148</v>
      </c>
    </row>
    <row r="11363" spans="14:14" ht="15" customHeight="1" x14ac:dyDescent="0.25">
      <c r="N11363" t="s">
        <v>1005</v>
      </c>
    </row>
    <row r="11364" spans="14:14" ht="15" customHeight="1" x14ac:dyDescent="0.25">
      <c r="N11364" t="s">
        <v>1090</v>
      </c>
    </row>
    <row r="11365" spans="14:14" ht="15" customHeight="1" x14ac:dyDescent="0.25">
      <c r="N11365" t="s">
        <v>1241</v>
      </c>
    </row>
    <row r="11366" spans="14:14" ht="15" customHeight="1" x14ac:dyDescent="0.25">
      <c r="N11366" t="s">
        <v>1241</v>
      </c>
    </row>
    <row r="11367" spans="14:14" ht="15" customHeight="1" x14ac:dyDescent="0.25">
      <c r="N11367" t="s">
        <v>1005</v>
      </c>
    </row>
    <row r="11368" spans="14:14" ht="15" customHeight="1" x14ac:dyDescent="0.25">
      <c r="N11368" t="s">
        <v>1105</v>
      </c>
    </row>
    <row r="11369" spans="14:14" ht="15" customHeight="1" x14ac:dyDescent="0.25">
      <c r="N11369" t="s">
        <v>1004</v>
      </c>
    </row>
    <row r="11370" spans="14:14" ht="15" customHeight="1" x14ac:dyDescent="0.25">
      <c r="N11370" t="s">
        <v>1250</v>
      </c>
    </row>
    <row r="11371" spans="14:14" ht="15" customHeight="1" x14ac:dyDescent="0.25">
      <c r="N11371" t="s">
        <v>1004</v>
      </c>
    </row>
    <row r="11372" spans="14:14" ht="15" customHeight="1" x14ac:dyDescent="0.25">
      <c r="N11372" t="s">
        <v>1068</v>
      </c>
    </row>
    <row r="11373" spans="14:14" ht="15" customHeight="1" x14ac:dyDescent="0.25">
      <c r="N11373" t="s">
        <v>1116</v>
      </c>
    </row>
    <row r="11374" spans="14:14" ht="15" customHeight="1" x14ac:dyDescent="0.25">
      <c r="N11374" t="s">
        <v>1116</v>
      </c>
    </row>
    <row r="11375" spans="14:14" ht="15" customHeight="1" x14ac:dyDescent="0.25">
      <c r="N11375" t="s">
        <v>1116</v>
      </c>
    </row>
    <row r="11376" spans="14:14" ht="15" customHeight="1" x14ac:dyDescent="0.25">
      <c r="N11376" t="s">
        <v>1116</v>
      </c>
    </row>
    <row r="11377" spans="14:14" ht="15" customHeight="1" x14ac:dyDescent="0.25">
      <c r="N11377" t="s">
        <v>1116</v>
      </c>
    </row>
    <row r="11378" spans="14:14" ht="15" customHeight="1" x14ac:dyDescent="0.25">
      <c r="N11378" t="s">
        <v>1116</v>
      </c>
    </row>
    <row r="11379" spans="14:14" ht="15" customHeight="1" x14ac:dyDescent="0.25">
      <c r="N11379" t="s">
        <v>1087</v>
      </c>
    </row>
    <row r="11380" spans="14:14" ht="15" customHeight="1" x14ac:dyDescent="0.25">
      <c r="N11380" t="s">
        <v>1087</v>
      </c>
    </row>
    <row r="11381" spans="14:14" ht="15" customHeight="1" x14ac:dyDescent="0.25">
      <c r="N11381" t="s">
        <v>1070</v>
      </c>
    </row>
    <row r="11382" spans="14:14" ht="15" customHeight="1" x14ac:dyDescent="0.25">
      <c r="N11382" t="s">
        <v>1087</v>
      </c>
    </row>
    <row r="11383" spans="14:14" ht="15" customHeight="1" x14ac:dyDescent="0.25">
      <c r="N11383" t="s">
        <v>1087</v>
      </c>
    </row>
    <row r="11384" spans="14:14" ht="15" customHeight="1" x14ac:dyDescent="0.25">
      <c r="N11384" t="s">
        <v>1253</v>
      </c>
    </row>
    <row r="11385" spans="14:14" ht="15" customHeight="1" x14ac:dyDescent="0.25">
      <c r="N11385" t="s">
        <v>1241</v>
      </c>
    </row>
    <row r="11386" spans="14:14" ht="15" customHeight="1" x14ac:dyDescent="0.25">
      <c r="N11386" t="s">
        <v>1005</v>
      </c>
    </row>
    <row r="11387" spans="14:14" ht="15" customHeight="1" x14ac:dyDescent="0.25">
      <c r="N11387" t="s">
        <v>1144</v>
      </c>
    </row>
    <row r="11388" spans="14:14" ht="15" customHeight="1" x14ac:dyDescent="0.25">
      <c r="N11388" t="s">
        <v>1254</v>
      </c>
    </row>
    <row r="11389" spans="14:14" ht="15" customHeight="1" x14ac:dyDescent="0.25">
      <c r="N11389" t="s">
        <v>273</v>
      </c>
    </row>
    <row r="11390" spans="14:14" ht="15" customHeight="1" x14ac:dyDescent="0.25">
      <c r="N11390" t="s">
        <v>1004</v>
      </c>
    </row>
    <row r="11391" spans="14:14" ht="15" customHeight="1" x14ac:dyDescent="0.25">
      <c r="N11391" t="s">
        <v>1105</v>
      </c>
    </row>
    <row r="11392" spans="14:14" ht="15" customHeight="1" x14ac:dyDescent="0.25">
      <c r="N11392" t="s">
        <v>1105</v>
      </c>
    </row>
    <row r="11393" spans="14:14" ht="15" customHeight="1" x14ac:dyDescent="0.25">
      <c r="N11393" t="s">
        <v>1105</v>
      </c>
    </row>
    <row r="11394" spans="14:14" ht="15" customHeight="1" x14ac:dyDescent="0.25">
      <c r="N11394" t="s">
        <v>1105</v>
      </c>
    </row>
    <row r="11395" spans="14:14" ht="15" customHeight="1" x14ac:dyDescent="0.25">
      <c r="N11395" t="s">
        <v>1105</v>
      </c>
    </row>
    <row r="11396" spans="14:14" ht="15" customHeight="1" x14ac:dyDescent="0.25">
      <c r="N11396" t="s">
        <v>1105</v>
      </c>
    </row>
    <row r="11397" spans="14:14" ht="15" customHeight="1" x14ac:dyDescent="0.25">
      <c r="N11397" t="s">
        <v>1087</v>
      </c>
    </row>
    <row r="11398" spans="14:14" ht="15" customHeight="1" x14ac:dyDescent="0.25">
      <c r="N11398" t="s">
        <v>1214</v>
      </c>
    </row>
    <row r="11399" spans="14:14" ht="15" customHeight="1" x14ac:dyDescent="0.25">
      <c r="N11399" t="s">
        <v>1087</v>
      </c>
    </row>
    <row r="11400" spans="14:14" ht="15" customHeight="1" x14ac:dyDescent="0.25">
      <c r="N11400" t="s">
        <v>1087</v>
      </c>
    </row>
    <row r="11401" spans="14:14" ht="15" customHeight="1" x14ac:dyDescent="0.25">
      <c r="N11401" t="s">
        <v>1241</v>
      </c>
    </row>
    <row r="11402" spans="14:14" ht="15" customHeight="1" x14ac:dyDescent="0.25">
      <c r="N11402" t="s">
        <v>1241</v>
      </c>
    </row>
    <row r="11403" spans="14:14" ht="15" customHeight="1" x14ac:dyDescent="0.25">
      <c r="N11403" t="s">
        <v>1241</v>
      </c>
    </row>
    <row r="11404" spans="14:14" ht="15" customHeight="1" x14ac:dyDescent="0.25">
      <c r="N11404" t="s">
        <v>1256</v>
      </c>
    </row>
    <row r="11405" spans="14:14" ht="15" customHeight="1" x14ac:dyDescent="0.25">
      <c r="N11405" t="s">
        <v>1335</v>
      </c>
    </row>
    <row r="11406" spans="14:14" ht="15" customHeight="1" x14ac:dyDescent="0.25">
      <c r="N11406" t="s">
        <v>1257</v>
      </c>
    </row>
    <row r="11407" spans="14:14" ht="15" customHeight="1" x14ac:dyDescent="0.25">
      <c r="N11407" t="s">
        <v>1258</v>
      </c>
    </row>
    <row r="11408" spans="14:14" ht="15" customHeight="1" x14ac:dyDescent="0.25">
      <c r="N11408" t="s">
        <v>989</v>
      </c>
    </row>
    <row r="11409" spans="14:14" ht="15" customHeight="1" x14ac:dyDescent="0.25">
      <c r="N11409" t="s">
        <v>1072</v>
      </c>
    </row>
    <row r="11410" spans="14:14" ht="15" customHeight="1" x14ac:dyDescent="0.25">
      <c r="N11410" t="s">
        <v>1072</v>
      </c>
    </row>
    <row r="11411" spans="14:14" ht="15" customHeight="1" x14ac:dyDescent="0.25">
      <c r="N11411" t="s">
        <v>1072</v>
      </c>
    </row>
    <row r="11412" spans="14:14" ht="15" customHeight="1" x14ac:dyDescent="0.25">
      <c r="N11412" t="s">
        <v>1072</v>
      </c>
    </row>
    <row r="11413" spans="14:14" ht="15" customHeight="1" x14ac:dyDescent="0.25">
      <c r="N11413" t="s">
        <v>1072</v>
      </c>
    </row>
    <row r="11414" spans="14:14" ht="15" customHeight="1" x14ac:dyDescent="0.25">
      <c r="N11414" t="s">
        <v>1072</v>
      </c>
    </row>
    <row r="11415" spans="14:14" ht="15" customHeight="1" x14ac:dyDescent="0.25">
      <c r="N11415" t="s">
        <v>1087</v>
      </c>
    </row>
    <row r="11416" spans="14:14" ht="15" customHeight="1" x14ac:dyDescent="0.25">
      <c r="N11416" t="s">
        <v>1215</v>
      </c>
    </row>
    <row r="11417" spans="14:14" ht="15" customHeight="1" x14ac:dyDescent="0.25">
      <c r="N11417" t="s">
        <v>1241</v>
      </c>
    </row>
    <row r="11418" spans="14:14" ht="15" customHeight="1" x14ac:dyDescent="0.25">
      <c r="N11418" t="s">
        <v>1281</v>
      </c>
    </row>
    <row r="11419" spans="14:14" ht="15" customHeight="1" x14ac:dyDescent="0.25">
      <c r="N11419" t="s">
        <v>1335</v>
      </c>
    </row>
    <row r="11420" spans="14:14" ht="15" customHeight="1" x14ac:dyDescent="0.25">
      <c r="N11420" t="s">
        <v>1234</v>
      </c>
    </row>
    <row r="11421" spans="14:14" ht="15" customHeight="1" x14ac:dyDescent="0.25">
      <c r="N11421" t="s">
        <v>1260</v>
      </c>
    </row>
    <row r="11422" spans="14:14" ht="15" customHeight="1" x14ac:dyDescent="0.25">
      <c r="N11422" t="s">
        <v>245</v>
      </c>
    </row>
    <row r="11423" spans="14:14" ht="15" customHeight="1" x14ac:dyDescent="0.25">
      <c r="N11423" t="s">
        <v>1197</v>
      </c>
    </row>
    <row r="11424" spans="14:14" ht="15" customHeight="1" x14ac:dyDescent="0.25">
      <c r="N11424" t="s">
        <v>1187</v>
      </c>
    </row>
    <row r="11425" spans="14:14" ht="15" customHeight="1" x14ac:dyDescent="0.25">
      <c r="N11425" t="s">
        <v>1187</v>
      </c>
    </row>
    <row r="11426" spans="14:14" ht="15" customHeight="1" x14ac:dyDescent="0.25">
      <c r="N11426" t="s">
        <v>1187</v>
      </c>
    </row>
    <row r="11427" spans="14:14" ht="15" customHeight="1" x14ac:dyDescent="0.25">
      <c r="N11427" t="s">
        <v>1187</v>
      </c>
    </row>
    <row r="11428" spans="14:14" ht="15" customHeight="1" x14ac:dyDescent="0.25">
      <c r="N11428" t="s">
        <v>1187</v>
      </c>
    </row>
    <row r="11429" spans="14:14" ht="15" customHeight="1" x14ac:dyDescent="0.25">
      <c r="N11429" t="s">
        <v>1187</v>
      </c>
    </row>
    <row r="11430" spans="14:14" ht="15" customHeight="1" x14ac:dyDescent="0.25">
      <c r="N11430" t="s">
        <v>1068</v>
      </c>
    </row>
    <row r="11431" spans="14:14" ht="15" customHeight="1" x14ac:dyDescent="0.25">
      <c r="N11431" t="s">
        <v>294</v>
      </c>
    </row>
    <row r="11432" spans="14:14" ht="15" customHeight="1" x14ac:dyDescent="0.25">
      <c r="N11432" t="s">
        <v>1005</v>
      </c>
    </row>
    <row r="11433" spans="14:14" ht="15" customHeight="1" x14ac:dyDescent="0.25">
      <c r="N11433" t="s">
        <v>1005</v>
      </c>
    </row>
    <row r="11434" spans="14:14" ht="15" customHeight="1" x14ac:dyDescent="0.25">
      <c r="N11434" t="s">
        <v>1068</v>
      </c>
    </row>
    <row r="11435" spans="14:14" ht="15" customHeight="1" x14ac:dyDescent="0.25">
      <c r="N11435" t="s">
        <v>1087</v>
      </c>
    </row>
    <row r="11436" spans="14:14" ht="15" customHeight="1" x14ac:dyDescent="0.25">
      <c r="N11436" t="s">
        <v>1178</v>
      </c>
    </row>
    <row r="11437" spans="14:14" ht="15" customHeight="1" x14ac:dyDescent="0.25">
      <c r="N11437" t="s">
        <v>1178</v>
      </c>
    </row>
    <row r="11438" spans="14:14" ht="15" customHeight="1" x14ac:dyDescent="0.25">
      <c r="N11438" t="s">
        <v>1178</v>
      </c>
    </row>
    <row r="11439" spans="14:14" ht="15" customHeight="1" x14ac:dyDescent="0.25">
      <c r="N11439" t="s">
        <v>1178</v>
      </c>
    </row>
    <row r="11440" spans="14:14" ht="15" customHeight="1" x14ac:dyDescent="0.25">
      <c r="N11440" t="s">
        <v>1178</v>
      </c>
    </row>
    <row r="11441" spans="14:14" ht="15" customHeight="1" x14ac:dyDescent="0.25">
      <c r="N11441" t="s">
        <v>1178</v>
      </c>
    </row>
    <row r="11442" spans="14:14" ht="15" customHeight="1" x14ac:dyDescent="0.25">
      <c r="N11442" t="s">
        <v>203</v>
      </c>
    </row>
    <row r="11443" spans="14:14" ht="15" customHeight="1" x14ac:dyDescent="0.25">
      <c r="N11443" t="s">
        <v>1005</v>
      </c>
    </row>
    <row r="11444" spans="14:14" ht="15" customHeight="1" x14ac:dyDescent="0.25">
      <c r="N11444" t="s">
        <v>1087</v>
      </c>
    </row>
    <row r="11445" spans="14:14" ht="15" customHeight="1" x14ac:dyDescent="0.25">
      <c r="N11445" t="s">
        <v>1087</v>
      </c>
    </row>
    <row r="11446" spans="14:14" ht="15" customHeight="1" x14ac:dyDescent="0.25">
      <c r="N11446" t="s">
        <v>789</v>
      </c>
    </row>
    <row r="11447" spans="14:14" ht="15" customHeight="1" x14ac:dyDescent="0.25">
      <c r="N11447" t="s">
        <v>1109</v>
      </c>
    </row>
    <row r="11448" spans="14:14" ht="15" customHeight="1" x14ac:dyDescent="0.25">
      <c r="N11448" t="s">
        <v>1087</v>
      </c>
    </row>
    <row r="11449" spans="14:14" ht="15" customHeight="1" x14ac:dyDescent="0.25">
      <c r="N11449" t="s">
        <v>1250</v>
      </c>
    </row>
    <row r="11450" spans="14:14" ht="15" customHeight="1" x14ac:dyDescent="0.25">
      <c r="N11450" t="s">
        <v>1087</v>
      </c>
    </row>
    <row r="11451" spans="14:14" ht="15" customHeight="1" x14ac:dyDescent="0.25">
      <c r="N11451" t="s">
        <v>294</v>
      </c>
    </row>
    <row r="11452" spans="14:14" ht="15" customHeight="1" x14ac:dyDescent="0.25">
      <c r="N11452" t="s">
        <v>1109</v>
      </c>
    </row>
    <row r="11453" spans="14:14" ht="15" customHeight="1" x14ac:dyDescent="0.25">
      <c r="N11453" t="s">
        <v>1214</v>
      </c>
    </row>
    <row r="11454" spans="14:14" ht="15" customHeight="1" x14ac:dyDescent="0.25">
      <c r="N11454" t="s">
        <v>203</v>
      </c>
    </row>
    <row r="11455" spans="14:14" ht="15" customHeight="1" x14ac:dyDescent="0.25">
      <c r="N11455" t="s">
        <v>1262</v>
      </c>
    </row>
    <row r="11456" spans="14:14" ht="15" customHeight="1" x14ac:dyDescent="0.25">
      <c r="N11456" t="s">
        <v>231</v>
      </c>
    </row>
    <row r="11457" spans="14:14" ht="15" customHeight="1" x14ac:dyDescent="0.25">
      <c r="N11457" t="s">
        <v>203</v>
      </c>
    </row>
    <row r="11458" spans="14:14" ht="15" customHeight="1" x14ac:dyDescent="0.25">
      <c r="N11458" t="s">
        <v>1112</v>
      </c>
    </row>
    <row r="11459" spans="14:14" ht="15" customHeight="1" x14ac:dyDescent="0.25">
      <c r="N11459" t="s">
        <v>895</v>
      </c>
    </row>
    <row r="11460" spans="14:14" ht="15" customHeight="1" x14ac:dyDescent="0.25">
      <c r="N11460" t="s">
        <v>898</v>
      </c>
    </row>
    <row r="11461" spans="14:14" ht="15" customHeight="1" x14ac:dyDescent="0.25">
      <c r="N11461" t="s">
        <v>898</v>
      </c>
    </row>
    <row r="11462" spans="14:14" ht="15" customHeight="1" x14ac:dyDescent="0.25">
      <c r="N11462" t="s">
        <v>901</v>
      </c>
    </row>
    <row r="11463" spans="14:14" ht="15" customHeight="1" x14ac:dyDescent="0.25">
      <c r="N11463" t="s">
        <v>901</v>
      </c>
    </row>
    <row r="11464" spans="14:14" ht="15" customHeight="1" x14ac:dyDescent="0.25">
      <c r="N11464" t="s">
        <v>901</v>
      </c>
    </row>
    <row r="11465" spans="14:14" ht="15" customHeight="1" x14ac:dyDescent="0.25">
      <c r="N11465" t="s">
        <v>901</v>
      </c>
    </row>
    <row r="11466" spans="14:14" ht="15" customHeight="1" x14ac:dyDescent="0.25">
      <c r="N11466" t="s">
        <v>901</v>
      </c>
    </row>
    <row r="11467" spans="14:14" ht="15" customHeight="1" x14ac:dyDescent="0.25">
      <c r="N11467" t="s">
        <v>901</v>
      </c>
    </row>
    <row r="11468" spans="14:14" ht="15" customHeight="1" x14ac:dyDescent="0.25">
      <c r="N11468" t="s">
        <v>907</v>
      </c>
    </row>
    <row r="11469" spans="14:14" ht="15" customHeight="1" x14ac:dyDescent="0.25">
      <c r="N11469" t="s">
        <v>910</v>
      </c>
    </row>
    <row r="11470" spans="14:14" ht="15" customHeight="1" x14ac:dyDescent="0.25">
      <c r="N11470" t="s">
        <v>915</v>
      </c>
    </row>
    <row r="11471" spans="14:14" ht="15" customHeight="1" x14ac:dyDescent="0.25">
      <c r="N11471" t="s">
        <v>910</v>
      </c>
    </row>
    <row r="11472" spans="14:14" ht="15" customHeight="1" x14ac:dyDescent="0.25">
      <c r="N11472" t="s">
        <v>910</v>
      </c>
    </row>
    <row r="11473" spans="14:14" ht="15" customHeight="1" x14ac:dyDescent="0.25">
      <c r="N11473" t="s">
        <v>922</v>
      </c>
    </row>
    <row r="11474" spans="14:14" ht="15" customHeight="1" x14ac:dyDescent="0.25">
      <c r="N11474" t="s">
        <v>923</v>
      </c>
    </row>
    <row r="11475" spans="14:14" ht="15" customHeight="1" x14ac:dyDescent="0.25">
      <c r="N11475" t="s">
        <v>925</v>
      </c>
    </row>
    <row r="11476" spans="14:14" ht="15" customHeight="1" x14ac:dyDescent="0.25">
      <c r="N11476" t="s">
        <v>245</v>
      </c>
    </row>
    <row r="11477" spans="14:14" ht="15" customHeight="1" x14ac:dyDescent="0.25">
      <c r="N11477" t="s">
        <v>929</v>
      </c>
    </row>
    <row r="11478" spans="14:14" ht="15" customHeight="1" x14ac:dyDescent="0.25">
      <c r="N11478" t="s">
        <v>936</v>
      </c>
    </row>
    <row r="11479" spans="14:14" ht="15" customHeight="1" x14ac:dyDescent="0.25">
      <c r="N11479" t="s">
        <v>915</v>
      </c>
    </row>
    <row r="11480" spans="14:14" ht="15" customHeight="1" x14ac:dyDescent="0.25">
      <c r="N11480" t="s">
        <v>910</v>
      </c>
    </row>
    <row r="11481" spans="14:14" ht="15" customHeight="1" x14ac:dyDescent="0.25">
      <c r="N11481" t="s">
        <v>933</v>
      </c>
    </row>
    <row r="11482" spans="14:14" ht="15" customHeight="1" x14ac:dyDescent="0.25">
      <c r="N11482" t="s">
        <v>944</v>
      </c>
    </row>
    <row r="11483" spans="14:14" ht="15" customHeight="1" x14ac:dyDescent="0.25">
      <c r="N11483" t="s">
        <v>944</v>
      </c>
    </row>
    <row r="11484" spans="14:14" ht="15" customHeight="1" x14ac:dyDescent="0.25">
      <c r="N11484" t="s">
        <v>944</v>
      </c>
    </row>
    <row r="11485" spans="14:14" ht="15" customHeight="1" x14ac:dyDescent="0.25">
      <c r="N11485" t="s">
        <v>944</v>
      </c>
    </row>
    <row r="11486" spans="14:14" ht="15" customHeight="1" x14ac:dyDescent="0.25">
      <c r="N11486" t="s">
        <v>944</v>
      </c>
    </row>
    <row r="11487" spans="14:14" ht="15" customHeight="1" x14ac:dyDescent="0.25">
      <c r="N11487" t="s">
        <v>944</v>
      </c>
    </row>
    <row r="11488" spans="14:14" ht="15" customHeight="1" x14ac:dyDescent="0.25">
      <c r="N11488" t="s">
        <v>901</v>
      </c>
    </row>
    <row r="11489" spans="14:14" ht="15" customHeight="1" x14ac:dyDescent="0.25">
      <c r="N11489" t="s">
        <v>286</v>
      </c>
    </row>
    <row r="11490" spans="14:14" ht="15" customHeight="1" x14ac:dyDescent="0.25">
      <c r="N11490" t="s">
        <v>948</v>
      </c>
    </row>
    <row r="11491" spans="14:14" ht="15" customHeight="1" x14ac:dyDescent="0.25">
      <c r="N11491" t="s">
        <v>895</v>
      </c>
    </row>
    <row r="11492" spans="14:14" ht="15" customHeight="1" x14ac:dyDescent="0.25">
      <c r="N11492" t="s">
        <v>956</v>
      </c>
    </row>
    <row r="11493" spans="14:14" ht="15" customHeight="1" x14ac:dyDescent="0.25">
      <c r="N11493" t="s">
        <v>933</v>
      </c>
    </row>
    <row r="11494" spans="14:14" ht="15" customHeight="1" x14ac:dyDescent="0.25">
      <c r="N11494" t="s">
        <v>956</v>
      </c>
    </row>
    <row r="11495" spans="14:14" ht="15" customHeight="1" x14ac:dyDescent="0.25">
      <c r="N11495" t="s">
        <v>963</v>
      </c>
    </row>
    <row r="11496" spans="14:14" ht="15" customHeight="1" x14ac:dyDescent="0.25">
      <c r="N11496" t="s">
        <v>964</v>
      </c>
    </row>
    <row r="11497" spans="14:14" ht="15" customHeight="1" x14ac:dyDescent="0.25">
      <c r="N11497" t="s">
        <v>966</v>
      </c>
    </row>
    <row r="11498" spans="14:14" ht="15" customHeight="1" x14ac:dyDescent="0.25">
      <c r="N11498" t="s">
        <v>930</v>
      </c>
    </row>
    <row r="11499" spans="14:14" ht="15" customHeight="1" x14ac:dyDescent="0.25">
      <c r="N11499" t="s">
        <v>930</v>
      </c>
    </row>
    <row r="11500" spans="14:14" ht="15" customHeight="1" x14ac:dyDescent="0.25">
      <c r="N11500" t="s">
        <v>273</v>
      </c>
    </row>
    <row r="11501" spans="14:14" ht="15" customHeight="1" x14ac:dyDescent="0.25">
      <c r="N11501" t="s">
        <v>273</v>
      </c>
    </row>
    <row r="11502" spans="14:14" ht="15" customHeight="1" x14ac:dyDescent="0.25">
      <c r="N11502" t="s">
        <v>273</v>
      </c>
    </row>
    <row r="11503" spans="14:14" ht="15" customHeight="1" x14ac:dyDescent="0.25">
      <c r="N11503" t="s">
        <v>907</v>
      </c>
    </row>
    <row r="11504" spans="14:14" ht="15" customHeight="1" x14ac:dyDescent="0.25">
      <c r="N11504" t="s">
        <v>231</v>
      </c>
    </row>
    <row r="11505" spans="14:14" ht="15" customHeight="1" x14ac:dyDescent="0.25">
      <c r="N11505" t="s">
        <v>773</v>
      </c>
    </row>
    <row r="11506" spans="14:14" ht="15" customHeight="1" x14ac:dyDescent="0.25">
      <c r="N11506" t="s">
        <v>975</v>
      </c>
    </row>
    <row r="11507" spans="14:14" ht="15" customHeight="1" x14ac:dyDescent="0.25">
      <c r="N11507" t="s">
        <v>976</v>
      </c>
    </row>
    <row r="11508" spans="14:14" ht="15" customHeight="1" x14ac:dyDescent="0.25">
      <c r="N11508" t="s">
        <v>976</v>
      </c>
    </row>
    <row r="11509" spans="14:14" ht="15" customHeight="1" x14ac:dyDescent="0.25">
      <c r="N11509" t="s">
        <v>976</v>
      </c>
    </row>
    <row r="11510" spans="14:14" ht="15" customHeight="1" x14ac:dyDescent="0.25">
      <c r="N11510" t="s">
        <v>294</v>
      </c>
    </row>
    <row r="11511" spans="14:14" ht="15" customHeight="1" x14ac:dyDescent="0.25">
      <c r="N11511" t="s">
        <v>273</v>
      </c>
    </row>
    <row r="11512" spans="14:14" ht="15" customHeight="1" x14ac:dyDescent="0.25">
      <c r="N11512" t="s">
        <v>273</v>
      </c>
    </row>
    <row r="11513" spans="14:14" ht="15" customHeight="1" x14ac:dyDescent="0.25">
      <c r="N11513" t="s">
        <v>247</v>
      </c>
    </row>
    <row r="11514" spans="14:14" ht="15" customHeight="1" x14ac:dyDescent="0.25">
      <c r="N11514" t="s">
        <v>273</v>
      </c>
    </row>
    <row r="11515" spans="14:14" ht="15" customHeight="1" x14ac:dyDescent="0.25">
      <c r="N11515" t="s">
        <v>273</v>
      </c>
    </row>
    <row r="11516" spans="14:14" ht="15" customHeight="1" x14ac:dyDescent="0.25">
      <c r="N11516" t="s">
        <v>279</v>
      </c>
    </row>
    <row r="11517" spans="14:14" ht="15" customHeight="1" x14ac:dyDescent="0.25">
      <c r="N11517" t="s">
        <v>975</v>
      </c>
    </row>
    <row r="11518" spans="14:14" ht="15" customHeight="1" x14ac:dyDescent="0.25">
      <c r="N11518" t="s">
        <v>273</v>
      </c>
    </row>
    <row r="11519" spans="14:14" ht="15" customHeight="1" x14ac:dyDescent="0.25">
      <c r="N11519" t="s">
        <v>273</v>
      </c>
    </row>
    <row r="11520" spans="14:14" ht="15" customHeight="1" x14ac:dyDescent="0.25">
      <c r="N11520" t="s">
        <v>981</v>
      </c>
    </row>
    <row r="11521" spans="14:14" ht="15" customHeight="1" x14ac:dyDescent="0.25">
      <c r="N11521" t="s">
        <v>901</v>
      </c>
    </row>
    <row r="11522" spans="14:14" ht="15" customHeight="1" x14ac:dyDescent="0.25">
      <c r="N11522" t="s">
        <v>901</v>
      </c>
    </row>
    <row r="11523" spans="14:14" ht="15" customHeight="1" x14ac:dyDescent="0.25">
      <c r="N11523" t="s">
        <v>901</v>
      </c>
    </row>
    <row r="11524" spans="14:14" ht="15" customHeight="1" x14ac:dyDescent="0.25">
      <c r="N11524" t="s">
        <v>985</v>
      </c>
    </row>
    <row r="11525" spans="14:14" ht="15" customHeight="1" x14ac:dyDescent="0.25">
      <c r="N11525" t="s">
        <v>901</v>
      </c>
    </row>
    <row r="11526" spans="14:14" ht="15" customHeight="1" x14ac:dyDescent="0.25">
      <c r="N11526" t="s">
        <v>901</v>
      </c>
    </row>
    <row r="11527" spans="14:14" ht="15" customHeight="1" x14ac:dyDescent="0.25">
      <c r="N11527" t="s">
        <v>907</v>
      </c>
    </row>
    <row r="11528" spans="14:14" ht="15" customHeight="1" x14ac:dyDescent="0.25">
      <c r="N11528" t="s">
        <v>989</v>
      </c>
    </row>
    <row r="11529" spans="14:14" ht="15" customHeight="1" x14ac:dyDescent="0.25">
      <c r="N11529" t="s">
        <v>915</v>
      </c>
    </row>
    <row r="11530" spans="14:14" ht="15" customHeight="1" x14ac:dyDescent="0.25">
      <c r="N11530" t="s">
        <v>989</v>
      </c>
    </row>
    <row r="11531" spans="14:14" ht="15" customHeight="1" x14ac:dyDescent="0.25">
      <c r="N11531" t="s">
        <v>989</v>
      </c>
    </row>
    <row r="11532" spans="14:14" ht="15" customHeight="1" x14ac:dyDescent="0.25">
      <c r="N11532" t="s">
        <v>922</v>
      </c>
    </row>
    <row r="11533" spans="14:14" ht="15" customHeight="1" x14ac:dyDescent="0.25">
      <c r="N11533" t="s">
        <v>910</v>
      </c>
    </row>
    <row r="11534" spans="14:14" ht="15" customHeight="1" x14ac:dyDescent="0.25">
      <c r="N11534" t="s">
        <v>273</v>
      </c>
    </row>
    <row r="11535" spans="14:14" ht="15" customHeight="1" x14ac:dyDescent="0.25">
      <c r="N11535" t="s">
        <v>929</v>
      </c>
    </row>
    <row r="11536" spans="14:14" ht="15" customHeight="1" x14ac:dyDescent="0.25">
      <c r="N11536" t="s">
        <v>915</v>
      </c>
    </row>
    <row r="11537" spans="14:14" ht="15" customHeight="1" x14ac:dyDescent="0.25">
      <c r="N11537" t="s">
        <v>936</v>
      </c>
    </row>
    <row r="11538" spans="14:14" ht="15" customHeight="1" x14ac:dyDescent="0.25">
      <c r="N11538" t="s">
        <v>915</v>
      </c>
    </row>
    <row r="11539" spans="14:14" ht="15" customHeight="1" x14ac:dyDescent="0.25">
      <c r="N11539" t="s">
        <v>933</v>
      </c>
    </row>
    <row r="11540" spans="14:14" ht="15" customHeight="1" x14ac:dyDescent="0.25">
      <c r="N11540" t="s">
        <v>933</v>
      </c>
    </row>
    <row r="11541" spans="14:14" ht="15" customHeight="1" x14ac:dyDescent="0.25">
      <c r="N11541" t="s">
        <v>254</v>
      </c>
    </row>
    <row r="11542" spans="14:14" ht="15" customHeight="1" x14ac:dyDescent="0.25">
      <c r="N11542" t="s">
        <v>944</v>
      </c>
    </row>
    <row r="11543" spans="14:14" ht="15" customHeight="1" x14ac:dyDescent="0.25">
      <c r="N11543" t="s">
        <v>944</v>
      </c>
    </row>
    <row r="11544" spans="14:14" ht="15" customHeight="1" x14ac:dyDescent="0.25">
      <c r="N11544" t="s">
        <v>944</v>
      </c>
    </row>
    <row r="11545" spans="14:14" ht="15" customHeight="1" x14ac:dyDescent="0.25">
      <c r="N11545" t="s">
        <v>944</v>
      </c>
    </row>
    <row r="11546" spans="14:14" ht="15" customHeight="1" x14ac:dyDescent="0.25">
      <c r="N11546" t="s">
        <v>944</v>
      </c>
    </row>
    <row r="11547" spans="14:14" ht="15" customHeight="1" x14ac:dyDescent="0.25">
      <c r="N11547" t="s">
        <v>944</v>
      </c>
    </row>
    <row r="11548" spans="14:14" ht="15" customHeight="1" x14ac:dyDescent="0.25">
      <c r="N11548" t="s">
        <v>948</v>
      </c>
    </row>
    <row r="11549" spans="14:14" ht="15" customHeight="1" x14ac:dyDescent="0.25">
      <c r="N11549" t="s">
        <v>1012</v>
      </c>
    </row>
    <row r="11550" spans="14:14" ht="15" customHeight="1" x14ac:dyDescent="0.25">
      <c r="N11550" t="s">
        <v>930</v>
      </c>
    </row>
    <row r="11551" spans="14:14" ht="15" customHeight="1" x14ac:dyDescent="0.25">
      <c r="N11551" t="s">
        <v>1012</v>
      </c>
    </row>
    <row r="11552" spans="14:14" ht="15" customHeight="1" x14ac:dyDescent="0.25">
      <c r="N11552" t="s">
        <v>930</v>
      </c>
    </row>
    <row r="11553" spans="14:14" ht="15" customHeight="1" x14ac:dyDescent="0.25">
      <c r="N11553" t="s">
        <v>930</v>
      </c>
    </row>
    <row r="11554" spans="14:14" ht="15" customHeight="1" x14ac:dyDescent="0.25">
      <c r="N11554" t="s">
        <v>273</v>
      </c>
    </row>
    <row r="11555" spans="14:14" ht="15" customHeight="1" x14ac:dyDescent="0.25">
      <c r="N11555" t="s">
        <v>273</v>
      </c>
    </row>
    <row r="11556" spans="14:14" ht="15" customHeight="1" x14ac:dyDescent="0.25">
      <c r="N11556" t="s">
        <v>273</v>
      </c>
    </row>
    <row r="11557" spans="14:14" ht="15" customHeight="1" x14ac:dyDescent="0.25">
      <c r="N11557" t="s">
        <v>907</v>
      </c>
    </row>
    <row r="11558" spans="14:14" ht="15" customHeight="1" x14ac:dyDescent="0.25">
      <c r="N11558" t="s">
        <v>231</v>
      </c>
    </row>
    <row r="11559" spans="14:14" ht="15" customHeight="1" x14ac:dyDescent="0.25">
      <c r="N11559" t="s">
        <v>1022</v>
      </c>
    </row>
    <row r="11560" spans="14:14" ht="15" customHeight="1" x14ac:dyDescent="0.25">
      <c r="N11560" t="s">
        <v>217</v>
      </c>
    </row>
    <row r="11561" spans="14:14" ht="15" customHeight="1" x14ac:dyDescent="0.25">
      <c r="N11561" t="s">
        <v>217</v>
      </c>
    </row>
    <row r="11562" spans="14:14" ht="15" customHeight="1" x14ac:dyDescent="0.25">
      <c r="N11562" t="s">
        <v>247</v>
      </c>
    </row>
    <row r="11563" spans="14:14" ht="15" customHeight="1" x14ac:dyDescent="0.25">
      <c r="N11563" t="s">
        <v>890</v>
      </c>
    </row>
    <row r="11564" spans="14:14" ht="15" customHeight="1" x14ac:dyDescent="0.25">
      <c r="N11564" t="s">
        <v>302</v>
      </c>
    </row>
    <row r="11565" spans="14:14" ht="15" customHeight="1" x14ac:dyDescent="0.25">
      <c r="N11565" t="s">
        <v>302</v>
      </c>
    </row>
    <row r="11566" spans="14:14" ht="15" customHeight="1" x14ac:dyDescent="0.25">
      <c r="N11566" t="s">
        <v>249</v>
      </c>
    </row>
    <row r="11567" spans="14:14" ht="15" customHeight="1" x14ac:dyDescent="0.25">
      <c r="N11567" t="s">
        <v>273</v>
      </c>
    </row>
    <row r="11568" spans="14:14" ht="15" customHeight="1" x14ac:dyDescent="0.25">
      <c r="N11568" t="s">
        <v>789</v>
      </c>
    </row>
    <row r="11569" spans="14:14" ht="15" customHeight="1" x14ac:dyDescent="0.25">
      <c r="N11569" t="s">
        <v>273</v>
      </c>
    </row>
    <row r="11570" spans="14:14" ht="15" customHeight="1" x14ac:dyDescent="0.25">
      <c r="N11570" t="s">
        <v>273</v>
      </c>
    </row>
    <row r="11571" spans="14:14" ht="15" customHeight="1" x14ac:dyDescent="0.25">
      <c r="N11571" t="s">
        <v>273</v>
      </c>
    </row>
    <row r="11572" spans="14:14" ht="15" customHeight="1" x14ac:dyDescent="0.25">
      <c r="N11572" t="s">
        <v>910</v>
      </c>
    </row>
    <row r="11573" spans="14:14" ht="15" customHeight="1" x14ac:dyDescent="0.25">
      <c r="N11573" t="s">
        <v>910</v>
      </c>
    </row>
    <row r="11574" spans="14:14" ht="15" customHeight="1" x14ac:dyDescent="0.25">
      <c r="N11574" t="s">
        <v>910</v>
      </c>
    </row>
    <row r="11575" spans="14:14" ht="15" customHeight="1" x14ac:dyDescent="0.25">
      <c r="N11575" t="s">
        <v>910</v>
      </c>
    </row>
    <row r="11576" spans="14:14" ht="15" customHeight="1" x14ac:dyDescent="0.25">
      <c r="N11576" t="s">
        <v>910</v>
      </c>
    </row>
    <row r="11577" spans="14:14" ht="15" customHeight="1" x14ac:dyDescent="0.25">
      <c r="N11577" t="s">
        <v>910</v>
      </c>
    </row>
    <row r="11578" spans="14:14" ht="15" customHeight="1" x14ac:dyDescent="0.25">
      <c r="N11578" t="s">
        <v>910</v>
      </c>
    </row>
    <row r="11579" spans="14:14" ht="15" customHeight="1" x14ac:dyDescent="0.25">
      <c r="N11579" t="s">
        <v>910</v>
      </c>
    </row>
    <row r="11580" spans="14:14" ht="15" customHeight="1" x14ac:dyDescent="0.25">
      <c r="N11580" t="s">
        <v>910</v>
      </c>
    </row>
    <row r="11581" spans="14:14" ht="15" customHeight="1" x14ac:dyDescent="0.25">
      <c r="N11581" t="s">
        <v>910</v>
      </c>
    </row>
    <row r="11582" spans="14:14" ht="15" customHeight="1" x14ac:dyDescent="0.25">
      <c r="N11582" t="s">
        <v>1024</v>
      </c>
    </row>
    <row r="11583" spans="14:14" ht="15" customHeight="1" x14ac:dyDescent="0.25">
      <c r="N11583" t="s">
        <v>1024</v>
      </c>
    </row>
    <row r="11584" spans="14:14" ht="15" customHeight="1" x14ac:dyDescent="0.25">
      <c r="N11584" t="s">
        <v>934</v>
      </c>
    </row>
    <row r="11585" spans="14:14" ht="15" customHeight="1" x14ac:dyDescent="0.25">
      <c r="N11585" t="s">
        <v>901</v>
      </c>
    </row>
    <row r="11586" spans="14:14" ht="15" customHeight="1" x14ac:dyDescent="0.25">
      <c r="N11586" t="s">
        <v>901</v>
      </c>
    </row>
    <row r="11587" spans="14:14" ht="15" customHeight="1" x14ac:dyDescent="0.25">
      <c r="N11587" t="s">
        <v>901</v>
      </c>
    </row>
    <row r="11588" spans="14:14" ht="15" customHeight="1" x14ac:dyDescent="0.25">
      <c r="N11588" t="s">
        <v>901</v>
      </c>
    </row>
    <row r="11589" spans="14:14" ht="15" customHeight="1" x14ac:dyDescent="0.25">
      <c r="N11589" t="s">
        <v>901</v>
      </c>
    </row>
    <row r="11590" spans="14:14" ht="15" customHeight="1" x14ac:dyDescent="0.25">
      <c r="N11590" t="s">
        <v>1030</v>
      </c>
    </row>
    <row r="11591" spans="14:14" ht="15" customHeight="1" x14ac:dyDescent="0.25">
      <c r="N11591" t="s">
        <v>933</v>
      </c>
    </row>
    <row r="11592" spans="14:14" ht="15" customHeight="1" x14ac:dyDescent="0.25">
      <c r="N11592" t="s">
        <v>254</v>
      </c>
    </row>
    <row r="11593" spans="14:14" ht="15" customHeight="1" x14ac:dyDescent="0.25">
      <c r="N11593" t="s">
        <v>931</v>
      </c>
    </row>
    <row r="11594" spans="14:14" ht="15" customHeight="1" x14ac:dyDescent="0.25">
      <c r="N11594" t="s">
        <v>915</v>
      </c>
    </row>
    <row r="11595" spans="14:14" ht="15" customHeight="1" x14ac:dyDescent="0.25">
      <c r="N11595" t="s">
        <v>910</v>
      </c>
    </row>
    <row r="11596" spans="14:14" ht="15" customHeight="1" x14ac:dyDescent="0.25">
      <c r="N11596" t="s">
        <v>915</v>
      </c>
    </row>
    <row r="11597" spans="14:14" ht="15" customHeight="1" x14ac:dyDescent="0.25">
      <c r="N11597" t="s">
        <v>933</v>
      </c>
    </row>
    <row r="11598" spans="14:14" ht="15" customHeight="1" x14ac:dyDescent="0.25">
      <c r="N11598" t="s">
        <v>934</v>
      </c>
    </row>
    <row r="11599" spans="14:14" ht="15" customHeight="1" x14ac:dyDescent="0.25">
      <c r="N11599" t="s">
        <v>319</v>
      </c>
    </row>
    <row r="11600" spans="14:14" ht="15" customHeight="1" x14ac:dyDescent="0.25">
      <c r="N11600" t="s">
        <v>948</v>
      </c>
    </row>
    <row r="11601" spans="14:14" ht="15" customHeight="1" x14ac:dyDescent="0.25">
      <c r="N11601" t="s">
        <v>981</v>
      </c>
    </row>
    <row r="11602" spans="14:14" ht="15" customHeight="1" x14ac:dyDescent="0.25">
      <c r="N11602" t="s">
        <v>956</v>
      </c>
    </row>
    <row r="11603" spans="14:14" ht="15" customHeight="1" x14ac:dyDescent="0.25">
      <c r="N11603" t="s">
        <v>956</v>
      </c>
    </row>
    <row r="11604" spans="14:14" ht="15" customHeight="1" x14ac:dyDescent="0.25">
      <c r="N11604" t="s">
        <v>940</v>
      </c>
    </row>
    <row r="11605" spans="14:14" ht="15" customHeight="1" x14ac:dyDescent="0.25">
      <c r="N11605" t="s">
        <v>940</v>
      </c>
    </row>
    <row r="11606" spans="14:14" ht="15" customHeight="1" x14ac:dyDescent="0.25">
      <c r="N11606" t="s">
        <v>719</v>
      </c>
    </row>
    <row r="11607" spans="14:14" ht="15" customHeight="1" x14ac:dyDescent="0.25">
      <c r="N11607" t="s">
        <v>719</v>
      </c>
    </row>
    <row r="11608" spans="14:14" ht="15" customHeight="1" x14ac:dyDescent="0.25">
      <c r="N11608" t="s">
        <v>719</v>
      </c>
    </row>
    <row r="11609" spans="14:14" ht="15" customHeight="1" x14ac:dyDescent="0.25">
      <c r="N11609" t="s">
        <v>907</v>
      </c>
    </row>
    <row r="11610" spans="14:14" ht="15" customHeight="1" x14ac:dyDescent="0.25">
      <c r="N11610" t="s">
        <v>1059</v>
      </c>
    </row>
    <row r="11611" spans="14:14" ht="15" customHeight="1" x14ac:dyDescent="0.25">
      <c r="N11611" t="s">
        <v>319</v>
      </c>
    </row>
    <row r="11612" spans="14:14" ht="15" customHeight="1" x14ac:dyDescent="0.25">
      <c r="N11612" t="s">
        <v>773</v>
      </c>
    </row>
    <row r="11613" spans="14:14" ht="15" customHeight="1" x14ac:dyDescent="0.25">
      <c r="N11613" t="s">
        <v>286</v>
      </c>
    </row>
    <row r="11614" spans="14:14" ht="15" customHeight="1" x14ac:dyDescent="0.25">
      <c r="N11614" t="s">
        <v>254</v>
      </c>
    </row>
    <row r="11615" spans="14:14" ht="15" customHeight="1" x14ac:dyDescent="0.25">
      <c r="N11615" t="s">
        <v>1064</v>
      </c>
    </row>
    <row r="11616" spans="14:14" ht="15" customHeight="1" x14ac:dyDescent="0.25">
      <c r="N11616" t="s">
        <v>975</v>
      </c>
    </row>
    <row r="11617" spans="14:14" ht="15" customHeight="1" x14ac:dyDescent="0.25">
      <c r="N11617" t="s">
        <v>273</v>
      </c>
    </row>
    <row r="11618" spans="14:14" ht="15" customHeight="1" x14ac:dyDescent="0.25">
      <c r="N11618" t="s">
        <v>273</v>
      </c>
    </row>
    <row r="11619" spans="14:14" ht="15" customHeight="1" x14ac:dyDescent="0.25">
      <c r="N11619" t="s">
        <v>1030</v>
      </c>
    </row>
    <row r="11620" spans="14:14" ht="15" customHeight="1" x14ac:dyDescent="0.25">
      <c r="N11620" t="s">
        <v>1030</v>
      </c>
    </row>
    <row r="11621" spans="14:14" ht="15" customHeight="1" x14ac:dyDescent="0.25">
      <c r="N11621" t="s">
        <v>933</v>
      </c>
    </row>
    <row r="11622" spans="14:14" ht="15" customHeight="1" x14ac:dyDescent="0.25">
      <c r="N11622" t="s">
        <v>1069</v>
      </c>
    </row>
    <row r="11623" spans="14:14" ht="15" customHeight="1" x14ac:dyDescent="0.25">
      <c r="N11623" t="s">
        <v>909</v>
      </c>
    </row>
    <row r="11624" spans="14:14" ht="15" customHeight="1" x14ac:dyDescent="0.25">
      <c r="N11624" t="s">
        <v>909</v>
      </c>
    </row>
    <row r="11625" spans="14:14" ht="15" customHeight="1" x14ac:dyDescent="0.25">
      <c r="N11625" t="s">
        <v>967</v>
      </c>
    </row>
    <row r="11626" spans="14:14" ht="15" customHeight="1" x14ac:dyDescent="0.25">
      <c r="N11626" t="s">
        <v>904</v>
      </c>
    </row>
    <row r="11627" spans="14:14" ht="15" customHeight="1" x14ac:dyDescent="0.25">
      <c r="N11627" t="s">
        <v>904</v>
      </c>
    </row>
    <row r="11628" spans="14:14" ht="15" customHeight="1" x14ac:dyDescent="0.25">
      <c r="N11628" t="s">
        <v>923</v>
      </c>
    </row>
    <row r="11629" spans="14:14" ht="15" customHeight="1" x14ac:dyDescent="0.25">
      <c r="N11629" t="s">
        <v>934</v>
      </c>
    </row>
    <row r="11630" spans="14:14" ht="15" customHeight="1" x14ac:dyDescent="0.25">
      <c r="N11630" t="s">
        <v>319</v>
      </c>
    </row>
    <row r="11631" spans="14:14" ht="15" customHeight="1" x14ac:dyDescent="0.25">
      <c r="N11631" t="s">
        <v>929</v>
      </c>
    </row>
    <row r="11632" spans="14:14" ht="15" customHeight="1" x14ac:dyDescent="0.25">
      <c r="N11632" t="s">
        <v>989</v>
      </c>
    </row>
    <row r="11633" spans="14:14" ht="15" customHeight="1" x14ac:dyDescent="0.25">
      <c r="N11633" t="s">
        <v>1083</v>
      </c>
    </row>
    <row r="11634" spans="14:14" ht="15" customHeight="1" x14ac:dyDescent="0.25">
      <c r="N11634" t="s">
        <v>1084</v>
      </c>
    </row>
    <row r="11635" spans="14:14" ht="15" customHeight="1" x14ac:dyDescent="0.25">
      <c r="N11635" t="s">
        <v>1084</v>
      </c>
    </row>
    <row r="11636" spans="14:14" ht="15" customHeight="1" x14ac:dyDescent="0.25">
      <c r="N11636" t="s">
        <v>933</v>
      </c>
    </row>
    <row r="11637" spans="14:14" ht="15" customHeight="1" x14ac:dyDescent="0.25">
      <c r="N11637" t="s">
        <v>1042</v>
      </c>
    </row>
    <row r="11638" spans="14:14" ht="15" customHeight="1" x14ac:dyDescent="0.25">
      <c r="N11638" t="s">
        <v>944</v>
      </c>
    </row>
    <row r="11639" spans="14:14" ht="15" customHeight="1" x14ac:dyDescent="0.25">
      <c r="N11639" t="s">
        <v>944</v>
      </c>
    </row>
    <row r="11640" spans="14:14" ht="15" customHeight="1" x14ac:dyDescent="0.25">
      <c r="N11640" t="s">
        <v>944</v>
      </c>
    </row>
    <row r="11641" spans="14:14" ht="15" customHeight="1" x14ac:dyDescent="0.25">
      <c r="N11641" t="s">
        <v>944</v>
      </c>
    </row>
    <row r="11642" spans="14:14" ht="15" customHeight="1" x14ac:dyDescent="0.25">
      <c r="N11642" t="s">
        <v>944</v>
      </c>
    </row>
    <row r="11643" spans="14:14" ht="15" customHeight="1" x14ac:dyDescent="0.25">
      <c r="N11643" t="s">
        <v>944</v>
      </c>
    </row>
    <row r="11644" spans="14:14" ht="15" customHeight="1" x14ac:dyDescent="0.25">
      <c r="N11644" t="s">
        <v>901</v>
      </c>
    </row>
    <row r="11645" spans="14:14" ht="15" customHeight="1" x14ac:dyDescent="0.25">
      <c r="N11645" t="s">
        <v>1097</v>
      </c>
    </row>
    <row r="11646" spans="14:14" ht="15" customHeight="1" x14ac:dyDescent="0.25">
      <c r="N11646" t="s">
        <v>1098</v>
      </c>
    </row>
    <row r="11647" spans="14:14" ht="15" customHeight="1" x14ac:dyDescent="0.25">
      <c r="N11647" t="s">
        <v>1042</v>
      </c>
    </row>
    <row r="11648" spans="14:14" ht="15" customHeight="1" x14ac:dyDescent="0.25">
      <c r="N11648" t="s">
        <v>1012</v>
      </c>
    </row>
    <row r="11649" spans="14:14" ht="15" customHeight="1" x14ac:dyDescent="0.25">
      <c r="N11649" t="s">
        <v>967</v>
      </c>
    </row>
    <row r="11650" spans="14:14" ht="15" customHeight="1" x14ac:dyDescent="0.25">
      <c r="N11650" t="s">
        <v>1106</v>
      </c>
    </row>
    <row r="11651" spans="14:14" ht="15" customHeight="1" x14ac:dyDescent="0.25">
      <c r="N11651" t="s">
        <v>1106</v>
      </c>
    </row>
    <row r="11652" spans="14:14" ht="15" customHeight="1" x14ac:dyDescent="0.25">
      <c r="N11652" t="s">
        <v>334</v>
      </c>
    </row>
    <row r="11653" spans="14:14" ht="15" customHeight="1" x14ac:dyDescent="0.25">
      <c r="N11653" t="s">
        <v>933</v>
      </c>
    </row>
    <row r="11654" spans="14:14" ht="15" customHeight="1" x14ac:dyDescent="0.25">
      <c r="N11654" t="s">
        <v>909</v>
      </c>
    </row>
    <row r="11655" spans="14:14" ht="15" customHeight="1" x14ac:dyDescent="0.25">
      <c r="N11655" t="s">
        <v>909</v>
      </c>
    </row>
    <row r="11656" spans="14:14" ht="15" customHeight="1" x14ac:dyDescent="0.25">
      <c r="N11656" t="s">
        <v>254</v>
      </c>
    </row>
    <row r="11657" spans="14:14" ht="15" customHeight="1" x14ac:dyDescent="0.25">
      <c r="N11657" t="s">
        <v>254</v>
      </c>
    </row>
    <row r="11658" spans="14:14" ht="15" customHeight="1" x14ac:dyDescent="0.25">
      <c r="N11658" t="s">
        <v>254</v>
      </c>
    </row>
    <row r="11659" spans="14:14" ht="15" customHeight="1" x14ac:dyDescent="0.25">
      <c r="N11659" t="s">
        <v>907</v>
      </c>
    </row>
    <row r="11660" spans="14:14" ht="15" customHeight="1" x14ac:dyDescent="0.25">
      <c r="N11660" t="s">
        <v>371</v>
      </c>
    </row>
    <row r="11661" spans="14:14" ht="15" customHeight="1" x14ac:dyDescent="0.25">
      <c r="N11661" t="s">
        <v>254</v>
      </c>
    </row>
    <row r="11662" spans="14:14" ht="15" customHeight="1" x14ac:dyDescent="0.25">
      <c r="N11662" t="s">
        <v>254</v>
      </c>
    </row>
    <row r="11663" spans="14:14" ht="15" customHeight="1" x14ac:dyDescent="0.25">
      <c r="N11663" t="s">
        <v>254</v>
      </c>
    </row>
    <row r="11664" spans="14:14" ht="15" customHeight="1" x14ac:dyDescent="0.25">
      <c r="N11664" t="s">
        <v>273</v>
      </c>
    </row>
    <row r="11665" spans="14:14" ht="15" customHeight="1" x14ac:dyDescent="0.25">
      <c r="N11665" t="s">
        <v>286</v>
      </c>
    </row>
    <row r="11666" spans="14:14" ht="15" customHeight="1" x14ac:dyDescent="0.25">
      <c r="N11666" t="s">
        <v>273</v>
      </c>
    </row>
    <row r="11667" spans="14:14" ht="15" customHeight="1" x14ac:dyDescent="0.25">
      <c r="N11667" t="s">
        <v>273</v>
      </c>
    </row>
    <row r="11668" spans="14:14" ht="15" customHeight="1" x14ac:dyDescent="0.25">
      <c r="N11668" t="s">
        <v>1112</v>
      </c>
    </row>
    <row r="11669" spans="14:14" ht="15" customHeight="1" x14ac:dyDescent="0.25">
      <c r="N11669" t="s">
        <v>302</v>
      </c>
    </row>
    <row r="11670" spans="14:14" ht="15" customHeight="1" x14ac:dyDescent="0.25">
      <c r="N11670" t="s">
        <v>273</v>
      </c>
    </row>
    <row r="11671" spans="14:14" ht="15" customHeight="1" x14ac:dyDescent="0.25">
      <c r="N11671" t="s">
        <v>1331</v>
      </c>
    </row>
    <row r="11672" spans="14:14" ht="15" customHeight="1" x14ac:dyDescent="0.25">
      <c r="N11672" t="s">
        <v>895</v>
      </c>
    </row>
    <row r="11673" spans="14:14" ht="15" customHeight="1" x14ac:dyDescent="0.25">
      <c r="N11673" t="s">
        <v>912</v>
      </c>
    </row>
    <row r="11674" spans="14:14" ht="15" customHeight="1" x14ac:dyDescent="0.25">
      <c r="N11674" t="s">
        <v>912</v>
      </c>
    </row>
    <row r="11675" spans="14:14" ht="15" customHeight="1" x14ac:dyDescent="0.25">
      <c r="N11675" t="s">
        <v>1114</v>
      </c>
    </row>
    <row r="11676" spans="14:14" ht="15" customHeight="1" x14ac:dyDescent="0.25">
      <c r="N11676" t="s">
        <v>985</v>
      </c>
    </row>
    <row r="11677" spans="14:14" ht="15" customHeight="1" x14ac:dyDescent="0.25">
      <c r="N11677" t="s">
        <v>985</v>
      </c>
    </row>
    <row r="11678" spans="14:14" ht="15" customHeight="1" x14ac:dyDescent="0.25">
      <c r="N11678" t="s">
        <v>985</v>
      </c>
    </row>
    <row r="11679" spans="14:14" ht="15" customHeight="1" x14ac:dyDescent="0.25">
      <c r="N11679" t="s">
        <v>985</v>
      </c>
    </row>
    <row r="11680" spans="14:14" ht="15" customHeight="1" x14ac:dyDescent="0.25">
      <c r="N11680" t="s">
        <v>894</v>
      </c>
    </row>
    <row r="11681" spans="14:14" ht="15" customHeight="1" x14ac:dyDescent="0.25">
      <c r="N11681" t="s">
        <v>894</v>
      </c>
    </row>
    <row r="11682" spans="14:14" ht="15" customHeight="1" x14ac:dyDescent="0.25">
      <c r="N11682" t="s">
        <v>1106</v>
      </c>
    </row>
    <row r="11683" spans="14:14" ht="15" customHeight="1" x14ac:dyDescent="0.25">
      <c r="N11683" t="s">
        <v>1106</v>
      </c>
    </row>
    <row r="11684" spans="14:14" ht="15" customHeight="1" x14ac:dyDescent="0.25">
      <c r="N11684" t="s">
        <v>1119</v>
      </c>
    </row>
    <row r="11685" spans="14:14" ht="15" customHeight="1" x14ac:dyDescent="0.25">
      <c r="N11685" t="s">
        <v>915</v>
      </c>
    </row>
    <row r="11686" spans="14:14" ht="15" customHeight="1" x14ac:dyDescent="0.25">
      <c r="N11686" t="s">
        <v>1084</v>
      </c>
    </row>
    <row r="11687" spans="14:14" ht="15" customHeight="1" x14ac:dyDescent="0.25">
      <c r="N11687" t="s">
        <v>1084</v>
      </c>
    </row>
    <row r="11688" spans="14:14" ht="15" customHeight="1" x14ac:dyDescent="0.25">
      <c r="N11688" t="s">
        <v>1084</v>
      </c>
    </row>
    <row r="11689" spans="14:14" ht="15" customHeight="1" x14ac:dyDescent="0.25">
      <c r="N11689" t="s">
        <v>934</v>
      </c>
    </row>
    <row r="11690" spans="14:14" ht="15" customHeight="1" x14ac:dyDescent="0.25">
      <c r="N11690" t="s">
        <v>934</v>
      </c>
    </row>
    <row r="11691" spans="14:14" ht="15" customHeight="1" x14ac:dyDescent="0.25">
      <c r="N11691" t="s">
        <v>1125</v>
      </c>
    </row>
    <row r="11692" spans="14:14" ht="15" customHeight="1" x14ac:dyDescent="0.25">
      <c r="N11692" t="s">
        <v>1042</v>
      </c>
    </row>
    <row r="11693" spans="14:14" ht="15" customHeight="1" x14ac:dyDescent="0.25">
      <c r="N11693" t="s">
        <v>1079</v>
      </c>
    </row>
    <row r="11694" spans="14:14" ht="15" customHeight="1" x14ac:dyDescent="0.25">
      <c r="N11694" t="s">
        <v>1083</v>
      </c>
    </row>
    <row r="11695" spans="14:14" ht="15" customHeight="1" x14ac:dyDescent="0.25">
      <c r="N11695" t="s">
        <v>1083</v>
      </c>
    </row>
    <row r="11696" spans="14:14" ht="15" customHeight="1" x14ac:dyDescent="0.25">
      <c r="N11696" t="s">
        <v>1084</v>
      </c>
    </row>
    <row r="11697" spans="14:14" ht="15" customHeight="1" x14ac:dyDescent="0.25">
      <c r="N11697" t="s">
        <v>1084</v>
      </c>
    </row>
    <row r="11698" spans="14:14" ht="15" customHeight="1" x14ac:dyDescent="0.25">
      <c r="N11698" t="s">
        <v>897</v>
      </c>
    </row>
    <row r="11699" spans="14:14" ht="15" customHeight="1" x14ac:dyDescent="0.25">
      <c r="N11699" t="s">
        <v>933</v>
      </c>
    </row>
    <row r="11700" spans="14:14" ht="15" customHeight="1" x14ac:dyDescent="0.25">
      <c r="N11700" t="s">
        <v>998</v>
      </c>
    </row>
    <row r="11701" spans="14:14" ht="15" customHeight="1" x14ac:dyDescent="0.25">
      <c r="N11701" t="s">
        <v>1132</v>
      </c>
    </row>
    <row r="11702" spans="14:14" ht="15" customHeight="1" x14ac:dyDescent="0.25">
      <c r="N11702" t="s">
        <v>1132</v>
      </c>
    </row>
    <row r="11703" spans="14:14" ht="15" customHeight="1" x14ac:dyDescent="0.25">
      <c r="N11703" t="s">
        <v>1132</v>
      </c>
    </row>
    <row r="11704" spans="14:14" ht="15" customHeight="1" x14ac:dyDescent="0.25">
      <c r="N11704" t="s">
        <v>1132</v>
      </c>
    </row>
    <row r="11705" spans="14:14" ht="15" customHeight="1" x14ac:dyDescent="0.25">
      <c r="N11705" t="s">
        <v>1132</v>
      </c>
    </row>
    <row r="11706" spans="14:14" ht="15" customHeight="1" x14ac:dyDescent="0.25">
      <c r="N11706" t="s">
        <v>1132</v>
      </c>
    </row>
    <row r="11707" spans="14:14" ht="15" customHeight="1" x14ac:dyDescent="0.25">
      <c r="N11707" t="s">
        <v>933</v>
      </c>
    </row>
    <row r="11708" spans="14:14" ht="15" customHeight="1" x14ac:dyDescent="0.25">
      <c r="N11708" t="s">
        <v>254</v>
      </c>
    </row>
    <row r="11709" spans="14:14" ht="15" customHeight="1" x14ac:dyDescent="0.25">
      <c r="N11709" t="s">
        <v>1135</v>
      </c>
    </row>
    <row r="11710" spans="14:14" ht="15" customHeight="1" x14ac:dyDescent="0.25">
      <c r="N11710" t="s">
        <v>1138</v>
      </c>
    </row>
    <row r="11711" spans="14:14" ht="15" customHeight="1" x14ac:dyDescent="0.25">
      <c r="N11711" t="s">
        <v>904</v>
      </c>
    </row>
    <row r="11712" spans="14:14" ht="15" customHeight="1" x14ac:dyDescent="0.25">
      <c r="N11712" t="s">
        <v>1068</v>
      </c>
    </row>
    <row r="11713" spans="14:14" ht="15" customHeight="1" x14ac:dyDescent="0.25">
      <c r="N11713" t="s">
        <v>1097</v>
      </c>
    </row>
    <row r="11714" spans="14:14" ht="15" customHeight="1" x14ac:dyDescent="0.25">
      <c r="N11714" t="s">
        <v>967</v>
      </c>
    </row>
    <row r="11715" spans="14:14" ht="15" customHeight="1" x14ac:dyDescent="0.25">
      <c r="N11715" t="s">
        <v>1146</v>
      </c>
    </row>
    <row r="11716" spans="14:14" ht="15" customHeight="1" x14ac:dyDescent="0.25">
      <c r="N11716" t="s">
        <v>1146</v>
      </c>
    </row>
    <row r="11717" spans="14:14" ht="15" customHeight="1" x14ac:dyDescent="0.25">
      <c r="N11717" t="s">
        <v>1147</v>
      </c>
    </row>
    <row r="11718" spans="14:14" ht="15" customHeight="1" x14ac:dyDescent="0.25">
      <c r="N11718" t="s">
        <v>934</v>
      </c>
    </row>
    <row r="11719" spans="14:14" ht="15" customHeight="1" x14ac:dyDescent="0.25">
      <c r="N11719" t="s">
        <v>1068</v>
      </c>
    </row>
    <row r="11720" spans="14:14" ht="15" customHeight="1" x14ac:dyDescent="0.25">
      <c r="N11720" t="s">
        <v>1068</v>
      </c>
    </row>
    <row r="11721" spans="14:14" ht="15" customHeight="1" x14ac:dyDescent="0.25">
      <c r="N11721" t="s">
        <v>998</v>
      </c>
    </row>
    <row r="11722" spans="14:14" ht="15" customHeight="1" x14ac:dyDescent="0.25">
      <c r="N11722" t="s">
        <v>319</v>
      </c>
    </row>
    <row r="11723" spans="14:14" ht="15" customHeight="1" x14ac:dyDescent="0.25">
      <c r="N11723" t="s">
        <v>319</v>
      </c>
    </row>
    <row r="11724" spans="14:14" ht="15" customHeight="1" x14ac:dyDescent="0.25">
      <c r="N11724" t="s">
        <v>319</v>
      </c>
    </row>
    <row r="11725" spans="14:14" ht="15" customHeight="1" x14ac:dyDescent="0.25">
      <c r="N11725" t="s">
        <v>319</v>
      </c>
    </row>
    <row r="11726" spans="14:14" ht="15" customHeight="1" x14ac:dyDescent="0.25">
      <c r="N11726" t="s">
        <v>286</v>
      </c>
    </row>
    <row r="11727" spans="14:14" ht="15" customHeight="1" x14ac:dyDescent="0.25">
      <c r="N11727" t="s">
        <v>286</v>
      </c>
    </row>
    <row r="11728" spans="14:14" ht="15" customHeight="1" x14ac:dyDescent="0.25">
      <c r="N11728" t="s">
        <v>334</v>
      </c>
    </row>
    <row r="11729" spans="14:14" ht="15" customHeight="1" x14ac:dyDescent="0.25">
      <c r="N11729" t="s">
        <v>298</v>
      </c>
    </row>
    <row r="11730" spans="14:14" ht="15" customHeight="1" x14ac:dyDescent="0.25">
      <c r="N11730" t="s">
        <v>254</v>
      </c>
    </row>
    <row r="11731" spans="14:14" ht="15" customHeight="1" x14ac:dyDescent="0.25">
      <c r="N11731" t="s">
        <v>1154</v>
      </c>
    </row>
    <row r="11732" spans="14:14" ht="15" customHeight="1" x14ac:dyDescent="0.25">
      <c r="N11732" t="s">
        <v>1154</v>
      </c>
    </row>
    <row r="11733" spans="14:14" ht="15" customHeight="1" x14ac:dyDescent="0.25">
      <c r="N11733" t="s">
        <v>279</v>
      </c>
    </row>
    <row r="11734" spans="14:14" ht="15" customHeight="1" x14ac:dyDescent="0.25">
      <c r="N11734" t="s">
        <v>334</v>
      </c>
    </row>
    <row r="11735" spans="14:14" ht="15" customHeight="1" x14ac:dyDescent="0.25">
      <c r="N11735" t="s">
        <v>1024</v>
      </c>
    </row>
    <row r="11736" spans="14:14" ht="15" customHeight="1" x14ac:dyDescent="0.25">
      <c r="N11736" t="s">
        <v>1024</v>
      </c>
    </row>
    <row r="11737" spans="14:14" ht="15" customHeight="1" x14ac:dyDescent="0.25">
      <c r="N11737" t="s">
        <v>1106</v>
      </c>
    </row>
    <row r="11738" spans="14:14" ht="15" customHeight="1" x14ac:dyDescent="0.25">
      <c r="N11738" t="s">
        <v>985</v>
      </c>
    </row>
    <row r="11739" spans="14:14" ht="15" customHeight="1" x14ac:dyDescent="0.25">
      <c r="N11739" t="s">
        <v>985</v>
      </c>
    </row>
    <row r="11740" spans="14:14" ht="15" customHeight="1" x14ac:dyDescent="0.25">
      <c r="N11740" t="s">
        <v>985</v>
      </c>
    </row>
    <row r="11741" spans="14:14" ht="15" customHeight="1" x14ac:dyDescent="0.25">
      <c r="N11741" t="s">
        <v>985</v>
      </c>
    </row>
    <row r="11742" spans="14:14" ht="15" customHeight="1" x14ac:dyDescent="0.25">
      <c r="N11742" t="s">
        <v>1030</v>
      </c>
    </row>
    <row r="11743" spans="14:14" ht="15" customHeight="1" x14ac:dyDescent="0.25">
      <c r="N11743" t="s">
        <v>1030</v>
      </c>
    </row>
    <row r="11744" spans="14:14" ht="15" customHeight="1" x14ac:dyDescent="0.25">
      <c r="N11744" t="s">
        <v>1030</v>
      </c>
    </row>
    <row r="11745" spans="14:14" ht="15" customHeight="1" x14ac:dyDescent="0.25">
      <c r="N11745" t="s">
        <v>1163</v>
      </c>
    </row>
    <row r="11746" spans="14:14" ht="15" customHeight="1" x14ac:dyDescent="0.25">
      <c r="N11746" t="s">
        <v>1163</v>
      </c>
    </row>
    <row r="11747" spans="14:14" ht="15" customHeight="1" x14ac:dyDescent="0.25">
      <c r="N11747" t="s">
        <v>1163</v>
      </c>
    </row>
    <row r="11748" spans="14:14" ht="15" customHeight="1" x14ac:dyDescent="0.25">
      <c r="N11748" t="s">
        <v>1166</v>
      </c>
    </row>
    <row r="11749" spans="14:14" ht="15" customHeight="1" x14ac:dyDescent="0.25">
      <c r="N11749" t="s">
        <v>1166</v>
      </c>
    </row>
    <row r="11750" spans="14:14" ht="15" customHeight="1" x14ac:dyDescent="0.25">
      <c r="N11750" t="s">
        <v>904</v>
      </c>
    </row>
    <row r="11751" spans="14:14" ht="15" customHeight="1" x14ac:dyDescent="0.25">
      <c r="N11751" t="s">
        <v>1083</v>
      </c>
    </row>
    <row r="11752" spans="14:14" ht="15" customHeight="1" x14ac:dyDescent="0.25">
      <c r="N11752" t="s">
        <v>894</v>
      </c>
    </row>
    <row r="11753" spans="14:14" ht="15" customHeight="1" x14ac:dyDescent="0.25">
      <c r="N11753" t="s">
        <v>933</v>
      </c>
    </row>
    <row r="11754" spans="14:14" ht="15" customHeight="1" x14ac:dyDescent="0.25">
      <c r="N11754" t="s">
        <v>1132</v>
      </c>
    </row>
    <row r="11755" spans="14:14" ht="15" customHeight="1" x14ac:dyDescent="0.25">
      <c r="N11755" t="s">
        <v>1132</v>
      </c>
    </row>
    <row r="11756" spans="14:14" ht="15" customHeight="1" x14ac:dyDescent="0.25">
      <c r="N11756" t="s">
        <v>1132</v>
      </c>
    </row>
    <row r="11757" spans="14:14" ht="15" customHeight="1" x14ac:dyDescent="0.25">
      <c r="N11757" t="s">
        <v>1132</v>
      </c>
    </row>
    <row r="11758" spans="14:14" ht="15" customHeight="1" x14ac:dyDescent="0.25">
      <c r="N11758" t="s">
        <v>1132</v>
      </c>
    </row>
    <row r="11759" spans="14:14" ht="15" customHeight="1" x14ac:dyDescent="0.25">
      <c r="N11759" t="s">
        <v>1132</v>
      </c>
    </row>
    <row r="11760" spans="14:14" ht="15" customHeight="1" x14ac:dyDescent="0.25">
      <c r="N11760" t="s">
        <v>901</v>
      </c>
    </row>
    <row r="11761" spans="14:14" ht="15" customHeight="1" x14ac:dyDescent="0.25">
      <c r="N11761" t="s">
        <v>286</v>
      </c>
    </row>
    <row r="11762" spans="14:14" ht="15" customHeight="1" x14ac:dyDescent="0.25">
      <c r="N11762" t="s">
        <v>1135</v>
      </c>
    </row>
    <row r="11763" spans="14:14" ht="15" customHeight="1" x14ac:dyDescent="0.25">
      <c r="N11763" t="s">
        <v>934</v>
      </c>
    </row>
    <row r="11764" spans="14:14" ht="15" customHeight="1" x14ac:dyDescent="0.25">
      <c r="N11764" t="s">
        <v>1138</v>
      </c>
    </row>
    <row r="11765" spans="14:14" ht="15" customHeight="1" x14ac:dyDescent="0.25">
      <c r="N11765" t="s">
        <v>1181</v>
      </c>
    </row>
    <row r="11766" spans="14:14" ht="15" customHeight="1" x14ac:dyDescent="0.25">
      <c r="N11766" t="s">
        <v>1181</v>
      </c>
    </row>
    <row r="11767" spans="14:14" ht="15" customHeight="1" x14ac:dyDescent="0.25">
      <c r="N11767" t="s">
        <v>1182</v>
      </c>
    </row>
    <row r="11768" spans="14:14" ht="15" customHeight="1" x14ac:dyDescent="0.25">
      <c r="N11768" t="s">
        <v>1125</v>
      </c>
    </row>
    <row r="11769" spans="14:14" ht="15" customHeight="1" x14ac:dyDescent="0.25">
      <c r="N11769" t="s">
        <v>988</v>
      </c>
    </row>
    <row r="11770" spans="14:14" ht="15" customHeight="1" x14ac:dyDescent="0.25">
      <c r="N11770" t="s">
        <v>988</v>
      </c>
    </row>
    <row r="11771" spans="14:14" ht="15" customHeight="1" x14ac:dyDescent="0.25">
      <c r="N11771" t="s">
        <v>1042</v>
      </c>
    </row>
    <row r="11772" spans="14:14" ht="15" customHeight="1" x14ac:dyDescent="0.25">
      <c r="N11772" t="s">
        <v>249</v>
      </c>
    </row>
    <row r="11773" spans="14:14" ht="15" customHeight="1" x14ac:dyDescent="0.25">
      <c r="N11773" t="s">
        <v>249</v>
      </c>
    </row>
    <row r="11774" spans="14:14" ht="15" customHeight="1" x14ac:dyDescent="0.25">
      <c r="N11774" t="s">
        <v>249</v>
      </c>
    </row>
    <row r="11775" spans="14:14" ht="15" customHeight="1" x14ac:dyDescent="0.25">
      <c r="N11775" t="s">
        <v>249</v>
      </c>
    </row>
    <row r="11776" spans="14:14" ht="15" customHeight="1" x14ac:dyDescent="0.25">
      <c r="N11776" t="s">
        <v>1185</v>
      </c>
    </row>
    <row r="11777" spans="14:14" ht="15" customHeight="1" x14ac:dyDescent="0.25">
      <c r="N11777" t="s">
        <v>1185</v>
      </c>
    </row>
    <row r="11778" spans="14:14" ht="15" customHeight="1" x14ac:dyDescent="0.25">
      <c r="N11778" t="s">
        <v>773</v>
      </c>
    </row>
    <row r="11779" spans="14:14" ht="15" customHeight="1" x14ac:dyDescent="0.25">
      <c r="N11779" t="s">
        <v>773</v>
      </c>
    </row>
    <row r="11780" spans="14:14" ht="15" customHeight="1" x14ac:dyDescent="0.25">
      <c r="N11780" t="s">
        <v>773</v>
      </c>
    </row>
    <row r="11781" spans="14:14" ht="15" customHeight="1" x14ac:dyDescent="0.25">
      <c r="N11781" t="s">
        <v>773</v>
      </c>
    </row>
    <row r="11782" spans="14:14" ht="15" customHeight="1" x14ac:dyDescent="0.25">
      <c r="N11782" t="s">
        <v>286</v>
      </c>
    </row>
    <row r="11783" spans="14:14" ht="15" customHeight="1" x14ac:dyDescent="0.25">
      <c r="N11783" t="s">
        <v>302</v>
      </c>
    </row>
    <row r="11784" spans="14:14" ht="15" customHeight="1" x14ac:dyDescent="0.25">
      <c r="N11784" t="s">
        <v>1334</v>
      </c>
    </row>
    <row r="11785" spans="14:14" ht="15" customHeight="1" x14ac:dyDescent="0.25">
      <c r="N11785" t="s">
        <v>279</v>
      </c>
    </row>
    <row r="11786" spans="14:14" ht="15" customHeight="1" x14ac:dyDescent="0.25">
      <c r="N11786" t="s">
        <v>247</v>
      </c>
    </row>
    <row r="11787" spans="14:14" ht="15" customHeight="1" x14ac:dyDescent="0.25">
      <c r="N11787" t="s">
        <v>247</v>
      </c>
    </row>
    <row r="11788" spans="14:14" ht="15" customHeight="1" x14ac:dyDescent="0.25">
      <c r="N11788" t="s">
        <v>1069</v>
      </c>
    </row>
    <row r="11789" spans="14:14" ht="15" customHeight="1" x14ac:dyDescent="0.25">
      <c r="N11789" t="s">
        <v>1069</v>
      </c>
    </row>
    <row r="11790" spans="14:14" ht="15" customHeight="1" x14ac:dyDescent="0.25">
      <c r="N11790" t="s">
        <v>998</v>
      </c>
    </row>
    <row r="11791" spans="14:14" ht="15" customHeight="1" x14ac:dyDescent="0.25">
      <c r="N11791" t="s">
        <v>1069</v>
      </c>
    </row>
    <row r="11792" spans="14:14" ht="15" customHeight="1" x14ac:dyDescent="0.25">
      <c r="N11792" t="s">
        <v>988</v>
      </c>
    </row>
    <row r="11793" spans="14:14" ht="15" customHeight="1" x14ac:dyDescent="0.25">
      <c r="N11793" t="s">
        <v>988</v>
      </c>
    </row>
    <row r="11794" spans="14:14" ht="15" customHeight="1" x14ac:dyDescent="0.25">
      <c r="N11794" t="s">
        <v>1188</v>
      </c>
    </row>
    <row r="11795" spans="14:14" ht="15" customHeight="1" x14ac:dyDescent="0.25">
      <c r="N11795" t="s">
        <v>1188</v>
      </c>
    </row>
    <row r="11796" spans="14:14" ht="15" customHeight="1" x14ac:dyDescent="0.25">
      <c r="N11796" t="s">
        <v>1106</v>
      </c>
    </row>
    <row r="11797" spans="14:14" ht="15" customHeight="1" x14ac:dyDescent="0.25">
      <c r="N11797" t="s">
        <v>1106</v>
      </c>
    </row>
    <row r="11798" spans="14:14" ht="15" customHeight="1" x14ac:dyDescent="0.25">
      <c r="N11798" t="s">
        <v>1106</v>
      </c>
    </row>
    <row r="11799" spans="14:14" ht="15" customHeight="1" x14ac:dyDescent="0.25">
      <c r="N11799" t="s">
        <v>1106</v>
      </c>
    </row>
    <row r="11800" spans="14:14" ht="15" customHeight="1" x14ac:dyDescent="0.25">
      <c r="N11800" t="s">
        <v>1106</v>
      </c>
    </row>
    <row r="11801" spans="14:14" ht="15" customHeight="1" x14ac:dyDescent="0.25">
      <c r="N11801" t="s">
        <v>1106</v>
      </c>
    </row>
    <row r="11802" spans="14:14" ht="15" customHeight="1" x14ac:dyDescent="0.25">
      <c r="N11802" t="s">
        <v>1106</v>
      </c>
    </row>
    <row r="11803" spans="14:14" ht="15" customHeight="1" x14ac:dyDescent="0.25">
      <c r="N11803" t="s">
        <v>1106</v>
      </c>
    </row>
    <row r="11804" spans="14:14" ht="15" customHeight="1" x14ac:dyDescent="0.25">
      <c r="N11804" t="s">
        <v>1119</v>
      </c>
    </row>
    <row r="11805" spans="14:14" ht="15" customHeight="1" x14ac:dyDescent="0.25">
      <c r="N11805" t="s">
        <v>1191</v>
      </c>
    </row>
    <row r="11806" spans="14:14" ht="15" customHeight="1" x14ac:dyDescent="0.25">
      <c r="N11806" t="s">
        <v>1191</v>
      </c>
    </row>
    <row r="11807" spans="14:14" ht="15" customHeight="1" x14ac:dyDescent="0.25">
      <c r="N11807" t="s">
        <v>998</v>
      </c>
    </row>
    <row r="11808" spans="14:14" ht="15" customHeight="1" x14ac:dyDescent="0.25">
      <c r="N11808" t="s">
        <v>998</v>
      </c>
    </row>
    <row r="11809" spans="14:14" ht="15" customHeight="1" x14ac:dyDescent="0.25">
      <c r="N11809" t="s">
        <v>934</v>
      </c>
    </row>
    <row r="11810" spans="14:14" ht="15" customHeight="1" x14ac:dyDescent="0.25">
      <c r="N11810" t="s">
        <v>1195</v>
      </c>
    </row>
    <row r="11811" spans="14:14" ht="15" customHeight="1" x14ac:dyDescent="0.25">
      <c r="N11811" t="s">
        <v>1042</v>
      </c>
    </row>
    <row r="11812" spans="14:14" ht="15" customHeight="1" x14ac:dyDescent="0.25">
      <c r="N11812" t="s">
        <v>1135</v>
      </c>
    </row>
    <row r="11813" spans="14:14" ht="15" customHeight="1" x14ac:dyDescent="0.25">
      <c r="N11813" t="s">
        <v>933</v>
      </c>
    </row>
    <row r="11814" spans="14:14" ht="15" customHeight="1" x14ac:dyDescent="0.25">
      <c r="N11814" t="s">
        <v>904</v>
      </c>
    </row>
    <row r="11815" spans="14:14" ht="15" customHeight="1" x14ac:dyDescent="0.25">
      <c r="N11815" t="s">
        <v>904</v>
      </c>
    </row>
    <row r="11816" spans="14:14" ht="15" customHeight="1" x14ac:dyDescent="0.25">
      <c r="N11816" t="s">
        <v>249</v>
      </c>
    </row>
    <row r="11817" spans="14:14" ht="15" customHeight="1" x14ac:dyDescent="0.25">
      <c r="N11817" t="s">
        <v>1205</v>
      </c>
    </row>
    <row r="11818" spans="14:14" ht="15" customHeight="1" x14ac:dyDescent="0.25">
      <c r="N11818" t="s">
        <v>1147</v>
      </c>
    </row>
    <row r="11819" spans="14:14" ht="15" customHeight="1" x14ac:dyDescent="0.25">
      <c r="N11819" t="s">
        <v>254</v>
      </c>
    </row>
    <row r="11820" spans="14:14" ht="15" customHeight="1" x14ac:dyDescent="0.25">
      <c r="N11820" t="s">
        <v>254</v>
      </c>
    </row>
    <row r="11821" spans="14:14" ht="15" customHeight="1" x14ac:dyDescent="0.25">
      <c r="N11821" t="s">
        <v>254</v>
      </c>
    </row>
    <row r="11822" spans="14:14" ht="15" customHeight="1" x14ac:dyDescent="0.25">
      <c r="N11822" t="s">
        <v>1208</v>
      </c>
    </row>
    <row r="11823" spans="14:14" ht="15" customHeight="1" x14ac:dyDescent="0.25">
      <c r="N11823" t="s">
        <v>480</v>
      </c>
    </row>
    <row r="11824" spans="14:14" ht="15" customHeight="1" x14ac:dyDescent="0.25">
      <c r="N11824" t="s">
        <v>1209</v>
      </c>
    </row>
    <row r="11825" spans="14:14" ht="15" customHeight="1" x14ac:dyDescent="0.25">
      <c r="N11825" t="s">
        <v>480</v>
      </c>
    </row>
    <row r="11826" spans="14:14" ht="15" customHeight="1" x14ac:dyDescent="0.25">
      <c r="N11826" t="s">
        <v>777</v>
      </c>
    </row>
    <row r="11827" spans="14:14" ht="15" customHeight="1" x14ac:dyDescent="0.25">
      <c r="N11827" t="s">
        <v>1209</v>
      </c>
    </row>
    <row r="11828" spans="14:14" ht="15" customHeight="1" x14ac:dyDescent="0.25">
      <c r="N11828" t="s">
        <v>254</v>
      </c>
    </row>
    <row r="11829" spans="14:14" ht="15" customHeight="1" x14ac:dyDescent="0.25">
      <c r="N11829" t="s">
        <v>885</v>
      </c>
    </row>
    <row r="11830" spans="14:14" ht="15" customHeight="1" x14ac:dyDescent="0.25">
      <c r="N11830" t="s">
        <v>273</v>
      </c>
    </row>
    <row r="11831" spans="14:14" ht="15" customHeight="1" x14ac:dyDescent="0.25">
      <c r="N11831" t="s">
        <v>273</v>
      </c>
    </row>
    <row r="11832" spans="14:14" ht="15" customHeight="1" x14ac:dyDescent="0.25">
      <c r="N11832" t="s">
        <v>279</v>
      </c>
    </row>
    <row r="11833" spans="14:14" ht="15" customHeight="1" x14ac:dyDescent="0.25">
      <c r="N11833" t="s">
        <v>247</v>
      </c>
    </row>
    <row r="11834" spans="14:14" ht="15" customHeight="1" x14ac:dyDescent="0.25">
      <c r="N11834" t="s">
        <v>247</v>
      </c>
    </row>
    <row r="11835" spans="14:14" ht="15" customHeight="1" x14ac:dyDescent="0.25">
      <c r="N11835" t="s">
        <v>1042</v>
      </c>
    </row>
    <row r="11836" spans="14:14" ht="15" customHeight="1" x14ac:dyDescent="0.25">
      <c r="N11836" t="s">
        <v>904</v>
      </c>
    </row>
    <row r="11837" spans="14:14" ht="15" customHeight="1" x14ac:dyDescent="0.25">
      <c r="N11837" t="s">
        <v>904</v>
      </c>
    </row>
    <row r="11838" spans="14:14" ht="15" customHeight="1" x14ac:dyDescent="0.25">
      <c r="N11838" t="s">
        <v>1069</v>
      </c>
    </row>
    <row r="11839" spans="14:14" ht="15" customHeight="1" x14ac:dyDescent="0.25">
      <c r="N11839" t="s">
        <v>1069</v>
      </c>
    </row>
    <row r="11840" spans="14:14" ht="15" customHeight="1" x14ac:dyDescent="0.25">
      <c r="N11840" t="s">
        <v>1188</v>
      </c>
    </row>
    <row r="11841" spans="14:14" ht="15" customHeight="1" x14ac:dyDescent="0.25">
      <c r="N11841" t="s">
        <v>1188</v>
      </c>
    </row>
    <row r="11842" spans="14:14" ht="15" customHeight="1" x14ac:dyDescent="0.25">
      <c r="N11842" t="s">
        <v>1188</v>
      </c>
    </row>
    <row r="11843" spans="14:14" ht="15" customHeight="1" x14ac:dyDescent="0.25">
      <c r="N11843" t="s">
        <v>1188</v>
      </c>
    </row>
    <row r="11844" spans="14:14" ht="15" customHeight="1" x14ac:dyDescent="0.25">
      <c r="N11844" t="s">
        <v>1188</v>
      </c>
    </row>
    <row r="11845" spans="14:14" ht="15" customHeight="1" x14ac:dyDescent="0.25">
      <c r="N11845" t="s">
        <v>1188</v>
      </c>
    </row>
    <row r="11846" spans="14:14" ht="15" customHeight="1" x14ac:dyDescent="0.25">
      <c r="N11846" t="s">
        <v>1188</v>
      </c>
    </row>
    <row r="11847" spans="14:14" ht="15" customHeight="1" x14ac:dyDescent="0.25">
      <c r="N11847" t="s">
        <v>1188</v>
      </c>
    </row>
    <row r="11848" spans="14:14" ht="15" customHeight="1" x14ac:dyDescent="0.25">
      <c r="N11848" t="s">
        <v>1216</v>
      </c>
    </row>
    <row r="11849" spans="14:14" ht="15" customHeight="1" x14ac:dyDescent="0.25">
      <c r="N11849" t="s">
        <v>1030</v>
      </c>
    </row>
    <row r="11850" spans="14:14" ht="15" customHeight="1" x14ac:dyDescent="0.25">
      <c r="N11850" t="s">
        <v>1049</v>
      </c>
    </row>
    <row r="11851" spans="14:14" ht="15" customHeight="1" x14ac:dyDescent="0.25">
      <c r="N11851" t="s">
        <v>1163</v>
      </c>
    </row>
    <row r="11852" spans="14:14" ht="15" customHeight="1" x14ac:dyDescent="0.25">
      <c r="N11852" t="s">
        <v>1163</v>
      </c>
    </row>
    <row r="11853" spans="14:14" ht="15" customHeight="1" x14ac:dyDescent="0.25">
      <c r="N11853" t="s">
        <v>1218</v>
      </c>
    </row>
    <row r="11854" spans="14:14" ht="15" customHeight="1" x14ac:dyDescent="0.25">
      <c r="N11854" t="s">
        <v>1042</v>
      </c>
    </row>
    <row r="11855" spans="14:14" ht="15" customHeight="1" x14ac:dyDescent="0.25">
      <c r="N11855" t="s">
        <v>1042</v>
      </c>
    </row>
    <row r="11856" spans="14:14" ht="15" customHeight="1" x14ac:dyDescent="0.25">
      <c r="N11856" t="s">
        <v>985</v>
      </c>
    </row>
    <row r="11857" spans="14:14" ht="15" customHeight="1" x14ac:dyDescent="0.25">
      <c r="N11857" t="s">
        <v>934</v>
      </c>
    </row>
    <row r="11858" spans="14:14" ht="15" customHeight="1" x14ac:dyDescent="0.25">
      <c r="N11858" t="s">
        <v>934</v>
      </c>
    </row>
    <row r="11859" spans="14:14" ht="15" customHeight="1" x14ac:dyDescent="0.25">
      <c r="N11859" t="s">
        <v>934</v>
      </c>
    </row>
    <row r="11860" spans="14:14" ht="15" customHeight="1" x14ac:dyDescent="0.25">
      <c r="N11860" t="s">
        <v>319</v>
      </c>
    </row>
    <row r="11861" spans="14:14" ht="15" customHeight="1" x14ac:dyDescent="0.25">
      <c r="N11861" t="s">
        <v>1042</v>
      </c>
    </row>
    <row r="11862" spans="14:14" ht="15" customHeight="1" x14ac:dyDescent="0.25">
      <c r="N11862" t="s">
        <v>1225</v>
      </c>
    </row>
    <row r="11863" spans="14:14" ht="15" customHeight="1" x14ac:dyDescent="0.25">
      <c r="N11863" t="s">
        <v>249</v>
      </c>
    </row>
    <row r="11864" spans="14:14" ht="15" customHeight="1" x14ac:dyDescent="0.25">
      <c r="N11864" t="s">
        <v>249</v>
      </c>
    </row>
    <row r="11865" spans="14:14" ht="15" customHeight="1" x14ac:dyDescent="0.25">
      <c r="N11865" t="s">
        <v>249</v>
      </c>
    </row>
    <row r="11866" spans="14:14" ht="15" customHeight="1" x14ac:dyDescent="0.25">
      <c r="N11866" t="s">
        <v>371</v>
      </c>
    </row>
    <row r="11867" spans="14:14" ht="15" customHeight="1" x14ac:dyDescent="0.25">
      <c r="N11867" t="s">
        <v>319</v>
      </c>
    </row>
    <row r="11868" spans="14:14" ht="15" customHeight="1" x14ac:dyDescent="0.25">
      <c r="N11868" t="s">
        <v>773</v>
      </c>
    </row>
    <row r="11869" spans="14:14" ht="15" customHeight="1" x14ac:dyDescent="0.25">
      <c r="N11869" t="s">
        <v>773</v>
      </c>
    </row>
    <row r="11870" spans="14:14" ht="15" customHeight="1" x14ac:dyDescent="0.25">
      <c r="N11870" t="s">
        <v>719</v>
      </c>
    </row>
    <row r="11871" spans="14:14" ht="15" customHeight="1" x14ac:dyDescent="0.25">
      <c r="N11871" t="s">
        <v>247</v>
      </c>
    </row>
    <row r="11872" spans="14:14" ht="15" customHeight="1" x14ac:dyDescent="0.25">
      <c r="N11872" t="s">
        <v>247</v>
      </c>
    </row>
    <row r="11873" spans="14:14" ht="15" customHeight="1" x14ac:dyDescent="0.25">
      <c r="N11873" t="s">
        <v>1228</v>
      </c>
    </row>
    <row r="11874" spans="14:14" ht="15" customHeight="1" x14ac:dyDescent="0.25">
      <c r="N11874" t="s">
        <v>934</v>
      </c>
    </row>
    <row r="11875" spans="14:14" ht="15" customHeight="1" x14ac:dyDescent="0.25">
      <c r="N11875" t="s">
        <v>934</v>
      </c>
    </row>
    <row r="11876" spans="14:14" ht="15" customHeight="1" x14ac:dyDescent="0.25">
      <c r="N11876" t="s">
        <v>1230</v>
      </c>
    </row>
    <row r="11877" spans="14:14" ht="15" customHeight="1" x14ac:dyDescent="0.25">
      <c r="N11877" t="s">
        <v>1083</v>
      </c>
    </row>
    <row r="11878" spans="14:14" ht="15" customHeight="1" x14ac:dyDescent="0.25">
      <c r="N11878" t="s">
        <v>1232</v>
      </c>
    </row>
    <row r="11879" spans="14:14" ht="15" customHeight="1" x14ac:dyDescent="0.25">
      <c r="N11879" t="s">
        <v>1232</v>
      </c>
    </row>
    <row r="11880" spans="14:14" ht="15" customHeight="1" x14ac:dyDescent="0.25">
      <c r="N11880" t="s">
        <v>1166</v>
      </c>
    </row>
    <row r="11881" spans="14:14" ht="15" customHeight="1" x14ac:dyDescent="0.25">
      <c r="N11881" t="s">
        <v>1069</v>
      </c>
    </row>
    <row r="11882" spans="14:14" ht="15" customHeight="1" x14ac:dyDescent="0.25">
      <c r="N11882" t="s">
        <v>1201</v>
      </c>
    </row>
    <row r="11883" spans="14:14" ht="15" customHeight="1" x14ac:dyDescent="0.25">
      <c r="N11883" t="s">
        <v>912</v>
      </c>
    </row>
    <row r="11884" spans="14:14" ht="15" customHeight="1" x14ac:dyDescent="0.25">
      <c r="N11884" t="s">
        <v>1163</v>
      </c>
    </row>
    <row r="11885" spans="14:14" ht="15" customHeight="1" x14ac:dyDescent="0.25">
      <c r="N11885" t="s">
        <v>1163</v>
      </c>
    </row>
    <row r="11886" spans="14:14" ht="15" customHeight="1" x14ac:dyDescent="0.25">
      <c r="N11886" t="s">
        <v>993</v>
      </c>
    </row>
    <row r="11887" spans="14:14" ht="15" customHeight="1" x14ac:dyDescent="0.25">
      <c r="N11887" t="s">
        <v>1042</v>
      </c>
    </row>
    <row r="11888" spans="14:14" ht="15" customHeight="1" x14ac:dyDescent="0.25">
      <c r="N11888" t="s">
        <v>985</v>
      </c>
    </row>
    <row r="11889" spans="14:14" ht="15" customHeight="1" x14ac:dyDescent="0.25">
      <c r="N11889" t="s">
        <v>1236</v>
      </c>
    </row>
    <row r="11890" spans="14:14" ht="15" customHeight="1" x14ac:dyDescent="0.25">
      <c r="N11890" t="s">
        <v>934</v>
      </c>
    </row>
    <row r="11891" spans="14:14" ht="15" customHeight="1" x14ac:dyDescent="0.25">
      <c r="N11891" t="s">
        <v>894</v>
      </c>
    </row>
    <row r="11892" spans="14:14" ht="15" customHeight="1" x14ac:dyDescent="0.25">
      <c r="N11892" t="s">
        <v>1188</v>
      </c>
    </row>
    <row r="11893" spans="14:14" ht="15" customHeight="1" x14ac:dyDescent="0.25">
      <c r="N11893" t="s">
        <v>1188</v>
      </c>
    </row>
    <row r="11894" spans="14:14" ht="15" customHeight="1" x14ac:dyDescent="0.25">
      <c r="N11894" t="s">
        <v>1125</v>
      </c>
    </row>
    <row r="11895" spans="14:14" ht="15" customHeight="1" x14ac:dyDescent="0.25">
      <c r="N11895" t="s">
        <v>1237</v>
      </c>
    </row>
    <row r="11896" spans="14:14" ht="15" customHeight="1" x14ac:dyDescent="0.25">
      <c r="N11896" t="s">
        <v>1185</v>
      </c>
    </row>
    <row r="11897" spans="14:14" ht="15" customHeight="1" x14ac:dyDescent="0.25">
      <c r="N11897" t="s">
        <v>249</v>
      </c>
    </row>
    <row r="11898" spans="14:14" ht="15" customHeight="1" x14ac:dyDescent="0.25">
      <c r="N11898" t="s">
        <v>777</v>
      </c>
    </row>
    <row r="11899" spans="14:14" ht="15" customHeight="1" x14ac:dyDescent="0.25">
      <c r="N11899" t="s">
        <v>480</v>
      </c>
    </row>
    <row r="11900" spans="14:14" ht="15" customHeight="1" x14ac:dyDescent="0.25">
      <c r="N11900" t="s">
        <v>319</v>
      </c>
    </row>
    <row r="11901" spans="14:14" ht="15" customHeight="1" x14ac:dyDescent="0.25">
      <c r="N11901" t="s">
        <v>334</v>
      </c>
    </row>
    <row r="11902" spans="14:14" ht="15" customHeight="1" x14ac:dyDescent="0.25">
      <c r="N11902" t="s">
        <v>254</v>
      </c>
    </row>
    <row r="11903" spans="14:14" ht="15" customHeight="1" x14ac:dyDescent="0.25">
      <c r="N11903" t="s">
        <v>273</v>
      </c>
    </row>
    <row r="11904" spans="14:14" ht="15" customHeight="1" x14ac:dyDescent="0.25">
      <c r="N11904" t="s">
        <v>1188</v>
      </c>
    </row>
    <row r="11905" spans="14:14" ht="15" customHeight="1" x14ac:dyDescent="0.25">
      <c r="N11905" t="s">
        <v>1166</v>
      </c>
    </row>
    <row r="11906" spans="14:14" ht="15" customHeight="1" x14ac:dyDescent="0.25">
      <c r="N11906" t="s">
        <v>1166</v>
      </c>
    </row>
    <row r="11907" spans="14:14" ht="15" customHeight="1" x14ac:dyDescent="0.25">
      <c r="N11907" t="s">
        <v>1240</v>
      </c>
    </row>
    <row r="11908" spans="14:14" ht="15" customHeight="1" x14ac:dyDescent="0.25">
      <c r="N11908" t="s">
        <v>998</v>
      </c>
    </row>
    <row r="11909" spans="14:14" ht="15" customHeight="1" x14ac:dyDescent="0.25">
      <c r="N11909" t="s">
        <v>933</v>
      </c>
    </row>
    <row r="11910" spans="14:14" ht="15" customHeight="1" x14ac:dyDescent="0.25">
      <c r="N11910" t="s">
        <v>980</v>
      </c>
    </row>
    <row r="11911" spans="14:14" ht="15" customHeight="1" x14ac:dyDescent="0.25">
      <c r="N11911" t="s">
        <v>1042</v>
      </c>
    </row>
    <row r="11912" spans="14:14" ht="15" customHeight="1" x14ac:dyDescent="0.25">
      <c r="N11912" t="s">
        <v>1242</v>
      </c>
    </row>
    <row r="11913" spans="14:14" ht="15" customHeight="1" x14ac:dyDescent="0.25">
      <c r="N11913" t="s">
        <v>933</v>
      </c>
    </row>
    <row r="11914" spans="14:14" ht="15" customHeight="1" x14ac:dyDescent="0.25">
      <c r="N11914" t="s">
        <v>909</v>
      </c>
    </row>
    <row r="11915" spans="14:14" ht="15" customHeight="1" x14ac:dyDescent="0.25">
      <c r="N11915" t="s">
        <v>1243</v>
      </c>
    </row>
    <row r="11916" spans="14:14" ht="15" customHeight="1" x14ac:dyDescent="0.25">
      <c r="N11916" t="s">
        <v>1243</v>
      </c>
    </row>
    <row r="11917" spans="14:14" ht="15" customHeight="1" x14ac:dyDescent="0.25">
      <c r="N11917" t="s">
        <v>1205</v>
      </c>
    </row>
    <row r="11918" spans="14:14" ht="15" customHeight="1" x14ac:dyDescent="0.25">
      <c r="N11918" t="s">
        <v>334</v>
      </c>
    </row>
    <row r="11919" spans="14:14" ht="15" customHeight="1" x14ac:dyDescent="0.25">
      <c r="N11919" t="s">
        <v>818</v>
      </c>
    </row>
    <row r="11920" spans="14:14" ht="15" customHeight="1" x14ac:dyDescent="0.25">
      <c r="N11920" t="s">
        <v>247</v>
      </c>
    </row>
    <row r="11921" spans="14:14" ht="15" customHeight="1" x14ac:dyDescent="0.25">
      <c r="N11921" t="s">
        <v>998</v>
      </c>
    </row>
    <row r="11922" spans="14:14" ht="15" customHeight="1" x14ac:dyDescent="0.25">
      <c r="N11922" t="s">
        <v>998</v>
      </c>
    </row>
    <row r="11923" spans="14:14" ht="15" customHeight="1" x14ac:dyDescent="0.25">
      <c r="N11923" t="s">
        <v>933</v>
      </c>
    </row>
    <row r="11924" spans="14:14" ht="15" customHeight="1" x14ac:dyDescent="0.25">
      <c r="N11924" t="s">
        <v>1244</v>
      </c>
    </row>
    <row r="11925" spans="14:14" ht="15" customHeight="1" x14ac:dyDescent="0.25">
      <c r="N11925" t="s">
        <v>934</v>
      </c>
    </row>
    <row r="11926" spans="14:14" ht="15" customHeight="1" x14ac:dyDescent="0.25">
      <c r="N11926" t="s">
        <v>1195</v>
      </c>
    </row>
    <row r="11927" spans="14:14" ht="15" customHeight="1" x14ac:dyDescent="0.25">
      <c r="N11927" t="s">
        <v>1166</v>
      </c>
    </row>
    <row r="11928" spans="14:14" ht="15" customHeight="1" x14ac:dyDescent="0.25">
      <c r="N11928" t="s">
        <v>998</v>
      </c>
    </row>
    <row r="11929" spans="14:14" ht="15" customHeight="1" x14ac:dyDescent="0.25">
      <c r="N11929" t="s">
        <v>1245</v>
      </c>
    </row>
    <row r="11930" spans="14:14" ht="15" customHeight="1" x14ac:dyDescent="0.25">
      <c r="N11930" t="s">
        <v>1245</v>
      </c>
    </row>
    <row r="11931" spans="14:14" ht="15" customHeight="1" x14ac:dyDescent="0.25">
      <c r="N11931" t="s">
        <v>1247</v>
      </c>
    </row>
    <row r="11932" spans="14:14" ht="15" customHeight="1" x14ac:dyDescent="0.25">
      <c r="N11932" t="s">
        <v>273</v>
      </c>
    </row>
    <row r="11933" spans="14:14" ht="15" customHeight="1" x14ac:dyDescent="0.25">
      <c r="N11933" t="s">
        <v>254</v>
      </c>
    </row>
    <row r="11934" spans="14:14" ht="15" customHeight="1" x14ac:dyDescent="0.25">
      <c r="N11934" t="s">
        <v>907</v>
      </c>
    </row>
    <row r="11935" spans="14:14" ht="15" customHeight="1" x14ac:dyDescent="0.25">
      <c r="N11935" t="s">
        <v>901</v>
      </c>
    </row>
    <row r="11936" spans="14:14" ht="15" customHeight="1" x14ac:dyDescent="0.25">
      <c r="N11936" t="s">
        <v>1251</v>
      </c>
    </row>
    <row r="11937" spans="14:14" ht="15" customHeight="1" x14ac:dyDescent="0.25">
      <c r="N11937" t="s">
        <v>1252</v>
      </c>
    </row>
    <row r="11938" spans="14:14" ht="15" customHeight="1" x14ac:dyDescent="0.25">
      <c r="N11938" t="s">
        <v>998</v>
      </c>
    </row>
    <row r="11939" spans="14:14" ht="15" customHeight="1" x14ac:dyDescent="0.25">
      <c r="N11939" t="s">
        <v>1042</v>
      </c>
    </row>
    <row r="11940" spans="14:14" ht="15" customHeight="1" x14ac:dyDescent="0.25">
      <c r="N11940" t="s">
        <v>988</v>
      </c>
    </row>
    <row r="11941" spans="14:14" ht="15" customHeight="1" x14ac:dyDescent="0.25">
      <c r="N11941" t="s">
        <v>1166</v>
      </c>
    </row>
    <row r="11942" spans="14:14" ht="15" customHeight="1" x14ac:dyDescent="0.25">
      <c r="N11942" t="s">
        <v>1166</v>
      </c>
    </row>
    <row r="11943" spans="14:14" ht="15" customHeight="1" x14ac:dyDescent="0.25">
      <c r="N11943" t="s">
        <v>1247</v>
      </c>
    </row>
    <row r="11944" spans="14:14" ht="15" customHeight="1" x14ac:dyDescent="0.25">
      <c r="N11944" t="s">
        <v>319</v>
      </c>
    </row>
    <row r="11945" spans="14:14" ht="15" customHeight="1" x14ac:dyDescent="0.25">
      <c r="N11945" t="s">
        <v>907</v>
      </c>
    </row>
    <row r="11946" spans="14:14" ht="15" customHeight="1" x14ac:dyDescent="0.25">
      <c r="N11946" t="s">
        <v>1185</v>
      </c>
    </row>
    <row r="11947" spans="14:14" ht="15" customHeight="1" x14ac:dyDescent="0.25">
      <c r="N11947" t="s">
        <v>934</v>
      </c>
    </row>
    <row r="11948" spans="14:14" ht="15" customHeight="1" x14ac:dyDescent="0.25">
      <c r="N11948" t="s">
        <v>1106</v>
      </c>
    </row>
    <row r="11949" spans="14:14" ht="15" customHeight="1" x14ac:dyDescent="0.25">
      <c r="N11949" t="s">
        <v>1106</v>
      </c>
    </row>
    <row r="11950" spans="14:14" ht="15" customHeight="1" x14ac:dyDescent="0.25">
      <c r="N11950" t="s">
        <v>1106</v>
      </c>
    </row>
    <row r="11951" spans="14:14" ht="15" customHeight="1" x14ac:dyDescent="0.25">
      <c r="N11951" t="s">
        <v>1106</v>
      </c>
    </row>
    <row r="11952" spans="14:14" ht="15" customHeight="1" x14ac:dyDescent="0.25">
      <c r="N11952" t="s">
        <v>1106</v>
      </c>
    </row>
    <row r="11953" spans="14:14" ht="15" customHeight="1" x14ac:dyDescent="0.25">
      <c r="N11953" t="s">
        <v>1106</v>
      </c>
    </row>
    <row r="11954" spans="14:14" ht="15" customHeight="1" x14ac:dyDescent="0.25">
      <c r="N11954" t="s">
        <v>1042</v>
      </c>
    </row>
    <row r="11955" spans="14:14" ht="15" customHeight="1" x14ac:dyDescent="0.25">
      <c r="N11955" t="s">
        <v>998</v>
      </c>
    </row>
    <row r="11956" spans="14:14" ht="15" customHeight="1" x14ac:dyDescent="0.25">
      <c r="N11956" t="s">
        <v>998</v>
      </c>
    </row>
    <row r="11957" spans="14:14" ht="15" customHeight="1" x14ac:dyDescent="0.25">
      <c r="N11957" t="s">
        <v>254</v>
      </c>
    </row>
    <row r="11958" spans="14:14" ht="15" customHeight="1" x14ac:dyDescent="0.25">
      <c r="N11958" t="s">
        <v>998</v>
      </c>
    </row>
    <row r="11959" spans="14:14" ht="15" customHeight="1" x14ac:dyDescent="0.25">
      <c r="N11959" t="s">
        <v>319</v>
      </c>
    </row>
    <row r="11960" spans="14:14" ht="15" customHeight="1" x14ac:dyDescent="0.25">
      <c r="N11960" t="s">
        <v>1230</v>
      </c>
    </row>
    <row r="11961" spans="14:14" ht="15" customHeight="1" x14ac:dyDescent="0.25">
      <c r="N11961" t="s">
        <v>1188</v>
      </c>
    </row>
    <row r="11962" spans="14:14" ht="15" customHeight="1" x14ac:dyDescent="0.25">
      <c r="N11962" t="s">
        <v>1188</v>
      </c>
    </row>
    <row r="11963" spans="14:14" ht="15" customHeight="1" x14ac:dyDescent="0.25">
      <c r="N11963" t="s">
        <v>1188</v>
      </c>
    </row>
    <row r="11964" spans="14:14" ht="15" customHeight="1" x14ac:dyDescent="0.25">
      <c r="N11964" t="s">
        <v>1188</v>
      </c>
    </row>
    <row r="11965" spans="14:14" ht="15" customHeight="1" x14ac:dyDescent="0.25">
      <c r="N11965" t="s">
        <v>1188</v>
      </c>
    </row>
    <row r="11966" spans="14:14" ht="15" customHeight="1" x14ac:dyDescent="0.25">
      <c r="N11966" t="s">
        <v>1188</v>
      </c>
    </row>
    <row r="11967" spans="14:14" ht="15" customHeight="1" x14ac:dyDescent="0.25">
      <c r="N11967" t="s">
        <v>1261</v>
      </c>
    </row>
    <row r="11968" spans="14:14" ht="15" customHeight="1" x14ac:dyDescent="0.25">
      <c r="N11968" t="s">
        <v>777</v>
      </c>
    </row>
    <row r="11969" spans="14:14" ht="15" customHeight="1" x14ac:dyDescent="0.25">
      <c r="N11969" t="s">
        <v>1240</v>
      </c>
    </row>
    <row r="11970" spans="14:14" ht="15" customHeight="1" x14ac:dyDescent="0.25">
      <c r="N11970" t="s">
        <v>1042</v>
      </c>
    </row>
    <row r="11971" spans="14:14" ht="15" customHeight="1" x14ac:dyDescent="0.25">
      <c r="N11971" t="s">
        <v>1336</v>
      </c>
    </row>
    <row r="11972" spans="14:14" ht="15" customHeight="1" x14ac:dyDescent="0.25">
      <c r="N11972" t="s">
        <v>1042</v>
      </c>
    </row>
    <row r="11973" spans="14:14" ht="15" customHeight="1" x14ac:dyDescent="0.25">
      <c r="N11973" t="s">
        <v>998</v>
      </c>
    </row>
    <row r="11974" spans="14:14" ht="15" customHeight="1" x14ac:dyDescent="0.25">
      <c r="N11974" t="s">
        <v>302</v>
      </c>
    </row>
    <row r="11975" spans="14:14" ht="15" customHeight="1" x14ac:dyDescent="0.25">
      <c r="N11975" t="s">
        <v>319</v>
      </c>
    </row>
    <row r="11976" spans="14:14" ht="15" customHeight="1" x14ac:dyDescent="0.25">
      <c r="N11976" t="s">
        <v>985</v>
      </c>
    </row>
    <row r="11977" spans="14:14" ht="15" customHeight="1" x14ac:dyDescent="0.25">
      <c r="N11977" t="s">
        <v>1263</v>
      </c>
    </row>
    <row r="11978" spans="14:14" ht="15" customHeight="1" x14ac:dyDescent="0.25">
      <c r="N11978" t="s">
        <v>302</v>
      </c>
    </row>
    <row r="11979" spans="14:14" ht="15" customHeight="1" x14ac:dyDescent="0.25">
      <c r="N11979" t="s">
        <v>249</v>
      </c>
    </row>
    <row r="11980" spans="14:14" ht="15" customHeight="1" x14ac:dyDescent="0.25">
      <c r="N11980" t="s">
        <v>302</v>
      </c>
    </row>
    <row r="11981" spans="14:14" ht="15" customHeight="1" x14ac:dyDescent="0.25">
      <c r="N11981" t="s">
        <v>371</v>
      </c>
    </row>
    <row r="11982" spans="14:14" ht="15" customHeight="1" x14ac:dyDescent="0.25">
      <c r="N11982" t="s">
        <v>302</v>
      </c>
    </row>
    <row r="11983" spans="14:14" ht="15" customHeight="1" x14ac:dyDescent="0.25">
      <c r="N11983" t="s">
        <v>930</v>
      </c>
    </row>
    <row r="11984" spans="14:14" ht="15" customHeight="1" x14ac:dyDescent="0.25">
      <c r="N11984" t="s">
        <v>910</v>
      </c>
    </row>
    <row r="11985" spans="14:14" ht="15" customHeight="1" x14ac:dyDescent="0.25">
      <c r="N11985" t="s">
        <v>967</v>
      </c>
    </row>
    <row r="11986" spans="14:14" ht="15" customHeight="1" x14ac:dyDescent="0.25">
      <c r="N11986" t="s">
        <v>971</v>
      </c>
    </row>
    <row r="11987" spans="14:14" ht="15" customHeight="1" x14ac:dyDescent="0.25">
      <c r="N11987" t="s">
        <v>971</v>
      </c>
    </row>
    <row r="11988" spans="14:14" ht="15" customHeight="1" x14ac:dyDescent="0.25">
      <c r="N11988" t="s">
        <v>247</v>
      </c>
    </row>
    <row r="11989" spans="14:14" ht="15" customHeight="1" x14ac:dyDescent="0.25">
      <c r="N11989" t="s">
        <v>247</v>
      </c>
    </row>
    <row r="11990" spans="14:14" ht="15" customHeight="1" x14ac:dyDescent="0.25">
      <c r="N11990" t="s">
        <v>247</v>
      </c>
    </row>
    <row r="11991" spans="14:14" ht="15" customHeight="1" x14ac:dyDescent="0.25">
      <c r="N11991" t="s">
        <v>207</v>
      </c>
    </row>
    <row r="11992" spans="14:14" ht="15" customHeight="1" x14ac:dyDescent="0.25">
      <c r="N11992" t="s">
        <v>975</v>
      </c>
    </row>
    <row r="11993" spans="14:14" ht="15" customHeight="1" x14ac:dyDescent="0.25">
      <c r="N11993" t="s">
        <v>975</v>
      </c>
    </row>
    <row r="11994" spans="14:14" ht="15" customHeight="1" x14ac:dyDescent="0.25">
      <c r="N11994" t="s">
        <v>931</v>
      </c>
    </row>
    <row r="11995" spans="14:14" ht="15" customHeight="1" x14ac:dyDescent="0.25">
      <c r="N11995" t="s">
        <v>967</v>
      </c>
    </row>
    <row r="11996" spans="14:14" ht="15" customHeight="1" x14ac:dyDescent="0.25">
      <c r="N11996" t="s">
        <v>912</v>
      </c>
    </row>
    <row r="11997" spans="14:14" ht="15" customHeight="1" x14ac:dyDescent="0.25">
      <c r="N11997" t="s">
        <v>1014</v>
      </c>
    </row>
    <row r="11998" spans="14:14" ht="15" customHeight="1" x14ac:dyDescent="0.25">
      <c r="N11998" t="s">
        <v>971</v>
      </c>
    </row>
    <row r="11999" spans="14:14" ht="15" customHeight="1" x14ac:dyDescent="0.25">
      <c r="N11999" t="s">
        <v>971</v>
      </c>
    </row>
    <row r="12000" spans="14:14" ht="15" customHeight="1" x14ac:dyDescent="0.25">
      <c r="N12000" t="s">
        <v>247</v>
      </c>
    </row>
    <row r="12001" spans="14:14" ht="15" customHeight="1" x14ac:dyDescent="0.25">
      <c r="N12001" t="s">
        <v>247</v>
      </c>
    </row>
    <row r="12002" spans="14:14" ht="15" customHeight="1" x14ac:dyDescent="0.25">
      <c r="N12002" t="s">
        <v>247</v>
      </c>
    </row>
    <row r="12003" spans="14:14" ht="15" customHeight="1" x14ac:dyDescent="0.25">
      <c r="N12003" t="s">
        <v>251</v>
      </c>
    </row>
    <row r="12004" spans="14:14" ht="15" customHeight="1" x14ac:dyDescent="0.25">
      <c r="N12004" t="s">
        <v>971</v>
      </c>
    </row>
    <row r="12005" spans="14:14" ht="15" customHeight="1" x14ac:dyDescent="0.25">
      <c r="N12005" t="s">
        <v>971</v>
      </c>
    </row>
    <row r="12006" spans="14:14" ht="15" customHeight="1" x14ac:dyDescent="0.25">
      <c r="N12006" t="s">
        <v>247</v>
      </c>
    </row>
    <row r="12007" spans="14:14" ht="15" customHeight="1" x14ac:dyDescent="0.25">
      <c r="N12007" t="s">
        <v>247</v>
      </c>
    </row>
    <row r="12008" spans="14:14" ht="15" customHeight="1" x14ac:dyDescent="0.25">
      <c r="N12008" t="s">
        <v>247</v>
      </c>
    </row>
    <row r="12009" spans="14:14" ht="15" customHeight="1" x14ac:dyDescent="0.25">
      <c r="N12009" t="s">
        <v>302</v>
      </c>
    </row>
    <row r="12010" spans="14:14" ht="15" customHeight="1" x14ac:dyDescent="0.25">
      <c r="N12010" t="s">
        <v>971</v>
      </c>
    </row>
    <row r="12011" spans="14:14" ht="15" customHeight="1" x14ac:dyDescent="0.25">
      <c r="N12011" t="s">
        <v>971</v>
      </c>
    </row>
    <row r="12012" spans="14:14" ht="15" customHeight="1" x14ac:dyDescent="0.25">
      <c r="N12012" t="s">
        <v>1079</v>
      </c>
    </row>
    <row r="12013" spans="14:14" ht="15" customHeight="1" x14ac:dyDescent="0.25">
      <c r="N12013" t="s">
        <v>1085</v>
      </c>
    </row>
    <row r="12014" spans="14:14" ht="15" customHeight="1" x14ac:dyDescent="0.25">
      <c r="N12014" t="s">
        <v>1085</v>
      </c>
    </row>
    <row r="12015" spans="14:14" ht="15" customHeight="1" x14ac:dyDescent="0.25">
      <c r="N12015" t="s">
        <v>1014</v>
      </c>
    </row>
    <row r="12016" spans="14:14" ht="15" customHeight="1" x14ac:dyDescent="0.25">
      <c r="N12016" t="s">
        <v>971</v>
      </c>
    </row>
    <row r="12017" spans="14:14" ht="15" customHeight="1" x14ac:dyDescent="0.25">
      <c r="N12017" t="s">
        <v>971</v>
      </c>
    </row>
    <row r="12018" spans="14:14" ht="15" customHeight="1" x14ac:dyDescent="0.25">
      <c r="N12018" t="s">
        <v>247</v>
      </c>
    </row>
    <row r="12019" spans="14:14" ht="15" customHeight="1" x14ac:dyDescent="0.25">
      <c r="N12019" t="s">
        <v>247</v>
      </c>
    </row>
    <row r="12020" spans="14:14" ht="15" customHeight="1" x14ac:dyDescent="0.25">
      <c r="N12020" t="s">
        <v>247</v>
      </c>
    </row>
    <row r="12021" spans="14:14" ht="15" customHeight="1" x14ac:dyDescent="0.25">
      <c r="N12021" t="s">
        <v>302</v>
      </c>
    </row>
    <row r="12022" spans="14:14" ht="15" customHeight="1" x14ac:dyDescent="0.25">
      <c r="N12022" t="s">
        <v>302</v>
      </c>
    </row>
    <row r="12023" spans="14:14" ht="15" customHeight="1" x14ac:dyDescent="0.25">
      <c r="N12023" t="s">
        <v>302</v>
      </c>
    </row>
    <row r="12024" spans="14:14" ht="15" customHeight="1" x14ac:dyDescent="0.25">
      <c r="N12024" t="s">
        <v>302</v>
      </c>
    </row>
    <row r="12025" spans="14:14" ht="15" customHeight="1" x14ac:dyDescent="0.25">
      <c r="N12025" t="s">
        <v>971</v>
      </c>
    </row>
    <row r="12026" spans="14:14" ht="15" customHeight="1" x14ac:dyDescent="0.25">
      <c r="N12026" t="s">
        <v>971</v>
      </c>
    </row>
    <row r="12027" spans="14:14" ht="15" customHeight="1" x14ac:dyDescent="0.25">
      <c r="N12027" t="s">
        <v>1121</v>
      </c>
    </row>
    <row r="12028" spans="14:14" ht="15" customHeight="1" x14ac:dyDescent="0.25">
      <c r="N12028" t="s">
        <v>1121</v>
      </c>
    </row>
    <row r="12029" spans="14:14" ht="15" customHeight="1" x14ac:dyDescent="0.25">
      <c r="N12029" t="s">
        <v>1121</v>
      </c>
    </row>
    <row r="12030" spans="14:14" ht="15" customHeight="1" x14ac:dyDescent="0.25">
      <c r="N12030" t="s">
        <v>971</v>
      </c>
    </row>
    <row r="12031" spans="14:14" ht="15" customHeight="1" x14ac:dyDescent="0.25">
      <c r="N12031" t="s">
        <v>971</v>
      </c>
    </row>
    <row r="12032" spans="14:14" ht="15" customHeight="1" x14ac:dyDescent="0.25">
      <c r="N12032" t="s">
        <v>971</v>
      </c>
    </row>
    <row r="12033" spans="14:14" ht="15" customHeight="1" x14ac:dyDescent="0.25">
      <c r="N12033" t="s">
        <v>1119</v>
      </c>
    </row>
    <row r="12034" spans="14:14" ht="15" customHeight="1" x14ac:dyDescent="0.25">
      <c r="N12034" t="s">
        <v>1034</v>
      </c>
    </row>
    <row r="12035" spans="14:14" ht="15" customHeight="1" x14ac:dyDescent="0.25">
      <c r="N12035" t="s">
        <v>971</v>
      </c>
    </row>
    <row r="12036" spans="14:14" ht="15" customHeight="1" x14ac:dyDescent="0.25">
      <c r="N12036" t="s">
        <v>971</v>
      </c>
    </row>
    <row r="12037" spans="14:14" ht="15" customHeight="1" x14ac:dyDescent="0.25">
      <c r="N12037" t="s">
        <v>273</v>
      </c>
    </row>
    <row r="12038" spans="14:14" ht="15" customHeight="1" x14ac:dyDescent="0.25">
      <c r="N12038" t="s">
        <v>247</v>
      </c>
    </row>
    <row r="12039" spans="14:14" ht="15" customHeight="1" x14ac:dyDescent="0.25">
      <c r="N12039" t="s">
        <v>247</v>
      </c>
    </row>
    <row r="12040" spans="14:14" ht="15" customHeight="1" x14ac:dyDescent="0.25">
      <c r="N12040" t="s">
        <v>247</v>
      </c>
    </row>
    <row r="12041" spans="14:14" ht="15" customHeight="1" x14ac:dyDescent="0.25">
      <c r="N12041" t="s">
        <v>402</v>
      </c>
    </row>
    <row r="12042" spans="14:14" ht="15" customHeight="1" x14ac:dyDescent="0.25">
      <c r="N12042" t="s">
        <v>823</v>
      </c>
    </row>
    <row r="12043" spans="14:14" ht="15" customHeight="1" x14ac:dyDescent="0.25">
      <c r="N12043" t="s">
        <v>1164</v>
      </c>
    </row>
    <row r="12044" spans="14:14" ht="15" customHeight="1" x14ac:dyDescent="0.25">
      <c r="N12044" t="s">
        <v>1164</v>
      </c>
    </row>
    <row r="12045" spans="14:14" ht="15" customHeight="1" x14ac:dyDescent="0.25">
      <c r="N12045" t="s">
        <v>1164</v>
      </c>
    </row>
    <row r="12046" spans="14:14" ht="15" customHeight="1" x14ac:dyDescent="0.25">
      <c r="N12046" t="s">
        <v>971</v>
      </c>
    </row>
    <row r="12047" spans="14:14" ht="15" customHeight="1" x14ac:dyDescent="0.25">
      <c r="N12047" t="s">
        <v>1175</v>
      </c>
    </row>
    <row r="12048" spans="14:14" ht="15" customHeight="1" x14ac:dyDescent="0.25">
      <c r="N12048" t="s">
        <v>971</v>
      </c>
    </row>
    <row r="12049" spans="14:14" ht="15" customHeight="1" x14ac:dyDescent="0.25">
      <c r="N12049" t="s">
        <v>971</v>
      </c>
    </row>
    <row r="12050" spans="14:14" ht="15" customHeight="1" x14ac:dyDescent="0.25">
      <c r="N12050" t="s">
        <v>273</v>
      </c>
    </row>
    <row r="12051" spans="14:14" ht="15" customHeight="1" x14ac:dyDescent="0.25">
      <c r="N12051" t="s">
        <v>247</v>
      </c>
    </row>
    <row r="12052" spans="14:14" ht="15" customHeight="1" x14ac:dyDescent="0.25">
      <c r="N12052" t="s">
        <v>247</v>
      </c>
    </row>
    <row r="12053" spans="14:14" ht="15" customHeight="1" x14ac:dyDescent="0.25">
      <c r="N12053" t="s">
        <v>247</v>
      </c>
    </row>
    <row r="12054" spans="14:14" ht="15" customHeight="1" x14ac:dyDescent="0.25">
      <c r="N12054" t="s">
        <v>971</v>
      </c>
    </row>
    <row r="12055" spans="14:14" ht="15" customHeight="1" x14ac:dyDescent="0.25">
      <c r="N12055" t="s">
        <v>971</v>
      </c>
    </row>
    <row r="12056" spans="14:14" ht="15" customHeight="1" x14ac:dyDescent="0.25">
      <c r="N12056" t="s">
        <v>971</v>
      </c>
    </row>
    <row r="12057" spans="14:14" ht="15" customHeight="1" x14ac:dyDescent="0.25">
      <c r="N12057" t="s">
        <v>247</v>
      </c>
    </row>
    <row r="12058" spans="14:14" ht="15" customHeight="1" x14ac:dyDescent="0.25">
      <c r="N12058" t="s">
        <v>247</v>
      </c>
    </row>
    <row r="12059" spans="14:14" ht="15" customHeight="1" x14ac:dyDescent="0.25">
      <c r="N12059" t="s">
        <v>247</v>
      </c>
    </row>
    <row r="12060" spans="14:14" ht="15" customHeight="1" x14ac:dyDescent="0.25">
      <c r="N12060" t="s">
        <v>301</v>
      </c>
    </row>
    <row r="12061" spans="14:14" ht="15" customHeight="1" x14ac:dyDescent="0.25">
      <c r="N12061" t="s">
        <v>247</v>
      </c>
    </row>
    <row r="12062" spans="14:14" ht="15" customHeight="1" x14ac:dyDescent="0.25">
      <c r="N12062" t="s">
        <v>247</v>
      </c>
    </row>
    <row r="12063" spans="14:14" ht="15" customHeight="1" x14ac:dyDescent="0.25">
      <c r="N12063" t="s">
        <v>247</v>
      </c>
    </row>
    <row r="12064" spans="14:14" ht="15" customHeight="1" x14ac:dyDescent="0.25">
      <c r="N12064" t="s">
        <v>1217</v>
      </c>
    </row>
    <row r="12065" spans="14:14" ht="15" customHeight="1" x14ac:dyDescent="0.25">
      <c r="N12065" t="s">
        <v>1217</v>
      </c>
    </row>
    <row r="12066" spans="14:14" ht="15" customHeight="1" x14ac:dyDescent="0.25">
      <c r="N12066" t="s">
        <v>971</v>
      </c>
    </row>
    <row r="12067" spans="14:14" ht="15" customHeight="1" x14ac:dyDescent="0.25">
      <c r="N12067" t="s">
        <v>247</v>
      </c>
    </row>
    <row r="12068" spans="14:14" ht="15" customHeight="1" x14ac:dyDescent="0.25">
      <c r="N12068" t="s">
        <v>247</v>
      </c>
    </row>
    <row r="12069" spans="14:14" ht="15" customHeight="1" x14ac:dyDescent="0.25">
      <c r="N12069" t="s">
        <v>247</v>
      </c>
    </row>
    <row r="12070" spans="14:14" ht="15" customHeight="1" x14ac:dyDescent="0.25">
      <c r="N12070" t="s">
        <v>971</v>
      </c>
    </row>
    <row r="12071" spans="14:14" ht="15" customHeight="1" x14ac:dyDescent="0.25">
      <c r="N12071" t="s">
        <v>971</v>
      </c>
    </row>
    <row r="12072" spans="14:14" ht="15" customHeight="1" x14ac:dyDescent="0.25">
      <c r="N12072" t="s">
        <v>971</v>
      </c>
    </row>
    <row r="12073" spans="14:14" ht="15" customHeight="1" x14ac:dyDescent="0.25">
      <c r="N12073" t="s">
        <v>971</v>
      </c>
    </row>
    <row r="12074" spans="14:14" ht="15" customHeight="1" x14ac:dyDescent="0.25">
      <c r="N12074" t="s">
        <v>247</v>
      </c>
    </row>
    <row r="12075" spans="14:14" ht="15" customHeight="1" x14ac:dyDescent="0.25">
      <c r="N12075" t="s">
        <v>302</v>
      </c>
    </row>
    <row r="12076" spans="14:14" ht="15" customHeight="1" x14ac:dyDescent="0.25">
      <c r="N12076" t="s">
        <v>1085</v>
      </c>
    </row>
    <row r="12077" spans="14:14" ht="15" customHeight="1" x14ac:dyDescent="0.25">
      <c r="N12077" t="s">
        <v>971</v>
      </c>
    </row>
    <row r="12078" spans="14:14" ht="15" customHeight="1" x14ac:dyDescent="0.25">
      <c r="N12078" t="s">
        <v>971</v>
      </c>
    </row>
    <row r="12079" spans="14:14" ht="15" customHeight="1" x14ac:dyDescent="0.25">
      <c r="N12079" t="s">
        <v>971</v>
      </c>
    </row>
    <row r="12080" spans="14:14" ht="15" customHeight="1" x14ac:dyDescent="0.25">
      <c r="N12080" t="s">
        <v>971</v>
      </c>
    </row>
    <row r="12081" spans="14:14" ht="15" customHeight="1" x14ac:dyDescent="0.25">
      <c r="N12081" t="s">
        <v>971</v>
      </c>
    </row>
    <row r="12082" spans="14:14" ht="15" customHeight="1" x14ac:dyDescent="0.25">
      <c r="N12082" t="s">
        <v>1217</v>
      </c>
    </row>
    <row r="12083" spans="14:14" ht="15" customHeight="1" x14ac:dyDescent="0.25">
      <c r="N12083" t="s">
        <v>432</v>
      </c>
    </row>
    <row r="12084" spans="14:14" ht="15" customHeight="1" x14ac:dyDescent="0.25">
      <c r="N12084" t="s">
        <v>931</v>
      </c>
    </row>
    <row r="12085" spans="14:14" ht="15" customHeight="1" x14ac:dyDescent="0.25">
      <c r="N12085" t="s">
        <v>971</v>
      </c>
    </row>
    <row r="12086" spans="14:14" ht="15" customHeight="1" x14ac:dyDescent="0.25">
      <c r="N12086" t="s">
        <v>971</v>
      </c>
    </row>
    <row r="12087" spans="14:14" ht="15" customHeight="1" x14ac:dyDescent="0.25">
      <c r="N12087" t="s">
        <v>971</v>
      </c>
    </row>
    <row r="12088" spans="14:14" ht="15" customHeight="1" x14ac:dyDescent="0.25">
      <c r="N12088" t="s">
        <v>247</v>
      </c>
    </row>
    <row r="12089" spans="14:14" ht="15" customHeight="1" x14ac:dyDescent="0.25">
      <c r="N12089" t="s">
        <v>971</v>
      </c>
    </row>
    <row r="12090" spans="14:14" ht="15" customHeight="1" x14ac:dyDescent="0.25">
      <c r="N12090" t="s">
        <v>971</v>
      </c>
    </row>
    <row r="12091" spans="14:14" ht="15" customHeight="1" x14ac:dyDescent="0.25">
      <c r="N12091" t="s">
        <v>971</v>
      </c>
    </row>
  </sheetData>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9457" r:id="rId6" name="Button 1">
              <controlPr defaultSize="0" print="0" autoFill="0" autoPict="0" macro="[0]!Subjects_ChartUp">
                <anchor moveWithCells="1">
                  <from>
                    <xdr:col>3</xdr:col>
                    <xdr:colOff>466725</xdr:colOff>
                    <xdr:row>4</xdr:row>
                    <xdr:rowOff>0</xdr:rowOff>
                  </from>
                  <to>
                    <xdr:col>4</xdr:col>
                    <xdr:colOff>0</xdr:colOff>
                    <xdr:row>5</xdr:row>
                    <xdr:rowOff>47625</xdr:rowOff>
                  </to>
                </anchor>
              </controlPr>
            </control>
          </mc:Choice>
        </mc:AlternateContent>
        <mc:AlternateContent xmlns:mc="http://schemas.openxmlformats.org/markup-compatibility/2006">
          <mc:Choice Requires="x14">
            <control shapeId="19458" r:id="rId7" name="Button 2">
              <controlPr defaultSize="0" print="0" autoFill="0" autoPict="0" macro="[0]!Subjects_ChartDown">
                <anchor moveWithCells="1">
                  <from>
                    <xdr:col>3</xdr:col>
                    <xdr:colOff>466725</xdr:colOff>
                    <xdr:row>6</xdr:row>
                    <xdr:rowOff>0</xdr:rowOff>
                  </from>
                  <to>
                    <xdr:col>4</xdr:col>
                    <xdr:colOff>0</xdr:colOff>
                    <xdr:row>7</xdr:row>
                    <xdr:rowOff>47625</xdr:rowOff>
                  </to>
                </anchor>
              </controlPr>
            </control>
          </mc:Choice>
        </mc:AlternateContent>
        <mc:AlternateContent xmlns:mc="http://schemas.openxmlformats.org/markup-compatibility/2006">
          <mc:Choice Requires="x14">
            <control shapeId="19459" r:id="rId8" name="Button 3">
              <controlPr defaultSize="0" print="0" autoFill="0" autoPict="0" macro="[0]!Refresh_Subjects_Data">
                <anchor moveWithCells="1">
                  <from>
                    <xdr:col>4</xdr:col>
                    <xdr:colOff>0</xdr:colOff>
                    <xdr:row>0</xdr:row>
                    <xdr:rowOff>200025</xdr:rowOff>
                  </from>
                  <to>
                    <xdr:col>5</xdr:col>
                    <xdr:colOff>304800</xdr:colOff>
                    <xdr:row>2</xdr:row>
                    <xdr:rowOff>0</xdr:rowOff>
                  </to>
                </anchor>
              </controlPr>
            </control>
          </mc:Choice>
        </mc:AlternateContent>
        <mc:AlternateContent xmlns:mc="http://schemas.openxmlformats.org/markup-compatibility/2006">
          <mc:Choice Requires="x14">
            <control shapeId="19460" r:id="rId9" name="Button 4">
              <controlPr defaultSize="0" print="0" autoFill="0" autoPict="0" macro="[0]!SubSubjects_ChartUp">
                <anchor moveWithCells="1">
                  <from>
                    <xdr:col>16</xdr:col>
                    <xdr:colOff>466725</xdr:colOff>
                    <xdr:row>4</xdr:row>
                    <xdr:rowOff>0</xdr:rowOff>
                  </from>
                  <to>
                    <xdr:col>17</xdr:col>
                    <xdr:colOff>0</xdr:colOff>
                    <xdr:row>5</xdr:row>
                    <xdr:rowOff>47625</xdr:rowOff>
                  </to>
                </anchor>
              </controlPr>
            </control>
          </mc:Choice>
        </mc:AlternateContent>
        <mc:AlternateContent xmlns:mc="http://schemas.openxmlformats.org/markup-compatibility/2006">
          <mc:Choice Requires="x14">
            <control shapeId="19461" r:id="rId10" name="Button 5">
              <controlPr defaultSize="0" print="0" autoFill="0" autoPict="0" macro="[0]!SubSubjects_ChartDown">
                <anchor moveWithCells="1">
                  <from>
                    <xdr:col>16</xdr:col>
                    <xdr:colOff>466725</xdr:colOff>
                    <xdr:row>6</xdr:row>
                    <xdr:rowOff>0</xdr:rowOff>
                  </from>
                  <to>
                    <xdr:col>17</xdr:col>
                    <xdr:colOff>0</xdr:colOff>
                    <xdr:row>7</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E9FB6-FE85-4242-A6EE-EA234F20C0C1}">
  <sheetPr codeName="Sheet9">
    <tabColor theme="7"/>
  </sheetPr>
  <dimension ref="A1:G16"/>
  <sheetViews>
    <sheetView showGridLines="0" workbookViewId="0">
      <selection activeCell="D26" sqref="D26"/>
    </sheetView>
  </sheetViews>
  <sheetFormatPr defaultRowHeight="15" x14ac:dyDescent="0.25"/>
  <cols>
    <col min="1" max="1" width="32.42578125" bestFit="1" customWidth="1"/>
    <col min="2" max="7" width="20.7109375" customWidth="1"/>
  </cols>
  <sheetData>
    <row r="1" spans="1:7" ht="20.100000000000001" customHeight="1" x14ac:dyDescent="0.25">
      <c r="A1" s="13"/>
      <c r="B1" s="11" t="s">
        <v>76</v>
      </c>
      <c r="C1" s="11" t="s">
        <v>77</v>
      </c>
      <c r="D1" s="11" t="s">
        <v>78</v>
      </c>
      <c r="E1" s="11" t="s">
        <v>79</v>
      </c>
      <c r="F1" s="11" t="s">
        <v>80</v>
      </c>
      <c r="G1" s="11" t="s">
        <v>81</v>
      </c>
    </row>
    <row r="2" spans="1:7" x14ac:dyDescent="0.25">
      <c r="A2" s="12" t="s">
        <v>82</v>
      </c>
      <c r="B2" s="23"/>
      <c r="C2" s="25"/>
      <c r="D2" s="32"/>
      <c r="E2" s="28"/>
      <c r="F2" s="28"/>
      <c r="G2" s="9"/>
    </row>
    <row r="3" spans="1:7" x14ac:dyDescent="0.25">
      <c r="A3" s="12" t="s">
        <v>83</v>
      </c>
      <c r="B3" s="24"/>
      <c r="C3" s="26"/>
      <c r="D3" s="27"/>
      <c r="E3" s="29"/>
      <c r="F3" s="29"/>
      <c r="G3" s="10"/>
    </row>
    <row r="5" spans="1:7" x14ac:dyDescent="0.25">
      <c r="A5" s="14" t="s">
        <v>84</v>
      </c>
      <c r="B5" s="7"/>
    </row>
    <row r="6" spans="1:7" x14ac:dyDescent="0.25">
      <c r="A6" s="17" t="s">
        <v>85</v>
      </c>
      <c r="B6" s="20"/>
    </row>
    <row r="7" spans="1:7" x14ac:dyDescent="0.25">
      <c r="A7" s="21" t="s">
        <v>86</v>
      </c>
      <c r="B7" s="16"/>
      <c r="C7" s="19"/>
    </row>
    <row r="8" spans="1:7" x14ac:dyDescent="0.25">
      <c r="A8" s="22" t="s">
        <v>87</v>
      </c>
      <c r="B8" s="18"/>
      <c r="C8" s="19"/>
    </row>
    <row r="10" spans="1:7" x14ac:dyDescent="0.25">
      <c r="A10" s="15" t="s">
        <v>88</v>
      </c>
      <c r="B10" s="8" t="s">
        <v>42</v>
      </c>
    </row>
    <row r="11" spans="1:7" x14ac:dyDescent="0.25">
      <c r="B11" s="1"/>
    </row>
    <row r="12" spans="1:7" x14ac:dyDescent="0.25">
      <c r="A12" s="15" t="s">
        <v>89</v>
      </c>
      <c r="B12" s="8" t="s">
        <v>42</v>
      </c>
    </row>
    <row r="14" spans="1:7" x14ac:dyDescent="0.25">
      <c r="A14" s="15" t="s">
        <v>90</v>
      </c>
      <c r="B14" s="217"/>
      <c r="C14" s="218"/>
      <c r="D14" s="218"/>
      <c r="E14" s="218"/>
      <c r="F14" s="218"/>
      <c r="G14" s="219"/>
    </row>
    <row r="15" spans="1:7" x14ac:dyDescent="0.25">
      <c r="B15" s="220"/>
      <c r="C15" s="221"/>
      <c r="D15" s="221"/>
      <c r="E15" s="221"/>
      <c r="F15" s="221"/>
      <c r="G15" s="222"/>
    </row>
    <row r="16" spans="1:7" x14ac:dyDescent="0.25">
      <c r="B16" s="223"/>
      <c r="C16" s="224"/>
      <c r="D16" s="224"/>
      <c r="E16" s="224"/>
      <c r="F16" s="224"/>
      <c r="G16" s="225"/>
    </row>
  </sheetData>
  <mergeCells count="1">
    <mergeCell ref="B14:G1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3AFB4-E5B4-478F-89C1-5DC00BDBAF60}">
  <sheetPr codeName="Sheet13">
    <tabColor theme="9" tint="-0.249977111117893"/>
  </sheetPr>
  <dimension ref="B2:D16"/>
  <sheetViews>
    <sheetView showGridLines="0" workbookViewId="0"/>
  </sheetViews>
  <sheetFormatPr defaultColWidth="9.140625" defaultRowHeight="15" x14ac:dyDescent="0.25"/>
  <cols>
    <col min="1" max="1" width="3.7109375" style="2" customWidth="1"/>
    <col min="2" max="16384" width="9.140625" style="2"/>
  </cols>
  <sheetData>
    <row r="2" spans="2:4" ht="24.95" customHeight="1" x14ac:dyDescent="0.25">
      <c r="D2" s="30" t="s">
        <v>91</v>
      </c>
    </row>
    <row r="3" spans="2:4" x14ac:dyDescent="0.25">
      <c r="D3" s="46" t="s">
        <v>92</v>
      </c>
    </row>
    <row r="5" spans="2:4" x14ac:dyDescent="0.25">
      <c r="B5" s="2" t="s">
        <v>93</v>
      </c>
      <c r="D5" s="2" t="s">
        <v>94</v>
      </c>
    </row>
    <row r="6" spans="2:4" x14ac:dyDescent="0.25">
      <c r="D6" s="2" t="s">
        <v>95</v>
      </c>
    </row>
    <row r="7" spans="2:4" x14ac:dyDescent="0.25">
      <c r="D7" s="2" t="s">
        <v>96</v>
      </c>
    </row>
    <row r="8" spans="2:4" x14ac:dyDescent="0.25">
      <c r="D8" s="2" t="s">
        <v>97</v>
      </c>
    </row>
    <row r="9" spans="2:4" x14ac:dyDescent="0.25">
      <c r="D9" s="2" t="s">
        <v>98</v>
      </c>
    </row>
    <row r="11" spans="2:4" x14ac:dyDescent="0.25">
      <c r="B11" s="2" t="s">
        <v>78</v>
      </c>
      <c r="D11" s="45" t="s">
        <v>99</v>
      </c>
    </row>
    <row r="13" spans="2:4" x14ac:dyDescent="0.25">
      <c r="B13" s="2" t="s">
        <v>100</v>
      </c>
      <c r="D13" s="45" t="s">
        <v>101</v>
      </c>
    </row>
    <row r="14" spans="2:4" x14ac:dyDescent="0.25">
      <c r="B14" s="2" t="s">
        <v>102</v>
      </c>
      <c r="D14" s="45" t="s">
        <v>103</v>
      </c>
    </row>
    <row r="16" spans="2:4" x14ac:dyDescent="0.25">
      <c r="B16" s="2" t="s">
        <v>104</v>
      </c>
      <c r="D16" s="45" t="s">
        <v>105</v>
      </c>
    </row>
  </sheetData>
  <hyperlinks>
    <hyperlink ref="D3" r:id="rId1" xr:uid="{4FFCA569-40B9-469F-815F-CC3AC3FE0817}"/>
    <hyperlink ref="D11" r:id="rId2" xr:uid="{527BC514-698F-49B1-A2C3-FE7B3C06A976}"/>
    <hyperlink ref="D13" r:id="rId3" xr:uid="{C7509E19-F321-478C-87D9-87EE3FB1E16B}"/>
    <hyperlink ref="D14" r:id="rId4" display="https://www.linkedin.com/in/adam-lisbon-90a7b3106/" xr:uid="{125B2868-E407-4602-90A3-C70BDB84B3CB}"/>
    <hyperlink ref="D16" r:id="rId5" xr:uid="{DCE713EF-ED54-43B8-87DF-162FFBE9E158}"/>
  </hyperlinks>
  <pageMargins left="0.7" right="0.7" top="0.75" bottom="0.75" header="0.3" footer="0.3"/>
  <drawing r:id="rId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Donation</vt:lpstr>
      <vt:lpstr>A-Slips</vt:lpstr>
      <vt:lpstr>M-Slips</vt:lpstr>
      <vt:lpstr>SA-Slips</vt:lpstr>
      <vt:lpstr>s-Assign</vt:lpstr>
      <vt:lpstr>s-Series</vt:lpstr>
      <vt:lpstr>s-Pub</vt:lpstr>
      <vt:lpstr>s-Date</vt:lpstr>
      <vt:lpstr>s-Subjects</vt:lpstr>
      <vt:lpstr>About Donation</vt:lpstr>
      <vt:lpstr>License</vt:lpstr>
      <vt:lpstr>Orders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Adam H. Lisbon</dc:creator>
  <cp:keywords/>
  <dc:description/>
  <cp:lastModifiedBy>Adam H. Lisbon</cp:lastModifiedBy>
  <cp:revision/>
  <cp:lastPrinted>2023-07-31T16:30:18Z</cp:lastPrinted>
  <dcterms:created xsi:type="dcterms:W3CDTF">2021-07-26T18:34:48Z</dcterms:created>
  <dcterms:modified xsi:type="dcterms:W3CDTF">2023-08-18T20:32:25Z</dcterms:modified>
  <cp:category/>
  <cp:contentStatus/>
</cp:coreProperties>
</file>