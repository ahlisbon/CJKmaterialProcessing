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o365coloradoedu-my.sharepoint.com/personal/adli3279_colorado_edu/Documents/Collections - Receiving/"/>
    </mc:Choice>
  </mc:AlternateContent>
  <xr:revisionPtr revIDLastSave="30540" documentId="13_ncr:1_{3323E36C-6120-4082-A3BA-010E374B2783}" xr6:coauthVersionLast="47" xr6:coauthVersionMax="47" xr10:uidLastSave="{D6C81C39-409C-47F7-9639-F7D75FCFDAA7}"/>
  <bookViews>
    <workbookView xWindow="-120" yWindow="-120" windowWidth="29040" windowHeight="15840" xr2:uid="{3F73EF3F-DCF4-4B94-9F4F-509400B7C5B3}"/>
  </bookViews>
  <sheets>
    <sheet name="Donation" sheetId="1" r:id="rId1"/>
    <sheet name="A-Slips" sheetId="16" state="hidden" r:id="rId2"/>
    <sheet name="M-Slips" sheetId="19" r:id="rId3"/>
    <sheet name="SA-Slips" sheetId="29" r:id="rId4"/>
    <sheet name="SA-Slips Backup" sheetId="27" r:id="rId5"/>
    <sheet name="s-Assign" sheetId="22" r:id="rId6"/>
    <sheet name="s-Series" sheetId="23" r:id="rId7"/>
    <sheet name="s-Pub" sheetId="24" r:id="rId8"/>
    <sheet name="s-Date" sheetId="25" r:id="rId9"/>
    <sheet name="About Donation" sheetId="7" r:id="rId10"/>
    <sheet name="License" sheetId="18" r:id="rId11"/>
  </sheets>
  <definedNames>
    <definedName name="_xlnm._FilterDatabase" localSheetId="0" hidden="1">Donation!$S$410:$S$417</definedName>
    <definedName name="_xlnm._FilterDatabase" localSheetId="6" hidden="1">'s-Series'!$A$1:$A$201</definedName>
    <definedName name="Format">#REF!</definedName>
    <definedName name="Orders">Donation!$A$7:$AI$21</definedName>
  </definedNames>
  <calcPr calcId="191029"/>
  <pivotCaches>
    <pivotCache cacheId="0" r:id="rId12"/>
    <pivotCache cacheId="1" r:id="rId13"/>
    <pivotCache cacheId="2" r:id="rId14"/>
    <pivotCache cacheId="3" r:id="rId15"/>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1" i="1" l="1" a="1"/>
  <c r="AG21" i="1" s="1"/>
  <c r="AG20" i="1" a="1"/>
  <c r="AG20" i="1" s="1"/>
  <c r="AG19" i="1" a="1"/>
  <c r="AG19" i="1" s="1"/>
  <c r="AG18" i="1" a="1"/>
  <c r="AG18" i="1" s="1"/>
  <c r="AG17" i="1" a="1"/>
  <c r="AG17" i="1" s="1"/>
  <c r="AG16" i="1" a="1"/>
  <c r="AG16" i="1" s="1"/>
  <c r="AG15" i="1" a="1"/>
  <c r="AG15" i="1" s="1"/>
  <c r="AG14" i="1" a="1"/>
  <c r="AG14" i="1" s="1"/>
  <c r="AG13" i="1" a="1"/>
  <c r="AG13" i="1" s="1"/>
  <c r="AG12" i="1" a="1"/>
  <c r="AG12" i="1" s="1"/>
  <c r="AG11" i="1" a="1"/>
  <c r="AG11" i="1" s="1"/>
  <c r="AG10" i="1" a="1"/>
  <c r="AG10" i="1" s="1"/>
  <c r="AG9" i="1" a="1"/>
  <c r="AG9" i="1" s="1"/>
  <c r="AG8" i="1" a="1"/>
  <c r="AG8" i="1" s="1"/>
  <c r="AG7" i="1" a="1"/>
  <c r="AG7" i="1" s="1"/>
  <c r="AG2" i="1" l="1"/>
  <c r="R1" i="23" l="1"/>
  <c r="B1" i="23"/>
  <c r="M2" i="25" l="1" a="1"/>
  <c r="Q2" i="23" a="1"/>
  <c r="R386" i="23" l="1"/>
  <c r="R378" i="23"/>
  <c r="R370" i="23"/>
  <c r="R362" i="23"/>
  <c r="R354" i="23"/>
  <c r="R346" i="23"/>
  <c r="R338" i="23"/>
  <c r="R330" i="23"/>
  <c r="R322" i="23"/>
  <c r="R314" i="23"/>
  <c r="R306" i="23"/>
  <c r="R298" i="23"/>
  <c r="R385" i="23"/>
  <c r="R377" i="23"/>
  <c r="R369" i="23"/>
  <c r="R361" i="23"/>
  <c r="R353" i="23"/>
  <c r="R345" i="23"/>
  <c r="R337" i="23"/>
  <c r="R329" i="23"/>
  <c r="R321" i="23"/>
  <c r="R313" i="23"/>
  <c r="R305" i="23"/>
  <c r="R297" i="23"/>
  <c r="R384" i="23"/>
  <c r="R376" i="23"/>
  <c r="R368" i="23"/>
  <c r="R360" i="23"/>
  <c r="R352" i="23"/>
  <c r="R344" i="23"/>
  <c r="R336" i="23"/>
  <c r="R328" i="23"/>
  <c r="R320" i="23"/>
  <c r="R312" i="23"/>
  <c r="R304" i="23"/>
  <c r="R296" i="23"/>
  <c r="R383" i="23"/>
  <c r="R375" i="23"/>
  <c r="R367" i="23"/>
  <c r="R359" i="23"/>
  <c r="R351" i="23"/>
  <c r="R343" i="23"/>
  <c r="R335" i="23"/>
  <c r="R327" i="23"/>
  <c r="R319" i="23"/>
  <c r="R311" i="23"/>
  <c r="R303" i="23"/>
  <c r="R295" i="23"/>
  <c r="R382" i="23"/>
  <c r="R374" i="23"/>
  <c r="R366" i="23"/>
  <c r="R358" i="23"/>
  <c r="R350" i="23"/>
  <c r="R342" i="23"/>
  <c r="R334" i="23"/>
  <c r="R326" i="23"/>
  <c r="R318" i="23"/>
  <c r="R310" i="23"/>
  <c r="R302" i="23"/>
  <c r="R294" i="23"/>
  <c r="R381" i="23"/>
  <c r="R373" i="23"/>
  <c r="R365" i="23"/>
  <c r="R357" i="23"/>
  <c r="R349" i="23"/>
  <c r="R341" i="23"/>
  <c r="R333" i="23"/>
  <c r="R325" i="23"/>
  <c r="R317" i="23"/>
  <c r="R309" i="23"/>
  <c r="R301" i="23"/>
  <c r="R293" i="23"/>
  <c r="R356" i="23"/>
  <c r="R324" i="23"/>
  <c r="R292" i="23"/>
  <c r="R284" i="23"/>
  <c r="R276" i="23"/>
  <c r="R268" i="23"/>
  <c r="R260" i="23"/>
  <c r="R252" i="23"/>
  <c r="R244" i="23"/>
  <c r="R236" i="23"/>
  <c r="R228" i="23"/>
  <c r="R220" i="23"/>
  <c r="R212" i="23"/>
  <c r="R204" i="23"/>
  <c r="R196" i="23"/>
  <c r="R188" i="23"/>
  <c r="R180" i="23"/>
  <c r="R172" i="23"/>
  <c r="R164" i="23"/>
  <c r="R156" i="23"/>
  <c r="R148" i="23"/>
  <c r="R140" i="23"/>
  <c r="R132" i="23"/>
  <c r="R124" i="23"/>
  <c r="R116" i="23"/>
  <c r="R108" i="23"/>
  <c r="R100" i="23"/>
  <c r="R92" i="23"/>
  <c r="R84" i="23"/>
  <c r="R76" i="23"/>
  <c r="R68" i="23"/>
  <c r="R60" i="23"/>
  <c r="R52" i="23"/>
  <c r="R44" i="23"/>
  <c r="R36" i="23"/>
  <c r="R28" i="23"/>
  <c r="R20" i="23"/>
  <c r="R12" i="23"/>
  <c r="R3" i="23"/>
  <c r="R348" i="23"/>
  <c r="R266" i="23"/>
  <c r="R250" i="23"/>
  <c r="R242" i="23"/>
  <c r="R226" i="23"/>
  <c r="R210" i="23"/>
  <c r="R194" i="23"/>
  <c r="R178" i="23"/>
  <c r="R170" i="23"/>
  <c r="R154" i="23"/>
  <c r="R138" i="23"/>
  <c r="R130" i="23"/>
  <c r="R114" i="23"/>
  <c r="R106" i="23"/>
  <c r="R90" i="23"/>
  <c r="R74" i="23"/>
  <c r="R58" i="23"/>
  <c r="R42" i="23"/>
  <c r="R26" i="23"/>
  <c r="R18" i="23"/>
  <c r="R387" i="23"/>
  <c r="R355" i="23"/>
  <c r="R323" i="23"/>
  <c r="R291" i="23"/>
  <c r="R283" i="23"/>
  <c r="R275" i="23"/>
  <c r="R267" i="23"/>
  <c r="R259" i="23"/>
  <c r="R251" i="23"/>
  <c r="R243" i="23"/>
  <c r="R235" i="23"/>
  <c r="R227" i="23"/>
  <c r="R219" i="23"/>
  <c r="R211" i="23"/>
  <c r="R203" i="23"/>
  <c r="R195" i="23"/>
  <c r="R187" i="23"/>
  <c r="R179" i="23"/>
  <c r="R171" i="23"/>
  <c r="R163" i="23"/>
  <c r="R155" i="23"/>
  <c r="R147" i="23"/>
  <c r="R139" i="23"/>
  <c r="R131" i="23"/>
  <c r="R123" i="23"/>
  <c r="R115" i="23"/>
  <c r="R107" i="23"/>
  <c r="R99" i="23"/>
  <c r="R91" i="23"/>
  <c r="R83" i="23"/>
  <c r="R75" i="23"/>
  <c r="R67" i="23"/>
  <c r="R59" i="23"/>
  <c r="R51" i="23"/>
  <c r="R43" i="23"/>
  <c r="R35" i="23"/>
  <c r="R27" i="23"/>
  <c r="R19" i="23"/>
  <c r="R11" i="23"/>
  <c r="R380" i="23"/>
  <c r="R316" i="23"/>
  <c r="R290" i="23"/>
  <c r="R282" i="23"/>
  <c r="R274" i="23"/>
  <c r="R258" i="23"/>
  <c r="R234" i="23"/>
  <c r="R218" i="23"/>
  <c r="R202" i="23"/>
  <c r="R186" i="23"/>
  <c r="R162" i="23"/>
  <c r="R146" i="23"/>
  <c r="R122" i="23"/>
  <c r="R98" i="23"/>
  <c r="R82" i="23"/>
  <c r="R66" i="23"/>
  <c r="R50" i="23"/>
  <c r="R34" i="23"/>
  <c r="R10" i="23"/>
  <c r="R372" i="23"/>
  <c r="R340" i="23"/>
  <c r="R308" i="23"/>
  <c r="R288" i="23"/>
  <c r="R280" i="23"/>
  <c r="R272" i="23"/>
  <c r="R264" i="23"/>
  <c r="R256" i="23"/>
  <c r="R248" i="23"/>
  <c r="R240" i="23"/>
  <c r="R232" i="23"/>
  <c r="R224" i="23"/>
  <c r="R216" i="23"/>
  <c r="R208" i="23"/>
  <c r="R200" i="23"/>
  <c r="R192" i="23"/>
  <c r="R184" i="23"/>
  <c r="R176" i="23"/>
  <c r="R168" i="23"/>
  <c r="R160" i="23"/>
  <c r="R152" i="23"/>
  <c r="R144" i="23"/>
  <c r="R136" i="23"/>
  <c r="R128" i="23"/>
  <c r="R120" i="23"/>
  <c r="R112" i="23"/>
  <c r="R104" i="23"/>
  <c r="R96" i="23"/>
  <c r="R88" i="23"/>
  <c r="R80" i="23"/>
  <c r="R72" i="23"/>
  <c r="R64" i="23"/>
  <c r="R56" i="23"/>
  <c r="R48" i="23"/>
  <c r="R40" i="23"/>
  <c r="R32" i="23"/>
  <c r="R24" i="23"/>
  <c r="R16" i="23"/>
  <c r="R8" i="23"/>
  <c r="R364" i="23"/>
  <c r="R332" i="23"/>
  <c r="R286" i="23"/>
  <c r="R278" i="23"/>
  <c r="R270" i="23"/>
  <c r="R262" i="23"/>
  <c r="R246" i="23"/>
  <c r="R238" i="23"/>
  <c r="R222" i="23"/>
  <c r="R206" i="23"/>
  <c r="R190" i="23"/>
  <c r="R166" i="23"/>
  <c r="R150" i="23"/>
  <c r="R126" i="23"/>
  <c r="R110" i="23"/>
  <c r="R94" i="23"/>
  <c r="R78" i="23"/>
  <c r="R62" i="23"/>
  <c r="R46" i="23"/>
  <c r="R30" i="23"/>
  <c r="R14" i="23"/>
  <c r="R331" i="23"/>
  <c r="R285" i="23"/>
  <c r="R269" i="23"/>
  <c r="R371" i="23"/>
  <c r="R339" i="23"/>
  <c r="R307" i="23"/>
  <c r="R287" i="23"/>
  <c r="R279" i="23"/>
  <c r="R271" i="23"/>
  <c r="R263" i="23"/>
  <c r="R255" i="23"/>
  <c r="R247" i="23"/>
  <c r="R239" i="23"/>
  <c r="R231" i="23"/>
  <c r="R223" i="23"/>
  <c r="R215" i="23"/>
  <c r="R207" i="23"/>
  <c r="R199" i="23"/>
  <c r="R191" i="23"/>
  <c r="R183" i="23"/>
  <c r="R175" i="23"/>
  <c r="R167" i="23"/>
  <c r="R159" i="23"/>
  <c r="R151" i="23"/>
  <c r="R143" i="23"/>
  <c r="R135" i="23"/>
  <c r="R127" i="23"/>
  <c r="R119" i="23"/>
  <c r="R111" i="23"/>
  <c r="R103" i="23"/>
  <c r="R95" i="23"/>
  <c r="R87" i="23"/>
  <c r="R79" i="23"/>
  <c r="R71" i="23"/>
  <c r="R63" i="23"/>
  <c r="R55" i="23"/>
  <c r="R47" i="23"/>
  <c r="R39" i="23"/>
  <c r="R31" i="23"/>
  <c r="R23" i="23"/>
  <c r="R15" i="23"/>
  <c r="R7" i="23"/>
  <c r="R300" i="23"/>
  <c r="R254" i="23"/>
  <c r="R230" i="23"/>
  <c r="R214" i="23"/>
  <c r="R198" i="23"/>
  <c r="R182" i="23"/>
  <c r="R174" i="23"/>
  <c r="R158" i="23"/>
  <c r="R142" i="23"/>
  <c r="R134" i="23"/>
  <c r="R118" i="23"/>
  <c r="R102" i="23"/>
  <c r="R86" i="23"/>
  <c r="R70" i="23"/>
  <c r="R54" i="23"/>
  <c r="R38" i="23"/>
  <c r="R22" i="23"/>
  <c r="R6" i="23"/>
  <c r="R363" i="23"/>
  <c r="R299" i="23"/>
  <c r="R277" i="23"/>
  <c r="R261" i="23"/>
  <c r="R289" i="23"/>
  <c r="R241" i="23"/>
  <c r="R209" i="23"/>
  <c r="R177" i="23"/>
  <c r="R145" i="23"/>
  <c r="R113" i="23"/>
  <c r="R81" i="23"/>
  <c r="R49" i="23"/>
  <c r="R17" i="23"/>
  <c r="R197" i="23"/>
  <c r="R69" i="23"/>
  <c r="R37" i="23"/>
  <c r="R185" i="23"/>
  <c r="R89" i="23"/>
  <c r="R315" i="23"/>
  <c r="R181" i="23"/>
  <c r="R149" i="23"/>
  <c r="R117" i="23"/>
  <c r="R53" i="23"/>
  <c r="R281" i="23"/>
  <c r="R237" i="23"/>
  <c r="R205" i="23"/>
  <c r="R173" i="23"/>
  <c r="R141" i="23"/>
  <c r="R109" i="23"/>
  <c r="R77" i="23"/>
  <c r="R45" i="23"/>
  <c r="R13" i="23"/>
  <c r="R229" i="23"/>
  <c r="R133" i="23"/>
  <c r="R4" i="23"/>
  <c r="R347" i="23"/>
  <c r="R249" i="23"/>
  <c r="R217" i="23"/>
  <c r="R153" i="23"/>
  <c r="R121" i="23"/>
  <c r="R25" i="23"/>
  <c r="R21" i="23"/>
  <c r="R273" i="23"/>
  <c r="R233" i="23"/>
  <c r="R201" i="23"/>
  <c r="R169" i="23"/>
  <c r="R137" i="23"/>
  <c r="R105" i="23"/>
  <c r="R73" i="23"/>
  <c r="R41" i="23"/>
  <c r="R9" i="23"/>
  <c r="R265" i="23"/>
  <c r="R165" i="23"/>
  <c r="R101" i="23"/>
  <c r="R245" i="23"/>
  <c r="R85" i="23"/>
  <c r="R257" i="23"/>
  <c r="R225" i="23"/>
  <c r="R193" i="23"/>
  <c r="R161" i="23"/>
  <c r="R129" i="23"/>
  <c r="R97" i="23"/>
  <c r="R65" i="23"/>
  <c r="R33" i="23"/>
  <c r="R379" i="23"/>
  <c r="R253" i="23"/>
  <c r="R221" i="23"/>
  <c r="R189" i="23"/>
  <c r="R157" i="23"/>
  <c r="R125" i="23"/>
  <c r="R93" i="23"/>
  <c r="R61" i="23"/>
  <c r="R29" i="23"/>
  <c r="R57" i="23"/>
  <c r="R213" i="23"/>
  <c r="N41" i="25"/>
  <c r="N33" i="25"/>
  <c r="N25" i="25"/>
  <c r="N17" i="25"/>
  <c r="N9" i="25"/>
  <c r="N40" i="25"/>
  <c r="N32" i="25"/>
  <c r="N24" i="25"/>
  <c r="N16" i="25"/>
  <c r="N8" i="25"/>
  <c r="N39" i="25"/>
  <c r="N31" i="25"/>
  <c r="N23" i="25"/>
  <c r="N15" i="25"/>
  <c r="N7" i="25"/>
  <c r="N38" i="25"/>
  <c r="N30" i="25"/>
  <c r="N22" i="25"/>
  <c r="N14" i="25"/>
  <c r="N6" i="25"/>
  <c r="N37" i="25"/>
  <c r="N29" i="25"/>
  <c r="N21" i="25"/>
  <c r="N13" i="25"/>
  <c r="N5" i="25"/>
  <c r="N44" i="25"/>
  <c r="N36" i="25"/>
  <c r="N28" i="25"/>
  <c r="N20" i="25"/>
  <c r="N12" i="25"/>
  <c r="N4" i="25"/>
  <c r="N35" i="25"/>
  <c r="N3" i="25"/>
  <c r="N27" i="25"/>
  <c r="N34" i="25"/>
  <c r="N19" i="25"/>
  <c r="N43" i="25"/>
  <c r="N10" i="25"/>
  <c r="N18" i="25"/>
  <c r="N11" i="25"/>
  <c r="N42" i="25"/>
  <c r="N26" i="25"/>
  <c r="R5" i="23"/>
  <c r="Q2" i="23"/>
  <c r="R2" i="23" s="1"/>
  <c r="M2" i="25"/>
  <c r="N2" i="25" s="1"/>
  <c r="A2" i="23" a="1"/>
  <c r="AP2" i="1" a="1"/>
  <c r="AP2" i="1" s="1"/>
  <c r="AN2" i="1" a="1"/>
  <c r="AN2" i="1" s="1"/>
  <c r="AL2" i="1" a="1"/>
  <c r="AL2" i="1" s="1"/>
  <c r="B382" i="23" l="1"/>
  <c r="B374" i="23"/>
  <c r="B366" i="23"/>
  <c r="B358" i="23"/>
  <c r="B350" i="23"/>
  <c r="B342" i="23"/>
  <c r="B334" i="23"/>
  <c r="B326" i="23"/>
  <c r="B318" i="23"/>
  <c r="B310" i="23"/>
  <c r="B302" i="23"/>
  <c r="B294" i="23"/>
  <c r="B286" i="23"/>
  <c r="B278" i="23"/>
  <c r="B270" i="23"/>
  <c r="B262" i="23"/>
  <c r="B254" i="23"/>
  <c r="B246" i="23"/>
  <c r="B238" i="23"/>
  <c r="B230" i="23"/>
  <c r="B222" i="23"/>
  <c r="B214" i="23"/>
  <c r="B206" i="23"/>
  <c r="B198" i="23"/>
  <c r="B190" i="23"/>
  <c r="B182" i="23"/>
  <c r="B174" i="23"/>
  <c r="B166" i="23"/>
  <c r="B158" i="23"/>
  <c r="B150" i="23"/>
  <c r="B142" i="23"/>
  <c r="B134" i="23"/>
  <c r="B126" i="23"/>
  <c r="B118" i="23"/>
  <c r="B110" i="23"/>
  <c r="B102" i="23"/>
  <c r="B94" i="23"/>
  <c r="B86" i="23"/>
  <c r="B78" i="23"/>
  <c r="B70" i="23"/>
  <c r="B62" i="23"/>
  <c r="B54" i="23"/>
  <c r="B46" i="23"/>
  <c r="B38" i="23"/>
  <c r="B30" i="23"/>
  <c r="B22" i="23"/>
  <c r="B14" i="23"/>
  <c r="B6" i="23"/>
  <c r="B228" i="23"/>
  <c r="B204" i="23"/>
  <c r="B188" i="23"/>
  <c r="B180" i="23"/>
  <c r="B164" i="23"/>
  <c r="B148" i="23"/>
  <c r="B132" i="23"/>
  <c r="B116" i="23"/>
  <c r="B108" i="23"/>
  <c r="B84" i="23"/>
  <c r="B68" i="23"/>
  <c r="B60" i="23"/>
  <c r="B44" i="23"/>
  <c r="B28" i="23"/>
  <c r="B12" i="23"/>
  <c r="B381" i="23"/>
  <c r="B373" i="23"/>
  <c r="B365" i="23"/>
  <c r="B357" i="23"/>
  <c r="B349" i="23"/>
  <c r="B341" i="23"/>
  <c r="B333" i="23"/>
  <c r="B325" i="23"/>
  <c r="B317" i="23"/>
  <c r="B309" i="23"/>
  <c r="B301" i="23"/>
  <c r="B293" i="23"/>
  <c r="B285" i="23"/>
  <c r="B277" i="23"/>
  <c r="B269" i="23"/>
  <c r="B261" i="23"/>
  <c r="B253" i="23"/>
  <c r="B245" i="23"/>
  <c r="B237" i="23"/>
  <c r="B229" i="23"/>
  <c r="B221" i="23"/>
  <c r="B213" i="23"/>
  <c r="B205" i="23"/>
  <c r="B197" i="23"/>
  <c r="B189" i="23"/>
  <c r="B181" i="23"/>
  <c r="B173" i="23"/>
  <c r="B165" i="23"/>
  <c r="B157" i="23"/>
  <c r="B149" i="23"/>
  <c r="B141" i="23"/>
  <c r="B133" i="23"/>
  <c r="B125" i="23"/>
  <c r="B117" i="23"/>
  <c r="B109" i="23"/>
  <c r="B101" i="23"/>
  <c r="B93" i="23"/>
  <c r="B85" i="23"/>
  <c r="B77" i="23"/>
  <c r="B69" i="23"/>
  <c r="B61" i="23"/>
  <c r="B53" i="23"/>
  <c r="B45" i="23"/>
  <c r="B37" i="23"/>
  <c r="B29" i="23"/>
  <c r="B21" i="23"/>
  <c r="B13" i="23"/>
  <c r="B4" i="23"/>
  <c r="B380" i="23"/>
  <c r="B372" i="23"/>
  <c r="B364" i="23"/>
  <c r="B356" i="23"/>
  <c r="B348" i="23"/>
  <c r="B340" i="23"/>
  <c r="B332" i="23"/>
  <c r="B324" i="23"/>
  <c r="B316" i="23"/>
  <c r="B308" i="23"/>
  <c r="B300" i="23"/>
  <c r="B292" i="23"/>
  <c r="B284" i="23"/>
  <c r="B276" i="23"/>
  <c r="B268" i="23"/>
  <c r="B260" i="23"/>
  <c r="B252" i="23"/>
  <c r="B244" i="23"/>
  <c r="B236" i="23"/>
  <c r="B220" i="23"/>
  <c r="B212" i="23"/>
  <c r="B196" i="23"/>
  <c r="B172" i="23"/>
  <c r="B156" i="23"/>
  <c r="B140" i="23"/>
  <c r="B124" i="23"/>
  <c r="B100" i="23"/>
  <c r="B92" i="23"/>
  <c r="B76" i="23"/>
  <c r="B52" i="23"/>
  <c r="B36" i="23"/>
  <c r="B20" i="23"/>
  <c r="B3" i="23"/>
  <c r="B386" i="23"/>
  <c r="B378" i="23"/>
  <c r="B370" i="23"/>
  <c r="B362" i="23"/>
  <c r="B354" i="23"/>
  <c r="B346" i="23"/>
  <c r="B338" i="23"/>
  <c r="B330" i="23"/>
  <c r="B322" i="23"/>
  <c r="B314" i="23"/>
  <c r="B306" i="23"/>
  <c r="B298" i="23"/>
  <c r="B290" i="23"/>
  <c r="B282" i="23"/>
  <c r="B274" i="23"/>
  <c r="B266" i="23"/>
  <c r="B258" i="23"/>
  <c r="B250" i="23"/>
  <c r="B242" i="23"/>
  <c r="B234" i="23"/>
  <c r="B226" i="23"/>
  <c r="B218" i="23"/>
  <c r="B210" i="23"/>
  <c r="B202" i="23"/>
  <c r="B194" i="23"/>
  <c r="B186" i="23"/>
  <c r="B178" i="23"/>
  <c r="B170" i="23"/>
  <c r="B162" i="23"/>
  <c r="B154" i="23"/>
  <c r="B146" i="23"/>
  <c r="B138" i="23"/>
  <c r="B130" i="23"/>
  <c r="B122" i="23"/>
  <c r="B114" i="23"/>
  <c r="B106" i="23"/>
  <c r="B98" i="23"/>
  <c r="B90" i="23"/>
  <c r="B82" i="23"/>
  <c r="B74" i="23"/>
  <c r="B66" i="23"/>
  <c r="B58" i="23"/>
  <c r="B50" i="23"/>
  <c r="B42" i="23"/>
  <c r="B34" i="23"/>
  <c r="B26" i="23"/>
  <c r="B18" i="23"/>
  <c r="B10" i="23"/>
  <c r="B376" i="23"/>
  <c r="B360" i="23"/>
  <c r="B344" i="23"/>
  <c r="B328" i="23"/>
  <c r="B312" i="23"/>
  <c r="B296" i="23"/>
  <c r="B280" i="23"/>
  <c r="B264" i="23"/>
  <c r="B256" i="23"/>
  <c r="B232" i="23"/>
  <c r="B216" i="23"/>
  <c r="B200" i="23"/>
  <c r="B176" i="23"/>
  <c r="B160" i="23"/>
  <c r="B144" i="23"/>
  <c r="B128" i="23"/>
  <c r="B112" i="23"/>
  <c r="B96" i="23"/>
  <c r="B80" i="23"/>
  <c r="B72" i="23"/>
  <c r="B48" i="23"/>
  <c r="B32" i="23"/>
  <c r="B24" i="23"/>
  <c r="B385" i="23"/>
  <c r="B377" i="23"/>
  <c r="B369" i="23"/>
  <c r="B361" i="23"/>
  <c r="B353" i="23"/>
  <c r="B345" i="23"/>
  <c r="B337" i="23"/>
  <c r="B329" i="23"/>
  <c r="B321" i="23"/>
  <c r="B313" i="23"/>
  <c r="B305" i="23"/>
  <c r="B297" i="23"/>
  <c r="B289" i="23"/>
  <c r="B281" i="23"/>
  <c r="B273" i="23"/>
  <c r="B265" i="23"/>
  <c r="B257" i="23"/>
  <c r="B249" i="23"/>
  <c r="B241" i="23"/>
  <c r="B233" i="23"/>
  <c r="B225" i="23"/>
  <c r="B217" i="23"/>
  <c r="B209" i="23"/>
  <c r="B201" i="23"/>
  <c r="B193" i="23"/>
  <c r="B185" i="23"/>
  <c r="B177" i="23"/>
  <c r="B169" i="23"/>
  <c r="B161" i="23"/>
  <c r="B153" i="23"/>
  <c r="B145" i="23"/>
  <c r="B137" i="23"/>
  <c r="B129" i="23"/>
  <c r="B121" i="23"/>
  <c r="B113" i="23"/>
  <c r="B105" i="23"/>
  <c r="B97" i="23"/>
  <c r="B89" i="23"/>
  <c r="B81" i="23"/>
  <c r="B73" i="23"/>
  <c r="B65" i="23"/>
  <c r="B57" i="23"/>
  <c r="B49" i="23"/>
  <c r="B41" i="23"/>
  <c r="B33" i="23"/>
  <c r="B25" i="23"/>
  <c r="B17" i="23"/>
  <c r="B9" i="23"/>
  <c r="B384" i="23"/>
  <c r="B368" i="23"/>
  <c r="B352" i="23"/>
  <c r="B336" i="23"/>
  <c r="B320" i="23"/>
  <c r="B304" i="23"/>
  <c r="B288" i="23"/>
  <c r="B272" i="23"/>
  <c r="B248" i="23"/>
  <c r="B240" i="23"/>
  <c r="B224" i="23"/>
  <c r="B208" i="23"/>
  <c r="B192" i="23"/>
  <c r="B184" i="23"/>
  <c r="B168" i="23"/>
  <c r="B152" i="23"/>
  <c r="B136" i="23"/>
  <c r="B120" i="23"/>
  <c r="B104" i="23"/>
  <c r="B88" i="23"/>
  <c r="B64" i="23"/>
  <c r="B56" i="23"/>
  <c r="B40" i="23"/>
  <c r="B16" i="23"/>
  <c r="B8" i="23"/>
  <c r="B375" i="23"/>
  <c r="B343" i="23"/>
  <c r="B311" i="23"/>
  <c r="B279" i="23"/>
  <c r="B247" i="23"/>
  <c r="B215" i="23"/>
  <c r="B183" i="23"/>
  <c r="B151" i="23"/>
  <c r="B119" i="23"/>
  <c r="B87" i="23"/>
  <c r="B55" i="23"/>
  <c r="B23" i="23"/>
  <c r="B239" i="23"/>
  <c r="B175" i="23"/>
  <c r="B79" i="23"/>
  <c r="B15" i="23"/>
  <c r="B363" i="23"/>
  <c r="B331" i="23"/>
  <c r="B267" i="23"/>
  <c r="B171" i="23"/>
  <c r="B139" i="23"/>
  <c r="B75" i="23"/>
  <c r="B11" i="23"/>
  <c r="B383" i="23"/>
  <c r="B351" i="23"/>
  <c r="B255" i="23"/>
  <c r="B191" i="23"/>
  <c r="B127" i="23"/>
  <c r="B283" i="23"/>
  <c r="B187" i="23"/>
  <c r="B91" i="23"/>
  <c r="B27" i="23"/>
  <c r="B371" i="23"/>
  <c r="B339" i="23"/>
  <c r="B307" i="23"/>
  <c r="B275" i="23"/>
  <c r="B243" i="23"/>
  <c r="B211" i="23"/>
  <c r="B179" i="23"/>
  <c r="B147" i="23"/>
  <c r="B115" i="23"/>
  <c r="B83" i="23"/>
  <c r="B51" i="23"/>
  <c r="B19" i="23"/>
  <c r="B303" i="23"/>
  <c r="B143" i="23"/>
  <c r="B47" i="23"/>
  <c r="B299" i="23"/>
  <c r="B203" i="23"/>
  <c r="B107" i="23"/>
  <c r="B43" i="23"/>
  <c r="B287" i="23"/>
  <c r="B223" i="23"/>
  <c r="B159" i="23"/>
  <c r="B95" i="23"/>
  <c r="B63" i="23"/>
  <c r="B59" i="23"/>
  <c r="B367" i="23"/>
  <c r="B335" i="23"/>
  <c r="B271" i="23"/>
  <c r="B207" i="23"/>
  <c r="B111" i="23"/>
  <c r="B235" i="23"/>
  <c r="B319" i="23"/>
  <c r="B347" i="23"/>
  <c r="B251" i="23"/>
  <c r="B219" i="23"/>
  <c r="B123" i="23"/>
  <c r="B359" i="23"/>
  <c r="B327" i="23"/>
  <c r="B295" i="23"/>
  <c r="B263" i="23"/>
  <c r="B231" i="23"/>
  <c r="B199" i="23"/>
  <c r="B167" i="23"/>
  <c r="B135" i="23"/>
  <c r="B103" i="23"/>
  <c r="B71" i="23"/>
  <c r="B39" i="23"/>
  <c r="B7" i="23"/>
  <c r="B387" i="23"/>
  <c r="B355" i="23"/>
  <c r="B323" i="23"/>
  <c r="B291" i="23"/>
  <c r="B259" i="23"/>
  <c r="B227" i="23"/>
  <c r="B195" i="23"/>
  <c r="B163" i="23"/>
  <c r="B131" i="23"/>
  <c r="B99" i="23"/>
  <c r="B67" i="23"/>
  <c r="B35" i="23"/>
  <c r="B31" i="23"/>
  <c r="B379" i="23"/>
  <c r="B315" i="23"/>
  <c r="B155" i="23"/>
  <c r="B5" i="23"/>
  <c r="A2" i="23"/>
  <c r="B2" i="23" s="1"/>
  <c r="O3" i="25" l="1"/>
  <c r="O7" i="25"/>
  <c r="O8" i="25" l="1"/>
  <c r="O9" i="25" s="1"/>
  <c r="AA2" i="25" s="1"/>
  <c r="O4" i="25"/>
  <c r="O5" i="25" s="1"/>
  <c r="X2"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O3" authorId="0" shapeId="0" xr:uid="{122D70E7-BB02-417A-84E5-CA1FDA899CB4}">
      <text>
        <r>
          <rPr>
            <b/>
            <sz val="9"/>
            <color indexed="81"/>
            <rFont val="Tahoma"/>
            <family val="2"/>
          </rPr>
          <t>Adam H. Lisbon:</t>
        </r>
        <r>
          <rPr>
            <sz val="9"/>
            <color indexed="81"/>
            <rFont val="Tahoma"/>
            <family val="2"/>
          </rPr>
          <t xml:space="preserve">
If a cell is red, there is a duplicate.
If a cell is yellow, it has multiple ISBNs.</t>
        </r>
      </text>
    </comment>
    <comment ref="H6" authorId="0" shapeId="0" xr:uid="{98C0DD90-7D65-407D-8D72-3D32DCB127F2}">
      <text>
        <r>
          <rPr>
            <b/>
            <sz val="9"/>
            <color indexed="81"/>
            <rFont val="Tahoma"/>
            <family val="2"/>
          </rPr>
          <t>Adam H. Lisbon:</t>
        </r>
        <r>
          <rPr>
            <sz val="9"/>
            <color indexed="81"/>
            <rFont val="Tahoma"/>
            <family val="2"/>
          </rPr>
          <t xml:space="preserve">
A red cell indicates that multiple ISBNs have been added to the link. It will not work correctly.</t>
        </r>
      </text>
    </comment>
    <comment ref="J6" authorId="0" shapeId="0" xr:uid="{0F42344E-6AEF-4997-8991-5FFC23D863C4}">
      <text>
        <r>
          <rPr>
            <b/>
            <sz val="9"/>
            <color indexed="81"/>
            <rFont val="Tahoma"/>
            <family val="2"/>
          </rPr>
          <t>Adam H. Lisbon:</t>
        </r>
        <r>
          <rPr>
            <sz val="9"/>
            <color indexed="81"/>
            <rFont val="Tahoma"/>
            <family val="2"/>
          </rPr>
          <t xml:space="preserve">
To futher clarify if item has issue and volume number use "i" and "v" to clarify:
v20 i6
i6
20
No v by default means volume.
If set/serial has no volume and only an issue number, the "i" prefex is not needed
</t>
        </r>
      </text>
    </comment>
    <comment ref="O6" authorId="0" shapeId="0" xr:uid="{37A5ADF3-B2D3-4A0B-9A34-C673C8B56FD3}">
      <text>
        <r>
          <rPr>
            <b/>
            <sz val="9"/>
            <color indexed="81"/>
            <rFont val="Tahoma"/>
            <family val="2"/>
          </rPr>
          <t>Adam H. Lisbon:</t>
        </r>
        <r>
          <rPr>
            <sz val="9"/>
            <color indexed="81"/>
            <rFont val="Tahoma"/>
            <family val="2"/>
          </rPr>
          <t xml:space="preserve">
Book sets often have will have multiple ISBN's.
When pulling bib data from FirstSearch the ISBNs are *usually* in order of the volume numbers.
</t>
        </r>
      </text>
    </comment>
    <comment ref="T6" authorId="0" shapeId="0" xr:uid="{26FD99D3-D4ED-4A74-87DF-EDCF6A75F6AA}">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Y6" authorId="0" shapeId="0" xr:uid="{9E1D1FA4-36C3-4C36-9E98-DA1C8021D970}">
      <text>
        <r>
          <rPr>
            <b/>
            <sz val="9"/>
            <color indexed="81"/>
            <rFont val="Tahoma"/>
            <family val="2"/>
          </rPr>
          <t xml:space="preserve">Adam H. Lisbon:
</t>
        </r>
        <r>
          <rPr>
            <sz val="9"/>
            <color indexed="81"/>
            <rFont val="Tahoma"/>
            <family val="2"/>
          </rPr>
          <t xml:space="preserve">Non-Roman series titles can only be obtained in FirstSearch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1"/>
        </ext>
      </extLst>
    </bk>
    <bk>
      <extLst>
        <ext uri="{3e2802c4-a4d2-4d8b-9148-e3be6c30e623}">
          <xlrd:rvb i="3"/>
        </ext>
      </extLst>
    </bk>
    <bk>
      <extLst>
        <ext uri="{3e2802c4-a4d2-4d8b-9148-e3be6c30e623}">
          <xlrd:rvb i="5"/>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<sst xmlns="http://schemas.openxmlformats.org/spreadsheetml/2006/main" count="903" uniqueCount="527">
  <si>
    <t>9</t>
  </si>
  <si>
    <t>Value Analysis</t>
  </si>
  <si>
    <t>Chinese Yuan to USD</t>
  </si>
  <si>
    <t>Japanese Yen to USD</t>
  </si>
  <si>
    <t>Korean Won to USD</t>
  </si>
  <si>
    <t>Other Data</t>
  </si>
  <si>
    <t>Volume Data</t>
  </si>
  <si>
    <t>Duplicate Check</t>
  </si>
  <si>
    <t>Identifiers</t>
  </si>
  <si>
    <t>Bibliographic Data</t>
  </si>
  <si>
    <t>Price Data</t>
  </si>
  <si>
    <t>2</t>
  </si>
  <si>
    <t>3</t>
  </si>
  <si>
    <t>4</t>
  </si>
  <si>
    <t>5</t>
  </si>
  <si>
    <t>6</t>
  </si>
  <si>
    <t>7</t>
  </si>
  <si>
    <t>10</t>
  </si>
  <si>
    <t>11</t>
  </si>
  <si>
    <t>12</t>
  </si>
  <si>
    <t>13</t>
  </si>
  <si>
    <t>14</t>
  </si>
  <si>
    <t>15</t>
  </si>
  <si>
    <t>16</t>
  </si>
  <si>
    <t>17</t>
  </si>
  <si>
    <t>18</t>
  </si>
  <si>
    <t>19</t>
  </si>
  <si>
    <t>20</t>
  </si>
  <si>
    <t>21</t>
  </si>
  <si>
    <t>22</t>
  </si>
  <si>
    <t>23</t>
  </si>
  <si>
    <t>24</t>
  </si>
  <si>
    <t>25</t>
  </si>
  <si>
    <t>26</t>
  </si>
  <si>
    <t>27</t>
  </si>
  <si>
    <t>28</t>
  </si>
  <si>
    <t>29</t>
  </si>
  <si>
    <t>30</t>
  </si>
  <si>
    <t>31</t>
  </si>
  <si>
    <t>32</t>
  </si>
  <si>
    <t>34</t>
  </si>
  <si>
    <t>free</t>
  </si>
  <si>
    <t>formatted</t>
  </si>
  <si>
    <t>macro</t>
  </si>
  <si>
    <t xml:space="preserve">macro </t>
  </si>
  <si>
    <t>Key</t>
  </si>
  <si>
    <t>b</t>
  </si>
  <si>
    <t>c</t>
  </si>
  <si>
    <t>d</t>
  </si>
  <si>
    <t>e</t>
  </si>
  <si>
    <t>f</t>
  </si>
  <si>
    <t>Note</t>
  </si>
  <si>
    <t>URL for Price Check</t>
  </si>
  <si>
    <t>Collection</t>
  </si>
  <si>
    <t>Volume / Issue</t>
  </si>
  <si>
    <t>Total
Vols</t>
  </si>
  <si>
    <t>Dupe ISBN Check</t>
  </si>
  <si>
    <t>Dupe
Title
Check</t>
  </si>
  <si>
    <t>Dupe Check in FS</t>
  </si>
  <si>
    <t>ISBN13#/
ISSN#</t>
  </si>
  <si>
    <t>ISBN10#/
ISSN#</t>
  </si>
  <si>
    <t>OCLC#</t>
  </si>
  <si>
    <t>Langauge</t>
  </si>
  <si>
    <t>Translated Title (Unofficial)</t>
  </si>
  <si>
    <t>Title (R/E)</t>
  </si>
  <si>
    <t>Title (N)</t>
  </si>
  <si>
    <t>Creator (R/E)</t>
  </si>
  <si>
    <t>Creator (N)</t>
  </si>
  <si>
    <t>Series (R/E)</t>
  </si>
  <si>
    <t>Series (N)</t>
  </si>
  <si>
    <t>Publisher (R/E)</t>
  </si>
  <si>
    <t>Publisher (N)</t>
  </si>
  <si>
    <t>Pub Date (RE)</t>
  </si>
  <si>
    <t>Pub Date (N)</t>
  </si>
  <si>
    <t>Edition (RE)</t>
  </si>
  <si>
    <t>Edition (N)</t>
  </si>
  <si>
    <t>Subject Headings</t>
  </si>
  <si>
    <t>USD Estimate</t>
  </si>
  <si>
    <t>Currency</t>
  </si>
  <si>
    <t>Local Value Estimate</t>
  </si>
  <si>
    <t>n/a</t>
  </si>
  <si>
    <t>asnst</t>
  </si>
  <si>
    <t>dupe</t>
  </si>
  <si>
    <t>pascal</t>
  </si>
  <si>
    <t>2019</t>
  </si>
  <si>
    <t>reject</t>
  </si>
  <si>
    <t>norst</t>
  </si>
  <si>
    <t>2018</t>
  </si>
  <si>
    <t>🍂📖</t>
  </si>
  <si>
    <t>Received Korean Books</t>
  </si>
  <si>
    <t>Key# on Spreadsheet:</t>
  </si>
  <si>
    <t>Location:</t>
  </si>
  <si>
    <t>Lisbon Approved</t>
  </si>
  <si>
    <t>OCLC or CiNii/NCID#</t>
  </si>
  <si>
    <t>Vol:
Note:</t>
  </si>
  <si>
    <t>of:</t>
  </si>
  <si>
    <t>Vol. #</t>
  </si>
  <si>
    <t>of</t>
  </si>
  <si>
    <t>issue #</t>
  </si>
  <si>
    <t>Notes:</t>
  </si>
  <si>
    <t>OCLC#:</t>
  </si>
  <si>
    <t>Key #:</t>
  </si>
  <si>
    <t>Collection:</t>
  </si>
  <si>
    <t>OCLC #:</t>
  </si>
  <si>
    <t>Title:</t>
  </si>
  <si>
    <t>Counts</t>
  </si>
  <si>
    <t>Grand Total</t>
  </si>
  <si>
    <t>Source - ST (RE)</t>
  </si>
  <si>
    <t>Series Title (RE)</t>
  </si>
  <si>
    <t>Source - ST (N)</t>
  </si>
  <si>
    <t>Series Title (N)</t>
  </si>
  <si>
    <t>Publishers (RE)</t>
  </si>
  <si>
    <t>Publishers (N)</t>
  </si>
  <si>
    <t>Pub Dates</t>
  </si>
  <si>
    <t>Source - Dates</t>
  </si>
  <si>
    <t>Dates Reformatted</t>
  </si>
  <si>
    <t>Dates MinMax</t>
  </si>
  <si>
    <t>Row Labels</t>
  </si>
  <si>
    <t xml:space="preserve">min ▼ </t>
  </si>
  <si>
    <t>2010-2019</t>
  </si>
  <si>
    <t>min year:</t>
  </si>
  <si>
    <t>max year:</t>
  </si>
  <si>
    <t>max ▼</t>
  </si>
  <si>
    <t>First Name</t>
  </si>
  <si>
    <t>Last Name</t>
  </si>
  <si>
    <t>eMail</t>
  </si>
  <si>
    <t>Phone</t>
  </si>
  <si>
    <t>Address</t>
  </si>
  <si>
    <t>Status</t>
  </si>
  <si>
    <t>Donor:</t>
  </si>
  <si>
    <t>Contact:</t>
  </si>
  <si>
    <t>Started Processing:</t>
  </si>
  <si>
    <t>Processing Finished:</t>
  </si>
  <si>
    <t>All items Added to Collection:</t>
  </si>
  <si>
    <t>Relationship of Donor and Contact:</t>
  </si>
  <si>
    <t>Other Information:</t>
  </si>
  <si>
    <t>This work is licensed under a Creative Commons Attribution-NonCommercial 4.0 International License.</t>
  </si>
  <si>
    <t>Read more about this license</t>
  </si>
  <si>
    <t>Created by</t>
  </si>
  <si>
    <t>Adam H. Lisbon</t>
  </si>
  <si>
    <t>Associate Professor</t>
  </si>
  <si>
    <t>University of Colorado Boulder</t>
  </si>
  <si>
    <t>University Libraries</t>
  </si>
  <si>
    <t>Japanese &amp; Korean Studies Librarian</t>
  </si>
  <si>
    <t>adam.lisbon@colorado.edu</t>
  </si>
  <si>
    <t>Work Profile</t>
  </si>
  <si>
    <t>CU Experts</t>
  </si>
  <si>
    <t>LinkedIn</t>
  </si>
  <si>
    <t>LinkedIn Profile</t>
  </si>
  <si>
    <t>GitHub</t>
  </si>
  <si>
    <t>https://github.com/ahlisbon/CJKmaterialProcessing</t>
  </si>
  <si>
    <t>Wilkanson Donation</t>
  </si>
  <si>
    <t>🕶</t>
  </si>
  <si>
    <t>Chūō Kōronsha</t>
  </si>
  <si>
    <t>1974</t>
  </si>
  <si>
    <t>中央公論社</t>
  </si>
  <si>
    <t>1983</t>
  </si>
  <si>
    <t>Kadokawa novels</t>
  </si>
  <si>
    <t>Kadokawa Shoten</t>
  </si>
  <si>
    <t>角川書店</t>
  </si>
  <si>
    <t>1986</t>
  </si>
  <si>
    <t>Pureibukkusu</t>
  </si>
  <si>
    <t>青春出版社</t>
  </si>
  <si>
    <t>1971</t>
  </si>
  <si>
    <t>Kōdansha</t>
  </si>
  <si>
    <t>講談社</t>
  </si>
  <si>
    <t>1988</t>
  </si>
  <si>
    <t>1989</t>
  </si>
  <si>
    <t>Iwanami shinsho</t>
  </si>
  <si>
    <t>Iwanami Shoten</t>
  </si>
  <si>
    <t>岩波書店</t>
  </si>
  <si>
    <t>1992</t>
  </si>
  <si>
    <t>Yamakawa Shuppansha</t>
  </si>
  <si>
    <t>山川出版社</t>
  </si>
  <si>
    <t>Ikeda3Lbukkusu</t>
  </si>
  <si>
    <t>池田書店</t>
  </si>
  <si>
    <t>1972</t>
  </si>
  <si>
    <t>1979</t>
  </si>
  <si>
    <t>Shōbunsha</t>
  </si>
  <si>
    <t>昭文社</t>
  </si>
  <si>
    <t>1981</t>
  </si>
  <si>
    <t>Seishun no shishū</t>
  </si>
  <si>
    <t>Hakuōsha</t>
  </si>
  <si>
    <t>白凰社</t>
  </si>
  <si>
    <t>1966</t>
  </si>
  <si>
    <t>アメリカ精神の源: 「神のもとにあるこの国」</t>
  </si>
  <si>
    <t>1998</t>
  </si>
  <si>
    <t>1996</t>
  </si>
  <si>
    <t>Chūō Kōron Shinsha</t>
  </si>
  <si>
    <t>中央公論新社</t>
  </si>
  <si>
    <t>2009</t>
  </si>
  <si>
    <t>1993</t>
  </si>
  <si>
    <t>1991</t>
  </si>
  <si>
    <t>1995</t>
  </si>
  <si>
    <t>Shinchōsha</t>
  </si>
  <si>
    <t>新潮社</t>
  </si>
  <si>
    <t>2005</t>
  </si>
  <si>
    <t>ワニブックス</t>
  </si>
  <si>
    <t>Wani Bukkusu</t>
  </si>
  <si>
    <t>2013</t>
  </si>
  <si>
    <t>PHP研究所</t>
  </si>
  <si>
    <t>2012</t>
  </si>
  <si>
    <t>Maruzen</t>
  </si>
  <si>
    <t>丸善</t>
  </si>
  <si>
    <t>Nihon Hōsō Shuppan Kyōkai</t>
  </si>
  <si>
    <t>日本放送出版協会</t>
  </si>
  <si>
    <t>1999</t>
  </si>
  <si>
    <t>Bungei Shunjū</t>
  </si>
  <si>
    <t>文藝春秋</t>
  </si>
  <si>
    <t>1</t>
  </si>
  <si>
    <t>Kōdansha gakujutsu bunko</t>
  </si>
  <si>
    <t>1985</t>
  </si>
  <si>
    <t>Matsumoto, Seichō,; 1909-1992</t>
  </si>
  <si>
    <t>2010</t>
  </si>
  <si>
    <t>Bunshun bunko</t>
  </si>
  <si>
    <t>2004</t>
  </si>
  <si>
    <t>Kōdansha bunko</t>
  </si>
  <si>
    <t>1994</t>
  </si>
  <si>
    <t>構談社</t>
  </si>
  <si>
    <t>1977</t>
  </si>
  <si>
    <t>1984</t>
  </si>
  <si>
    <t>Iwanami bunko</t>
  </si>
  <si>
    <t>1990-1993</t>
  </si>
  <si>
    <t>1961</t>
  </si>
  <si>
    <t>1958</t>
  </si>
  <si>
    <t>1978</t>
  </si>
  <si>
    <t>Kōdansha + alpha bunko</t>
  </si>
  <si>
    <t>Kōjinsha NF Bunko</t>
  </si>
  <si>
    <t>光人社</t>
  </si>
  <si>
    <t>Shinchō Bunko</t>
  </si>
  <si>
    <t>1969</t>
  </si>
  <si>
    <t>Chikuma gakugei bunko</t>
  </si>
  <si>
    <t>Chikuma Shobō</t>
  </si>
  <si>
    <t>筑摩書房</t>
  </si>
  <si>
    <t>1950</t>
  </si>
  <si>
    <t>Shinchō bunko</t>
  </si>
  <si>
    <t>Shun'yōdō</t>
  </si>
  <si>
    <t>春陽堂</t>
  </si>
  <si>
    <t>1927</t>
  </si>
  <si>
    <t>Kyōto Shoin</t>
  </si>
  <si>
    <t>京都書院</t>
  </si>
  <si>
    <t>?</t>
  </si>
  <si>
    <t>Nihon rekishi sōsho (Iwanami Shoten)</t>
  </si>
  <si>
    <t>PHP bunko</t>
  </si>
  <si>
    <t>Php Kenkyūjo</t>
  </si>
  <si>
    <t>2000</t>
  </si>
  <si>
    <t>1965</t>
  </si>
  <si>
    <t>1968</t>
  </si>
  <si>
    <t>1990</t>
  </si>
  <si>
    <t>2001</t>
  </si>
  <si>
    <t>2006</t>
  </si>
  <si>
    <t>1970</t>
  </si>
  <si>
    <t>2002</t>
  </si>
  <si>
    <t>1963</t>
  </si>
  <si>
    <t>2011</t>
  </si>
  <si>
    <t>Kadokawa Gakugei Shuppan</t>
  </si>
  <si>
    <t>1955</t>
  </si>
  <si>
    <t>1982</t>
  </si>
  <si>
    <t>大陸書房</t>
  </si>
  <si>
    <t>1960</t>
  </si>
  <si>
    <t>1956</t>
  </si>
  <si>
    <t>Chūkō bunko</t>
  </si>
  <si>
    <t>1975</t>
  </si>
  <si>
    <t>1976</t>
  </si>
  <si>
    <t>1997</t>
  </si>
  <si>
    <t>1987</t>
  </si>
  <si>
    <t>Chūko bunko</t>
  </si>
  <si>
    <t>Chuko bunko</t>
  </si>
  <si>
    <t>1973</t>
  </si>
  <si>
    <t>Sanpauro</t>
  </si>
  <si>
    <t>サンパウロ</t>
  </si>
  <si>
    <t>Chūō Shuppansha</t>
  </si>
  <si>
    <t>中央出版社</t>
  </si>
  <si>
    <t>1948</t>
  </si>
  <si>
    <t>Nei Menggu Wen Hua Yin Xiang Chu Ban She</t>
  </si>
  <si>
    <t>內蒙古文化音像出版社</t>
  </si>
  <si>
    <t>修猷館 200年記念事業委員会</t>
  </si>
  <si>
    <t>Shūyūkan 200-Nen Kinen Jigyō Iinkai</t>
  </si>
  <si>
    <t>Meiji Jingū</t>
  </si>
  <si>
    <t>明治神宮</t>
  </si>
  <si>
    <t>Asahi Shinbunsha</t>
  </si>
  <si>
    <t>1969-1974</t>
  </si>
  <si>
    <t>1957</t>
  </si>
  <si>
    <t>1964</t>
  </si>
  <si>
    <t>Chūsekisha</t>
  </si>
  <si>
    <t>Yabe Mō</t>
  </si>
  <si>
    <t>[矢部孟]</t>
  </si>
  <si>
    <t>Sōgensha</t>
  </si>
  <si>
    <t>創元社</t>
  </si>
  <si>
    <t>1953</t>
  </si>
  <si>
    <t>Shibundō</t>
  </si>
  <si>
    <t>至文堂</t>
  </si>
  <si>
    <t>1962</t>
  </si>
  <si>
    <t>Kurashi No Techōsha</t>
  </si>
  <si>
    <t>暮しの手帖社</t>
  </si>
  <si>
    <t>Hōyū Shoten</t>
  </si>
  <si>
    <t>朋友書店</t>
  </si>
  <si>
    <t>Nihon Oyobi Nihonjin Sha</t>
  </si>
  <si>
    <t>Tōkyō Daigaku Shuppankai</t>
  </si>
  <si>
    <t>東京大学出版会</t>
  </si>
  <si>
    <t>1991-1994</t>
  </si>
  <si>
    <t>1979-1980</t>
  </si>
  <si>
    <t>1972-1973</t>
  </si>
  <si>
    <t>Dōhōsha</t>
  </si>
  <si>
    <t>同朋舎</t>
  </si>
  <si>
    <t>1957-1978</t>
  </si>
  <si>
    <t>Tōyō shi kenkyū sōkan</t>
  </si>
  <si>
    <t>『追想天谷直弘』刊行会</t>
  </si>
  <si>
    <t>Ushio Shuppansha</t>
  </si>
  <si>
    <t>潮出版社</t>
  </si>
  <si>
    <t>Jinbutsu Ōraisha</t>
  </si>
  <si>
    <t>人物往来社</t>
  </si>
  <si>
    <t>Bungei Shunjū Shinsha</t>
  </si>
  <si>
    <t>1967</t>
  </si>
  <si>
    <t>Nihonjin no seishinshi kenkyū</t>
  </si>
  <si>
    <t>文藝春秋新社</t>
  </si>
  <si>
    <t>1977-1978</t>
  </si>
  <si>
    <t>Yoshikawa Kōbunkan</t>
  </si>
  <si>
    <t>吉川弘文館</t>
  </si>
  <si>
    <t>時事通信社</t>
  </si>
  <si>
    <t>Chūgoku jinbutsu sōsho</t>
  </si>
  <si>
    <t>東京</t>
  </si>
  <si>
    <t>Keisō Shobō</t>
  </si>
  <si>
    <t>勁草書房</t>
  </si>
  <si>
    <t>晶文社</t>
  </si>
  <si>
    <t>文芸春秋</t>
  </si>
  <si>
    <t>Hōbunkan Shuppan</t>
  </si>
  <si>
    <t>宝文館出版</t>
  </si>
  <si>
    <t>Nigensha</t>
  </si>
  <si>
    <t>二玄社</t>
  </si>
  <si>
    <t>Nihon Keizai Shinbunsha</t>
  </si>
  <si>
    <t>日本経済新聞社</t>
  </si>
  <si>
    <t>Kamakura Shunjūsha</t>
  </si>
  <si>
    <t>かまくら春秋社</t>
  </si>
  <si>
    <t>2007</t>
  </si>
  <si>
    <t>Kōyū Shuppan</t>
  </si>
  <si>
    <t>発行所恒友出版</t>
  </si>
  <si>
    <t>Gakuseisha</t>
  </si>
  <si>
    <t>学生社</t>
  </si>
  <si>
    <t>Shin Jinbutsu Ōraisha</t>
  </si>
  <si>
    <t>新人物往來社</t>
  </si>
  <si>
    <t>Eikō Shuppansha</t>
  </si>
  <si>
    <t>栄光出版社</t>
  </si>
  <si>
    <t>Rengō Shuppan</t>
  </si>
  <si>
    <t>連合出版</t>
  </si>
  <si>
    <t>2003</t>
  </si>
  <si>
    <t>Kodaishi kenkyū sensho</t>
  </si>
  <si>
    <t>Perikansha</t>
  </si>
  <si>
    <t>ぺりかん社</t>
  </si>
  <si>
    <t>Chikuma Shūhansha</t>
  </si>
  <si>
    <t>チクマ秀版社</t>
  </si>
  <si>
    <t>Jieitībīpaburisshingu</t>
  </si>
  <si>
    <t>JTBパブリッシング</t>
  </si>
  <si>
    <t>山と渓谷社</t>
  </si>
  <si>
    <t>Taikōsha</t>
  </si>
  <si>
    <t>大巧社</t>
  </si>
  <si>
    <t>Sekaishiso seminar</t>
  </si>
  <si>
    <t>Sekai Shisōsha</t>
  </si>
  <si>
    <t>世界思想社</t>
  </si>
  <si>
    <t>曰本経済新聞社</t>
  </si>
  <si>
    <t>Gendai Shokan</t>
  </si>
  <si>
    <t>現代書館</t>
  </si>
  <si>
    <t>Ginga bukkusu</t>
  </si>
  <si>
    <t>Daiwa Shobō</t>
  </si>
  <si>
    <t>大和書房</t>
  </si>
  <si>
    <t>砂子屋書房</t>
  </si>
  <si>
    <t>Jōhō Sentā Shuppankyoku</t>
  </si>
  <si>
    <t>情報センター出版局</t>
  </si>
  <si>
    <t>かや書房</t>
  </si>
  <si>
    <t>Hankyū Komyunikēshonzu</t>
  </si>
  <si>
    <t>阪急コミュニケーションズ</t>
  </si>
  <si>
    <t>社会保険法規研究会</t>
  </si>
  <si>
    <t>Heibonsha</t>
  </si>
  <si>
    <t>平凡社</t>
  </si>
  <si>
    <t>1958-1964</t>
  </si>
  <si>
    <t>Gendai Shichōsha</t>
  </si>
  <si>
    <t>現代思潮社</t>
  </si>
  <si>
    <t>Kawade Shobō Shinsha</t>
  </si>
  <si>
    <t>河出書房新社</t>
  </si>
  <si>
    <t>たま出版</t>
  </si>
  <si>
    <t>かのう書房</t>
  </si>
  <si>
    <t>Tankakenkyūsha</t>
  </si>
  <si>
    <t>短歌研究社</t>
  </si>
  <si>
    <t>2015</t>
  </si>
  <si>
    <t>NHK bukkusu</t>
  </si>
  <si>
    <t>Xin Hua Shu Dian Beijing Fa Xing Suo Fa Xing</t>
  </si>
  <si>
    <t>新華書店北京發行所發行</t>
  </si>
  <si>
    <t>徳間書店</t>
  </si>
  <si>
    <t>Fujin No Tomosha</t>
  </si>
  <si>
    <t>婦人之友社</t>
  </si>
  <si>
    <t>Sanseidō</t>
  </si>
  <si>
    <t>三省堂</t>
  </si>
  <si>
    <t>Shōgakkan</t>
  </si>
  <si>
    <t>小学館</t>
  </si>
  <si>
    <t>Kuronosu Sensho</t>
  </si>
  <si>
    <t>Randamuhausukōdansha</t>
  </si>
  <si>
    <t>ランダムハウス講談社</t>
  </si>
  <si>
    <t>2008</t>
  </si>
  <si>
    <t>Xianggang Tai Ping Shu Ju</t>
  </si>
  <si>
    <t>香港太平書局</t>
  </si>
  <si>
    <t>Rokkō Shuppanbu</t>
  </si>
  <si>
    <t>六興出版部</t>
  </si>
  <si>
    <t>1959</t>
  </si>
  <si>
    <t>1980</t>
  </si>
  <si>
    <t>zhu zi ji cheng</t>
  </si>
  <si>
    <t>中華書局出版</t>
  </si>
  <si>
    <t>新泉社</t>
  </si>
  <si>
    <t>日本基督教団出版局</t>
  </si>
  <si>
    <t>Jinbutsu sōsho (Shinsōban)</t>
  </si>
  <si>
    <t>Chūgoku kotensen</t>
  </si>
  <si>
    <t>朝日新聞社</t>
  </si>
  <si>
    <t>1959-1965</t>
  </si>
  <si>
    <t>Chuō Kōronsha</t>
  </si>
  <si>
    <t>光生館</t>
  </si>
  <si>
    <t>Kyōyō no Nihon shi</t>
  </si>
  <si>
    <t>Tōkyōdō Shuppan</t>
  </si>
  <si>
    <t>東京堂出版</t>
  </si>
  <si>
    <t>1938</t>
  </si>
  <si>
    <t>Nihon no meicho</t>
  </si>
  <si>
    <t>Eihōsha</t>
  </si>
  <si>
    <t>英宝社</t>
  </si>
  <si>
    <t>Suemori Bukkusu</t>
  </si>
  <si>
    <t>すえもりブックス</t>
  </si>
  <si>
    <t>Dentsū</t>
  </si>
  <si>
    <t>電通</t>
  </si>
  <si>
    <t>赤ひげ堂</t>
  </si>
  <si>
    <t>Akahigedō</t>
  </si>
  <si>
    <t>Sōkaisetsu shirīzu</t>
  </si>
  <si>
    <t>Jiyū Kokuminsha</t>
  </si>
  <si>
    <t>自由国民社</t>
  </si>
  <si>
    <t>C.e. Tuttle Co.</t>
  </si>
  <si>
    <t>1954</t>
  </si>
  <si>
    <t>昭和十五年桜医会</t>
  </si>
  <si>
    <t>1992-2006</t>
  </si>
  <si>
    <t>Kyūryūdō</t>
  </si>
  <si>
    <t>求龍堂</t>
  </si>
  <si>
    <t>Kinokuniya Shoten</t>
  </si>
  <si>
    <t>紀伊國屋書店</t>
  </si>
  <si>
    <t>Harper &amp; Row</t>
  </si>
  <si>
    <t>Oxford University Press</t>
  </si>
  <si>
    <t>Modern war studies</t>
  </si>
  <si>
    <t>University Press Of Kansas</t>
  </si>
  <si>
    <t>Nissan Institute/Routledge Japanese studies series</t>
  </si>
  <si>
    <t>Routledge</t>
  </si>
  <si>
    <t>Distributed By University Of Hawaii Press</t>
  </si>
  <si>
    <t>Institute For National Strategic Studies</t>
  </si>
  <si>
    <t>Associated University Presses</t>
  </si>
  <si>
    <t>Eunhaeng Namu</t>
  </si>
  <si>
    <t>Random House</t>
  </si>
  <si>
    <t>Ethics and public policy studies</t>
  </si>
  <si>
    <t>Ethics And Public Policy Center</t>
  </si>
  <si>
    <t>For Sale By The Supt. Of Docs.</t>
  </si>
  <si>
    <t>Introduction to Oriental civilizations</t>
  </si>
  <si>
    <t>Columbia University Press</t>
  </si>
  <si>
    <t>Distributed By University Of Hawai'i Press</t>
  </si>
  <si>
    <t>Studies of the East Asian Institute</t>
  </si>
  <si>
    <t>&lt;td&gt;&lt;font size=2 face="Arial,Helvetica,sans-serif"&gt;Borzoi book</t>
  </si>
  <si>
    <t>Alfred A. Knopf</t>
  </si>
  <si>
    <t>Silkworm Books</t>
  </si>
  <si>
    <t>Ronald Press Co.</t>
  </si>
  <si>
    <t>1951</t>
  </si>
  <si>
    <t>Noonday Press</t>
  </si>
  <si>
    <t>Shs</t>
  </si>
  <si>
    <t>Chōbunsha</t>
  </si>
  <si>
    <t>朝文社</t>
  </si>
  <si>
    <t>2014</t>
  </si>
  <si>
    <t>Vintage Books</t>
  </si>
  <si>
    <t>Counterpoint</t>
  </si>
  <si>
    <t>Farrar</t>
  </si>
  <si>
    <t>Moon travel handbooks</t>
  </si>
  <si>
    <t>Presidio Press/ballantine Books</t>
  </si>
  <si>
    <t>Kōdansha International</t>
  </si>
  <si>
    <t>Japanese Cultural Center Of Hawaii</t>
  </si>
  <si>
    <t>World War II</t>
  </si>
  <si>
    <t>School And Library Distribution By Silver Burdett</t>
  </si>
  <si>
    <t>School And Library Distribution By Silver Burdett Co.</t>
  </si>
  <si>
    <t>Praeger</t>
  </si>
  <si>
    <t>Greenwood Press</t>
  </si>
  <si>
    <t>Addison-wesley</t>
  </si>
  <si>
    <t>Harpersanfrancisco</t>
  </si>
  <si>
    <t>Cascade Books</t>
  </si>
  <si>
    <t>2016</t>
  </si>
  <si>
    <t>University Of California Press</t>
  </si>
  <si>
    <t>Cornell paperbacks</t>
  </si>
  <si>
    <t>Cornell University Press</t>
  </si>
  <si>
    <t>Routledge studies in Asia's transformations</t>
  </si>
  <si>
    <t>Amerika Samoa: a history of American Samoa and its United States Naval Administration</t>
  </si>
  <si>
    <t>R. Sejima</t>
  </si>
  <si>
    <t>Received:</t>
  </si>
  <si>
    <t>Kyōdai Tōyō shi</t>
  </si>
  <si>
    <t>Tōyō no rekishi</t>
  </si>
  <si>
    <t>Nihon rekishi sōsho</t>
  </si>
  <si>
    <t>Pieichipi bijinesu shinsho</t>
  </si>
  <si>
    <t>Shin zenkoku rekishi sanpo shirīzu</t>
  </si>
  <si>
    <t>Tabitomo</t>
  </si>
  <si>
    <t>Earia gaido</t>
  </si>
  <si>
    <t>Enueichikei bukkusu</t>
  </si>
  <si>
    <t>Chikuma sōsho</t>
  </si>
  <si>
    <t>Santōka bunko</t>
  </si>
  <si>
    <t>Nihon koten bungaku taikei</t>
  </si>
  <si>
    <t>Nihon shijin zenshū</t>
  </si>
  <si>
    <t>Shinchō shinsho</t>
  </si>
  <si>
    <t>Bunshun shinsho</t>
  </si>
  <si>
    <t>Harvard East Asian series</t>
  </si>
  <si>
    <t>USAF Southeast Asia monograph series</t>
  </si>
  <si>
    <t>Kyōto Shoin ātsu korekushon</t>
  </si>
  <si>
    <t>Studia historica (Helsinki, Finland)</t>
  </si>
  <si>
    <t>Maruzen raiburarī</t>
  </si>
  <si>
    <t>&lt;td&gt;&lt;font size=2 face="Arial,Helvetica,sans-serif"&gt;Vintage books</t>
  </si>
  <si>
    <t>Kyōdaiseiyōshi</t>
  </si>
  <si>
    <t>Contributions in economics and economic history</t>
  </si>
  <si>
    <t>Kōdansha gendai shinsho</t>
  </si>
  <si>
    <t>Pōru nizan chosakushū</t>
  </si>
  <si>
    <t>Chūgoku kotensen (Unnumbered)</t>
  </si>
  <si>
    <t>Paul Nizan tyosakusyū</t>
  </si>
  <si>
    <t>Kadokawa bunko</t>
  </si>
  <si>
    <t>Chūkō shinsho</t>
  </si>
  <si>
    <t>Chūk̄ō shinsho</t>
  </si>
  <si>
    <t>1960-1969</t>
  </si>
  <si>
    <t>1970-1979</t>
  </si>
  <si>
    <t>1980-1989</t>
  </si>
  <si>
    <t>1990-1999</t>
  </si>
  <si>
    <t>2000-2009</t>
  </si>
  <si>
    <t>Donation Name</t>
  </si>
  <si>
    <t>Donation Located at:</t>
  </si>
  <si>
    <t>By Subject Specialist:</t>
  </si>
  <si>
    <t>Connection to Institution?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</si>
</sst>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409]* #,##0.00_);_([$$-409]* \(#,##0.00\);_([$$-409]* &quot;-&quot;??_);_(@_)"/>
    <numFmt numFmtId="165" formatCode="_([$$-409]* #,##0.0000000_);_([$$-409]* \(#,##0.0000000\);_([$$-409]* &quot;-&quot;??_);_(@_)"/>
    <numFmt numFmtId="166" formatCode="yyyy\-mm\-dd"/>
  </numFmts>
  <fonts count="40" x14ac:knownFonts="1">
    <font>
      <sz val="11"/>
      <color theme="1"/>
      <name val="Calibri"/>
      <family val="2"/>
      <scheme val="minor"/>
    </font>
    <font>
      <b/>
      <sz val="11"/>
      <color rgb="FF565A5C"/>
      <name val="Calibri"/>
      <family val="2"/>
      <scheme val="minor"/>
    </font>
    <font>
      <sz val="11"/>
      <color theme="0"/>
      <name val="Calibri"/>
      <family val="2"/>
      <scheme val="minor"/>
    </font>
    <font>
      <sz val="10"/>
      <color theme="1"/>
      <name val="Calibri"/>
      <family val="2"/>
      <scheme val="minor"/>
    </font>
    <font>
      <b/>
      <sz val="10"/>
      <color theme="7" tint="-0.499984740745262"/>
      <name val="Calibri"/>
      <family val="2"/>
      <scheme val="minor"/>
    </font>
    <font>
      <sz val="10"/>
      <color rgb="FF565A5C"/>
      <name val="Calibri"/>
      <family val="2"/>
      <scheme val="minor"/>
    </font>
    <font>
      <sz val="9"/>
      <color indexed="81"/>
      <name val="Tahoma"/>
      <family val="2"/>
    </font>
    <font>
      <b/>
      <sz val="9"/>
      <color indexed="81"/>
      <name val="Tahoma"/>
      <family val="2"/>
    </font>
    <font>
      <b/>
      <sz val="10"/>
      <color rgb="FF565A5C"/>
      <name val="Calibri"/>
      <family val="2"/>
      <scheme val="minor"/>
    </font>
    <font>
      <sz val="10"/>
      <color theme="0"/>
      <name val="Calibri"/>
      <family val="2"/>
      <scheme val="minor"/>
    </font>
    <font>
      <u/>
      <sz val="10"/>
      <color theme="10"/>
      <name val="Calibri"/>
      <family val="2"/>
      <scheme val="minor"/>
    </font>
    <font>
      <b/>
      <sz val="10"/>
      <color theme="0"/>
      <name val="Calibri"/>
      <family val="2"/>
      <scheme val="minor"/>
    </font>
    <font>
      <sz val="10"/>
      <color theme="0" tint="-0.499984740745262"/>
      <name val="Calibri"/>
      <family val="2"/>
    </font>
    <font>
      <u/>
      <sz val="10"/>
      <color theme="11"/>
      <name val="Calibri"/>
      <family val="2"/>
      <scheme val="minor"/>
    </font>
    <font>
      <b/>
      <sz val="11"/>
      <color theme="0"/>
      <name val="Calibri"/>
      <family val="2"/>
      <scheme val="minor"/>
    </font>
    <font>
      <b/>
      <sz val="11"/>
      <color theme="1"/>
      <name val="Calibri"/>
      <family val="2"/>
      <scheme val="minor"/>
    </font>
    <font>
      <sz val="9"/>
      <color theme="0" tint="-0.499984740745262"/>
      <name val="Calibri"/>
      <family val="2"/>
      <scheme val="minor"/>
    </font>
    <font>
      <b/>
      <sz val="9"/>
      <color theme="1"/>
      <name val="Calibri"/>
      <family val="2"/>
      <scheme val="minor"/>
    </font>
    <font>
      <sz val="16"/>
      <color theme="1"/>
      <name val="Calibri"/>
      <family val="2"/>
      <scheme val="minor"/>
    </font>
    <font>
      <b/>
      <sz val="28"/>
      <color theme="1"/>
      <name val="Calibri"/>
      <family val="2"/>
      <scheme val="minor"/>
    </font>
    <font>
      <sz val="28"/>
      <color theme="1"/>
      <name val="Calibri"/>
      <family val="2"/>
      <scheme val="minor"/>
    </font>
    <font>
      <sz val="8"/>
      <name val="Calibri"/>
      <family val="2"/>
      <scheme val="minor"/>
    </font>
    <font>
      <sz val="10"/>
      <color theme="1"/>
      <name val="Calibri"/>
      <family val="2"/>
    </font>
    <font>
      <sz val="9"/>
      <name val="Calibri"/>
      <family val="2"/>
    </font>
    <font>
      <u/>
      <sz val="11"/>
      <color theme="10"/>
      <name val="Calibri"/>
      <family val="2"/>
      <scheme val="minor"/>
    </font>
    <font>
      <sz val="10"/>
      <color theme="0"/>
      <name val="Calibri"/>
      <family val="2"/>
    </font>
    <font>
      <b/>
      <sz val="12"/>
      <color theme="0"/>
      <name val="Calibri"/>
      <family val="2"/>
      <scheme val="minor"/>
    </font>
    <font>
      <sz val="9"/>
      <color theme="1"/>
      <name val="Calibri"/>
      <family val="2"/>
      <scheme val="minor"/>
    </font>
    <font>
      <b/>
      <sz val="11"/>
      <color rgb="FFCFB87C"/>
      <name val="Calibri"/>
      <family val="2"/>
      <scheme val="minor"/>
    </font>
    <font>
      <sz val="10"/>
      <color theme="0" tint="-0.499984740745262"/>
      <name val="Calibri"/>
      <family val="2"/>
      <scheme val="minor"/>
    </font>
    <font>
      <b/>
      <sz val="8"/>
      <color rgb="FF565A5C"/>
      <name val="Calibri"/>
      <family val="2"/>
      <scheme val="minor"/>
    </font>
    <font>
      <sz val="11"/>
      <color rgb="FF006100"/>
      <name val="Calibri"/>
      <family val="2"/>
      <scheme val="minor"/>
    </font>
    <font>
      <b/>
      <sz val="12"/>
      <color rgb="FF7030A0"/>
      <name val="Calibri"/>
      <family val="2"/>
      <scheme val="minor"/>
    </font>
    <font>
      <b/>
      <sz val="10"/>
      <color rgb="FFCCCCFF"/>
      <name val="Calibri"/>
      <family val="2"/>
      <scheme val="minor"/>
    </font>
    <font>
      <sz val="10"/>
      <name val="Calibri"/>
      <family val="2"/>
      <scheme val="minor"/>
    </font>
    <font>
      <sz val="10"/>
      <name val="Calibri"/>
      <family val="2"/>
    </font>
    <font>
      <sz val="11"/>
      <color rgb="FF000000"/>
      <name val="Calibri"/>
      <family val="2"/>
    </font>
    <font>
      <sz val="18"/>
      <color theme="1"/>
      <name val="Calibri"/>
      <family val="2"/>
      <scheme val="minor"/>
    </font>
    <font>
      <sz val="24"/>
      <color theme="1"/>
      <name val="Calibri"/>
      <family val="2"/>
      <scheme val="minor"/>
    </font>
    <font>
      <b/>
      <sz val="18"/>
      <color theme="1"/>
      <name val="Calibri"/>
      <family val="2"/>
      <scheme val="minor"/>
    </font>
  </fonts>
  <fills count="17">
    <fill>
      <patternFill patternType="none"/>
    </fill>
    <fill>
      <patternFill patternType="gray125"/>
    </fill>
    <fill>
      <patternFill patternType="solid">
        <fgColor rgb="FFCFB87C"/>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D9D9D9"/>
        <bgColor indexed="64"/>
      </patternFill>
    </fill>
    <fill>
      <patternFill patternType="solid">
        <fgColor rgb="FF565A5C"/>
        <bgColor indexed="64"/>
      </patternFill>
    </fill>
    <fill>
      <patternFill patternType="solid">
        <fgColor theme="9" tint="-0.499984740745262"/>
        <bgColor indexed="64"/>
      </patternFill>
    </fill>
    <fill>
      <patternFill patternType="solid">
        <fgColor theme="4"/>
      </patternFill>
    </fill>
    <fill>
      <patternFill patternType="solid">
        <fgColor theme="0" tint="-0.249977111117893"/>
        <bgColor indexed="64"/>
      </patternFill>
    </fill>
    <fill>
      <patternFill patternType="solid">
        <fgColor rgb="FFC6EFCE"/>
      </patternFill>
    </fill>
    <fill>
      <patternFill patternType="solid">
        <fgColor theme="5"/>
      </patternFill>
    </fill>
    <fill>
      <patternFill patternType="solid">
        <fgColor theme="8"/>
      </patternFill>
    </fill>
    <fill>
      <patternFill patternType="solid">
        <fgColor rgb="FF7030A0"/>
        <bgColor indexed="64"/>
      </patternFill>
    </fill>
    <fill>
      <patternFill patternType="solid">
        <fgColor rgb="FFCCCCFF"/>
        <bgColor indexed="64"/>
      </patternFill>
    </fill>
    <fill>
      <patternFill patternType="solid">
        <fgColor theme="2"/>
        <bgColor indexed="64"/>
      </patternFill>
    </fill>
    <fill>
      <patternFill patternType="solid">
        <fgColor theme="0" tint="-4.9989318521683403E-2"/>
        <bgColor indexed="64"/>
      </patternFill>
    </fill>
  </fills>
  <borders count="38">
    <border>
      <left/>
      <right/>
      <top/>
      <bottom/>
      <diagonal/>
    </border>
    <border>
      <left style="thin">
        <color rgb="FF565A5C"/>
      </left>
      <right/>
      <top/>
      <bottom/>
      <diagonal/>
    </border>
    <border>
      <left/>
      <right style="thin">
        <color rgb="FF565A5C"/>
      </right>
      <top/>
      <bottom/>
      <diagonal/>
    </border>
    <border>
      <left style="thin">
        <color theme="0" tint="-0.249977111117893"/>
      </left>
      <right/>
      <top/>
      <bottom/>
      <diagonal/>
    </border>
    <border>
      <left style="thin">
        <color rgb="FF565A5C"/>
      </left>
      <right/>
      <top style="thin">
        <color rgb="FF565A5C"/>
      </top>
      <bottom/>
      <diagonal/>
    </border>
    <border>
      <left/>
      <right style="thin">
        <color rgb="FF565A5C"/>
      </right>
      <top style="thin">
        <color rgb="FF565A5C"/>
      </top>
      <bottom/>
      <diagonal/>
    </border>
    <border>
      <left/>
      <right style="thin">
        <color rgb="FF565A5C"/>
      </right>
      <top/>
      <bottom style="thin">
        <color rgb="FF565A5C"/>
      </bottom>
      <diagonal/>
    </border>
    <border>
      <left style="thin">
        <color rgb="FF565A5C"/>
      </left>
      <right style="thin">
        <color rgb="FF565A5C"/>
      </right>
      <top/>
      <bottom/>
      <diagonal/>
    </border>
    <border>
      <left style="thin">
        <color rgb="FF565A5C"/>
      </left>
      <right/>
      <top style="thin">
        <color rgb="FF565A5C"/>
      </top>
      <bottom style="thin">
        <color rgb="FF565A5C"/>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rgb="FF565A5C"/>
      </right>
      <top/>
      <bottom style="thin">
        <color indexed="64"/>
      </bottom>
      <diagonal/>
    </border>
    <border>
      <left/>
      <right/>
      <top style="thin">
        <color indexed="64"/>
      </top>
      <bottom/>
      <diagonal/>
    </border>
    <border>
      <left/>
      <right/>
      <top/>
      <bottom style="thin">
        <color indexed="64"/>
      </bottom>
      <diagonal/>
    </border>
    <border>
      <left style="thin">
        <color rgb="FF565A5C"/>
      </left>
      <right style="thin">
        <color theme="2" tint="-9.9978637043366805E-2"/>
      </right>
      <top style="thin">
        <color rgb="FF565A5C"/>
      </top>
      <bottom/>
      <diagonal/>
    </border>
    <border>
      <left style="thin">
        <color theme="2" tint="-9.9978637043366805E-2"/>
      </left>
      <right style="thin">
        <color theme="2" tint="-9.9978637043366805E-2"/>
      </right>
      <top style="thin">
        <color rgb="FF565A5C"/>
      </top>
      <bottom/>
      <diagonal/>
    </border>
    <border>
      <left style="thin">
        <color theme="2" tint="-9.9978637043366805E-2"/>
      </left>
      <right style="thin">
        <color theme="2" tint="-9.9978637043366805E-2"/>
      </right>
      <top/>
      <bottom style="thin">
        <color rgb="FF565A5C"/>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rgb="FF565A5C"/>
      </right>
      <top/>
      <bottom/>
      <diagonal/>
    </border>
    <border>
      <left/>
      <right style="thin">
        <color rgb="FF565A5C"/>
      </right>
      <top/>
      <bottom style="thin">
        <color indexed="64"/>
      </bottom>
      <diagonal/>
    </border>
    <border>
      <left/>
      <right style="thin">
        <color rgb="FF565A5C"/>
      </right>
      <top style="thin">
        <color indexed="64"/>
      </top>
      <bottom/>
      <diagonal/>
    </border>
    <border>
      <left style="thin">
        <color rgb="FF565A5C"/>
      </left>
      <right/>
      <top/>
      <bottom style="thin">
        <color indexed="64"/>
      </bottom>
      <diagonal/>
    </border>
    <border>
      <left style="dashed">
        <color rgb="FF000000"/>
      </left>
      <right/>
      <top/>
      <bottom/>
      <diagonal/>
    </border>
    <border>
      <left style="dashDot">
        <color indexed="64"/>
      </left>
      <right/>
      <top style="thin">
        <color indexed="64"/>
      </top>
      <bottom style="thin">
        <color indexed="64"/>
      </bottom>
      <diagonal/>
    </border>
    <border>
      <left/>
      <right style="dashDot">
        <color indexed="64"/>
      </right>
      <top style="thin">
        <color indexed="64"/>
      </top>
      <bottom style="thin">
        <color indexed="64"/>
      </bottom>
      <diagonal/>
    </border>
    <border>
      <left style="dotted">
        <color indexed="64"/>
      </left>
      <right/>
      <top/>
      <bottom/>
      <diagonal/>
    </border>
    <border>
      <left style="thin">
        <color indexed="64"/>
      </left>
      <right style="thin">
        <color indexed="64"/>
      </right>
      <top style="thin">
        <color indexed="64"/>
      </top>
      <bottom style="thin">
        <color indexed="64"/>
      </bottom>
      <diagonal/>
    </border>
    <border>
      <left style="thin">
        <color rgb="FF565A5C"/>
      </left>
      <right style="thin">
        <color theme="2" tint="-9.9978637043366805E-2"/>
      </right>
      <top/>
      <bottom style="thin">
        <color indexed="64"/>
      </bottom>
      <diagonal/>
    </border>
    <border>
      <left/>
      <right/>
      <top style="thin">
        <color rgb="FF565A5C"/>
      </top>
      <bottom/>
      <diagonal/>
    </border>
  </borders>
  <cellStyleXfs count="7">
    <xf numFmtId="0" fontId="0" fillId="0" borderId="0"/>
    <xf numFmtId="0" fontId="13" fillId="0" borderId="0" applyNumberFormat="0" applyFill="0" applyBorder="0" applyProtection="0">
      <alignment vertical="center"/>
    </xf>
    <xf numFmtId="0" fontId="10" fillId="0" borderId="0" applyNumberFormat="0" applyFill="0" applyBorder="0" applyProtection="0">
      <alignment vertical="center"/>
    </xf>
    <xf numFmtId="0" fontId="2" fillId="8" borderId="0" applyNumberFormat="0" applyBorder="0" applyAlignment="0" applyProtection="0"/>
    <xf numFmtId="0" fontId="31"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cellStyleXfs>
  <cellXfs count="256">
    <xf numFmtId="0" fontId="0" fillId="0" borderId="0" xfId="0"/>
    <xf numFmtId="0" fontId="3" fillId="0" borderId="0" xfId="0" applyFont="1" applyAlignment="1">
      <alignment vertical="center"/>
    </xf>
    <xf numFmtId="0" fontId="0" fillId="0" borderId="0" xfId="0" applyAlignment="1">
      <alignment vertical="center"/>
    </xf>
    <xf numFmtId="49" fontId="8" fillId="4" borderId="3" xfId="0" applyNumberFormat="1" applyFont="1" applyFill="1" applyBorder="1" applyAlignment="1">
      <alignment horizontal="center" vertical="center" wrapText="1"/>
    </xf>
    <xf numFmtId="1" fontId="0" fillId="0" borderId="0" xfId="0" applyNumberFormat="1" applyAlignment="1">
      <alignment vertical="center"/>
    </xf>
    <xf numFmtId="0" fontId="3" fillId="0" borderId="0" xfId="0" applyFont="1" applyAlignment="1">
      <alignment horizontal="left"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14" fillId="6" borderId="0" xfId="3" applyFont="1" applyFill="1" applyAlignment="1">
      <alignment horizontal="center" vertical="center"/>
    </xf>
    <xf numFmtId="0" fontId="14" fillId="6" borderId="0" xfId="3" applyFont="1" applyFill="1"/>
    <xf numFmtId="0" fontId="0" fillId="4" borderId="0" xfId="0" applyFill="1"/>
    <xf numFmtId="0" fontId="16" fillId="0" borderId="0" xfId="0" applyFont="1" applyAlignment="1">
      <alignment horizontal="left" vertical="center"/>
    </xf>
    <xf numFmtId="0" fontId="3" fillId="0" borderId="21" xfId="0" applyFont="1" applyBorder="1" applyAlignment="1">
      <alignment vertical="center"/>
    </xf>
    <xf numFmtId="0" fontId="3" fillId="0" borderId="22" xfId="0" applyFont="1" applyBorder="1" applyAlignment="1">
      <alignment vertical="center"/>
    </xf>
    <xf numFmtId="0" fontId="3" fillId="0" borderId="23" xfId="0" applyFont="1" applyBorder="1" applyAlignment="1">
      <alignment vertical="center"/>
    </xf>
    <xf numFmtId="0" fontId="10" fillId="0" borderId="23" xfId="2" applyBorder="1">
      <alignment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0" fillId="0" borderId="0" xfId="0" applyAlignment="1">
      <alignment horizontal="left"/>
    </xf>
    <xf numFmtId="0" fontId="10" fillId="0" borderId="22" xfId="2" applyBorder="1">
      <alignment vertical="center"/>
    </xf>
    <xf numFmtId="0" fontId="0" fillId="0" borderId="0" xfId="0" applyAlignment="1">
      <alignment horizontal="center" vertical="center" textRotation="90"/>
    </xf>
    <xf numFmtId="0" fontId="15" fillId="0" borderId="0" xfId="0" applyFont="1"/>
    <xf numFmtId="0" fontId="17" fillId="0" borderId="26" xfId="0" applyFont="1" applyBorder="1" applyAlignment="1">
      <alignment horizontal="center" vertical="center" textRotation="90" wrapText="1"/>
    </xf>
    <xf numFmtId="0" fontId="17" fillId="0" borderId="26" xfId="0" applyFont="1" applyBorder="1" applyAlignment="1">
      <alignment horizontal="center" vertical="center" textRotation="90"/>
    </xf>
    <xf numFmtId="0" fontId="3" fillId="0" borderId="26" xfId="0" applyFont="1" applyBorder="1" applyAlignment="1">
      <alignment horizontal="right" vertical="top" wrapText="1"/>
    </xf>
    <xf numFmtId="0" fontId="18" fillId="0" borderId="26" xfId="0" applyFont="1" applyBorder="1" applyAlignment="1">
      <alignment horizontal="center" vertical="center" textRotation="90" wrapText="1"/>
    </xf>
    <xf numFmtId="0" fontId="15" fillId="0" borderId="26" xfId="0" applyFont="1" applyBorder="1" applyAlignment="1">
      <alignment horizontal="left" vertical="center" textRotation="90" shrinkToFit="1"/>
    </xf>
    <xf numFmtId="0" fontId="0" fillId="0" borderId="24" xfId="0" applyBorder="1" applyAlignment="1">
      <alignment horizontal="center" vertical="center" textRotation="90" wrapText="1"/>
    </xf>
    <xf numFmtId="0" fontId="3" fillId="0" borderId="26" xfId="0" applyFont="1" applyBorder="1" applyAlignment="1">
      <alignment vertical="top"/>
    </xf>
    <xf numFmtId="0" fontId="0" fillId="0" borderId="26" xfId="0" applyBorder="1" applyAlignment="1">
      <alignment horizontal="left" vertical="top"/>
    </xf>
    <xf numFmtId="49" fontId="19" fillId="0" borderId="25" xfId="0" applyNumberFormat="1" applyFont="1" applyBorder="1" applyAlignment="1">
      <alignment horizontal="center" vertical="center" textRotation="90" shrinkToFit="1"/>
    </xf>
    <xf numFmtId="0" fontId="20" fillId="0" borderId="0" xfId="0" applyFont="1"/>
    <xf numFmtId="0" fontId="24" fillId="0" borderId="0" xfId="2" applyFont="1">
      <alignment vertical="center"/>
    </xf>
    <xf numFmtId="0" fontId="10" fillId="0" borderId="0" xfId="2">
      <alignment vertical="center"/>
    </xf>
    <xf numFmtId="49" fontId="3" fillId="0" borderId="11" xfId="0" applyNumberFormat="1" applyFont="1" applyBorder="1" applyAlignment="1">
      <alignment horizontal="left" vertical="center"/>
    </xf>
    <xf numFmtId="49" fontId="8" fillId="4" borderId="0" xfId="0" applyNumberFormat="1" applyFont="1" applyFill="1" applyAlignment="1">
      <alignment horizontal="center" vertical="center" wrapText="1"/>
    </xf>
    <xf numFmtId="49" fontId="22" fillId="0" borderId="0" xfId="0" applyNumberFormat="1" applyFont="1" applyAlignment="1">
      <alignment horizontal="left" vertical="center"/>
    </xf>
    <xf numFmtId="1" fontId="22" fillId="0" borderId="11" xfId="0" applyNumberFormat="1" applyFont="1" applyBorder="1" applyAlignment="1">
      <alignment horizontal="center" vertical="center"/>
    </xf>
    <xf numFmtId="49" fontId="3" fillId="0" borderId="0" xfId="0" applyNumberFormat="1" applyFont="1" applyAlignment="1">
      <alignment horizontal="center" vertical="center"/>
    </xf>
    <xf numFmtId="1" fontId="3" fillId="0" borderId="11" xfId="0" applyNumberFormat="1" applyFont="1" applyBorder="1" applyAlignment="1">
      <alignment horizontal="center" vertical="center"/>
    </xf>
    <xf numFmtId="49" fontId="3" fillId="0" borderId="0" xfId="0" applyNumberFormat="1" applyFont="1" applyAlignment="1">
      <alignment horizontal="left" vertical="center"/>
    </xf>
    <xf numFmtId="0" fontId="22" fillId="0" borderId="0" xfId="0" applyFont="1" applyAlignment="1">
      <alignment vertical="center"/>
    </xf>
    <xf numFmtId="49" fontId="3" fillId="0" borderId="11" xfId="0" applyNumberFormat="1" applyFont="1" applyBorder="1" applyAlignment="1">
      <alignment horizontal="center" vertical="center"/>
    </xf>
    <xf numFmtId="0" fontId="0" fillId="0" borderId="0" xfId="0" applyAlignment="1">
      <alignment horizontal="left" vertical="center"/>
    </xf>
    <xf numFmtId="0" fontId="0" fillId="0" borderId="20" xfId="0" applyBorder="1"/>
    <xf numFmtId="0" fontId="17" fillId="0" borderId="19" xfId="0" applyFont="1" applyBorder="1" applyAlignment="1">
      <alignment horizontal="center" vertical="center" textRotation="90" wrapText="1"/>
    </xf>
    <xf numFmtId="49" fontId="3" fillId="0" borderId="19" xfId="0" applyNumberFormat="1" applyFont="1" applyBorder="1" applyAlignment="1">
      <alignment vertical="center"/>
    </xf>
    <xf numFmtId="0" fontId="0" fillId="0" borderId="19" xfId="0" applyBorder="1"/>
    <xf numFmtId="0" fontId="0" fillId="0" borderId="26" xfId="0" applyBorder="1"/>
    <xf numFmtId="0" fontId="17" fillId="0" borderId="24" xfId="0" applyFont="1" applyBorder="1" applyAlignment="1">
      <alignment horizontal="right"/>
    </xf>
    <xf numFmtId="0" fontId="17" fillId="0" borderId="19" xfId="0" applyFont="1" applyBorder="1" applyAlignment="1">
      <alignment horizontal="right"/>
    </xf>
    <xf numFmtId="0" fontId="27" fillId="0" borderId="19" xfId="0" applyFont="1" applyBorder="1"/>
    <xf numFmtId="0" fontId="17" fillId="0" borderId="19" xfId="0" applyFont="1" applyBorder="1" applyAlignment="1">
      <alignment horizontal="center"/>
    </xf>
    <xf numFmtId="0" fontId="0" fillId="0" borderId="0" xfId="0" applyAlignment="1">
      <alignment horizontal="right"/>
    </xf>
    <xf numFmtId="0" fontId="17" fillId="0" borderId="20" xfId="0" applyFont="1" applyBorder="1" applyAlignment="1">
      <alignment horizontal="right" vertical="top"/>
    </xf>
    <xf numFmtId="0" fontId="27" fillId="0" borderId="25" xfId="0" applyFont="1" applyBorder="1"/>
    <xf numFmtId="49" fontId="8" fillId="9" borderId="0" xfId="0" applyNumberFormat="1" applyFont="1" applyFill="1" applyAlignment="1">
      <alignment horizontal="center" vertical="center" wrapText="1"/>
    </xf>
    <xf numFmtId="49" fontId="8" fillId="9" borderId="11" xfId="0" applyNumberFormat="1" applyFont="1" applyFill="1" applyBorder="1" applyAlignment="1">
      <alignment horizontal="center" vertical="center" wrapText="1"/>
    </xf>
    <xf numFmtId="49" fontId="8" fillId="9" borderId="3" xfId="0" applyNumberFormat="1" applyFont="1" applyFill="1" applyBorder="1" applyAlignment="1">
      <alignment horizontal="center" vertical="center" wrapText="1"/>
    </xf>
    <xf numFmtId="49" fontId="8" fillId="9" borderId="12" xfId="0" applyNumberFormat="1" applyFont="1" applyFill="1" applyBorder="1" applyAlignment="1">
      <alignment horizontal="center" vertical="center" wrapText="1"/>
    </xf>
    <xf numFmtId="49" fontId="8" fillId="2" borderId="0" xfId="0" applyNumberFormat="1" applyFont="1" applyFill="1" applyAlignment="1">
      <alignment horizontal="left" vertical="center"/>
    </xf>
    <xf numFmtId="49" fontId="1" fillId="2" borderId="1" xfId="0" applyNumberFormat="1" applyFont="1" applyFill="1" applyBorder="1" applyAlignment="1">
      <alignment horizontal="left" vertical="center"/>
    </xf>
    <xf numFmtId="49" fontId="1" fillId="2" borderId="0" xfId="0" applyNumberFormat="1" applyFont="1" applyFill="1" applyAlignment="1">
      <alignment horizontal="left" vertical="center"/>
    </xf>
    <xf numFmtId="49" fontId="1" fillId="2" borderId="9" xfId="0" applyNumberFormat="1" applyFont="1" applyFill="1" applyBorder="1" applyAlignment="1">
      <alignment horizontal="left" vertical="center"/>
    </xf>
    <xf numFmtId="49" fontId="1" fillId="2" borderId="19" xfId="0" applyNumberFormat="1" applyFont="1" applyFill="1" applyBorder="1" applyAlignment="1">
      <alignment horizontal="left" vertical="center"/>
    </xf>
    <xf numFmtId="49" fontId="22" fillId="0" borderId="0" xfId="0" applyNumberFormat="1" applyFont="1" applyAlignment="1">
      <alignment horizontal="center" vertical="center"/>
    </xf>
    <xf numFmtId="49" fontId="1" fillId="2" borderId="10" xfId="0" applyNumberFormat="1" applyFont="1" applyFill="1" applyBorder="1" applyAlignment="1">
      <alignment horizontal="left" vertical="center"/>
    </xf>
    <xf numFmtId="49" fontId="22" fillId="0" borderId="11" xfId="0" applyNumberFormat="1" applyFont="1" applyBorder="1" applyAlignment="1">
      <alignment horizontal="left" vertical="center"/>
    </xf>
    <xf numFmtId="49" fontId="1" fillId="2" borderId="29" xfId="0" applyNumberFormat="1" applyFont="1" applyFill="1" applyBorder="1" applyAlignment="1">
      <alignment horizontal="left" vertical="center"/>
    </xf>
    <xf numFmtId="0" fontId="9" fillId="0" borderId="1" xfId="0" applyFont="1" applyBorder="1" applyAlignment="1">
      <alignment horizontal="left" vertical="center"/>
    </xf>
    <xf numFmtId="44" fontId="3" fillId="0" borderId="11" xfId="0" applyNumberFormat="1" applyFont="1" applyBorder="1" applyAlignment="1">
      <alignment horizontal="left" vertical="center"/>
    </xf>
    <xf numFmtId="44" fontId="22" fillId="0" borderId="11" xfId="0" applyNumberFormat="1" applyFont="1" applyBorder="1" applyAlignment="1">
      <alignment horizontal="left" vertical="center"/>
    </xf>
    <xf numFmtId="1" fontId="4" fillId="3" borderId="28" xfId="0" applyNumberFormat="1" applyFont="1" applyFill="1" applyBorder="1" applyAlignment="1">
      <alignment horizontal="left" vertical="center"/>
    </xf>
    <xf numFmtId="49" fontId="9" fillId="0" borderId="1" xfId="0" applyNumberFormat="1" applyFont="1" applyBorder="1" applyAlignment="1">
      <alignment horizontal="left" vertical="center"/>
    </xf>
    <xf numFmtId="49" fontId="9" fillId="0" borderId="1" xfId="0" applyNumberFormat="1" applyFont="1" applyBorder="1" applyAlignment="1">
      <alignment horizontal="center" vertical="center"/>
    </xf>
    <xf numFmtId="49" fontId="12" fillId="0" borderId="0" xfId="0" applyNumberFormat="1" applyFont="1" applyAlignment="1">
      <alignment horizontal="right" vertical="center"/>
    </xf>
    <xf numFmtId="164" fontId="5" fillId="5" borderId="30" xfId="0" applyNumberFormat="1" applyFont="1" applyFill="1" applyBorder="1" applyAlignment="1">
      <alignment horizontal="left" vertical="center"/>
    </xf>
    <xf numFmtId="165" fontId="5" fillId="5" borderId="28" xfId="0" applyNumberFormat="1" applyFont="1" applyFill="1" applyBorder="1" applyAlignment="1">
      <alignment horizontal="left" vertical="center"/>
    </xf>
    <xf numFmtId="49" fontId="0" fillId="0" borderId="0" xfId="0" applyNumberFormat="1" applyAlignment="1">
      <alignment horizontal="left" vertical="center"/>
    </xf>
    <xf numFmtId="2" fontId="26" fillId="13" borderId="0" xfId="0" applyNumberFormat="1" applyFont="1" applyFill="1" applyAlignment="1">
      <alignment horizontal="left" vertical="center"/>
    </xf>
    <xf numFmtId="49" fontId="26" fillId="13" borderId="0" xfId="0" applyNumberFormat="1" applyFont="1" applyFill="1" applyAlignment="1">
      <alignment horizontal="left" vertical="center"/>
    </xf>
    <xf numFmtId="49" fontId="26" fillId="13" borderId="12" xfId="0" applyNumberFormat="1" applyFont="1" applyFill="1" applyBorder="1" applyAlignment="1">
      <alignment horizontal="left" vertical="center"/>
    </xf>
    <xf numFmtId="2" fontId="5" fillId="14" borderId="20" xfId="0" applyNumberFormat="1" applyFont="1" applyFill="1" applyBorder="1" applyAlignment="1">
      <alignment horizontal="left" vertical="center"/>
    </xf>
    <xf numFmtId="49" fontId="11" fillId="14" borderId="20" xfId="0" applyNumberFormat="1" applyFont="1" applyFill="1" applyBorder="1" applyAlignment="1">
      <alignment horizontal="left" vertical="center"/>
    </xf>
    <xf numFmtId="49" fontId="11" fillId="14" borderId="0" xfId="0" applyNumberFormat="1" applyFont="1" applyFill="1" applyAlignment="1">
      <alignment horizontal="left" vertical="center"/>
    </xf>
    <xf numFmtId="49" fontId="11" fillId="14" borderId="14" xfId="0" applyNumberFormat="1" applyFont="1" applyFill="1" applyBorder="1" applyAlignment="1">
      <alignment horizontal="left" vertical="center"/>
    </xf>
    <xf numFmtId="0" fontId="14" fillId="8" borderId="0" xfId="3" applyFont="1" applyAlignment="1">
      <alignment vertical="center"/>
    </xf>
    <xf numFmtId="0" fontId="14" fillId="11" borderId="0" xfId="5" applyFont="1" applyAlignment="1">
      <alignment vertical="center"/>
    </xf>
    <xf numFmtId="0" fontId="0" fillId="0" borderId="15" xfId="0" applyBorder="1" applyAlignment="1">
      <alignment horizontal="right" vertical="center"/>
    </xf>
    <xf numFmtId="0" fontId="15" fillId="0" borderId="0" xfId="0" applyFont="1" applyAlignment="1">
      <alignment vertical="center"/>
    </xf>
    <xf numFmtId="1" fontId="0" fillId="0" borderId="0" xfId="0" applyNumberFormat="1" applyAlignment="1">
      <alignment horizontal="center" vertical="center"/>
    </xf>
    <xf numFmtId="1" fontId="0" fillId="0" borderId="16" xfId="0" applyNumberFormat="1" applyBorder="1" applyAlignment="1">
      <alignment horizontal="right" vertical="center"/>
    </xf>
    <xf numFmtId="1" fontId="31" fillId="10" borderId="17" xfId="4" applyNumberFormat="1" applyBorder="1" applyAlignment="1">
      <alignment vertical="center"/>
    </xf>
    <xf numFmtId="1" fontId="0" fillId="0" borderId="15" xfId="0" applyNumberFormat="1" applyBorder="1" applyAlignment="1">
      <alignment horizontal="right" vertical="center"/>
    </xf>
    <xf numFmtId="1" fontId="0" fillId="0" borderId="0" xfId="0" applyNumberFormat="1" applyAlignment="1">
      <alignment horizontal="right" vertical="center"/>
    </xf>
    <xf numFmtId="0" fontId="0" fillId="0" borderId="0" xfId="0" pivotButton="1"/>
    <xf numFmtId="49" fontId="0" fillId="0" borderId="0" xfId="0" applyNumberFormat="1"/>
    <xf numFmtId="49" fontId="0" fillId="0" borderId="0" xfId="0" applyNumberFormat="1" applyAlignment="1">
      <alignment horizontal="right"/>
    </xf>
    <xf numFmtId="2" fontId="14" fillId="12" borderId="0" xfId="6" applyNumberFormat="1" applyFont="1" applyAlignment="1">
      <alignment horizontal="left" vertical="center"/>
    </xf>
    <xf numFmtId="0" fontId="0" fillId="0" borderId="0" xfId="0" applyAlignment="1">
      <alignment horizontal="right" vertical="center"/>
    </xf>
    <xf numFmtId="0" fontId="0" fillId="0" borderId="0" xfId="0" pivotButton="1" applyAlignment="1">
      <alignment horizontal="left"/>
    </xf>
    <xf numFmtId="49" fontId="10" fillId="13" borderId="0" xfId="2" applyNumberFormat="1" applyFill="1" applyAlignment="1">
      <alignment horizontal="left" vertical="center"/>
    </xf>
    <xf numFmtId="0" fontId="10" fillId="13" borderId="0" xfId="2" applyNumberFormat="1" applyFill="1" applyAlignment="1">
      <alignment horizontal="left" vertical="center"/>
    </xf>
    <xf numFmtId="49" fontId="10" fillId="14" borderId="20" xfId="2" applyNumberFormat="1" applyFill="1" applyBorder="1" applyAlignment="1">
      <alignment horizontal="left" vertical="center"/>
    </xf>
    <xf numFmtId="0" fontId="10" fillId="14" borderId="20" xfId="2" applyNumberFormat="1" applyFill="1" applyBorder="1" applyAlignment="1">
      <alignment horizontal="left" vertical="center"/>
    </xf>
    <xf numFmtId="49" fontId="10" fillId="2" borderId="19" xfId="2" applyNumberFormat="1" applyFill="1" applyBorder="1" applyAlignment="1">
      <alignment horizontal="left" vertical="center"/>
    </xf>
    <xf numFmtId="49" fontId="10" fillId="2" borderId="0" xfId="2" applyNumberFormat="1" applyFill="1" applyAlignment="1">
      <alignment horizontal="left" vertical="center"/>
    </xf>
    <xf numFmtId="49" fontId="8" fillId="4" borderId="11" xfId="0" applyNumberFormat="1" applyFont="1" applyFill="1" applyBorder="1" applyAlignment="1">
      <alignment horizontal="center" vertical="center" wrapText="1"/>
    </xf>
    <xf numFmtId="49" fontId="12" fillId="15" borderId="0" xfId="0" applyNumberFormat="1" applyFont="1" applyFill="1" applyAlignment="1">
      <alignment horizontal="center" vertical="center"/>
    </xf>
    <xf numFmtId="49" fontId="12" fillId="15" borderId="11" xfId="0" applyNumberFormat="1" applyFont="1" applyFill="1" applyBorder="1" applyAlignment="1">
      <alignment horizontal="center" vertical="center"/>
    </xf>
    <xf numFmtId="1" fontId="0" fillId="0" borderId="0" xfId="0" pivotButton="1" applyNumberFormat="1"/>
    <xf numFmtId="1" fontId="0" fillId="0" borderId="0" xfId="0" applyNumberFormat="1"/>
    <xf numFmtId="49" fontId="10" fillId="0" borderId="0" xfId="2" applyNumberFormat="1" applyFill="1" applyBorder="1">
      <alignment vertical="center"/>
    </xf>
    <xf numFmtId="0" fontId="10" fillId="0" borderId="0" xfId="2" applyNumberFormat="1">
      <alignment vertical="center"/>
    </xf>
    <xf numFmtId="49" fontId="32" fillId="13" borderId="0" xfId="0" applyNumberFormat="1" applyFont="1" applyFill="1" applyAlignment="1">
      <alignment horizontal="left" vertical="center"/>
    </xf>
    <xf numFmtId="1" fontId="26" fillId="13" borderId="0" xfId="0" applyNumberFormat="1" applyFont="1" applyFill="1" applyAlignment="1">
      <alignment horizontal="left" vertical="center"/>
    </xf>
    <xf numFmtId="49" fontId="33" fillId="14" borderId="20" xfId="0" applyNumberFormat="1" applyFont="1" applyFill="1" applyBorder="1" applyAlignment="1">
      <alignment horizontal="left" vertical="center"/>
    </xf>
    <xf numFmtId="1" fontId="11" fillId="14" borderId="20" xfId="0" applyNumberFormat="1" applyFont="1" applyFill="1" applyBorder="1" applyAlignment="1">
      <alignment horizontal="left" vertical="center"/>
    </xf>
    <xf numFmtId="49" fontId="4" fillId="3" borderId="20" xfId="0" applyNumberFormat="1" applyFont="1" applyFill="1" applyBorder="1" applyAlignment="1">
      <alignment horizontal="left" vertical="center"/>
    </xf>
    <xf numFmtId="49" fontId="28" fillId="2" borderId="19" xfId="0" applyNumberFormat="1" applyFont="1" applyFill="1" applyBorder="1" applyAlignment="1">
      <alignment horizontal="left" vertical="center"/>
    </xf>
    <xf numFmtId="49" fontId="1" fillId="2" borderId="2" xfId="0" applyNumberFormat="1" applyFont="1" applyFill="1" applyBorder="1" applyAlignment="1">
      <alignment horizontal="left" vertical="center"/>
    </xf>
    <xf numFmtId="49" fontId="12" fillId="15" borderId="12" xfId="0" applyNumberFormat="1" applyFont="1" applyFill="1" applyBorder="1" applyAlignment="1">
      <alignment horizontal="center" vertical="center"/>
    </xf>
    <xf numFmtId="49" fontId="12" fillId="15" borderId="2" xfId="0" applyNumberFormat="1" applyFont="1" applyFill="1" applyBorder="1" applyAlignment="1">
      <alignment horizontal="center" vertical="center"/>
    </xf>
    <xf numFmtId="49" fontId="8" fillId="4" borderId="12" xfId="0" applyNumberFormat="1" applyFont="1" applyFill="1" applyBorder="1" applyAlignment="1">
      <alignment horizontal="center" vertical="center" wrapText="1"/>
    </xf>
    <xf numFmtId="49" fontId="30" fillId="4" borderId="3" xfId="0" applyNumberFormat="1" applyFont="1" applyFill="1" applyBorder="1" applyAlignment="1">
      <alignment horizontal="center" vertical="center" textRotation="90" wrapText="1"/>
    </xf>
    <xf numFmtId="49" fontId="8" fillId="9" borderId="27" xfId="0" applyNumberFormat="1" applyFont="1" applyFill="1" applyBorder="1" applyAlignment="1">
      <alignment horizontal="center" vertical="center" wrapText="1"/>
    </xf>
    <xf numFmtId="49" fontId="0" fillId="0" borderId="11" xfId="0" applyNumberFormat="1" applyBorder="1" applyAlignment="1">
      <alignment horizontal="left" vertical="center"/>
    </xf>
    <xf numFmtId="1" fontId="22" fillId="0" borderId="0" xfId="0" applyNumberFormat="1" applyFont="1" applyAlignment="1">
      <alignment horizontal="center" vertical="center"/>
    </xf>
    <xf numFmtId="2" fontId="34" fillId="0" borderId="0" xfId="0" applyNumberFormat="1" applyFont="1" applyAlignment="1">
      <alignment horizontal="left" vertical="center"/>
    </xf>
    <xf numFmtId="2" fontId="34" fillId="0" borderId="12" xfId="0" applyNumberFormat="1" applyFont="1" applyBorder="1" applyAlignment="1">
      <alignment horizontal="left" vertical="center"/>
    </xf>
    <xf numFmtId="49" fontId="8" fillId="16" borderId="0" xfId="0" applyNumberFormat="1" applyFont="1" applyFill="1" applyAlignment="1">
      <alignment horizontal="center" vertical="center" wrapText="1"/>
    </xf>
    <xf numFmtId="49" fontId="8" fillId="4" borderId="31" xfId="0" applyNumberFormat="1" applyFont="1" applyFill="1" applyBorder="1" applyAlignment="1">
      <alignment horizontal="center" vertical="center" wrapText="1"/>
    </xf>
    <xf numFmtId="49" fontId="22" fillId="0" borderId="31" xfId="0" applyNumberFormat="1" applyFont="1" applyBorder="1" applyAlignment="1">
      <alignment horizontal="left" vertical="center"/>
    </xf>
    <xf numFmtId="49" fontId="34" fillId="0" borderId="0" xfId="0" applyNumberFormat="1" applyFont="1" applyAlignment="1">
      <alignment horizontal="left" vertical="center"/>
    </xf>
    <xf numFmtId="0" fontId="18" fillId="0" borderId="26" xfId="0" applyFont="1" applyBorder="1" applyAlignment="1">
      <alignment horizontal="center" vertical="center"/>
    </xf>
    <xf numFmtId="0" fontId="10" fillId="0" borderId="0" xfId="2" applyNumberFormat="1" applyBorder="1">
      <alignment vertical="center"/>
    </xf>
    <xf numFmtId="0" fontId="0" fillId="0" borderId="26" xfId="0" applyBorder="1" applyAlignment="1">
      <alignment horizontal="center" vertical="center" textRotation="90" wrapText="1"/>
    </xf>
    <xf numFmtId="0" fontId="0" fillId="0" borderId="32" xfId="0" applyBorder="1" applyAlignment="1">
      <alignment horizontal="right" vertical="center" textRotation="90"/>
    </xf>
    <xf numFmtId="2" fontId="38" fillId="0" borderId="33" xfId="0" applyNumberFormat="1" applyFont="1" applyBorder="1" applyAlignment="1">
      <alignment horizontal="left" textRotation="90" shrinkToFit="1"/>
    </xf>
    <xf numFmtId="0" fontId="0" fillId="0" borderId="26" xfId="0" applyBorder="1" applyAlignment="1">
      <alignment vertical="center" textRotation="90"/>
    </xf>
    <xf numFmtId="0" fontId="37" fillId="0" borderId="33" xfId="0" applyFont="1" applyBorder="1" applyAlignment="1">
      <alignment horizontal="left" vertical="center" textRotation="90"/>
    </xf>
    <xf numFmtId="0" fontId="0" fillId="0" borderId="26" xfId="0" applyBorder="1" applyAlignment="1">
      <alignment horizontal="right" vertical="center" textRotation="90"/>
    </xf>
    <xf numFmtId="0" fontId="0" fillId="0" borderId="26" xfId="0" applyBorder="1" applyAlignment="1">
      <alignment horizontal="left" vertical="center" wrapText="1"/>
    </xf>
    <xf numFmtId="0" fontId="10" fillId="0" borderId="0" xfId="2" applyNumberFormat="1" applyFill="1" applyBorder="1">
      <alignment vertical="center"/>
    </xf>
    <xf numFmtId="0" fontId="10" fillId="0" borderId="11" xfId="2" applyNumberFormat="1" applyFill="1" applyBorder="1">
      <alignment vertical="center"/>
    </xf>
    <xf numFmtId="49" fontId="3" fillId="0" borderId="34" xfId="0" applyNumberFormat="1" applyFont="1" applyBorder="1" applyAlignment="1">
      <alignment horizontal="left" vertical="center"/>
    </xf>
    <xf numFmtId="0" fontId="0" fillId="0" borderId="33" xfId="0" applyBorder="1" applyAlignment="1">
      <alignment horizontal="left" vertical="center" textRotation="90" shrinkToFit="1"/>
    </xf>
    <xf numFmtId="44" fontId="2" fillId="3" borderId="20" xfId="0" applyNumberFormat="1" applyFont="1" applyFill="1" applyBorder="1" applyAlignment="1">
      <alignment horizontal="left" vertical="center"/>
    </xf>
    <xf numFmtId="0" fontId="39" fillId="0" borderId="26" xfId="0" applyFont="1" applyBorder="1" applyAlignment="1">
      <alignment horizontal="center" vertical="center" textRotation="90"/>
    </xf>
    <xf numFmtId="0" fontId="8" fillId="2" borderId="4" xfId="0" applyFont="1" applyFill="1" applyBorder="1" applyAlignment="1">
      <alignment horizontal="left" vertical="center"/>
    </xf>
    <xf numFmtId="0" fontId="8" fillId="2" borderId="5" xfId="0" applyFont="1" applyFill="1" applyBorder="1" applyAlignment="1">
      <alignment horizontal="left" vertical="center"/>
    </xf>
    <xf numFmtId="164" fontId="11" fillId="7" borderId="11" xfId="0" applyNumberFormat="1" applyFont="1" applyFill="1" applyBorder="1" applyAlignment="1">
      <alignment horizontal="left" vertical="center"/>
    </xf>
    <xf numFmtId="164" fontId="11" fillId="7" borderId="0" xfId="0" applyNumberFormat="1" applyFont="1" applyFill="1" applyAlignment="1">
      <alignment horizontal="left" vertical="center"/>
    </xf>
    <xf numFmtId="164" fontId="11" fillId="7" borderId="2" xfId="0" applyNumberFormat="1" applyFont="1" applyFill="1" applyBorder="1" applyAlignment="1">
      <alignment horizontal="left" vertical="center"/>
    </xf>
    <xf numFmtId="0" fontId="17" fillId="0" borderId="19" xfId="0" applyFont="1" applyBorder="1" applyAlignment="1">
      <alignment horizontal="center" vertical="center" textRotation="90" wrapText="1"/>
    </xf>
    <xf numFmtId="0" fontId="17" fillId="0" borderId="0" xfId="0" applyFont="1" applyAlignment="1">
      <alignment horizontal="center" vertical="center" textRotation="90" wrapText="1"/>
    </xf>
    <xf numFmtId="0" fontId="17" fillId="0" borderId="20" xfId="0" applyFont="1" applyBorder="1" applyAlignment="1">
      <alignment horizontal="center" vertical="center" textRotation="90" wrapText="1"/>
    </xf>
    <xf numFmtId="0" fontId="17" fillId="0" borderId="9" xfId="0" applyFont="1" applyBorder="1" applyAlignment="1">
      <alignment horizontal="center" vertical="center" textRotation="90" wrapText="1"/>
    </xf>
    <xf numFmtId="0" fontId="17" fillId="0" borderId="11" xfId="0" applyFont="1" applyBorder="1" applyAlignment="1">
      <alignment horizontal="center" vertical="center" textRotation="90" wrapText="1"/>
    </xf>
    <xf numFmtId="0" fontId="17" fillId="0" borderId="13" xfId="0" applyFont="1" applyBorder="1" applyAlignment="1">
      <alignment horizontal="center" vertical="center" textRotation="90" wrapText="1"/>
    </xf>
    <xf numFmtId="0" fontId="0" fillId="0" borderId="10" xfId="0"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0" fontId="17" fillId="0" borderId="19" xfId="0" applyFont="1" applyBorder="1" applyAlignment="1">
      <alignment horizontal="center" vertical="top"/>
    </xf>
    <xf numFmtId="0" fontId="17" fillId="0" borderId="10" xfId="0" applyFont="1" applyBorder="1" applyAlignment="1">
      <alignment horizontal="center" vertical="top"/>
    </xf>
    <xf numFmtId="0" fontId="17" fillId="0" borderId="20" xfId="0" applyFont="1" applyBorder="1" applyAlignment="1">
      <alignment horizontal="center" vertical="top"/>
    </xf>
    <xf numFmtId="0" fontId="17" fillId="0" borderId="14" xfId="0" applyFont="1" applyBorder="1" applyAlignment="1">
      <alignment horizontal="center" vertical="top"/>
    </xf>
    <xf numFmtId="0" fontId="0" fillId="0" borderId="19" xfId="0" applyBorder="1" applyAlignment="1">
      <alignment horizontal="center" vertical="center" textRotation="90"/>
    </xf>
    <xf numFmtId="0" fontId="0" fillId="0" borderId="0" xfId="0" applyAlignment="1">
      <alignment horizontal="center" vertical="center" textRotation="90"/>
    </xf>
    <xf numFmtId="0" fontId="0" fillId="0" borderId="20" xfId="0" applyBorder="1" applyAlignment="1">
      <alignment horizontal="center" vertical="center" textRotation="90"/>
    </xf>
    <xf numFmtId="0" fontId="0" fillId="0" borderId="26" xfId="0" applyBorder="1" applyAlignment="1">
      <alignment horizontal="center" vertical="center" textRotation="90"/>
    </xf>
    <xf numFmtId="0" fontId="0" fillId="0" borderId="0" xfId="0" applyAlignment="1">
      <alignment horizontal="center" textRotation="90"/>
    </xf>
    <xf numFmtId="0" fontId="0" fillId="0" borderId="32" xfId="0" applyBorder="1" applyAlignment="1">
      <alignment horizontal="center" vertical="center" textRotation="90"/>
    </xf>
    <xf numFmtId="0" fontId="0" fillId="0" borderId="0" xfId="0" applyAlignment="1">
      <alignment horizontal="center" vertical="center" textRotation="90" wrapText="1"/>
    </xf>
    <xf numFmtId="0" fontId="0" fillId="0" borderId="0" xfId="0" applyAlignment="1">
      <alignment vertical="center" wrapText="1"/>
    </xf>
    <xf numFmtId="0" fontId="0" fillId="0" borderId="33" xfId="0" applyBorder="1" applyAlignment="1">
      <alignment horizontal="center" vertical="center" textRotation="90" shrinkToFit="1"/>
    </xf>
    <xf numFmtId="0" fontId="37" fillId="0" borderId="33" xfId="0" applyFont="1" applyBorder="1" applyAlignment="1">
      <alignment horizontal="center" vertical="center" textRotation="90"/>
    </xf>
    <xf numFmtId="0" fontId="37" fillId="0" borderId="0" xfId="0" applyFont="1" applyAlignment="1">
      <alignment horizontal="center" textRotation="90"/>
    </xf>
    <xf numFmtId="0" fontId="39" fillId="0" borderId="0" xfId="0" applyFont="1" applyAlignment="1">
      <alignment horizontal="center" vertical="center" textRotation="90"/>
    </xf>
    <xf numFmtId="0" fontId="18" fillId="0" borderId="0" xfId="0" applyFont="1" applyAlignment="1">
      <alignment horizontal="center" vertical="center"/>
    </xf>
    <xf numFmtId="49" fontId="10" fillId="0" borderId="0" xfId="2" applyNumberFormat="1" applyFill="1" applyBorder="1" applyAlignment="1">
      <alignment horizontal="left" vertical="center"/>
    </xf>
    <xf numFmtId="1" fontId="29" fillId="0" borderId="0" xfId="0" applyNumberFormat="1" applyFont="1" applyBorder="1" applyAlignment="1">
      <alignment horizontal="left" vertical="center"/>
    </xf>
    <xf numFmtId="0" fontId="25" fillId="0" borderId="0" xfId="0" applyFont="1" applyBorder="1" applyAlignment="1">
      <alignment vertical="center"/>
    </xf>
    <xf numFmtId="0" fontId="22" fillId="0" borderId="0" xfId="0" applyFont="1" applyBorder="1" applyAlignment="1">
      <alignment vertical="center"/>
    </xf>
    <xf numFmtId="0" fontId="3" fillId="0" borderId="0" xfId="0" applyFont="1" applyBorder="1" applyAlignment="1">
      <alignment vertical="center"/>
    </xf>
    <xf numFmtId="49" fontId="12" fillId="0" borderId="0" xfId="0" applyNumberFormat="1" applyFont="1" applyBorder="1" applyAlignment="1">
      <alignment horizontal="right" vertical="center"/>
    </xf>
    <xf numFmtId="1" fontId="12" fillId="0" borderId="0" xfId="0" applyNumberFormat="1" applyFont="1" applyBorder="1" applyAlignment="1">
      <alignment horizontal="left" vertical="center"/>
    </xf>
    <xf numFmtId="49" fontId="29" fillId="0" borderId="0" xfId="0" applyNumberFormat="1" applyFont="1" applyBorder="1" applyAlignment="1">
      <alignment horizontal="right" vertical="center"/>
    </xf>
    <xf numFmtId="0" fontId="10" fillId="0" borderId="0" xfId="2" applyBorder="1">
      <alignment vertical="center"/>
    </xf>
    <xf numFmtId="0" fontId="3" fillId="0" borderId="0" xfId="0" applyFont="1" applyBorder="1" applyAlignment="1">
      <alignment horizontal="center" vertical="center"/>
    </xf>
    <xf numFmtId="0" fontId="0" fillId="0" borderId="0" xfId="0" applyBorder="1"/>
    <xf numFmtId="0" fontId="3" fillId="0" borderId="36" xfId="0" applyFont="1" applyBorder="1" applyAlignment="1">
      <alignment vertical="center"/>
    </xf>
    <xf numFmtId="0" fontId="15" fillId="16" borderId="35" xfId="0" applyFont="1" applyFill="1" applyBorder="1"/>
    <xf numFmtId="0" fontId="3" fillId="16" borderId="24" xfId="0" applyFont="1" applyFill="1" applyBorder="1" applyAlignment="1">
      <alignment horizontal="left" vertical="center"/>
    </xf>
    <xf numFmtId="0" fontId="3" fillId="16" borderId="26" xfId="0" applyFont="1" applyFill="1" applyBorder="1" applyAlignment="1">
      <alignment horizontal="left" vertical="center"/>
    </xf>
    <xf numFmtId="0" fontId="3" fillId="16" borderId="25" xfId="0" applyFont="1" applyFill="1" applyBorder="1" applyAlignment="1">
      <alignment horizontal="left" vertical="center"/>
    </xf>
    <xf numFmtId="0" fontId="0" fillId="16" borderId="24" xfId="0" applyFill="1" applyBorder="1" applyAlignment="1">
      <alignment horizontal="center"/>
    </xf>
    <xf numFmtId="0" fontId="0" fillId="16" borderId="26" xfId="0" applyFill="1" applyBorder="1" applyAlignment="1">
      <alignment horizontal="center"/>
    </xf>
    <xf numFmtId="0" fontId="0" fillId="16" borderId="25" xfId="0" applyFill="1" applyBorder="1" applyAlignment="1">
      <alignment horizontal="center"/>
    </xf>
    <xf numFmtId="166" fontId="3" fillId="16" borderId="35" xfId="0" applyNumberFormat="1" applyFont="1" applyFill="1" applyBorder="1" applyAlignment="1">
      <alignment horizontal="right" vertical="center"/>
    </xf>
    <xf numFmtId="166" fontId="3" fillId="16" borderId="7" xfId="0" applyNumberFormat="1" applyFont="1" applyFill="1" applyBorder="1" applyAlignment="1">
      <alignment horizontal="right" vertical="center"/>
    </xf>
    <xf numFmtId="0" fontId="15" fillId="16" borderId="15" xfId="0" applyFont="1" applyFill="1" applyBorder="1"/>
    <xf numFmtId="0" fontId="0" fillId="16" borderId="10" xfId="0" applyFill="1" applyBorder="1" applyAlignment="1">
      <alignment horizontal="right" vertical="center"/>
    </xf>
    <xf numFmtId="0" fontId="8" fillId="16" borderId="16" xfId="0" applyFont="1" applyFill="1" applyBorder="1" applyAlignment="1">
      <alignment horizontal="right"/>
    </xf>
    <xf numFmtId="0" fontId="8" fillId="16" borderId="17" xfId="0" applyFont="1" applyFill="1" applyBorder="1" applyAlignment="1">
      <alignment horizontal="right"/>
    </xf>
    <xf numFmtId="166" fontId="3" fillId="16" borderId="18" xfId="0" applyNumberFormat="1" applyFont="1" applyFill="1" applyBorder="1" applyAlignment="1">
      <alignment horizontal="right" vertical="center"/>
    </xf>
    <xf numFmtId="0" fontId="15" fillId="16" borderId="8" xfId="0" applyFont="1" applyFill="1" applyBorder="1"/>
    <xf numFmtId="0" fontId="3" fillId="16" borderId="9" xfId="0" applyFont="1" applyFill="1" applyBorder="1" applyAlignment="1">
      <alignment horizontal="left" vertical="top"/>
    </xf>
    <xf numFmtId="0" fontId="3" fillId="16" borderId="19" xfId="0" applyFont="1" applyFill="1" applyBorder="1" applyAlignment="1">
      <alignment horizontal="left" vertical="top"/>
    </xf>
    <xf numFmtId="0" fontId="3" fillId="16" borderId="10" xfId="0" applyFont="1" applyFill="1" applyBorder="1" applyAlignment="1">
      <alignment horizontal="left" vertical="top"/>
    </xf>
    <xf numFmtId="0" fontId="3" fillId="16" borderId="11" xfId="0" applyFont="1" applyFill="1" applyBorder="1" applyAlignment="1">
      <alignment horizontal="left" vertical="top"/>
    </xf>
    <xf numFmtId="0" fontId="3" fillId="16" borderId="12" xfId="0" applyFont="1" applyFill="1" applyBorder="1" applyAlignment="1">
      <alignment horizontal="left" vertical="top"/>
    </xf>
    <xf numFmtId="0" fontId="3" fillId="16" borderId="13" xfId="0" applyFont="1" applyFill="1" applyBorder="1" applyAlignment="1">
      <alignment horizontal="left" vertical="top"/>
    </xf>
    <xf numFmtId="0" fontId="3" fillId="16" borderId="20" xfId="0" applyFont="1" applyFill="1" applyBorder="1" applyAlignment="1">
      <alignment horizontal="left" vertical="top"/>
    </xf>
    <xf numFmtId="0" fontId="3" fillId="16" borderId="14" xfId="0" applyFont="1" applyFill="1" applyBorder="1" applyAlignment="1">
      <alignment horizontal="left" vertical="top"/>
    </xf>
    <xf numFmtId="0" fontId="15" fillId="4" borderId="1" xfId="0" applyFont="1" applyFill="1" applyBorder="1"/>
    <xf numFmtId="166" fontId="3" fillId="4" borderId="7" xfId="0" applyNumberFormat="1" applyFont="1" applyFill="1" applyBorder="1" applyAlignment="1">
      <alignment horizontal="right" vertical="center"/>
    </xf>
    <xf numFmtId="0" fontId="3" fillId="16" borderId="0" xfId="0" applyFont="1" applyFill="1" applyBorder="1" applyAlignment="1">
      <alignment horizontal="left" vertical="top"/>
    </xf>
    <xf numFmtId="0" fontId="0" fillId="0" borderId="37" xfId="0" applyBorder="1"/>
    <xf numFmtId="2" fontId="34" fillId="0" borderId="0" xfId="0" applyNumberFormat="1" applyFont="1" applyBorder="1" applyAlignment="1">
      <alignment horizontal="left" vertical="center"/>
    </xf>
    <xf numFmtId="49" fontId="0" fillId="0" borderId="0" xfId="0" applyNumberFormat="1" applyBorder="1" applyAlignment="1">
      <alignment horizontal="left" vertical="center"/>
    </xf>
    <xf numFmtId="49" fontId="34" fillId="0" borderId="0" xfId="0" applyNumberFormat="1" applyFont="1" applyBorder="1" applyAlignment="1">
      <alignment horizontal="left" vertical="center"/>
    </xf>
    <xf numFmtId="49" fontId="3" fillId="0" borderId="0" xfId="0" applyNumberFormat="1" applyFont="1" applyBorder="1" applyAlignment="1">
      <alignment horizontal="center" vertical="center"/>
    </xf>
    <xf numFmtId="49" fontId="22" fillId="0" borderId="0" xfId="0" applyNumberFormat="1" applyFont="1" applyBorder="1" applyAlignment="1">
      <alignment horizontal="center" vertical="center"/>
    </xf>
    <xf numFmtId="1" fontId="3" fillId="0" borderId="0" xfId="0" applyNumberFormat="1" applyFont="1" applyBorder="1" applyAlignment="1">
      <alignment horizontal="center" vertical="center"/>
    </xf>
    <xf numFmtId="1" fontId="22" fillId="0" borderId="0" xfId="0" applyNumberFormat="1" applyFont="1" applyBorder="1" applyAlignment="1">
      <alignment horizontal="center" vertical="center"/>
    </xf>
    <xf numFmtId="49" fontId="3" fillId="0" borderId="0" xfId="0" applyNumberFormat="1" applyFont="1" applyBorder="1" applyAlignment="1">
      <alignment horizontal="left" vertical="center"/>
    </xf>
    <xf numFmtId="49" fontId="22" fillId="0" borderId="0" xfId="0" applyNumberFormat="1" applyFont="1" applyBorder="1" applyAlignment="1">
      <alignment horizontal="left" vertical="center"/>
    </xf>
    <xf numFmtId="49" fontId="23" fillId="0" borderId="0" xfId="0" applyNumberFormat="1" applyFont="1" applyBorder="1" applyAlignment="1">
      <alignment horizontal="left" vertical="center"/>
    </xf>
    <xf numFmtId="0" fontId="22" fillId="0" borderId="0" xfId="0" applyFont="1" applyBorder="1" applyAlignment="1">
      <alignment vertical="center" wrapText="1"/>
    </xf>
    <xf numFmtId="49" fontId="35" fillId="0" borderId="0" xfId="0" applyNumberFormat="1" applyFont="1" applyBorder="1" applyAlignment="1">
      <alignment horizontal="left" vertical="center"/>
    </xf>
    <xf numFmtId="2" fontId="31" fillId="10" borderId="0" xfId="4" applyNumberFormat="1" applyBorder="1" applyAlignment="1">
      <alignment horizontal="left" vertical="center"/>
    </xf>
    <xf numFmtId="0" fontId="9" fillId="0" borderId="0" xfId="0" applyFont="1" applyBorder="1" applyAlignment="1">
      <alignment vertical="center"/>
    </xf>
    <xf numFmtId="49" fontId="3" fillId="0" borderId="0" xfId="0" applyNumberFormat="1" applyFont="1" applyBorder="1" applyAlignment="1">
      <alignment horizontal="right" vertical="center"/>
    </xf>
    <xf numFmtId="49" fontId="3" fillId="0" borderId="0" xfId="0" applyNumberFormat="1" applyFont="1" applyBorder="1" applyAlignment="1">
      <alignment vertical="center"/>
    </xf>
    <xf numFmtId="49" fontId="10" fillId="0" borderId="0" xfId="2" applyNumberFormat="1" applyBorder="1">
      <alignment vertical="center"/>
    </xf>
    <xf numFmtId="1" fontId="3" fillId="0" borderId="0" xfId="0" applyNumberFormat="1" applyFont="1" applyBorder="1" applyAlignment="1">
      <alignment horizontal="left" vertical="center"/>
    </xf>
    <xf numFmtId="49" fontId="35" fillId="0" borderId="0" xfId="0" applyNumberFormat="1" applyFont="1" applyFill="1" applyBorder="1" applyAlignment="1">
      <alignment horizontal="left" vertical="center"/>
    </xf>
    <xf numFmtId="49" fontId="3" fillId="0" borderId="0" xfId="0" applyNumberFormat="1" applyFont="1" applyFill="1" applyBorder="1" applyAlignment="1">
      <alignment horizontal="center" vertical="center"/>
    </xf>
    <xf numFmtId="49" fontId="3" fillId="0" borderId="2" xfId="0" applyNumberFormat="1" applyFont="1" applyFill="1" applyBorder="1" applyAlignment="1">
      <alignment horizontal="center" vertical="center"/>
    </xf>
    <xf numFmtId="1" fontId="3" fillId="0" borderId="11" xfId="0" applyNumberFormat="1" applyFont="1" applyFill="1" applyBorder="1" applyAlignment="1">
      <alignment horizontal="center" vertical="center"/>
    </xf>
    <xf numFmtId="1" fontId="3" fillId="0" borderId="2" xfId="0" applyNumberFormat="1" applyFont="1" applyFill="1" applyBorder="1" applyAlignment="1">
      <alignment horizontal="center" vertical="center"/>
    </xf>
    <xf numFmtId="49" fontId="3" fillId="0" borderId="0" xfId="0" applyNumberFormat="1" applyFont="1" applyFill="1" applyBorder="1" applyAlignment="1">
      <alignment horizontal="left" vertical="center"/>
    </xf>
    <xf numFmtId="49" fontId="3" fillId="0" borderId="12" xfId="0" applyNumberFormat="1" applyFont="1" applyFill="1" applyBorder="1" applyAlignment="1">
      <alignment horizontal="left" vertical="center"/>
    </xf>
    <xf numFmtId="49" fontId="29" fillId="0" borderId="0" xfId="0" applyNumberFormat="1" applyFont="1" applyFill="1" applyBorder="1" applyAlignment="1">
      <alignment horizontal="right" vertical="center"/>
    </xf>
    <xf numFmtId="1" fontId="29" fillId="0" borderId="2" xfId="0" applyNumberFormat="1" applyFont="1" applyFill="1" applyBorder="1" applyAlignment="1">
      <alignment horizontal="left" vertical="center"/>
    </xf>
    <xf numFmtId="49" fontId="3" fillId="0" borderId="11" xfId="0" applyNumberFormat="1" applyFont="1" applyFill="1" applyBorder="1" applyAlignment="1">
      <alignment horizontal="center" vertical="center"/>
    </xf>
    <xf numFmtId="0" fontId="10" fillId="0" borderId="11" xfId="2" applyNumberFormat="1" applyBorder="1">
      <alignment vertical="center"/>
    </xf>
    <xf numFmtId="1" fontId="3" fillId="0" borderId="0" xfId="0" applyNumberFormat="1" applyFont="1" applyFill="1" applyBorder="1" applyAlignment="1">
      <alignment horizontal="center" vertical="center"/>
    </xf>
    <xf numFmtId="1" fontId="29" fillId="0" borderId="0" xfId="0" applyNumberFormat="1" applyFont="1" applyFill="1" applyBorder="1" applyAlignment="1">
      <alignment horizontal="left" vertical="center"/>
    </xf>
    <xf numFmtId="0" fontId="25" fillId="0" borderId="11" xfId="0" applyFont="1" applyBorder="1" applyAlignment="1">
      <alignment vertical="center"/>
    </xf>
    <xf numFmtId="49" fontId="3" fillId="0" borderId="11" xfId="0" applyNumberFormat="1" applyFont="1" applyBorder="1" applyAlignment="1">
      <alignment horizontal="right" vertical="center"/>
    </xf>
    <xf numFmtId="3" fontId="3" fillId="0" borderId="11" xfId="0" applyNumberFormat="1" applyFont="1" applyBorder="1" applyAlignment="1">
      <alignment horizontal="left" vertical="center"/>
    </xf>
    <xf numFmtId="3" fontId="22" fillId="0" borderId="11" xfId="0" applyNumberFormat="1" applyFont="1" applyBorder="1" applyAlignment="1">
      <alignment horizontal="left" vertical="center"/>
    </xf>
    <xf numFmtId="49" fontId="22" fillId="0" borderId="34" xfId="0" applyNumberFormat="1" applyFont="1" applyBorder="1" applyAlignment="1">
      <alignment horizontal="left" vertical="center"/>
    </xf>
    <xf numFmtId="49" fontId="3" fillId="0" borderId="34" xfId="0" applyNumberFormat="1" applyFont="1" applyFill="1" applyBorder="1" applyAlignment="1">
      <alignment horizontal="left" vertical="center"/>
    </xf>
  </cellXfs>
  <cellStyles count="7">
    <cellStyle name="Accent1" xfId="3" builtinId="29"/>
    <cellStyle name="Accent2" xfId="5" builtinId="33"/>
    <cellStyle name="Accent5" xfId="6" builtinId="45"/>
    <cellStyle name="Followed Hyperlink" xfId="1" builtinId="9" customBuiltin="1"/>
    <cellStyle name="Good" xfId="4" builtinId="26"/>
    <cellStyle name="Hyperlink" xfId="2" builtinId="8" customBuiltin="1"/>
    <cellStyle name="Normal" xfId="0" builtinId="0"/>
  </cellStyles>
  <dxfs count="131">
    <dxf>
      <font>
        <b val="0"/>
        <i val="0"/>
        <strike val="0"/>
        <condense val="0"/>
        <extend val="0"/>
        <outline val="0"/>
        <shadow val="0"/>
        <u val="none"/>
        <vertAlign val="baseline"/>
        <sz val="10"/>
        <color theme="1"/>
        <name val="Calibri"/>
        <family val="2"/>
        <scheme val="none"/>
      </font>
      <numFmt numFmtId="34" formatCode="_(&quot;$&quot;* #,##0.00_);_(&quot;$&quot;* \(#,##0.00\);_(&quot;$&quot;* &quot;-&quot;??_);_(@_)"/>
      <fill>
        <patternFill patternType="none">
          <fgColor indexed="64"/>
          <bgColor indexed="65"/>
        </patternFill>
      </fill>
      <alignment horizontal="left" vertical="center" textRotation="0" wrapText="0" indent="0" justifyLastLine="0" shrinkToFit="0" readingOrder="0"/>
      <border diagonalUp="0" diagonalDown="0">
        <left style="thin">
          <color indexed="64"/>
        </left>
        <right/>
        <top/>
        <bottom/>
        <vertical/>
        <horizontal/>
      </border>
    </dxf>
    <dxf>
      <font>
        <color rgb="FF9C0006"/>
      </font>
      <fill>
        <patternFill>
          <fgColor indexed="64"/>
          <bgColor rgb="FFFFC7CE"/>
        </patternFill>
      </fill>
    </dxf>
    <dxf>
      <font>
        <color theme="0" tint="-0.499984740745262"/>
      </font>
      <fill>
        <patternFill>
          <fgColor indexed="64"/>
          <bgColor theme="2"/>
        </patternFill>
      </fill>
    </dxf>
    <dxf>
      <font>
        <color rgb="FF565A5C"/>
      </font>
      <fill>
        <patternFill>
          <fgColor indexed="64"/>
          <bgColor theme="0" tint="-0.24994659260841701"/>
        </patternFill>
      </fill>
    </dxf>
    <dxf>
      <font>
        <b/>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color theme="0" tint="-0.24994659260841701"/>
      </font>
      <fill>
        <patternFill patternType="none">
          <fgColor indexed="64"/>
          <bgColor indexed="65"/>
        </patternFill>
      </fill>
    </dxf>
    <dxf>
      <font>
        <color theme="0" tint="-0.24994659260841701"/>
      </font>
    </dxf>
    <dxf>
      <fill>
        <patternFill>
          <fgColor indexed="64"/>
          <bgColor rgb="FFFFC7CE"/>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5700"/>
      </font>
      <fill>
        <patternFill>
          <fgColor indexed="64"/>
          <bgColor rgb="FFFFEB9C"/>
        </patternFill>
      </fill>
    </dxf>
    <dxf>
      <font>
        <color rgb="FF006100"/>
      </font>
      <fill>
        <patternFill>
          <fgColor indexed="64"/>
          <bgColor rgb="FFC6EFCE"/>
        </patternFill>
      </fill>
    </dxf>
    <dxf>
      <font>
        <b val="0"/>
        <i val="0"/>
        <strike val="0"/>
        <condense val="0"/>
        <extend val="0"/>
        <outline val="0"/>
        <shadow val="0"/>
        <u val="none"/>
        <vertAlign val="baseline"/>
        <sz val="10"/>
        <color theme="0" tint="-0.499984740745262"/>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0" tint="-0.499984740745262"/>
        <name val="Calibri"/>
        <family val="2"/>
        <scheme val="minor"/>
      </font>
      <numFmt numFmtId="30" formatCode="@"/>
      <fill>
        <patternFill patternType="none">
          <fgColor theme="6" tint="0.79998168889431442"/>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style="thin">
          <color indexed="64"/>
        </right>
      </border>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strike val="0"/>
        <outline val="0"/>
        <shadow val="0"/>
        <u val="none"/>
        <vertAlign val="baseline"/>
        <sz val="10"/>
        <color theme="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numFmt numFmtId="0" formatCode="General"/>
      <fill>
        <patternFill patternType="none">
          <fgColor theme="6" tint="0.79998168889431442"/>
          <bgColor auto="1"/>
        </patternFill>
      </fill>
    </dxf>
    <dxf>
      <numFmt numFmtId="0" formatCode="General"/>
      <fill>
        <patternFill patternType="none">
          <fgColor theme="6" tint="0.79998168889431442"/>
          <bgColor auto="1"/>
        </patternFill>
      </fill>
      <border diagonalUp="0" diagonalDown="0">
        <left style="thin">
          <color indexed="64"/>
        </left>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numFmt numFmtId="30" formatCode="@"/>
      <fill>
        <patternFill patternType="none">
          <bgColor auto="1"/>
        </patternFill>
      </fill>
    </dxf>
    <dxf>
      <font>
        <b val="0"/>
        <i val="0"/>
        <strike val="0"/>
        <condense val="0"/>
        <extend val="0"/>
        <outline val="0"/>
        <shadow val="0"/>
        <u val="none"/>
        <vertAlign val="baseline"/>
        <sz val="10"/>
        <color auto="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numFmt numFmtId="30" formatCode="@"/>
      <alignment horizontal="left" vertical="center" textRotation="0" indent="0" justifyLastLine="0" shrinkToFit="0" readingOrder="0"/>
    </dxf>
    <dxf>
      <numFmt numFmtId="30" formatCode="@"/>
      <alignment horizontal="left" vertical="center" textRotation="0" indent="0" justifyLastLine="0" shrinkToFit="0" readingOrder="0"/>
    </dxf>
    <dxf>
      <numFmt numFmtId="30" formatCode="@"/>
      <alignment horizontal="left" vertical="center" textRotation="0" indent="0" justifyLastLine="0" shrinkToFit="0" readingOrder="0"/>
    </dxf>
    <dxf>
      <numFmt numFmtId="30" formatCode="@"/>
      <alignment horizontal="left" vertical="center" textRotation="0" indent="0" justifyLastLine="0" shrinkToFit="0" readingOrder="0"/>
    </dxf>
    <dxf>
      <numFmt numFmtId="30" formatCode="@"/>
      <alignment horizontal="left" vertical="center" textRotation="0" indent="0" justifyLastLine="0" shrinkToFit="0" readingOrder="0"/>
      <border diagonalUp="0" diagonalDown="0" outline="0">
        <left style="thin">
          <color indexed="64"/>
        </left>
        <right/>
        <top/>
        <bottom/>
      </border>
    </dxf>
    <dxf>
      <font>
        <strike val="0"/>
        <outline val="0"/>
        <shadow val="0"/>
        <u val="none"/>
        <vertAlign val="baseline"/>
        <sz val="10"/>
        <color auto="1"/>
        <name val="Calibri"/>
        <family val="2"/>
        <scheme val="minor"/>
      </font>
      <numFmt numFmtId="2" formatCode="0.00"/>
      <alignment horizontal="left" vertical="center" textRotation="0" indent="0" justifyLastLine="0" shrinkToFit="0" readingOrder="0"/>
      <border outline="0">
        <right style="thin">
          <color indexed="64"/>
        </right>
      </border>
    </dxf>
    <dxf>
      <font>
        <strike val="0"/>
        <outline val="0"/>
        <shadow val="0"/>
        <vertAlign val="baseline"/>
        <sz val="10"/>
        <name val="Calibri"/>
        <family val="2"/>
      </font>
      <numFmt numFmtId="30" formatCode="@"/>
      <fill>
        <patternFill patternType="none">
          <bgColor auto="1"/>
        </patternFill>
      </fill>
      <alignment vertical="center" textRotation="0" indent="0" justifyLastLine="0" shrinkToFit="0" readingOrder="0"/>
    </dxf>
    <dxf>
      <font>
        <color rgb="FF9C0006"/>
      </font>
      <fill>
        <patternFill>
          <fgColor indexed="64"/>
          <bgColor rgb="FFFFC7CE"/>
        </patternFill>
      </fill>
    </dxf>
    <dxf>
      <font>
        <color theme="0" tint="-0.499984740745262"/>
      </font>
      <fill>
        <patternFill>
          <fgColor indexed="64"/>
          <bgColor theme="2"/>
        </patternFill>
      </fill>
    </dxf>
    <dxf>
      <font>
        <color rgb="FF565A5C"/>
      </font>
      <fill>
        <patternFill>
          <fgColor indexed="64"/>
          <bgColor theme="0" tint="-0.24994659260841701"/>
        </patternFill>
      </fill>
    </dxf>
    <dxf>
      <font>
        <color theme="0" tint="-0.24994659260841701"/>
      </font>
      <fill>
        <patternFill patternType="none">
          <fgColor indexed="64"/>
          <bgColor indexed="65"/>
        </patternFill>
      </fill>
    </dxf>
    <dxf>
      <font>
        <color theme="0" tint="-0.24994659260841701"/>
      </font>
    </dxf>
    <dxf>
      <fill>
        <patternFill>
          <fgColor indexed="64"/>
          <bgColor rgb="FFFFC7CE"/>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57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theme="0" tint="-0.499984740745262"/>
      </font>
      <fill>
        <patternFill>
          <fgColor indexed="64"/>
          <bgColor theme="2"/>
        </patternFill>
      </fill>
    </dxf>
    <dxf>
      <font>
        <color rgb="FF565A5C"/>
      </font>
      <fill>
        <patternFill>
          <fgColor indexed="64"/>
          <bgColor theme="0" tint="-0.24994659260841701"/>
        </patternFill>
      </fill>
    </dxf>
    <dxf>
      <fill>
        <patternFill>
          <fgColor indexed="64"/>
          <bgColor rgb="FFFFC7CE"/>
        </patternFill>
      </fill>
    </dxf>
    <dxf>
      <font>
        <color theme="0" tint="-0.24994659260841701"/>
      </font>
    </dxf>
    <dxf>
      <font>
        <color theme="0" tint="-0.24994659260841701"/>
      </font>
      <fill>
        <patternFill patternType="none">
          <fgColor indexed="64"/>
          <bgColor indexed="65"/>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5700"/>
      </font>
      <fill>
        <patternFill>
          <fgColor indexed="64"/>
          <bgColor rgb="FFFFEB9C"/>
        </patternFill>
      </fill>
    </dxf>
    <dxf>
      <font>
        <color rgb="FF006100"/>
      </font>
      <fill>
        <patternFill>
          <fgColor indexed="64"/>
          <bgColor rgb="FFC6EFCE"/>
        </patternFill>
      </fill>
    </dxf>
    <dxf>
      <alignment horizontal="left"/>
    </dxf>
    <dxf>
      <alignment horizontal="left"/>
    </dxf>
    <dxf>
      <numFmt numFmtId="1" formatCode="0"/>
    </dxf>
    <dxf>
      <numFmt numFmtId="19" formatCode="m/d/yyyy"/>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0"/>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rgb="FFFF0000"/>
        <name val="Calibri"/>
        <family val="2"/>
        <scheme val="none"/>
      </font>
      <alignment horizontal="left" vertical="center" textRotation="0" wrapText="0" indent="0" justifyLastLine="0" shrinkToFit="0" readingOrder="0"/>
      <border diagonalUp="0" diagonalDown="0" outline="0">
        <left/>
        <right style="thin">
          <color indexed="64"/>
        </right>
        <top/>
        <bottom/>
      </border>
    </dxf>
    <dxf>
      <numFmt numFmtId="30" formatCode="@"/>
      <alignment vertical="center" textRotation="0" indent="0" justifyLastLine="0" shrinkToFit="0" readingOrder="0"/>
    </dxf>
    <dxf>
      <border outline="0">
        <left style="thin">
          <color theme="6" tint="0.39997558519241921"/>
        </left>
        <right style="thin">
          <color rgb="FF000000"/>
        </right>
        <top style="thin">
          <color theme="0" tint="-0.249977111117893"/>
        </top>
        <bottom style="thin">
          <color theme="6" tint="0.39997558519241921"/>
        </bottom>
      </border>
    </dxf>
  </dxfs>
  <tableStyles count="0" defaultTableStyle="TableStyleMedium2" defaultPivotStyle="PivotStyleMedium9"/>
  <colors>
    <mruColors>
      <color rgb="FFCCCCFF"/>
      <color rgb="FF565A5C"/>
      <color rgb="FFCFB87C"/>
      <color rgb="FF9933FF"/>
      <color rgb="FF9C5700"/>
      <color rgb="FFCC99FF"/>
      <color rgb="FFA2A4A3"/>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26" Type="http://schemas.microsoft.com/office/2017/10/relationships/person" Target="persons/person.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17/06/relationships/rdSupportingPropertyBagStructure" Target="richData/rdsupportingpropertybagstructure.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17/06/relationships/richStyles" Target="richData/richStyles.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Template.xlsm]s-Assign!Collection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Collection Assignments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's-Assign'!$B$1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544-4B14-B953-12802A0919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544-4B14-B953-12802A09196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544-4B14-B953-12802A09196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544-4B14-B953-12802A09196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544-4B14-B953-12802A09196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544-4B14-B953-12802A09196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544-4B14-B953-12802A0919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's-Assign'!$A$2:$A$7</c:f>
              <c:strCache>
                <c:ptCount val="5"/>
                <c:pt idx="0">
                  <c:v>norst</c:v>
                </c:pt>
                <c:pt idx="1">
                  <c:v>asnst</c:v>
                </c:pt>
                <c:pt idx="2">
                  <c:v>reject</c:v>
                </c:pt>
                <c:pt idx="3">
                  <c:v>dupe</c:v>
                </c:pt>
                <c:pt idx="4">
                  <c:v>pascal</c:v>
                </c:pt>
              </c:strCache>
            </c:strRef>
          </c:cat>
          <c:val>
            <c:numRef>
              <c:f>'s-Assign'!$B$2:$B$7</c:f>
              <c:numCache>
                <c:formatCode>General</c:formatCode>
                <c:ptCount val="5"/>
                <c:pt idx="0">
                  <c:v>1</c:v>
                </c:pt>
                <c:pt idx="1">
                  <c:v>19</c:v>
                </c:pt>
                <c:pt idx="2">
                  <c:v>66</c:v>
                </c:pt>
                <c:pt idx="3">
                  <c:v>108</c:v>
                </c:pt>
                <c:pt idx="4">
                  <c:v>191</c:v>
                </c:pt>
              </c:numCache>
            </c:numRef>
          </c:val>
          <c:extLst>
            <c:ext xmlns:c16="http://schemas.microsoft.com/office/drawing/2014/chart" uri="{C3380CC4-5D6E-409C-BE32-E72D297353CC}">
              <c16:uniqueId val="{00000000-5019-42D7-921A-F4482663A87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Template.xlsm]s-Series!SeriesRE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Series Titles - Romanized/English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's-Series'!$E$1</c:f>
              <c:strCache>
                <c:ptCount val="1"/>
                <c:pt idx="0">
                  <c:v>Total</c:v>
                </c:pt>
              </c:strCache>
            </c:strRef>
          </c:tx>
          <c:spPr>
            <a:solidFill>
              <a:schemeClr val="accent1"/>
            </a:solidFill>
            <a:ln>
              <a:noFill/>
            </a:ln>
            <a:effectLst/>
          </c:spPr>
          <c:invertIfNegative val="0"/>
          <c:cat>
            <c:strRef>
              <c:f>'s-Series'!$D$2:$D$73</c:f>
              <c:strCache>
                <c:ptCount val="72"/>
                <c:pt idx="0">
                  <c:v>Tōyō no rekishi</c:v>
                </c:pt>
                <c:pt idx="1">
                  <c:v>Cornell paperbacks</c:v>
                </c:pt>
                <c:pt idx="2">
                  <c:v>Nihon rekishi sōsho</c:v>
                </c:pt>
                <c:pt idx="3">
                  <c:v>Pureibukkusu</c:v>
                </c:pt>
                <c:pt idx="4">
                  <c:v>Routledge studies in Asia's transformations</c:v>
                </c:pt>
                <c:pt idx="5">
                  <c:v>Pieichipi bijinesu shinsho</c:v>
                </c:pt>
                <c:pt idx="6">
                  <c:v>Kodaishi kenkyū sensho</c:v>
                </c:pt>
                <c:pt idx="7">
                  <c:v>Shin zenkoku rekishi sanpo shirīzu</c:v>
                </c:pt>
                <c:pt idx="8">
                  <c:v>Tabitomo</c:v>
                </c:pt>
                <c:pt idx="9">
                  <c:v>Earia gaido</c:v>
                </c:pt>
                <c:pt idx="10">
                  <c:v>Sekaishiso seminar</c:v>
                </c:pt>
                <c:pt idx="11">
                  <c:v>Enueichikei bukkusu</c:v>
                </c:pt>
                <c:pt idx="12">
                  <c:v>Ginga bukkusu</c:v>
                </c:pt>
                <c:pt idx="13">
                  <c:v>Kōdansha + alpha bunko</c:v>
                </c:pt>
                <c:pt idx="14">
                  <c:v>Chikuma sōsho</c:v>
                </c:pt>
                <c:pt idx="15">
                  <c:v>Chikuma gakugei bunko</c:v>
                </c:pt>
                <c:pt idx="16">
                  <c:v>NHK bukkusu</c:v>
                </c:pt>
                <c:pt idx="17">
                  <c:v>Kyōto Shoin ātsu korekushon</c:v>
                </c:pt>
                <c:pt idx="18">
                  <c:v>Kuronosu Sensho</c:v>
                </c:pt>
                <c:pt idx="19">
                  <c:v>Chuko bunko</c:v>
                </c:pt>
                <c:pt idx="20">
                  <c:v>zhu zi ji cheng</c:v>
                </c:pt>
                <c:pt idx="21">
                  <c:v>Kyōdaiseiyōshi</c:v>
                </c:pt>
                <c:pt idx="22">
                  <c:v>Kyōyō no Nihon shi</c:v>
                </c:pt>
                <c:pt idx="23">
                  <c:v>Nihonjin no seishinshi kenkyū</c:v>
                </c:pt>
                <c:pt idx="24">
                  <c:v>Nihon shijin zenshū</c:v>
                </c:pt>
                <c:pt idx="25">
                  <c:v>Shinchō shinsho</c:v>
                </c:pt>
                <c:pt idx="26">
                  <c:v>Sōkaisetsu shirīzu</c:v>
                </c:pt>
                <c:pt idx="27">
                  <c:v>Ikeda3Lbukkusu</c:v>
                </c:pt>
                <c:pt idx="28">
                  <c:v>Modern war studies</c:v>
                </c:pt>
                <c:pt idx="29">
                  <c:v>Bunshun shinsho</c:v>
                </c:pt>
                <c:pt idx="30">
                  <c:v>Harvard East Asian series</c:v>
                </c:pt>
                <c:pt idx="31">
                  <c:v>Santōka bunko</c:v>
                </c:pt>
                <c:pt idx="32">
                  <c:v>Ethics and public policy studies</c:v>
                </c:pt>
                <c:pt idx="33">
                  <c:v>Nihon koten bungaku taikei</c:v>
                </c:pt>
                <c:pt idx="34">
                  <c:v>USAF Southeast Asia monograph series</c:v>
                </c:pt>
                <c:pt idx="35">
                  <c:v>Kadokawa novels</c:v>
                </c:pt>
                <c:pt idx="36">
                  <c:v>Studies of the East Asian Institute</c:v>
                </c:pt>
                <c:pt idx="37">
                  <c:v>Seishun no shishū</c:v>
                </c:pt>
                <c:pt idx="38">
                  <c:v>&lt;td&gt;&lt;font size=2 face="Arial,Helvetica,sans-serif"&gt;Borzoi book</c:v>
                </c:pt>
                <c:pt idx="39">
                  <c:v>Nihon rekishi sōsho (Iwanami Shoten)</c:v>
                </c:pt>
                <c:pt idx="40">
                  <c:v>Studia historica (Helsinki, Finland)</c:v>
                </c:pt>
                <c:pt idx="41">
                  <c:v>Maruzen raiburarī</c:v>
                </c:pt>
                <c:pt idx="42">
                  <c:v>&lt;td&gt;&lt;font size=2 face="Arial,Helvetica,sans-serif"&gt;Vintage books</c:v>
                </c:pt>
                <c:pt idx="43">
                  <c:v>Kyōdai Tōyō shi</c:v>
                </c:pt>
                <c:pt idx="44">
                  <c:v>Moon travel handbooks</c:v>
                </c:pt>
                <c:pt idx="45">
                  <c:v>Kōjinsha NF Bunko</c:v>
                </c:pt>
                <c:pt idx="46">
                  <c:v>Contributions in economics and economic history</c:v>
                </c:pt>
                <c:pt idx="47">
                  <c:v>Chūgoku jinbutsu sōsho</c:v>
                </c:pt>
                <c:pt idx="48">
                  <c:v>Jinbutsu sōsho (Shinsōban)</c:v>
                </c:pt>
                <c:pt idx="49">
                  <c:v>Nissan Institute/Routledge Japanese studies series</c:v>
                </c:pt>
                <c:pt idx="50">
                  <c:v>Chūgoku kotensen</c:v>
                </c:pt>
                <c:pt idx="51">
                  <c:v>PHP bunko</c:v>
                </c:pt>
                <c:pt idx="52">
                  <c:v>Matsumoto, Seichō,; 1909-1992</c:v>
                </c:pt>
                <c:pt idx="53">
                  <c:v>Chūko bunko</c:v>
                </c:pt>
                <c:pt idx="54">
                  <c:v>Pōru nizan chosakushū</c:v>
                </c:pt>
                <c:pt idx="55">
                  <c:v>Kōdansha gendai shinsho</c:v>
                </c:pt>
                <c:pt idx="56">
                  <c:v>Chūgoku kotensen (Unnumbered)</c:v>
                </c:pt>
                <c:pt idx="57">
                  <c:v>World War II</c:v>
                </c:pt>
                <c:pt idx="58">
                  <c:v>Nihon no meicho</c:v>
                </c:pt>
                <c:pt idx="59">
                  <c:v>Iwanami shinsho</c:v>
                </c:pt>
                <c:pt idx="60">
                  <c:v>Introduction to Oriental civilizations</c:v>
                </c:pt>
                <c:pt idx="61">
                  <c:v>Tōyō shi kenkyū sōkan</c:v>
                </c:pt>
                <c:pt idx="62">
                  <c:v>Kōdansha gakujutsu bunko</c:v>
                </c:pt>
                <c:pt idx="63">
                  <c:v>Paul Nizan tyosakusyū</c:v>
                </c:pt>
                <c:pt idx="64">
                  <c:v>Bunshun bunko</c:v>
                </c:pt>
                <c:pt idx="65">
                  <c:v>Kadokawa bunko</c:v>
                </c:pt>
                <c:pt idx="66">
                  <c:v>Kōdansha bunko</c:v>
                </c:pt>
                <c:pt idx="67">
                  <c:v>Iwanami bunko</c:v>
                </c:pt>
                <c:pt idx="68">
                  <c:v>Chūkō bunko</c:v>
                </c:pt>
                <c:pt idx="69">
                  <c:v>Chūkō shinsho</c:v>
                </c:pt>
                <c:pt idx="70">
                  <c:v>Shinchō bunko</c:v>
                </c:pt>
                <c:pt idx="71">
                  <c:v>Chūk̄ō shinsho</c:v>
                </c:pt>
              </c:strCache>
            </c:strRef>
          </c:cat>
          <c:val>
            <c:numRef>
              <c:f>'s-Series'!$E$2:$E$73</c:f>
              <c:numCache>
                <c:formatCode>General</c:formatCode>
                <c:ptCount val="7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2</c:v>
                </c:pt>
                <c:pt idx="48">
                  <c:v>2</c:v>
                </c:pt>
                <c:pt idx="49">
                  <c:v>2</c:v>
                </c:pt>
                <c:pt idx="50">
                  <c:v>2</c:v>
                </c:pt>
                <c:pt idx="51">
                  <c:v>2</c:v>
                </c:pt>
                <c:pt idx="52">
                  <c:v>2</c:v>
                </c:pt>
                <c:pt idx="53">
                  <c:v>2</c:v>
                </c:pt>
                <c:pt idx="54">
                  <c:v>2</c:v>
                </c:pt>
                <c:pt idx="55">
                  <c:v>2</c:v>
                </c:pt>
                <c:pt idx="56">
                  <c:v>2</c:v>
                </c:pt>
                <c:pt idx="57">
                  <c:v>2</c:v>
                </c:pt>
                <c:pt idx="58">
                  <c:v>3</c:v>
                </c:pt>
                <c:pt idx="59">
                  <c:v>3</c:v>
                </c:pt>
                <c:pt idx="60">
                  <c:v>3</c:v>
                </c:pt>
                <c:pt idx="61">
                  <c:v>4</c:v>
                </c:pt>
                <c:pt idx="62">
                  <c:v>4</c:v>
                </c:pt>
                <c:pt idx="63">
                  <c:v>4</c:v>
                </c:pt>
                <c:pt idx="64">
                  <c:v>5</c:v>
                </c:pt>
                <c:pt idx="65">
                  <c:v>5</c:v>
                </c:pt>
                <c:pt idx="66">
                  <c:v>8</c:v>
                </c:pt>
                <c:pt idx="67">
                  <c:v>9</c:v>
                </c:pt>
                <c:pt idx="68">
                  <c:v>13</c:v>
                </c:pt>
                <c:pt idx="69">
                  <c:v>14</c:v>
                </c:pt>
                <c:pt idx="70">
                  <c:v>15</c:v>
                </c:pt>
                <c:pt idx="71">
                  <c:v>17</c:v>
                </c:pt>
              </c:numCache>
            </c:numRef>
          </c:val>
          <c:extLst>
            <c:ext xmlns:c16="http://schemas.microsoft.com/office/drawing/2014/chart" uri="{C3380CC4-5D6E-409C-BE32-E72D297353CC}">
              <c16:uniqueId val="{00000002-326D-4F67-93A0-D5015F4D4D55}"/>
            </c:ext>
          </c:extLst>
        </c:ser>
        <c:dLbls>
          <c:showLegendKey val="0"/>
          <c:showVal val="0"/>
          <c:showCatName val="0"/>
          <c:showSerName val="0"/>
          <c:showPercent val="0"/>
          <c:showBubbleSize val="0"/>
        </c:dLbls>
        <c:gapWidth val="182"/>
        <c:axId val="1737739696"/>
        <c:axId val="1737737296"/>
      </c:barChart>
      <c:catAx>
        <c:axId val="1737739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737296"/>
        <c:crosses val="autoZero"/>
        <c:auto val="1"/>
        <c:lblAlgn val="ctr"/>
        <c:lblOffset val="100"/>
        <c:noMultiLvlLbl val="0"/>
      </c:catAx>
      <c:valAx>
        <c:axId val="1737737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739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Template.xlsm]s-Series!SeriesN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Series Titles - Non Romanized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dLbls>
          <c:showLegendKey val="0"/>
          <c:showVal val="0"/>
          <c:showCatName val="0"/>
          <c:showSerName val="0"/>
          <c:showPercent val="0"/>
          <c:showBubbleSize val="0"/>
        </c:dLbls>
        <c:gapWidth val="182"/>
        <c:axId val="671150543"/>
        <c:axId val="671164463"/>
      </c:barChart>
      <c:catAx>
        <c:axId val="671150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164463"/>
        <c:crosses val="autoZero"/>
        <c:auto val="1"/>
        <c:lblAlgn val="ctr"/>
        <c:lblOffset val="100"/>
        <c:noMultiLvlLbl val="0"/>
      </c:catAx>
      <c:valAx>
        <c:axId val="6711644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150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Template.xlsm]s-Pub!PubRE</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Romanized/English</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's-Pub'!$B$1</c:f>
              <c:strCache>
                <c:ptCount val="1"/>
                <c:pt idx="0">
                  <c:v>Total</c:v>
                </c:pt>
              </c:strCache>
            </c:strRef>
          </c:tx>
          <c:spPr>
            <a:solidFill>
              <a:schemeClr val="accent1"/>
            </a:solidFill>
            <a:ln>
              <a:noFill/>
            </a:ln>
            <a:effectLst/>
          </c:spPr>
          <c:invertIfNegative val="0"/>
          <c:cat>
            <c:strRef>
              <c:f>'s-Pub'!$A$2:$A$114</c:f>
              <c:strCache>
                <c:ptCount val="113"/>
                <c:pt idx="0">
                  <c:v>Keisō Shobō</c:v>
                </c:pt>
                <c:pt idx="1">
                  <c:v>Kinokuniya Shoten</c:v>
                </c:pt>
                <c:pt idx="2">
                  <c:v>Alfred A. Knopf</c:v>
                </c:pt>
                <c:pt idx="3">
                  <c:v>Addison-wesley</c:v>
                </c:pt>
                <c:pt idx="4">
                  <c:v>C.e. Tuttle Co.</c:v>
                </c:pt>
                <c:pt idx="5">
                  <c:v>Kurashi No Techōsha</c:v>
                </c:pt>
                <c:pt idx="6">
                  <c:v>Chikuma Shūhansha</c:v>
                </c:pt>
                <c:pt idx="7">
                  <c:v>Kyōto Shoin</c:v>
                </c:pt>
                <c:pt idx="8">
                  <c:v>Chuō Kōronsha</c:v>
                </c:pt>
                <c:pt idx="9">
                  <c:v>Maruzen</c:v>
                </c:pt>
                <c:pt idx="10">
                  <c:v>Chūsekisha</c:v>
                </c:pt>
                <c:pt idx="11">
                  <c:v>Nei Menggu Wen Hua Yin Xiang Chu Ban She</c:v>
                </c:pt>
                <c:pt idx="12">
                  <c:v>Counterpoint</c:v>
                </c:pt>
                <c:pt idx="13">
                  <c:v>Nigensha</c:v>
                </c:pt>
                <c:pt idx="14">
                  <c:v>Dentsū</c:v>
                </c:pt>
                <c:pt idx="15">
                  <c:v>Nihon Hōsō Shuppan Kyōkai</c:v>
                </c:pt>
                <c:pt idx="16">
                  <c:v>Distributed By University Of Hawai'i Press</c:v>
                </c:pt>
                <c:pt idx="17">
                  <c:v>Noonday Press</c:v>
                </c:pt>
                <c:pt idx="18">
                  <c:v>Eikō Shuppansha</c:v>
                </c:pt>
                <c:pt idx="19">
                  <c:v>Oxford University Press</c:v>
                </c:pt>
                <c:pt idx="20">
                  <c:v>Eunhaeng Namu</c:v>
                </c:pt>
                <c:pt idx="21">
                  <c:v>Perikansha</c:v>
                </c:pt>
                <c:pt idx="22">
                  <c:v>For Sale By The Supt. Of Docs.</c:v>
                </c:pt>
                <c:pt idx="23">
                  <c:v>Praeger</c:v>
                </c:pt>
                <c:pt idx="24">
                  <c:v>Gakuseisha</c:v>
                </c:pt>
                <c:pt idx="25">
                  <c:v>Presidio Press/ballantine Books</c:v>
                </c:pt>
                <c:pt idx="26">
                  <c:v>Greenwood Press</c:v>
                </c:pt>
                <c:pt idx="27">
                  <c:v>R. Sejima</c:v>
                </c:pt>
                <c:pt idx="28">
                  <c:v>Harper &amp; Row</c:v>
                </c:pt>
                <c:pt idx="29">
                  <c:v>Randamuhausukōdansha</c:v>
                </c:pt>
                <c:pt idx="30">
                  <c:v>Heibonsha</c:v>
                </c:pt>
                <c:pt idx="31">
                  <c:v>Random House</c:v>
                </c:pt>
                <c:pt idx="32">
                  <c:v>Hōyū Shoten</c:v>
                </c:pt>
                <c:pt idx="33">
                  <c:v>Rengō Shuppan</c:v>
                </c:pt>
                <c:pt idx="34">
                  <c:v>Japanese Cultural Center Of Hawaii</c:v>
                </c:pt>
                <c:pt idx="35">
                  <c:v>Rokkō Shuppanbu</c:v>
                </c:pt>
                <c:pt idx="36">
                  <c:v>Jiyū Kokuminsha</c:v>
                </c:pt>
                <c:pt idx="37">
                  <c:v>Ronald Press Co.</c:v>
                </c:pt>
                <c:pt idx="38">
                  <c:v>Kadokawa Gakugei Shuppan</c:v>
                </c:pt>
                <c:pt idx="39">
                  <c:v>Sanpauro</c:v>
                </c:pt>
                <c:pt idx="40">
                  <c:v>Kawade Shobō Shinsha</c:v>
                </c:pt>
                <c:pt idx="41">
                  <c:v>School And Library Distribution By Silver Burdett</c:v>
                </c:pt>
                <c:pt idx="42">
                  <c:v>Associated University Presses</c:v>
                </c:pt>
                <c:pt idx="43">
                  <c:v>School And Library Distribution By Silver Burdett Co.</c:v>
                </c:pt>
                <c:pt idx="44">
                  <c:v>Chōbunsha</c:v>
                </c:pt>
                <c:pt idx="45">
                  <c:v>Sekai Shisōsha</c:v>
                </c:pt>
                <c:pt idx="46">
                  <c:v>Cornell University Press</c:v>
                </c:pt>
                <c:pt idx="47">
                  <c:v>Shin Jinbutsu Ōraisha</c:v>
                </c:pt>
                <c:pt idx="48">
                  <c:v>Distributed By University Of Hawaii Press</c:v>
                </c:pt>
                <c:pt idx="49">
                  <c:v>Shinchō Bunko</c:v>
                </c:pt>
                <c:pt idx="50">
                  <c:v>Ethics And Public Policy Center</c:v>
                </c:pt>
                <c:pt idx="51">
                  <c:v>Shōgakkan</c:v>
                </c:pt>
                <c:pt idx="52">
                  <c:v>Fujin No Tomosha</c:v>
                </c:pt>
                <c:pt idx="53">
                  <c:v>Shs</c:v>
                </c:pt>
                <c:pt idx="54">
                  <c:v>Hakuōsha</c:v>
                </c:pt>
                <c:pt idx="55">
                  <c:v>Shun'yōdō</c:v>
                </c:pt>
                <c:pt idx="56">
                  <c:v>Hōbunkan Shuppan</c:v>
                </c:pt>
                <c:pt idx="57">
                  <c:v>Shūyūkan 200-Nen Kinen Jigyō Iinkai</c:v>
                </c:pt>
                <c:pt idx="58">
                  <c:v>Jieitībīpaburisshingu</c:v>
                </c:pt>
                <c:pt idx="59">
                  <c:v>Silkworm Books</c:v>
                </c:pt>
                <c:pt idx="60">
                  <c:v>Kamakura Shunjūsha</c:v>
                </c:pt>
                <c:pt idx="61">
                  <c:v>Suemori Bukkusu</c:v>
                </c:pt>
                <c:pt idx="62">
                  <c:v>Cascade Books</c:v>
                </c:pt>
                <c:pt idx="63">
                  <c:v>Taikōsha</c:v>
                </c:pt>
                <c:pt idx="64">
                  <c:v>Daiwa Shobō</c:v>
                </c:pt>
                <c:pt idx="65">
                  <c:v>Tankakenkyūsha</c:v>
                </c:pt>
                <c:pt idx="66">
                  <c:v>Farrar</c:v>
                </c:pt>
                <c:pt idx="67">
                  <c:v>Tōkyōdō Shuppan</c:v>
                </c:pt>
                <c:pt idx="68">
                  <c:v>Harpersanfrancisco</c:v>
                </c:pt>
                <c:pt idx="69">
                  <c:v>University Of California Press</c:v>
                </c:pt>
                <c:pt idx="70">
                  <c:v>Jōhō Sentā Shuppankyoku</c:v>
                </c:pt>
                <c:pt idx="71">
                  <c:v>University Press Of Kansas</c:v>
                </c:pt>
                <c:pt idx="72">
                  <c:v>Chūō Shuppansha</c:v>
                </c:pt>
                <c:pt idx="73">
                  <c:v>Ushio Shuppansha</c:v>
                </c:pt>
                <c:pt idx="74">
                  <c:v>Gendai Shokan</c:v>
                </c:pt>
                <c:pt idx="75">
                  <c:v>Wani Bukkusu</c:v>
                </c:pt>
                <c:pt idx="76">
                  <c:v>赤ひげ堂</c:v>
                </c:pt>
                <c:pt idx="77">
                  <c:v>Xianggang Tai Ping Shu Ju</c:v>
                </c:pt>
                <c:pt idx="78">
                  <c:v>Institute For National Strategic Studies</c:v>
                </c:pt>
                <c:pt idx="79">
                  <c:v>Yabe Mō</c:v>
                </c:pt>
                <c:pt idx="80">
                  <c:v>Eihōsha</c:v>
                </c:pt>
                <c:pt idx="81">
                  <c:v>Yamakawa Shuppansha</c:v>
                </c:pt>
                <c:pt idx="82">
                  <c:v>Kōdansha International</c:v>
                </c:pt>
                <c:pt idx="83">
                  <c:v>Php Kenkyūjo</c:v>
                </c:pt>
                <c:pt idx="84">
                  <c:v>Chikuma Shobō</c:v>
                </c:pt>
                <c:pt idx="85">
                  <c:v>Jinbutsu Ōraisha</c:v>
                </c:pt>
                <c:pt idx="86">
                  <c:v>Bungei Shunjū Shinsha</c:v>
                </c:pt>
                <c:pt idx="87">
                  <c:v>Shibundō</c:v>
                </c:pt>
                <c:pt idx="88">
                  <c:v>Gendai Shichōsha</c:v>
                </c:pt>
                <c:pt idx="89">
                  <c:v>Sanseidō</c:v>
                </c:pt>
                <c:pt idx="90">
                  <c:v>Xin Hua Shu Dian Beijing Fa Xing Suo Fa Xing</c:v>
                </c:pt>
                <c:pt idx="91">
                  <c:v>Hankyū Komyunikēshonzu</c:v>
                </c:pt>
                <c:pt idx="92">
                  <c:v>Kyūryūdō</c:v>
                </c:pt>
                <c:pt idx="93">
                  <c:v>Meiji Jingū</c:v>
                </c:pt>
                <c:pt idx="94">
                  <c:v>Tōkyō Daigaku Shuppankai</c:v>
                </c:pt>
                <c:pt idx="95">
                  <c:v>Nihon Oyobi Nihonjin Sha</c:v>
                </c:pt>
                <c:pt idx="96">
                  <c:v>Chūō Kōron Shinsha</c:v>
                </c:pt>
                <c:pt idx="97">
                  <c:v>Vintage Books</c:v>
                </c:pt>
                <c:pt idx="98">
                  <c:v>Routledge</c:v>
                </c:pt>
                <c:pt idx="99">
                  <c:v>Columbia University Press</c:v>
                </c:pt>
                <c:pt idx="100">
                  <c:v>Yoshikawa Kōbunkan</c:v>
                </c:pt>
                <c:pt idx="101">
                  <c:v>Sōgensha</c:v>
                </c:pt>
                <c:pt idx="102">
                  <c:v>Nihon Keizai Shinbunsha</c:v>
                </c:pt>
                <c:pt idx="103">
                  <c:v>Dōhōsha</c:v>
                </c:pt>
                <c:pt idx="104">
                  <c:v>Kōyū Shuppan</c:v>
                </c:pt>
                <c:pt idx="105">
                  <c:v>Kadokawa Shoten</c:v>
                </c:pt>
                <c:pt idx="106">
                  <c:v>Shōbunsha</c:v>
                </c:pt>
                <c:pt idx="107">
                  <c:v>Asahi Shinbunsha</c:v>
                </c:pt>
                <c:pt idx="108">
                  <c:v>Shinchōsha</c:v>
                </c:pt>
                <c:pt idx="109">
                  <c:v>Iwanami Shoten</c:v>
                </c:pt>
                <c:pt idx="110">
                  <c:v>Kōdansha</c:v>
                </c:pt>
                <c:pt idx="111">
                  <c:v>Bungei Shunjū</c:v>
                </c:pt>
                <c:pt idx="112">
                  <c:v>Chūō Kōronsha</c:v>
                </c:pt>
              </c:strCache>
            </c:strRef>
          </c:cat>
          <c:val>
            <c:numRef>
              <c:f>'s-Pub'!$B$2:$B$114</c:f>
              <c:numCache>
                <c:formatCode>General</c:formatCode>
                <c:ptCount val="11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2</c:v>
                </c:pt>
                <c:pt idx="83">
                  <c:v>2</c:v>
                </c:pt>
                <c:pt idx="84">
                  <c:v>2</c:v>
                </c:pt>
                <c:pt idx="85">
                  <c:v>2</c:v>
                </c:pt>
                <c:pt idx="86">
                  <c:v>2</c:v>
                </c:pt>
                <c:pt idx="87">
                  <c:v>2</c:v>
                </c:pt>
                <c:pt idx="88">
                  <c:v>2</c:v>
                </c:pt>
                <c:pt idx="89">
                  <c:v>2</c:v>
                </c:pt>
                <c:pt idx="90">
                  <c:v>2</c:v>
                </c:pt>
                <c:pt idx="91">
                  <c:v>2</c:v>
                </c:pt>
                <c:pt idx="92">
                  <c:v>2</c:v>
                </c:pt>
                <c:pt idx="93">
                  <c:v>3</c:v>
                </c:pt>
                <c:pt idx="94">
                  <c:v>3</c:v>
                </c:pt>
                <c:pt idx="95">
                  <c:v>3</c:v>
                </c:pt>
                <c:pt idx="96">
                  <c:v>3</c:v>
                </c:pt>
                <c:pt idx="97">
                  <c:v>3</c:v>
                </c:pt>
                <c:pt idx="98">
                  <c:v>3</c:v>
                </c:pt>
                <c:pt idx="99">
                  <c:v>3</c:v>
                </c:pt>
                <c:pt idx="100">
                  <c:v>4</c:v>
                </c:pt>
                <c:pt idx="101">
                  <c:v>4</c:v>
                </c:pt>
                <c:pt idx="102">
                  <c:v>4</c:v>
                </c:pt>
                <c:pt idx="103">
                  <c:v>4</c:v>
                </c:pt>
                <c:pt idx="104">
                  <c:v>4</c:v>
                </c:pt>
                <c:pt idx="105">
                  <c:v>5</c:v>
                </c:pt>
                <c:pt idx="106">
                  <c:v>7</c:v>
                </c:pt>
                <c:pt idx="107">
                  <c:v>17</c:v>
                </c:pt>
                <c:pt idx="108">
                  <c:v>20</c:v>
                </c:pt>
                <c:pt idx="109">
                  <c:v>22</c:v>
                </c:pt>
                <c:pt idx="110">
                  <c:v>30</c:v>
                </c:pt>
                <c:pt idx="111">
                  <c:v>37</c:v>
                </c:pt>
                <c:pt idx="112">
                  <c:v>46</c:v>
                </c:pt>
              </c:numCache>
            </c:numRef>
          </c:val>
          <c:extLst>
            <c:ext xmlns:c16="http://schemas.microsoft.com/office/drawing/2014/chart" uri="{C3380CC4-5D6E-409C-BE32-E72D297353CC}">
              <c16:uniqueId val="{00000000-3411-4D7A-B3AB-223EEBF01EFE}"/>
            </c:ext>
          </c:extLst>
        </c:ser>
        <c:dLbls>
          <c:showLegendKey val="0"/>
          <c:showVal val="0"/>
          <c:showCatName val="0"/>
          <c:showSerName val="0"/>
          <c:showPercent val="0"/>
          <c:showBubbleSize val="0"/>
        </c:dLbls>
        <c:gapWidth val="182"/>
        <c:axId val="458982223"/>
        <c:axId val="458978863"/>
      </c:barChart>
      <c:catAx>
        <c:axId val="458982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978863"/>
        <c:crosses val="autoZero"/>
        <c:auto val="1"/>
        <c:lblAlgn val="ctr"/>
        <c:lblOffset val="100"/>
        <c:noMultiLvlLbl val="0"/>
      </c:catAx>
      <c:valAx>
        <c:axId val="4589788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982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Template.xlsm]s-Pub!PubN</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Publishers - Non-Romanized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's-Pub'!$N$1</c:f>
              <c:strCache>
                <c:ptCount val="1"/>
                <c:pt idx="0">
                  <c:v>Total</c:v>
                </c:pt>
              </c:strCache>
            </c:strRef>
          </c:tx>
          <c:spPr>
            <a:solidFill>
              <a:schemeClr val="accent2"/>
            </a:solidFill>
            <a:ln>
              <a:noFill/>
            </a:ln>
            <a:effectLst/>
          </c:spPr>
          <c:invertIfNegative val="0"/>
          <c:cat>
            <c:strRef>
              <c:f>'s-Pub'!$M$2:$M$97</c:f>
              <c:strCache>
                <c:ptCount val="96"/>
                <c:pt idx="0">
                  <c:v>かまくら春秋社</c:v>
                </c:pt>
                <c:pt idx="1">
                  <c:v>ぺりかん社</c:v>
                </c:pt>
                <c:pt idx="2">
                  <c:v>チクマ秀版社</c:v>
                </c:pt>
                <c:pt idx="3">
                  <c:v>青春出版社</c:v>
                </c:pt>
                <c:pt idx="4">
                  <c:v>社会保険法規研究会</c:v>
                </c:pt>
                <c:pt idx="5">
                  <c:v>JTBパブリッシング</c:v>
                </c:pt>
                <c:pt idx="6">
                  <c:v>山と渓谷社</c:v>
                </c:pt>
                <c:pt idx="7">
                  <c:v>山川出版社</c:v>
                </c:pt>
                <c:pt idx="8">
                  <c:v>平凡社</c:v>
                </c:pt>
                <c:pt idx="9">
                  <c:v>昭文社</c:v>
                </c:pt>
                <c:pt idx="10">
                  <c:v>白凰社</c:v>
                </c:pt>
                <c:pt idx="11">
                  <c:v>昭和十五年桜医会</c:v>
                </c:pt>
                <c:pt idx="12">
                  <c:v>日本放送出版協会</c:v>
                </c:pt>
                <c:pt idx="13">
                  <c:v>春陽堂</c:v>
                </c:pt>
                <c:pt idx="14">
                  <c:v>大巧社</c:v>
                </c:pt>
                <c:pt idx="15">
                  <c:v>大陸書房</c:v>
                </c:pt>
                <c:pt idx="16">
                  <c:v>河出書房新社</c:v>
                </c:pt>
                <c:pt idx="17">
                  <c:v>中央出版社</c:v>
                </c:pt>
                <c:pt idx="18">
                  <c:v>世界思想社</c:v>
                </c:pt>
                <c:pt idx="19">
                  <c:v>修猷館 200年記念事業委員会</c:v>
                </c:pt>
                <c:pt idx="20">
                  <c:v>たま出版</c:v>
                </c:pt>
                <c:pt idx="21">
                  <c:v>暮しの手帖社</c:v>
                </c:pt>
                <c:pt idx="22">
                  <c:v>現代書館</c:v>
                </c:pt>
                <c:pt idx="23">
                  <c:v>『追想天谷直弘』刊行会</c:v>
                </c:pt>
                <c:pt idx="24">
                  <c:v>大和書房</c:v>
                </c:pt>
                <c:pt idx="25">
                  <c:v>文藝春秋新社</c:v>
                </c:pt>
                <c:pt idx="26">
                  <c:v>砂子屋書房</c:v>
                </c:pt>
                <c:pt idx="27">
                  <c:v>勁草書房</c:v>
                </c:pt>
                <c:pt idx="28">
                  <c:v>かや書房</c:v>
                </c:pt>
                <c:pt idx="29">
                  <c:v>二玄社</c:v>
                </c:pt>
                <c:pt idx="30">
                  <c:v>情報センター出版局</c:v>
                </c:pt>
                <c:pt idx="31">
                  <c:v>新人物往來社</c:v>
                </c:pt>
                <c:pt idx="32">
                  <c:v>かのう書房</c:v>
                </c:pt>
                <c:pt idx="33">
                  <c:v>連合出版</c:v>
                </c:pt>
                <c:pt idx="34">
                  <c:v>短歌研究社</c:v>
                </c:pt>
                <c:pt idx="35">
                  <c:v>ワニブックス</c:v>
                </c:pt>
                <c:pt idx="36">
                  <c:v>徳間書店</c:v>
                </c:pt>
                <c:pt idx="37">
                  <c:v>紀伊國屋書店</c:v>
                </c:pt>
                <c:pt idx="38">
                  <c:v>婦人之友社</c:v>
                </c:pt>
                <c:pt idx="39">
                  <c:v>光人社</c:v>
                </c:pt>
                <c:pt idx="40">
                  <c:v>小学館</c:v>
                </c:pt>
                <c:pt idx="41">
                  <c:v>サンパウロ</c:v>
                </c:pt>
                <c:pt idx="42">
                  <c:v>ランダムハウス講談社</c:v>
                </c:pt>
                <c:pt idx="43">
                  <c:v>[矢部孟]</c:v>
                </c:pt>
                <c:pt idx="44">
                  <c:v>香港太平書局</c:v>
                </c:pt>
                <c:pt idx="45">
                  <c:v>潮出版社</c:v>
                </c:pt>
                <c:pt idx="46">
                  <c:v>六興出版部</c:v>
                </c:pt>
                <c:pt idx="47">
                  <c:v>宝文館出版</c:v>
                </c:pt>
                <c:pt idx="48">
                  <c:v>中華書局出版</c:v>
                </c:pt>
                <c:pt idx="49">
                  <c:v>栄光出版社</c:v>
                </c:pt>
                <c:pt idx="50">
                  <c:v>新泉社</c:v>
                </c:pt>
                <c:pt idx="51">
                  <c:v>丸善</c:v>
                </c:pt>
                <c:pt idx="52">
                  <c:v>日本基督教団出版局</c:v>
                </c:pt>
                <c:pt idx="53">
                  <c:v>京都書院</c:v>
                </c:pt>
                <c:pt idx="54">
                  <c:v>光生館</c:v>
                </c:pt>
                <c:pt idx="55">
                  <c:v>朋友書店</c:v>
                </c:pt>
                <c:pt idx="56">
                  <c:v>東京堂出版</c:v>
                </c:pt>
                <c:pt idx="57">
                  <c:v>学生社</c:v>
                </c:pt>
                <c:pt idx="58">
                  <c:v>英宝社</c:v>
                </c:pt>
                <c:pt idx="59">
                  <c:v>池田書店</c:v>
                </c:pt>
                <c:pt idx="60">
                  <c:v>すえもりブックス</c:v>
                </c:pt>
                <c:pt idx="61">
                  <c:v>時事通信社</c:v>
                </c:pt>
                <c:pt idx="62">
                  <c:v>電通</c:v>
                </c:pt>
                <c:pt idx="63">
                  <c:v>內蒙古文化音像出版社</c:v>
                </c:pt>
                <c:pt idx="64">
                  <c:v>Akahigedō</c:v>
                </c:pt>
                <c:pt idx="65">
                  <c:v>朝文社</c:v>
                </c:pt>
                <c:pt idx="66">
                  <c:v>自由国民社</c:v>
                </c:pt>
                <c:pt idx="67">
                  <c:v>現代思潮社</c:v>
                </c:pt>
                <c:pt idx="68">
                  <c:v>曰本経済新聞社</c:v>
                </c:pt>
                <c:pt idx="69">
                  <c:v>構談社</c:v>
                </c:pt>
                <c:pt idx="70">
                  <c:v>阪急コミュニケーションズ</c:v>
                </c:pt>
                <c:pt idx="71">
                  <c:v>人物往来社</c:v>
                </c:pt>
                <c:pt idx="72">
                  <c:v>日本経済新聞社</c:v>
                </c:pt>
                <c:pt idx="73">
                  <c:v>筑摩書房</c:v>
                </c:pt>
                <c:pt idx="74">
                  <c:v>至文堂</c:v>
                </c:pt>
                <c:pt idx="75">
                  <c:v>三省堂</c:v>
                </c:pt>
                <c:pt idx="76">
                  <c:v>新華書店北京發行所發行</c:v>
                </c:pt>
                <c:pt idx="77">
                  <c:v>朝日新聞社</c:v>
                </c:pt>
                <c:pt idx="78">
                  <c:v>求龍堂</c:v>
                </c:pt>
                <c:pt idx="79">
                  <c:v>PHP研究所</c:v>
                </c:pt>
                <c:pt idx="80">
                  <c:v>中央公論新社</c:v>
                </c:pt>
                <c:pt idx="81">
                  <c:v>明治神宮</c:v>
                </c:pt>
                <c:pt idx="82">
                  <c:v>東京大学出版会</c:v>
                </c:pt>
                <c:pt idx="83">
                  <c:v>発行所恒友出版</c:v>
                </c:pt>
                <c:pt idx="84">
                  <c:v>東京</c:v>
                </c:pt>
                <c:pt idx="85">
                  <c:v>吉川弘文館</c:v>
                </c:pt>
                <c:pt idx="86">
                  <c:v>創元社</c:v>
                </c:pt>
                <c:pt idx="87">
                  <c:v>同朋舎</c:v>
                </c:pt>
                <c:pt idx="88">
                  <c:v>文芸春秋</c:v>
                </c:pt>
                <c:pt idx="89">
                  <c:v>晶文社</c:v>
                </c:pt>
                <c:pt idx="90">
                  <c:v>角川書店</c:v>
                </c:pt>
                <c:pt idx="91">
                  <c:v>講談社</c:v>
                </c:pt>
                <c:pt idx="92">
                  <c:v>岩波書店</c:v>
                </c:pt>
                <c:pt idx="93">
                  <c:v>新潮社</c:v>
                </c:pt>
                <c:pt idx="94">
                  <c:v>文藝春秋</c:v>
                </c:pt>
                <c:pt idx="95">
                  <c:v>中央公論社</c:v>
                </c:pt>
              </c:strCache>
            </c:strRef>
          </c:cat>
          <c:val>
            <c:numRef>
              <c:f>'s-Pub'!$N$2:$N$97</c:f>
              <c:numCache>
                <c:formatCode>General</c:formatCode>
                <c:ptCount val="9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2</c:v>
                </c:pt>
                <c:pt idx="68">
                  <c:v>2</c:v>
                </c:pt>
                <c:pt idx="69">
                  <c:v>2</c:v>
                </c:pt>
                <c:pt idx="70">
                  <c:v>2</c:v>
                </c:pt>
                <c:pt idx="71">
                  <c:v>2</c:v>
                </c:pt>
                <c:pt idx="72">
                  <c:v>2</c:v>
                </c:pt>
                <c:pt idx="73">
                  <c:v>2</c:v>
                </c:pt>
                <c:pt idx="74">
                  <c:v>2</c:v>
                </c:pt>
                <c:pt idx="75">
                  <c:v>2</c:v>
                </c:pt>
                <c:pt idx="76">
                  <c:v>2</c:v>
                </c:pt>
                <c:pt idx="77">
                  <c:v>2</c:v>
                </c:pt>
                <c:pt idx="78">
                  <c:v>2</c:v>
                </c:pt>
                <c:pt idx="79">
                  <c:v>3</c:v>
                </c:pt>
                <c:pt idx="80">
                  <c:v>3</c:v>
                </c:pt>
                <c:pt idx="81">
                  <c:v>3</c:v>
                </c:pt>
                <c:pt idx="82">
                  <c:v>3</c:v>
                </c:pt>
                <c:pt idx="83">
                  <c:v>4</c:v>
                </c:pt>
                <c:pt idx="84">
                  <c:v>4</c:v>
                </c:pt>
                <c:pt idx="85">
                  <c:v>4</c:v>
                </c:pt>
                <c:pt idx="86">
                  <c:v>4</c:v>
                </c:pt>
                <c:pt idx="87">
                  <c:v>4</c:v>
                </c:pt>
                <c:pt idx="88">
                  <c:v>4</c:v>
                </c:pt>
                <c:pt idx="89">
                  <c:v>6</c:v>
                </c:pt>
                <c:pt idx="90">
                  <c:v>6</c:v>
                </c:pt>
                <c:pt idx="91">
                  <c:v>14</c:v>
                </c:pt>
                <c:pt idx="92">
                  <c:v>20</c:v>
                </c:pt>
                <c:pt idx="93">
                  <c:v>20</c:v>
                </c:pt>
                <c:pt idx="94">
                  <c:v>34</c:v>
                </c:pt>
                <c:pt idx="95">
                  <c:v>47</c:v>
                </c:pt>
              </c:numCache>
            </c:numRef>
          </c:val>
          <c:extLst>
            <c:ext xmlns:c16="http://schemas.microsoft.com/office/drawing/2014/chart" uri="{C3380CC4-5D6E-409C-BE32-E72D297353CC}">
              <c16:uniqueId val="{00000000-3C9F-40F1-8EF9-661F36004456}"/>
            </c:ext>
          </c:extLst>
        </c:ser>
        <c:dLbls>
          <c:showLegendKey val="0"/>
          <c:showVal val="0"/>
          <c:showCatName val="0"/>
          <c:showSerName val="0"/>
          <c:showPercent val="0"/>
          <c:showBubbleSize val="0"/>
        </c:dLbls>
        <c:gapWidth val="182"/>
        <c:axId val="1652869167"/>
        <c:axId val="1652870607"/>
      </c:barChart>
      <c:catAx>
        <c:axId val="165286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870607"/>
        <c:crosses val="autoZero"/>
        <c:auto val="1"/>
        <c:lblAlgn val="ctr"/>
        <c:lblOffset val="100"/>
        <c:noMultiLvlLbl val="0"/>
      </c:catAx>
      <c:valAx>
        <c:axId val="16528706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86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Template.xlsm]s-Date!dates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Count of Publications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's-Date'!$B$1</c:f>
              <c:strCache>
                <c:ptCount val="1"/>
                <c:pt idx="0">
                  <c:v>Total</c:v>
                </c:pt>
              </c:strCache>
            </c:strRef>
          </c:tx>
          <c:spPr>
            <a:solidFill>
              <a:schemeClr val="accent1"/>
            </a:solidFill>
            <a:ln>
              <a:noFill/>
            </a:ln>
            <a:effectLst/>
          </c:spPr>
          <c:invertIfNegative val="0"/>
          <c:cat>
            <c:strRef>
              <c:f>'s-Date'!$A$2:$A$82</c:f>
              <c:strCache>
                <c:ptCount val="81"/>
                <c:pt idx="0">
                  <c:v>2018</c:v>
                </c:pt>
                <c:pt idx="1">
                  <c:v>1951</c:v>
                </c:pt>
                <c:pt idx="2">
                  <c:v>1956</c:v>
                </c:pt>
                <c:pt idx="3">
                  <c:v>2016</c:v>
                </c:pt>
                <c:pt idx="4">
                  <c:v>1975</c:v>
                </c:pt>
                <c:pt idx="5">
                  <c:v>2012</c:v>
                </c:pt>
                <c:pt idx="6">
                  <c:v>1948</c:v>
                </c:pt>
                <c:pt idx="7">
                  <c:v>1961</c:v>
                </c:pt>
                <c:pt idx="8">
                  <c:v>1957</c:v>
                </c:pt>
                <c:pt idx="9">
                  <c:v>2019</c:v>
                </c:pt>
                <c:pt idx="10">
                  <c:v>1953</c:v>
                </c:pt>
                <c:pt idx="11">
                  <c:v>1990-1993</c:v>
                </c:pt>
                <c:pt idx="12">
                  <c:v>1959</c:v>
                </c:pt>
                <c:pt idx="13">
                  <c:v>2015</c:v>
                </c:pt>
                <c:pt idx="14">
                  <c:v>1938</c:v>
                </c:pt>
                <c:pt idx="15">
                  <c:v>1958</c:v>
                </c:pt>
                <c:pt idx="16">
                  <c:v>1954</c:v>
                </c:pt>
                <c:pt idx="17">
                  <c:v>2002</c:v>
                </c:pt>
                <c:pt idx="18">
                  <c:v>1958-1964</c:v>
                </c:pt>
                <c:pt idx="19">
                  <c:v>2008</c:v>
                </c:pt>
                <c:pt idx="20">
                  <c:v>1927</c:v>
                </c:pt>
                <c:pt idx="21">
                  <c:v>2006</c:v>
                </c:pt>
                <c:pt idx="22">
                  <c:v>1991-1994</c:v>
                </c:pt>
                <c:pt idx="23">
                  <c:v>1959-1965</c:v>
                </c:pt>
                <c:pt idx="24">
                  <c:v>2003</c:v>
                </c:pt>
                <c:pt idx="25">
                  <c:v>2014</c:v>
                </c:pt>
                <c:pt idx="26">
                  <c:v>2013</c:v>
                </c:pt>
                <c:pt idx="27">
                  <c:v>2009</c:v>
                </c:pt>
                <c:pt idx="28">
                  <c:v>1950</c:v>
                </c:pt>
                <c:pt idx="29">
                  <c:v>1992-2006</c:v>
                </c:pt>
                <c:pt idx="30">
                  <c:v>2007</c:v>
                </c:pt>
                <c:pt idx="31">
                  <c:v>1969</c:v>
                </c:pt>
                <c:pt idx="32">
                  <c:v>1965</c:v>
                </c:pt>
                <c:pt idx="33">
                  <c:v>1973</c:v>
                </c:pt>
                <c:pt idx="34">
                  <c:v>1955</c:v>
                </c:pt>
                <c:pt idx="35">
                  <c:v>1962</c:v>
                </c:pt>
                <c:pt idx="36">
                  <c:v>2011</c:v>
                </c:pt>
                <c:pt idx="37">
                  <c:v>2001</c:v>
                </c:pt>
                <c:pt idx="38">
                  <c:v>1984</c:v>
                </c:pt>
                <c:pt idx="39">
                  <c:v>1968</c:v>
                </c:pt>
                <c:pt idx="40">
                  <c:v>1969-1974</c:v>
                </c:pt>
                <c:pt idx="41">
                  <c:v>2010</c:v>
                </c:pt>
                <c:pt idx="42">
                  <c:v>1957-1978</c:v>
                </c:pt>
                <c:pt idx="43">
                  <c:v>1977-1978</c:v>
                </c:pt>
                <c:pt idx="44">
                  <c:v>1978</c:v>
                </c:pt>
                <c:pt idx="45">
                  <c:v>1980</c:v>
                </c:pt>
                <c:pt idx="46">
                  <c:v>1964</c:v>
                </c:pt>
                <c:pt idx="47">
                  <c:v>1977</c:v>
                </c:pt>
                <c:pt idx="48">
                  <c:v>1987</c:v>
                </c:pt>
                <c:pt idx="49">
                  <c:v>1997</c:v>
                </c:pt>
                <c:pt idx="50">
                  <c:v>1991</c:v>
                </c:pt>
                <c:pt idx="51">
                  <c:v>1982</c:v>
                </c:pt>
                <c:pt idx="52">
                  <c:v>1976</c:v>
                </c:pt>
                <c:pt idx="53">
                  <c:v>1966</c:v>
                </c:pt>
                <c:pt idx="54">
                  <c:v>1967</c:v>
                </c:pt>
                <c:pt idx="55">
                  <c:v>2000</c:v>
                </c:pt>
                <c:pt idx="56">
                  <c:v>1963</c:v>
                </c:pt>
                <c:pt idx="57">
                  <c:v>1960</c:v>
                </c:pt>
                <c:pt idx="58">
                  <c:v>1981</c:v>
                </c:pt>
                <c:pt idx="59">
                  <c:v>1985</c:v>
                </c:pt>
                <c:pt idx="60">
                  <c:v>1972</c:v>
                </c:pt>
                <c:pt idx="61">
                  <c:v>1996</c:v>
                </c:pt>
                <c:pt idx="62">
                  <c:v>1970</c:v>
                </c:pt>
                <c:pt idx="63">
                  <c:v>1974</c:v>
                </c:pt>
                <c:pt idx="64">
                  <c:v>1989</c:v>
                </c:pt>
                <c:pt idx="65">
                  <c:v>1993</c:v>
                </c:pt>
                <c:pt idx="66">
                  <c:v>2004</c:v>
                </c:pt>
                <c:pt idx="67">
                  <c:v>1979</c:v>
                </c:pt>
                <c:pt idx="68">
                  <c:v>1986</c:v>
                </c:pt>
                <c:pt idx="69">
                  <c:v>1999</c:v>
                </c:pt>
                <c:pt idx="70">
                  <c:v>2005</c:v>
                </c:pt>
                <c:pt idx="71">
                  <c:v>1971</c:v>
                </c:pt>
                <c:pt idx="72">
                  <c:v>1983</c:v>
                </c:pt>
                <c:pt idx="73">
                  <c:v>1994</c:v>
                </c:pt>
                <c:pt idx="74">
                  <c:v>1972-1973</c:v>
                </c:pt>
                <c:pt idx="75">
                  <c:v>1992</c:v>
                </c:pt>
                <c:pt idx="76">
                  <c:v>1988</c:v>
                </c:pt>
                <c:pt idx="77">
                  <c:v>1979-1980</c:v>
                </c:pt>
                <c:pt idx="78">
                  <c:v>1995</c:v>
                </c:pt>
                <c:pt idx="79">
                  <c:v>1990</c:v>
                </c:pt>
                <c:pt idx="80">
                  <c:v>1998</c:v>
                </c:pt>
              </c:strCache>
            </c:strRef>
          </c:cat>
          <c:val>
            <c:numRef>
              <c:f>'s-Date'!$B$2:$B$82</c:f>
              <c:numCache>
                <c:formatCode>General</c:formatCode>
                <c:ptCount val="8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3</c:v>
                </c:pt>
                <c:pt idx="33">
                  <c:v>3</c:v>
                </c:pt>
                <c:pt idx="34">
                  <c:v>3</c:v>
                </c:pt>
                <c:pt idx="35">
                  <c:v>3</c:v>
                </c:pt>
                <c:pt idx="36">
                  <c:v>3</c:v>
                </c:pt>
                <c:pt idx="37">
                  <c:v>3</c:v>
                </c:pt>
                <c:pt idx="38">
                  <c:v>3</c:v>
                </c:pt>
                <c:pt idx="39">
                  <c:v>3</c:v>
                </c:pt>
                <c:pt idx="40">
                  <c:v>3</c:v>
                </c:pt>
                <c:pt idx="41">
                  <c:v>4</c:v>
                </c:pt>
                <c:pt idx="42">
                  <c:v>4</c:v>
                </c:pt>
                <c:pt idx="43">
                  <c:v>4</c:v>
                </c:pt>
                <c:pt idx="44">
                  <c:v>4</c:v>
                </c:pt>
                <c:pt idx="45">
                  <c:v>4</c:v>
                </c:pt>
                <c:pt idx="46">
                  <c:v>4</c:v>
                </c:pt>
                <c:pt idx="47">
                  <c:v>4</c:v>
                </c:pt>
                <c:pt idx="48">
                  <c:v>5</c:v>
                </c:pt>
                <c:pt idx="49">
                  <c:v>5</c:v>
                </c:pt>
                <c:pt idx="50">
                  <c:v>5</c:v>
                </c:pt>
                <c:pt idx="51">
                  <c:v>5</c:v>
                </c:pt>
                <c:pt idx="52">
                  <c:v>5</c:v>
                </c:pt>
                <c:pt idx="53">
                  <c:v>5</c:v>
                </c:pt>
                <c:pt idx="54">
                  <c:v>5</c:v>
                </c:pt>
                <c:pt idx="55">
                  <c:v>5</c:v>
                </c:pt>
                <c:pt idx="56">
                  <c:v>5</c:v>
                </c:pt>
                <c:pt idx="57">
                  <c:v>6</c:v>
                </c:pt>
                <c:pt idx="58">
                  <c:v>6</c:v>
                </c:pt>
                <c:pt idx="59">
                  <c:v>6</c:v>
                </c:pt>
                <c:pt idx="60">
                  <c:v>6</c:v>
                </c:pt>
                <c:pt idx="61">
                  <c:v>6</c:v>
                </c:pt>
                <c:pt idx="62">
                  <c:v>7</c:v>
                </c:pt>
                <c:pt idx="63">
                  <c:v>7</c:v>
                </c:pt>
                <c:pt idx="64">
                  <c:v>7</c:v>
                </c:pt>
                <c:pt idx="65">
                  <c:v>7</c:v>
                </c:pt>
                <c:pt idx="66">
                  <c:v>7</c:v>
                </c:pt>
                <c:pt idx="67">
                  <c:v>7</c:v>
                </c:pt>
                <c:pt idx="68">
                  <c:v>7</c:v>
                </c:pt>
                <c:pt idx="69">
                  <c:v>7</c:v>
                </c:pt>
                <c:pt idx="70">
                  <c:v>7</c:v>
                </c:pt>
                <c:pt idx="71">
                  <c:v>8</c:v>
                </c:pt>
                <c:pt idx="72">
                  <c:v>8</c:v>
                </c:pt>
                <c:pt idx="73">
                  <c:v>9</c:v>
                </c:pt>
                <c:pt idx="74">
                  <c:v>10</c:v>
                </c:pt>
                <c:pt idx="75">
                  <c:v>10</c:v>
                </c:pt>
                <c:pt idx="76">
                  <c:v>11</c:v>
                </c:pt>
                <c:pt idx="77">
                  <c:v>14</c:v>
                </c:pt>
                <c:pt idx="78">
                  <c:v>16</c:v>
                </c:pt>
                <c:pt idx="79">
                  <c:v>21</c:v>
                </c:pt>
                <c:pt idx="80">
                  <c:v>23</c:v>
                </c:pt>
              </c:numCache>
            </c:numRef>
          </c:val>
          <c:extLst>
            <c:ext xmlns:c16="http://schemas.microsoft.com/office/drawing/2014/chart" uri="{C3380CC4-5D6E-409C-BE32-E72D297353CC}">
              <c16:uniqueId val="{00000000-482C-4E04-A017-D5B8E3766A7B}"/>
            </c:ext>
          </c:extLst>
        </c:ser>
        <c:dLbls>
          <c:showLegendKey val="0"/>
          <c:showVal val="0"/>
          <c:showCatName val="0"/>
          <c:showSerName val="0"/>
          <c:showPercent val="0"/>
          <c:showBubbleSize val="0"/>
        </c:dLbls>
        <c:gapWidth val="182"/>
        <c:axId val="453838383"/>
        <c:axId val="453839823"/>
      </c:barChart>
      <c:catAx>
        <c:axId val="453838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839823"/>
        <c:crosses val="autoZero"/>
        <c:auto val="1"/>
        <c:lblAlgn val="ctr"/>
        <c:lblOffset val="100"/>
        <c:noMultiLvlLbl val="0"/>
      </c:catAx>
      <c:valAx>
        <c:axId val="4538398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83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[Donation - Template.xlsm]s-Date!decades</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Count of Publications by Decade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's-Date'!$R$1</c:f>
              <c:strCache>
                <c:ptCount val="1"/>
                <c:pt idx="0">
                  <c:v>Total</c:v>
                </c:pt>
              </c:strCache>
            </c:strRef>
          </c:tx>
          <c:spPr>
            <a:solidFill>
              <a:schemeClr val="accent5"/>
            </a:solidFill>
            <a:ln>
              <a:noFill/>
            </a:ln>
            <a:effectLst/>
          </c:spPr>
          <c:invertIfNegative val="0"/>
          <c:cat>
            <c:strRef>
              <c:f>'s-Date'!$Q$2:$Q$7</c:f>
              <c:strCache>
                <c:ptCount val="6"/>
                <c:pt idx="0">
                  <c:v>1960-1969</c:v>
                </c:pt>
                <c:pt idx="1">
                  <c:v>1970-1979</c:v>
                </c:pt>
                <c:pt idx="2">
                  <c:v>1980-1989</c:v>
                </c:pt>
                <c:pt idx="3">
                  <c:v>1990-1999</c:v>
                </c:pt>
                <c:pt idx="4">
                  <c:v>2000-2009</c:v>
                </c:pt>
                <c:pt idx="5">
                  <c:v>2010-2019</c:v>
                </c:pt>
              </c:strCache>
            </c:strRef>
          </c:cat>
          <c:val>
            <c:numRef>
              <c:f>'s-Date'!$R$2:$R$7</c:f>
              <c:numCache>
                <c:formatCode>General</c:formatCode>
                <c:ptCount val="6"/>
                <c:pt idx="0">
                  <c:v>1</c:v>
                </c:pt>
                <c:pt idx="1">
                  <c:v>5</c:v>
                </c:pt>
                <c:pt idx="2">
                  <c:v>5</c:v>
                </c:pt>
                <c:pt idx="3">
                  <c:v>28</c:v>
                </c:pt>
                <c:pt idx="4">
                  <c:v>2</c:v>
                </c:pt>
                <c:pt idx="5">
                  <c:v>2</c:v>
                </c:pt>
              </c:numCache>
            </c:numRef>
          </c:val>
          <c:extLst>
            <c:ext xmlns:c16="http://schemas.microsoft.com/office/drawing/2014/chart" uri="{C3380CC4-5D6E-409C-BE32-E72D297353CC}">
              <c16:uniqueId val="{00000000-1A51-4934-9B7A-3F6C043EEF86}"/>
            </c:ext>
          </c:extLst>
        </c:ser>
        <c:dLbls>
          <c:showLegendKey val="0"/>
          <c:showVal val="0"/>
          <c:showCatName val="0"/>
          <c:showSerName val="0"/>
          <c:showPercent val="0"/>
          <c:showBubbleSize val="0"/>
        </c:dLbls>
        <c:gapWidth val="182"/>
        <c:axId val="512786607"/>
        <c:axId val="512780367"/>
      </c:barChart>
      <c:catAx>
        <c:axId val="51278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80367"/>
        <c:crosses val="autoZero"/>
        <c:auto val="1"/>
        <c:lblAlgn val="ctr"/>
        <c:lblOffset val="100"/>
        <c:noMultiLvlLbl val="0"/>
      </c:catAx>
      <c:valAx>
        <c:axId val="512780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86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36</xdr:col>
          <xdr:colOff>142875</xdr:colOff>
          <xdr:row>5</xdr:row>
          <xdr:rowOff>142875</xdr:rowOff>
        </xdr:from>
        <xdr:to>
          <xdr:col>37</xdr:col>
          <xdr:colOff>714375</xdr:colOff>
          <xdr:row>5</xdr:row>
          <xdr:rowOff>381000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Convert CJK Currencies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142875</xdr:colOff>
          <xdr:row>5</xdr:row>
          <xdr:rowOff>142875</xdr:rowOff>
        </xdr:from>
        <xdr:to>
          <xdr:col>39</xdr:col>
          <xdr:colOff>714375</xdr:colOff>
          <xdr:row>5</xdr:row>
          <xdr:rowOff>381000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28575</xdr:colOff>
          <xdr:row>0</xdr:row>
          <xdr:rowOff>142875</xdr:rowOff>
        </xdr:from>
        <xdr:to>
          <xdr:col>18</xdr:col>
          <xdr:colOff>228600</xdr:colOff>
          <xdr:row>1</xdr:row>
          <xdr:rowOff>133350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Slips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twoCellAnchor>
    <xdr:from>
      <xdr:col>3</xdr:col>
      <xdr:colOff>0</xdr:colOff>
      <xdr:row>3</xdr:row>
      <xdr:rowOff>0</xdr:rowOff>
    </xdr:from>
    <xdr:to>
      <xdr:col>11</xdr:col>
      <xdr:colOff>0</xdr:colOff>
      <xdr:row>23</xdr:row>
      <xdr:rowOff>3048</xdr:rowOff>
    </xdr:to>
    <xdr:graphicFrame macro="">
      <xdr:nvGraphicFramePr>
        <xdr:cNvPr id="3" name="Chart_Collection">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0</xdr:row>
          <xdr:rowOff>200025</xdr:rowOff>
        </xdr:from>
        <xdr:to>
          <xdr:col>7</xdr:col>
          <xdr:colOff>304800</xdr:colOff>
          <xdr:row>2</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xdr:row>
          <xdr:rowOff>0</xdr:rowOff>
        </xdr:from>
        <xdr:to>
          <xdr:col>5</xdr:col>
          <xdr:colOff>1371600</xdr:colOff>
          <xdr:row>5</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6</xdr:row>
          <xdr:rowOff>0</xdr:rowOff>
        </xdr:from>
        <xdr:to>
          <xdr:col>6</xdr:col>
          <xdr:colOff>0</xdr:colOff>
          <xdr:row>7</xdr:row>
          <xdr:rowOff>47625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6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4</xdr:row>
          <xdr:rowOff>0</xdr:rowOff>
        </xdr:from>
        <xdr:to>
          <xdr:col>22</xdr:col>
          <xdr:colOff>0</xdr:colOff>
          <xdr:row>5</xdr:row>
          <xdr:rowOff>47625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6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466725</xdr:colOff>
          <xdr:row>6</xdr:row>
          <xdr:rowOff>0</xdr:rowOff>
        </xdr:from>
        <xdr:to>
          <xdr:col>22</xdr:col>
          <xdr:colOff>0</xdr:colOff>
          <xdr:row>7</xdr:row>
          <xdr:rowOff>47625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6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6</xdr:col>
      <xdr:colOff>0</xdr:colOff>
      <xdr:row>2</xdr:row>
      <xdr:rowOff>190498</xdr:rowOff>
    </xdr:from>
    <xdr:to>
      <xdr:col>14</xdr:col>
      <xdr:colOff>0</xdr:colOff>
      <xdr:row>48</xdr:row>
      <xdr:rowOff>36842</xdr:rowOff>
    </xdr:to>
    <xdr:graphicFrame macro="">
      <xdr:nvGraphicFramePr>
        <xdr:cNvPr id="4" name="Chart_Series_Title_RE">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3</xdr:row>
      <xdr:rowOff>0</xdr:rowOff>
    </xdr:from>
    <xdr:to>
      <xdr:col>30</xdr:col>
      <xdr:colOff>0</xdr:colOff>
      <xdr:row>26</xdr:row>
      <xdr:rowOff>36451</xdr:rowOff>
    </xdr:to>
    <xdr:graphicFrame macro="">
      <xdr:nvGraphicFramePr>
        <xdr:cNvPr id="5" name="Chart_Series_Title_N">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200025</xdr:rowOff>
        </xdr:from>
        <xdr:to>
          <xdr:col>4</xdr:col>
          <xdr:colOff>314325</xdr:colOff>
          <xdr:row>2</xdr:row>
          <xdr:rowOff>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7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4</xdr:row>
          <xdr:rowOff>0</xdr:rowOff>
        </xdr:from>
        <xdr:to>
          <xdr:col>15</xdr:col>
          <xdr:colOff>0</xdr:colOff>
          <xdr:row>5</xdr:row>
          <xdr:rowOff>47625</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466725</xdr:colOff>
          <xdr:row>6</xdr:row>
          <xdr:rowOff>0</xdr:rowOff>
        </xdr:from>
        <xdr:to>
          <xdr:col>15</xdr:col>
          <xdr:colOff>0</xdr:colOff>
          <xdr:row>7</xdr:row>
          <xdr:rowOff>47625</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700-00000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3</xdr:col>
      <xdr:colOff>0</xdr:colOff>
      <xdr:row>2</xdr:row>
      <xdr:rowOff>190497</xdr:rowOff>
    </xdr:from>
    <xdr:to>
      <xdr:col>11</xdr:col>
      <xdr:colOff>0</xdr:colOff>
      <xdr:row>69</xdr:row>
      <xdr:rowOff>31945</xdr:rowOff>
    </xdr:to>
    <xdr:graphicFrame macro="">
      <xdr:nvGraphicFramePr>
        <xdr:cNvPr id="4" name="Chart_Publishers_RE">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2</xdr:row>
      <xdr:rowOff>190496</xdr:rowOff>
    </xdr:from>
    <xdr:to>
      <xdr:col>23</xdr:col>
      <xdr:colOff>0</xdr:colOff>
      <xdr:row>99</xdr:row>
      <xdr:rowOff>166897</xdr:rowOff>
    </xdr:to>
    <xdr:graphicFrame macro="">
      <xdr:nvGraphicFramePr>
        <xdr:cNvPr id="5" name="Chart_Publishers_N">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200025</xdr:rowOff>
        </xdr:from>
        <xdr:to>
          <xdr:col>4</xdr:col>
          <xdr:colOff>304800</xdr:colOff>
          <xdr:row>2</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xdr:row>
          <xdr:rowOff>0</xdr:rowOff>
        </xdr:from>
        <xdr:to>
          <xdr:col>3</xdr:col>
          <xdr:colOff>0</xdr:colOff>
          <xdr:row>5</xdr:row>
          <xdr:rowOff>47625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8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6</xdr:row>
          <xdr:rowOff>0</xdr:rowOff>
        </xdr:from>
        <xdr:to>
          <xdr:col>3</xdr:col>
          <xdr:colOff>0</xdr:colOff>
          <xdr:row>7</xdr:row>
          <xdr:rowOff>47625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8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4</xdr:row>
          <xdr:rowOff>0</xdr:rowOff>
        </xdr:from>
        <xdr:to>
          <xdr:col>19</xdr:col>
          <xdr:colOff>0</xdr:colOff>
          <xdr:row>5</xdr:row>
          <xdr:rowOff>47625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8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466725</xdr:colOff>
          <xdr:row>6</xdr:row>
          <xdr:rowOff>0</xdr:rowOff>
        </xdr:from>
        <xdr:to>
          <xdr:col>19</xdr:col>
          <xdr:colOff>0</xdr:colOff>
          <xdr:row>7</xdr:row>
          <xdr:rowOff>47625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8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Scale Down</a:t>
              </a:r>
            </a:p>
          </xdr:txBody>
        </xdr:sp>
        <xdr:clientData fPrintsWithSheet="0"/>
      </xdr:twoCellAnchor>
    </mc:Choice>
    <mc:Fallback/>
  </mc:AlternateContent>
  <xdr:twoCellAnchor>
    <xdr:from>
      <xdr:col>3</xdr:col>
      <xdr:colOff>0</xdr:colOff>
      <xdr:row>2</xdr:row>
      <xdr:rowOff>190499</xdr:rowOff>
    </xdr:from>
    <xdr:to>
      <xdr:col>11</xdr:col>
      <xdr:colOff>0</xdr:colOff>
      <xdr:row>91</xdr:row>
      <xdr:rowOff>13175</xdr:rowOff>
    </xdr:to>
    <xdr:graphicFrame macro="">
      <xdr:nvGraphicFramePr>
        <xdr:cNvPr id="4" name="Chart_Years">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3</xdr:row>
      <xdr:rowOff>0</xdr:rowOff>
    </xdr:from>
    <xdr:to>
      <xdr:col>27</xdr:col>
      <xdr:colOff>0</xdr:colOff>
      <xdr:row>14</xdr:row>
      <xdr:rowOff>171609</xdr:rowOff>
    </xdr:to>
    <xdr:graphicFrame macro="">
      <xdr:nvGraphicFramePr>
        <xdr:cNvPr id="5" name="Chart_Decades">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231721</xdr:colOff>
      <xdr:row>1</xdr:row>
      <xdr:rowOff>292633</xdr:rowOff>
    </xdr:to>
    <xdr:pic>
      <xdr:nvPicPr>
        <xdr:cNvPr id="13" name="Pictur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1"/>
        <a:stretch>
          <a:fillRect/>
        </a:stretch>
      </xdr:blipFill>
      <xdr:spPr>
        <a:xfrm>
          <a:off x="0" y="0"/>
          <a:ext cx="841321" cy="292633"/>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73.679666898148" createdVersion="8" refreshedVersion="8" minRefreshableVersion="3" recordCount="387" xr:uid="{77BA0597-AA30-42CB-9BF5-346C978286C6}">
  <cacheSource type="worksheet">
    <worksheetSource ref="B1:B1048576" sheet="s-Series"/>
  </cacheSource>
  <cacheFields count="1">
    <cacheField name="Source - ST (RE)" numFmtId="0">
      <sharedItems containsBlank="1" containsMixedTypes="1" containsNumber="1" containsInteger="1" minValue="0" maxValue="0" count="75">
        <s v="Chūk̄ō shinsho"/>
        <s v="Chūkō shinsho"/>
        <s v="Kadokawa novels"/>
        <s v="Pureibukkusu"/>
        <s v="Kōdansha gendai shinsho"/>
        <s v="Shinchō shinsho"/>
        <s v="n/a"/>
        <s v="Iwanami shinsho"/>
        <s v="Pieichipi bijinesu shinsho"/>
        <s v="Maruzen raiburarī"/>
        <s v="Shin zenkoku rekishi sanpo shirīzu"/>
        <s v="Ikeda3Lbukkusu"/>
        <s v="Earia gaido"/>
        <s v="Seishun no shishū"/>
        <s v="Enueichikei bukkusu"/>
        <s v="Bunshun shinsho"/>
        <s v="Kōdansha gakujutsu bunko"/>
        <s v="Matsumoto, Seichō,; 1909-1992"/>
        <s v="Bunshun bunko"/>
        <s v="Kōdansha bunko"/>
        <s v="Iwanami bunko"/>
        <s v="Kōdansha + alpha bunko"/>
        <s v="Kōjinsha NF Bunko"/>
        <s v="Chikuma gakugei bunko"/>
        <s v="Shinchō bunko"/>
        <s v="Santōka bunko"/>
        <s v="Kyōto Shoin ātsu korekushon"/>
        <s v="Nihon rekishi sōsho (Iwanami Shoten)"/>
        <s v="PHP bunko"/>
        <s v="Kadokawa bunko"/>
        <s v="Chūkō bunko"/>
        <s v="Chūko bunko"/>
        <s v="Chuko bunko"/>
        <s v="Nihon koten bungaku taikei"/>
        <s v="Kyōdaiseiyōshi"/>
        <s v="Kyōdai Tōyō shi"/>
        <s v="Tōyō shi kenkyū sōkan"/>
        <s v="Nihonjin no seishinshi kenkyū"/>
        <s v="Tōyō no rekishi"/>
        <s v="Nihon rekishi sōsho"/>
        <s v="Chūgoku jinbutsu sōsho"/>
        <s v="Pōru nizan chosakushū"/>
        <s v="Paul Nizan tyosakusyū"/>
        <s v="Kodaishi kenkyū sensho"/>
        <s v="Chūgoku kotensen (Unnumbered)"/>
        <s v="Tabitomo"/>
        <s v="Sekaishiso seminar"/>
        <s v="Ginga bukkusu"/>
        <s v="Chikuma sōsho"/>
        <s v="NHK bukkusu"/>
        <s v="Nihon no meicho"/>
        <s v="Kuronosu Sensho"/>
        <s v="zhu zi ji cheng"/>
        <s v="Jinbutsu sōsho (Shinsōban)"/>
        <s v="Chūgoku kotensen"/>
        <s v="Kyōyō no Nihon shi"/>
        <s v="Nihon shijin zenshū"/>
        <s v="Sōkaisetsu shirīzu"/>
        <s v="Modern war studies"/>
        <s v="Nissan Institute/Routledge Japanese studies series"/>
        <s v="Harvard East Asian series"/>
        <s v="Ethics and public policy studies"/>
        <s v="USAF Southeast Asia monograph series"/>
        <s v="Introduction to Oriental civilizations"/>
        <s v="Studies of the East Asian Institute"/>
        <s v="&lt;td&gt;&lt;font size=2 face=&quot;Arial,Helvetica,sans-serif&quot;&gt;Borzoi book"/>
        <s v="Studia historica (Helsinki, Finland)"/>
        <s v="&lt;td&gt;&lt;font size=2 face=&quot;Arial,Helvetica,sans-serif&quot;&gt;Vintage books"/>
        <s v="Moon travel handbooks"/>
        <s v="World War II"/>
        <s v="Contributions in economics and economic history"/>
        <s v="Cornell paperbacks"/>
        <s v="Routledge studies in Asia's transformations"/>
        <m/>
        <n v="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73.679689351855" createdVersion="8" refreshedVersion="8" minRefreshableVersion="3" recordCount="387" xr:uid="{5B63C4C9-2D81-4C73-8DFC-ADCC6B0FB0FB}">
  <cacheSource type="worksheet">
    <worksheetSource ref="R1:R1048576" sheet="s-Series"/>
  </cacheSource>
  <cacheFields count="1">
    <cacheField name="Source - ST (N)" numFmtId="0">
      <sharedItems containsBlank="1" containsMixedTypes="1" containsNumber="1" containsInteger="1" minValue="0" maxValue="0" count="61">
        <s v="中公新書"/>
        <s v="中公新書. 中公新書"/>
        <s v="カドカワノベルス"/>
        <s v="プレイブックス"/>
        <s v="講談社現代新書"/>
        <s v="n/a"/>
        <s v="新潮新書"/>
        <s v="岩波新書. 新赤版"/>
        <s v="岩波新書. 青版"/>
        <s v="PHPビジネス新書"/>
        <s v="丸善ライブラリー"/>
        <s v="新全国歴史散步シリーズ"/>
        <s v="イケダ3Lブックス"/>
        <s v="岩波新書"/>
        <s v="エアリアガイド"/>
        <s v="青春の詩集. 外国篇"/>
        <s v="NHKブックス"/>
        <s v="文春新書"/>
        <s v="講談社学術文庫"/>
        <s v="松本清張, 1909- Works. 1971"/>
        <s v="文春文庫"/>
        <s v="講談社文庫"/>
        <s v="岩波文庫"/>
        <s v="講談社 + alpha 文庫"/>
        <s v="光人社NF文庫"/>
        <s v="ちくま学芸文庫"/>
        <s v="新潮文庫"/>
        <s v="山頭火文庫"/>
        <s v="京都書院アーツコレクション"/>
        <s v="日本歴史叢書 (Iwanami Shoten)"/>
        <s v="PHP文庫"/>
        <s v="角川文庫"/>
        <s v="新潮文庫. 新潮社版"/>
        <s v="中公文庫"/>
        <s v="中公文庫 . 日本の歴史"/>
        <s v="日本古典文學大系"/>
        <s v="京大西洋史"/>
        <s v="京大東洋史"/>
        <s v="東洋史研究叢刋"/>
        <s v="日本人の精神史研究"/>
        <s v="東洋の歴史"/>
        <s v="日本歴史叢書"/>
        <s v="中国人物叢書. 第1期"/>
        <s v="ポール・ニザン著作集"/>
        <s v="古代史研究選書"/>
        <s v="中国古典選 (Unnumbered)"/>
        <s v="タビトモ"/>
        <s v="銀河ブックス"/>
        <s v="筑摩叢書"/>
        <s v="NHK ブックス"/>
        <s v="日本の名著"/>
        <s v="クロノス選書"/>
        <s v="諸子集成"/>
        <s v="人物叢書. 新装版. 人物叢書 (Shinsōban)"/>
        <s v="中国古典選"/>
        <s v="教養の日本史"/>
        <s v="人物叢書 (Shinsōban)"/>
        <s v="日本詩人全集1"/>
        <s v="総解說シリーズ"/>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73.681954861109" createdVersion="8" refreshedVersion="8" minRefreshableVersion="3" recordCount="386" xr:uid="{C687F9B1-783E-4319-B912-571BACC8EF24}">
  <cacheSource type="worksheet">
    <worksheetSource name="Donation"/>
  </cacheSource>
  <cacheFields count="35">
    <cacheField name="Key" numFmtId="2">
      <sharedItems containsSemiMixedTypes="0" containsString="0" containsNumber="1" minValue="1" maxValue="279"/>
    </cacheField>
    <cacheField name="b" numFmtId="49">
      <sharedItems containsNonDate="0" containsString="0" containsBlank="1"/>
    </cacheField>
    <cacheField name="c" numFmtId="49">
      <sharedItems containsNonDate="0" containsString="0" containsBlank="1"/>
    </cacheField>
    <cacheField name="d" numFmtId="49">
      <sharedItems containsNonDate="0" containsString="0" containsBlank="1"/>
    </cacheField>
    <cacheField name="e" numFmtId="49">
      <sharedItems containsNonDate="0" containsString="0" containsBlank="1"/>
    </cacheField>
    <cacheField name="f" numFmtId="49">
      <sharedItems containsNonDate="0" containsString="0" containsBlank="1"/>
    </cacheField>
    <cacheField name="Note" numFmtId="49">
      <sharedItems containsBlank="1"/>
    </cacheField>
    <cacheField name="URL for Price Check" numFmtId="49">
      <sharedItems containsBlank="1"/>
    </cacheField>
    <cacheField name="Collection" numFmtId="49">
      <sharedItems containsBlank="1" count="17">
        <s v="pascal"/>
        <s v="dupe"/>
        <s v="asnst"/>
        <s v="reject"/>
        <s v="music"/>
        <s v="norst"/>
        <m u="1"/>
        <s v="dupe " u="1"/>
        <s v="artst" u="1"/>
        <s v="see slip" u="1"/>
        <s v="asnov" u="1"/>
        <s v="govdocs" u="1"/>
        <s v="serials" u="1"/>
        <s v="asnst?" u="1"/>
        <s v="children" u="1"/>
        <s v="norst?" u="1"/>
        <s v="n/a" u="1"/>
      </sharedItems>
    </cacheField>
    <cacheField name="Volume / Issue" numFmtId="49">
      <sharedItems containsBlank="1"/>
    </cacheField>
    <cacheField name="Total_x000a_Vols" numFmtId="49">
      <sharedItems containsBlank="1"/>
    </cacheField>
    <cacheField name="Dupe ISBN Check" numFmtId="0">
      <sharedItems containsBlank="1"/>
    </cacheField>
    <cacheField name="Dupe_x000a_Title_x000a_Check" numFmtId="0">
      <sharedItems containsBlank="1"/>
    </cacheField>
    <cacheField name="Dupe Check in FS" numFmtId="49">
      <sharedItems containsBlank="1"/>
    </cacheField>
    <cacheField name="ISBN13#/_x000a_ISSN#" numFmtId="1">
      <sharedItems containsMixedTypes="1" containsNumber="1" containsInteger="1" minValue="9780060390549" maxValue="9789749575543"/>
    </cacheField>
    <cacheField name="ISBN10#/_x000a_ISSN#" numFmtId="49">
      <sharedItems/>
    </cacheField>
    <cacheField name="OCLC#" numFmtId="1">
      <sharedItems containsMixedTypes="1" containsNumber="1" containsInteger="1" minValue="155422" maxValue="1225802171"/>
    </cacheField>
    <cacheField name="Langauge" numFmtId="49">
      <sharedItems/>
    </cacheField>
    <cacheField name="Translated Title (Unofficial)" numFmtId="49">
      <sharedItems/>
    </cacheField>
    <cacheField name="Title (R/E)" numFmtId="49">
      <sharedItems/>
    </cacheField>
    <cacheField name="Title (N)" numFmtId="49">
      <sharedItems containsBlank="1"/>
    </cacheField>
    <cacheField name="Creator (R/E)" numFmtId="49">
      <sharedItems/>
    </cacheField>
    <cacheField name="Creator (N)" numFmtId="49">
      <sharedItems/>
    </cacheField>
    <cacheField name="Series (R/E)" numFmtId="49">
      <sharedItems/>
    </cacheField>
    <cacheField name="Series (N)" numFmtId="49">
      <sharedItems/>
    </cacheField>
    <cacheField name="Publisher (R/E)" numFmtId="49">
      <sharedItems containsBlank="1" count="204">
        <s v="Chūō Kōronsha"/>
        <s v="Chūō Kōron Shinsha"/>
        <s v="Kadokawa Shoten"/>
        <s v="n/a"/>
        <s v="Kōdansha"/>
        <s v="Shinchōsha"/>
        <s v="Wani Bukkusu"/>
        <s v="Iwanami Shoten"/>
        <s v="Maruzen"/>
        <s v="Yamakawa Shuppansha"/>
        <s v="Shōbunsha"/>
        <s v="Hakuōsha"/>
        <s v="Nihon Hōsō Shuppan Kyōkai"/>
        <s v="Bungei Shunjū"/>
        <s v="Shinchō Bunko"/>
        <s v="Chikuma Shobō"/>
        <s v="Shun'yōdō"/>
        <s v="Kyōto Shoin"/>
        <s v="Php Kenkyūjo"/>
        <s v="Kadokawa Gakugei Shuppan"/>
        <s v="Sanpauro"/>
        <s v="Chūō Shuppansha"/>
        <s v="Nei Menggu Wen Hua Yin Xiang Chu Ban She"/>
        <s v="Shūyūkan 200-Nen Kinen Jigyō Iinkai"/>
        <s v="Meiji Jingū"/>
        <s v="Asahi Shinbunsha"/>
        <s v="Chūsekisha"/>
        <s v="Yabe Mō"/>
        <s v="Sōgensha"/>
        <s v="Shibundō"/>
        <s v="Kurashi No Techōsha"/>
        <s v="Hōyū Shoten"/>
        <s v="Nihon Oyobi Nihonjin Sha"/>
        <s v="Tōkyō Daigaku Shuppankai"/>
        <s v="Dōhōsha"/>
        <s v="Ushio Shuppansha"/>
        <s v="Jinbutsu Ōraisha"/>
        <s v="Bungei Shunjū Shinsha"/>
        <s v="Yoshikawa Kōbunkan"/>
        <s v="Keisō Shobō"/>
        <s v="Hōbunkan Shuppan"/>
        <s v="Nigensha"/>
        <s v="Nihon Keizai Shinbunsha"/>
        <s v="Kamakura Shunjūsha"/>
        <s v="Kōyū Shuppan"/>
        <s v="Gakuseisha"/>
        <s v="Shin Jinbutsu Ōraisha"/>
        <s v="Eikō Shuppansha"/>
        <s v="Rengō Shuppan"/>
        <s v="Perikansha"/>
        <s v="Chikuma Shūhansha"/>
        <s v="Jieitībīpaburisshingu"/>
        <s v="Heibonsha"/>
        <s v="Gendai Shichōsha"/>
        <s v="Taikōsha"/>
        <s v="Kawade Shobō Shinsha"/>
        <s v="Sekai Shisōsha"/>
        <s v="Gendai Shokan"/>
        <s v="Daiwa Shobō"/>
        <s v="Jōhō Sentā Shuppankyoku"/>
        <s v="Hankyū Komyunikēshonzu"/>
        <s v="Tankakenkyūsha"/>
        <s v="Xin Hua Shu Dian Beijing Fa Xing Suo Fa Xing"/>
        <s v="Chuō Kōronsha"/>
        <s v="Fujin No Tomosha"/>
        <s v="Sanseidō"/>
        <s v="Shōgakkan"/>
        <s v="Randamuhausukōdansha"/>
        <s v="Xianggang Tai Ping Shu Ju"/>
        <s v="Rokkō Shuppanbu"/>
        <s v="Tōkyōdō Shuppan"/>
        <s v="Eihōsha"/>
        <s v="Suemori Bukkusu"/>
        <s v="Dentsū"/>
        <s v="赤ひげ堂"/>
        <s v="Jiyū Kokuminsha"/>
        <s v="C.e. Tuttle Co."/>
        <s v="Kyūryūdō"/>
        <s v="Kinokuniya Shoten"/>
        <s v="Harper &amp; Row"/>
        <s v="Oxford University Press"/>
        <s v="University Press Of Kansas"/>
        <s v="Routledge"/>
        <s v="Distributed By University Of Hawaii Press"/>
        <s v="Institute For National Strategic Studies"/>
        <s v="Associated University Presses"/>
        <s v="Eunhaeng Namu"/>
        <s v="Random House"/>
        <s v="Ethics And Public Policy Center"/>
        <s v="For Sale By The Supt. Of Docs."/>
        <s v="Distributed By University Of Hawai'i Press"/>
        <s v="Columbia University Press"/>
        <s v="Alfred A. Knopf"/>
        <s v="Silkworm Books"/>
        <s v="Ronald Press Co."/>
        <s v="Noonday Press"/>
        <s v="Shs"/>
        <s v="Chōbunsha"/>
        <s v="Vintage Books"/>
        <s v="Counterpoint"/>
        <s v="Farrar"/>
        <s v="Presidio Press/ballantine Books"/>
        <s v="Kōdansha International"/>
        <s v="Japanese Cultural Center Of Hawaii"/>
        <s v="R. Sejima"/>
        <s v="School And Library Distribution By Silver Burdett"/>
        <s v="School And Library Distribution By Silver Burdett Co."/>
        <s v="Praeger"/>
        <s v="Greenwood Press"/>
        <s v="Addison-wesley"/>
        <s v="Harpersanfrancisco"/>
        <s v="Cascade Books"/>
        <s v="University Of California Press"/>
        <s v="Cornell University Press"/>
        <s v="Dongbuga Yeoksa Jaedan" u="1"/>
        <s v="Tongbuga Yŏksa Chaedan" u="1"/>
        <s v="Sŏul Taehakkyo Kyujanggak Han'gukhak Yŏn'guwŏn" u="1"/>
        <s v="Northeast Asian History Foundation" u="1"/>
        <s v="Gimhae National Museum" u="1"/>
        <s v="Munhak Tongne" u="1"/>
        <s v="Parrhesia" u="1"/>
        <s v="Munhak kwa Chisŏngsa" u="1"/>
        <s v="Imaju" u="1"/>
        <s v="K'ŏmyunik'eisyŏn Puksŭ" u="1"/>
        <s v="Korean Culture And Information Service" u="1"/>
        <s v="Kkum'gyo Ch'ulp'ansa" u="1"/>
        <s v="Pusan Taehakkyo Ch'ulp'an Munhwawŏn" u="1"/>
        <s v="Sae Mulkyŏl" u="1"/>
        <s v="Midasŭ Puksŭ" u="1"/>
        <s v="Hyŏnsil Munhwa Yŏn'gu" u="1"/>
        <s v="Yoo Youngkuk Art Foundation" u="1"/>
        <s v="Chŏnnam Taehakkyo Ch'ulp'an Munhwawŏn" u="1"/>
        <s v="Nurwa" u="1"/>
        <s v="Ŭnhaeng Namu" u="1"/>
        <s v="P'aekt'ori Nain" u="1"/>
        <s v="Ch'orokpi Ch'aek Kongbang" u="1"/>
        <s v="Seoul metropolitan government" u="1"/>
        <s v="Mari Puksŭ" u="1"/>
        <s v="Kungnip Chungang Tosogwŏn" u="1"/>
        <s v="Seoul Selection" u="1"/>
        <s v="Kugoe Sojae Munhwajae Chaedan" u="1"/>
        <s v="National Memorial Of The Korean Provisional Government" u="1"/>
        <s v="Kungnip Taehan Min'guk Imsi Chŏngbu Kinyŏmgwan" u="1"/>
        <s v="Kungnip Munhwajae Yŏn'guso" u="1"/>
        <s v="Hanʼguk Yŏngsang Charyowŏn" u="1"/>
        <s v="Han'guk Yŏngsang Charyowŏn" u="1"/>
        <s v="Sŏul Taehakkyo Kyujang'gak Han'gukhak Yŏn'guwŏn" u="1"/>
        <s v="學術 會議 叢書 (Korea (South). 국사 편찬 위원회) ; 2" u="1"/>
        <s v="P'urŭn Yŏksa" u="1"/>
        <s v="Ch'aek Kwa Namu" u="1"/>
        <s v="Kuksa P'yŏnch'an Wiwŏnhoe" u="1"/>
        <s v="National Institute Of Korean History" u="1"/>
        <s v="An Kŭrap'iksŭ" u="1"/>
        <s v="Seoul Daehakgyo Gyujanggak Hangukhak Yeonguwon" u="1"/>
        <s v="T'onggyech'ŏng&lt;/font&gt;" u="1"/>
        <s v="Kungnip Chungang Pangmulgwan" u="1"/>
        <s v="Tongnip Kinyŏmgwan Han'guk Tongnip Undongsa Yŏn'guso" u="1"/>
        <s v="Ministry Of National Defense" u="1"/>
        <s v="Munhwa Ch'eyuk Kwan'gwangbu&lt;/font&gt;" u="1"/>
        <s v="Munhwa Ch'eyuk Kwan'gwangbu" u="1"/>
        <s v="Seaweed" u="1"/>
        <s v="Tongnip Kinyŏmgwan Hanʼguk Tongnip Undongsa Yŏnʼguso" u="1"/>
        <s v="Taehan Min'guk Yŏksa Pangmulgwan" u="1"/>
        <s v="Kŭl Hangari" u="1"/>
        <s v="Hyean" u="1"/>
        <s v="Pagijŏng" u="1"/>
        <s v="Sejong Yŏn'guso" u="1"/>
        <s v="Yŏnse Taehakkyo Taehak Ch'ulp'an Munhwawŏn" u="1"/>
        <s v="Chagbat" u="1"/>
        <s v="Chagŏpsil Yuryŏng" u="1"/>
        <s v="Puk K'oria" u="1"/>
        <s v="Ilmin Misulgwan" u="1"/>
        <s v="Ewha Womans University Press" u="1"/>
        <s v="Academy Of Korean Studies Press" u="1"/>
        <s v="The Academy Of Korean Studies Press" u="1"/>
        <s v="Academy Of Korean Studies" u="1"/>
        <s v="Longtail Books" u="1"/>
        <s v="National Gugak Center" u="1"/>
        <s v="Tongbuga Yŏksa Chaedan" u="1"/>
        <s v="Hyŏnam Chuniŏ" u="1"/>
        <s v="Churyusŏng" u="1"/>
        <s v="Misul Munhwa" u="1"/>
        <s v="Nunpit" u="1"/>
        <s v="Pulgwang Ch'ulp'ansa" u="1"/>
        <s v="Kungnip Kugagwŏn" u="1"/>
        <s v="Han'guk Munhwasa" u="1"/>
        <s v="Hyŏnsil Munhwa" u="1"/>
        <s v="Design Nanoom" u="1"/>
        <s v="National Museum Of Korea" u="1"/>
        <s v="Schiffer Publishing" u="1"/>
        <s v="Ch'ŏn'gae Ŭi Param" u="1"/>
        <s v="Space For Contempoary Art ; Hyunsil Culture Studies" u="1"/>
        <s v="Cheong Wa Dae" u="1"/>
        <s v="Ch'ŏngwadae Taet'ongnyŏng Pisŏsil" u="1"/>
        <s v="Korean Educational Development Institute (Kedi)" u="1"/>
        <s v="Korea Tourism Organization" u="1"/>
        <s v="Asia Culture Center" u="1"/>
        <s v="National Museum Of Modern And Contemporary Art" u="1"/>
        <s v="Gyeongsangbuk-do" u="1"/>
        <s v="Gyeongsangbuk-do Provincial Government" u="1"/>
        <s v="Gungnip Gugagwon" u="1"/>
        <s v="Miju Kukkun P'oro Songhwan Wiwŏnhoe" u="1"/>
        <s v="National Assembly Library" u="1"/>
        <m u="1"/>
      </sharedItems>
    </cacheField>
    <cacheField name="Publisher (N)" numFmtId="49">
      <sharedItems containsBlank="1" count="107">
        <s v="中央公論社"/>
        <s v="n/a"/>
        <s v="中央公論新社"/>
        <s v="角川書店"/>
        <s v="青春出版社"/>
        <s v="講談社"/>
        <s v="新潮社"/>
        <s v="ワニブックス"/>
        <s v="岩波書店"/>
        <s v="PHP研究所"/>
        <s v="丸善"/>
        <s v="山川出版社"/>
        <s v="池田書店"/>
        <s v="昭文社"/>
        <s v="白凰社"/>
        <s v="日本放送出版協会"/>
        <s v="文藝春秋"/>
        <s v="構談社"/>
        <s v="光人社"/>
        <s v="筑摩書房"/>
        <s v="春陽堂"/>
        <s v="京都書院"/>
        <s v="大陸書房"/>
        <s v="サンパウロ"/>
        <s v="中央出版社"/>
        <s v="內蒙古文化音像出版社"/>
        <s v="修猷館 200年記念事業委員会"/>
        <s v="明治神宮"/>
        <s v="[矢部孟]"/>
        <s v="創元社"/>
        <s v="至文堂"/>
        <s v="暮しの手帖社"/>
        <s v="朋友書店"/>
        <s v="東京大学出版会"/>
        <s v="同朋舎"/>
        <s v="『追想天谷直弘』刊行会"/>
        <s v="潮出版社"/>
        <s v="人物往来社"/>
        <s v="文藝春秋新社"/>
        <s v="吉川弘文館"/>
        <s v="時事通信社"/>
        <s v="東京"/>
        <s v="勁草書房"/>
        <s v="晶文社"/>
        <s v="文芸春秋"/>
        <s v="宝文館出版"/>
        <s v="二玄社"/>
        <s v="日本経済新聞社"/>
        <s v="かまくら春秋社"/>
        <s v="発行所恒友出版"/>
        <s v="学生社"/>
        <s v="新人物往來社"/>
        <s v="栄光出版社"/>
        <s v="連合出版"/>
        <s v="ぺりかん社"/>
        <s v="チクマ秀版社"/>
        <s v="社会保険法規研究会"/>
        <s v="JTBパブリッシング"/>
        <s v="山と渓谷社"/>
        <s v="平凡社"/>
        <s v="現代思潮社"/>
        <s v="大巧社"/>
        <s v="河出書房新社"/>
        <s v="世界思想社"/>
        <s v="曰本経済新聞社"/>
        <s v="たま出版"/>
        <s v="現代書館"/>
        <s v="大和書房"/>
        <s v="砂子屋書房"/>
        <s v="かや書房"/>
        <s v="情報センター出版局"/>
        <s v="阪急コミュニケーションズ"/>
        <s v="かのう書房"/>
        <s v="短歌研究社"/>
        <s v="新華書店北京發行所發行"/>
        <s v="徳間書店"/>
        <s v="婦人之友社"/>
        <s v="三省堂"/>
        <s v="小学館"/>
        <s v="ランダムハウス講談社"/>
        <s v="香港太平書局"/>
        <s v="六興出版部"/>
        <s v="中華書局出版"/>
        <s v="新泉社"/>
        <s v="日本基督教団出版局"/>
        <s v="朝日新聞社"/>
        <s v="光生館"/>
        <s v="東京堂出版"/>
        <s v="英宝社"/>
        <s v="すえもりブックス"/>
        <s v="電通"/>
        <s v="Akahigedō"/>
        <s v="自由国民社"/>
        <s v="昭和十五年桜医会"/>
        <s v="求龍堂"/>
        <s v="紀伊國屋書店"/>
        <s v="朝文社"/>
        <s v="동북아역사재단" u="1"/>
        <s v="Kuksa P'yŏnch'an Wiwŏnhoe" u="1"/>
        <s v="국사 편찬 위원회" u="1"/>
        <s v="서울大學敎 奎章閣韓國學硏究院" u="1"/>
        <s v="통계청" u="1"/>
        <s v="문화 관광부 ^ 문화 체육 관광부" u="1"/>
        <s v="국립 중앙 박물관" u="1"/>
        <s v="독립 기념관 한국 독립 운동사 연구소" u="1"/>
        <s v="국립국악원" u="1"/>
        <m u="1"/>
      </sharedItems>
    </cacheField>
    <cacheField name="Pub Date (RE)" numFmtId="49">
      <sharedItems containsMixedTypes="1" containsNumber="1" containsInteger="1" minValue="2006" maxValue="2022" count="92">
        <s v="1998"/>
        <s v="1996"/>
        <s v="1966"/>
        <s v="1974"/>
        <s v="2009"/>
        <s v="1993"/>
        <s v="1991"/>
        <s v="1995"/>
        <s v="1983"/>
        <s v="1986"/>
        <s v="1971"/>
        <s v="1988"/>
        <s v="1989"/>
        <s v="2005"/>
        <s v="2013"/>
        <s v="1992"/>
        <s v="2012"/>
        <s v="1972"/>
        <s v="n/a"/>
        <s v="1979"/>
        <s v="1981"/>
        <s v="1999"/>
        <s v="1985"/>
        <s v="2010"/>
        <s v="2004"/>
        <s v="1994"/>
        <s v="1977"/>
        <s v="1984"/>
        <s v="1990-1993"/>
        <s v="1961"/>
        <s v="1958"/>
        <s v="1978"/>
        <s v="1969"/>
        <s v="1950"/>
        <s v="1927"/>
        <s v="2000"/>
        <s v="1965"/>
        <s v="1968"/>
        <s v="1990"/>
        <s v="2001"/>
        <s v="2006"/>
        <s v="1970"/>
        <s v="2002"/>
        <s v="1963"/>
        <s v="1955"/>
        <s v="1982"/>
        <s v="2011"/>
        <s v="1960"/>
        <s v="1956"/>
        <s v="1997"/>
        <s v="1975"/>
        <s v="1976"/>
        <s v="1987"/>
        <s v="1973"/>
        <s v="1948"/>
        <s v="1969-1974"/>
        <s v="1957"/>
        <s v="1964"/>
        <s v="2018"/>
        <s v="1953"/>
        <s v="1962"/>
        <s v="1991-1994"/>
        <s v="1957-1978"/>
        <s v="1979-1980"/>
        <s v="1972-1973"/>
        <s v="1967"/>
        <s v="1977-1978"/>
        <s v="2007"/>
        <s v="2003"/>
        <s v="1958-1964"/>
        <s v="2019"/>
        <s v="2015"/>
        <s v="2008"/>
        <s v="1959"/>
        <s v="1980"/>
        <s v="1959-1965"/>
        <s v="1938"/>
        <s v="1954"/>
        <s v="1992-2006"/>
        <s v="1951"/>
        <s v="2014"/>
        <s v="2016"/>
        <n v="2018" u="1"/>
        <n v="2019" u="1"/>
        <n v="2020" u="1"/>
        <n v="2015" u="1"/>
        <n v="2016" u="1"/>
        <n v="2017" u="1"/>
        <n v="2006" u="1"/>
        <n v="2021" u="1"/>
        <n v="2022" u="1"/>
        <n v="2009" u="1"/>
      </sharedItems>
    </cacheField>
    <cacheField name="Pub Date (N)" numFmtId="49">
      <sharedItems/>
    </cacheField>
    <cacheField name="Edition (RE)" numFmtId="49">
      <sharedItems/>
    </cacheField>
    <cacheField name="Edition (N)" numFmtId="49">
      <sharedItems/>
    </cacheField>
    <cacheField name="Subject Headings" numFmtId="49">
      <sharedItems longText="1"/>
    </cacheField>
    <cacheField name="USD Estimate" numFmtId="44">
      <sharedItems containsBlank="1"/>
    </cacheField>
    <cacheField name="Currency" numFmtId="49">
      <sharedItems containsNonDate="0" containsString="0" containsBlank="1"/>
    </cacheField>
    <cacheField name="Local Value Estimate" numFmtId="1">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273.681955555556" createdVersion="8" refreshedVersion="8" minRefreshableVersion="3" recordCount="500" xr:uid="{4174334D-522D-4925-8364-0888B3C1359C}">
  <cacheSource type="worksheet">
    <worksheetSource ref="N1:N1048576" sheet="s-Date"/>
  </cacheSource>
  <cacheFields count="1">
    <cacheField name="Dates Reformatted" numFmtId="0">
      <sharedItems containsString="0" containsBlank="1" containsNumber="1" containsInteger="1" minValue="1966" maxValue="2013" count="19">
        <n v="1998"/>
        <n v="1996"/>
        <n v="1966"/>
        <n v="1974"/>
        <n v="2009"/>
        <n v="1993"/>
        <n v="1991"/>
        <n v="1995"/>
        <n v="1983"/>
        <n v="1986"/>
        <n v="1971"/>
        <n v="1988"/>
        <n v="1989"/>
        <n v="2005"/>
        <n v="2013"/>
        <n v="1992"/>
        <n v="2012"/>
        <n v="1972"/>
        <m/>
      </sharedItems>
      <fieldGroup base="0">
        <rangePr autoStart="0" autoEnd="0" startNum="0" endNum="3000" groupInterval="10"/>
        <groupItems count="302">
          <s v="&lt;0 or (blank)"/>
          <s v="0-9"/>
          <s v="10-19"/>
          <s v="20-29"/>
          <s v="30-39"/>
          <s v="40-49"/>
          <s v="50-59"/>
          <s v="60-69"/>
          <s v="70-79"/>
          <s v="80-89"/>
          <s v="90-99"/>
          <s v="100-109"/>
          <s v="110-119"/>
          <s v="120-129"/>
          <s v="130-139"/>
          <s v="140-149"/>
          <s v="150-159"/>
          <s v="160-169"/>
          <s v="170-179"/>
          <s v="180-189"/>
          <s v="190-199"/>
          <s v="200-209"/>
          <s v="210-219"/>
          <s v="220-229"/>
          <s v="230-239"/>
          <s v="240-249"/>
          <s v="250-259"/>
          <s v="260-269"/>
          <s v="270-279"/>
          <s v="280-289"/>
          <s v="290-299"/>
          <s v="300-309"/>
          <s v="310-319"/>
          <s v="320-329"/>
          <s v="330-339"/>
          <s v="340-349"/>
          <s v="350-359"/>
          <s v="360-369"/>
          <s v="370-379"/>
          <s v="380-389"/>
          <s v="390-399"/>
          <s v="400-409"/>
          <s v="410-419"/>
          <s v="420-429"/>
          <s v="430-439"/>
          <s v="440-449"/>
          <s v="450-459"/>
          <s v="460-469"/>
          <s v="470-479"/>
          <s v="480-489"/>
          <s v="490-499"/>
          <s v="500-509"/>
          <s v="510-519"/>
          <s v="520-529"/>
          <s v="530-539"/>
          <s v="540-549"/>
          <s v="550-559"/>
          <s v="560-569"/>
          <s v="570-579"/>
          <s v="580-589"/>
          <s v="590-599"/>
          <s v="600-609"/>
          <s v="610-619"/>
          <s v="620-629"/>
          <s v="630-639"/>
          <s v="640-649"/>
          <s v="650-659"/>
          <s v="660-669"/>
          <s v="670-679"/>
          <s v="680-689"/>
          <s v="690-699"/>
          <s v="700-709"/>
          <s v="710-719"/>
          <s v="720-729"/>
          <s v="730-739"/>
          <s v="740-749"/>
          <s v="750-759"/>
          <s v="760-769"/>
          <s v="770-779"/>
          <s v="780-789"/>
          <s v="790-799"/>
          <s v="800-809"/>
          <s v="810-819"/>
          <s v="820-829"/>
          <s v="830-839"/>
          <s v="840-849"/>
          <s v="850-859"/>
          <s v="860-869"/>
          <s v="870-879"/>
          <s v="880-889"/>
          <s v="890-899"/>
          <s v="900-909"/>
          <s v="910-919"/>
          <s v="920-929"/>
          <s v="930-939"/>
          <s v="940-949"/>
          <s v="950-959"/>
          <s v="960-969"/>
          <s v="970-979"/>
          <s v="980-989"/>
          <s v="990-999"/>
          <s v="1000-1009"/>
          <s v="1010-1019"/>
          <s v="1020-1029"/>
          <s v="1030-1039"/>
          <s v="1040-1049"/>
          <s v="1050-1059"/>
          <s v="1060-1069"/>
          <s v="1070-1079"/>
          <s v="1080-1089"/>
          <s v="1090-1099"/>
          <s v="1100-1109"/>
          <s v="1110-1119"/>
          <s v="1120-1129"/>
          <s v="1130-1139"/>
          <s v="1140-1149"/>
          <s v="1150-1159"/>
          <s v="1160-1169"/>
          <s v="1170-1179"/>
          <s v="1180-1189"/>
          <s v="1190-1199"/>
          <s v="1200-1209"/>
          <s v="1210-1219"/>
          <s v="1220-1229"/>
          <s v="1230-1239"/>
          <s v="1240-1249"/>
          <s v="1250-1259"/>
          <s v="1260-1269"/>
          <s v="1270-1279"/>
          <s v="1280-1289"/>
          <s v="1290-1299"/>
          <s v="1300-1309"/>
          <s v="1310-1319"/>
          <s v="1320-1329"/>
          <s v="1330-1339"/>
          <s v="1340-1349"/>
          <s v="1350-1359"/>
          <s v="1360-1369"/>
          <s v="1370-1379"/>
          <s v="1380-1389"/>
          <s v="1390-1399"/>
          <s v="1400-1409"/>
          <s v="1410-1419"/>
          <s v="1420-1429"/>
          <s v="1430-1439"/>
          <s v="1440-1449"/>
          <s v="1450-1459"/>
          <s v="1460-1469"/>
          <s v="1470-1479"/>
          <s v="1480-1489"/>
          <s v="1490-1499"/>
          <s v="1500-1509"/>
          <s v="1510-1519"/>
          <s v="1520-1529"/>
          <s v="1530-1539"/>
          <s v="1540-1549"/>
          <s v="1550-1559"/>
          <s v="1560-1569"/>
          <s v="1570-1579"/>
          <s v="1580-1589"/>
          <s v="1590-1599"/>
          <s v="1600-1609"/>
          <s v="1610-1619"/>
          <s v="1620-1629"/>
          <s v="1630-1639"/>
          <s v="1640-1649"/>
          <s v="1650-1659"/>
          <s v="1660-1669"/>
          <s v="1670-1679"/>
          <s v="1680-1689"/>
          <s v="1690-1699"/>
          <s v="1700-1709"/>
          <s v="1710-1719"/>
          <s v="1720-1729"/>
          <s v="1730-1739"/>
          <s v="1740-1749"/>
          <s v="1750-1759"/>
          <s v="1760-1769"/>
          <s v="1770-1779"/>
          <s v="1780-1789"/>
          <s v="1790-1799"/>
          <s v="1800-1809"/>
          <s v="1810-1819"/>
          <s v="1820-1829"/>
          <s v="1830-1839"/>
          <s v="1840-1849"/>
          <s v="1850-1859"/>
          <s v="1860-1869"/>
          <s v="1870-1879"/>
          <s v="1880-1889"/>
          <s v="1890-1899"/>
          <s v="1900-1909"/>
          <s v="1910-1919"/>
          <s v="1920-1929"/>
          <s v="1930-1939"/>
          <s v="1940-1949"/>
          <s v="1950-1959"/>
          <s v="1960-1969"/>
          <s v="1970-1979"/>
          <s v="1980-1989"/>
          <s v="1990-1999"/>
          <s v="2000-2009"/>
          <s v="2010-2019"/>
          <s v="2020-2029"/>
          <s v="2030-2039"/>
          <s v="2040-2049"/>
          <s v="2050-2059"/>
          <s v="2060-2069"/>
          <s v="2070-2079"/>
          <s v="2080-2089"/>
          <s v="2090-2099"/>
          <s v="2100-2109"/>
          <s v="2110-2119"/>
          <s v="2120-2129"/>
          <s v="2130-2139"/>
          <s v="2140-2149"/>
          <s v="2150-2159"/>
          <s v="2160-2169"/>
          <s v="2170-2179"/>
          <s v="2180-2189"/>
          <s v="2190-2199"/>
          <s v="2200-2209"/>
          <s v="2210-2219"/>
          <s v="2220-2229"/>
          <s v="2230-2239"/>
          <s v="2240-2249"/>
          <s v="2250-2259"/>
          <s v="2260-2269"/>
          <s v="2270-2279"/>
          <s v="2280-2289"/>
          <s v="2290-2299"/>
          <s v="2300-2309"/>
          <s v="2310-2319"/>
          <s v="2320-2329"/>
          <s v="2330-2339"/>
          <s v="2340-2349"/>
          <s v="2350-2359"/>
          <s v="2360-2369"/>
          <s v="2370-2379"/>
          <s v="2380-2389"/>
          <s v="2390-2399"/>
          <s v="2400-2409"/>
          <s v="2410-2419"/>
          <s v="2420-2429"/>
          <s v="2430-2439"/>
          <s v="2440-2449"/>
          <s v="2450-2459"/>
          <s v="2460-2469"/>
          <s v="2470-2479"/>
          <s v="2480-2489"/>
          <s v="2490-2499"/>
          <s v="2500-2509"/>
          <s v="2510-2519"/>
          <s v="2520-2529"/>
          <s v="2530-2539"/>
          <s v="2540-2549"/>
          <s v="2550-2559"/>
          <s v="2560-2569"/>
          <s v="2570-2579"/>
          <s v="2580-2589"/>
          <s v="2590-2599"/>
          <s v="2600-2609"/>
          <s v="2610-2619"/>
          <s v="2620-2629"/>
          <s v="2630-2639"/>
          <s v="2640-2649"/>
          <s v="2650-2659"/>
          <s v="2660-2669"/>
          <s v="2670-2679"/>
          <s v="2680-2689"/>
          <s v="2690-2699"/>
          <s v="2700-2709"/>
          <s v="2710-2719"/>
          <s v="2720-2729"/>
          <s v="2730-2739"/>
          <s v="2740-2749"/>
          <s v="2750-2759"/>
          <s v="2760-2769"/>
          <s v="2770-2779"/>
          <s v="2780-2789"/>
          <s v="2790-2799"/>
          <s v="2800-2809"/>
          <s v="2810-2819"/>
          <s v="2820-2829"/>
          <s v="2830-2839"/>
          <s v="2840-2849"/>
          <s v="2850-2859"/>
          <s v="2860-2869"/>
          <s v="2870-2879"/>
          <s v="2880-2889"/>
          <s v="2890-2899"/>
          <s v="2900-2909"/>
          <s v="2910-2919"/>
          <s v="2920-2929"/>
          <s v="2930-2939"/>
          <s v="2940-2949"/>
          <s v="2950-2959"/>
          <s v="2960-2969"/>
          <s v="2970-2979"/>
          <s v="2980-2989"/>
          <s v="2990-3000"/>
          <s v="&gt;300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7">
  <r>
    <x v="0"/>
  </r>
  <r>
    <x v="0"/>
  </r>
  <r>
    <x v="0"/>
  </r>
  <r>
    <x v="0"/>
  </r>
  <r>
    <x v="0"/>
  </r>
  <r>
    <x v="0"/>
  </r>
  <r>
    <x v="0"/>
  </r>
  <r>
    <x v="0"/>
  </r>
  <r>
    <x v="0"/>
  </r>
  <r>
    <x v="0"/>
  </r>
  <r>
    <x v="0"/>
  </r>
  <r>
    <x v="0"/>
  </r>
  <r>
    <x v="0"/>
  </r>
  <r>
    <x v="0"/>
  </r>
  <r>
    <x v="0"/>
  </r>
  <r>
    <x v="0"/>
  </r>
  <r>
    <x v="0"/>
  </r>
  <r>
    <x v="1"/>
  </r>
  <r>
    <x v="1"/>
  </r>
  <r>
    <x v="1"/>
  </r>
  <r>
    <x v="1"/>
  </r>
  <r>
    <x v="1"/>
  </r>
  <r>
    <x v="1"/>
  </r>
  <r>
    <x v="1"/>
  </r>
  <r>
    <x v="1"/>
  </r>
  <r>
    <x v="1"/>
  </r>
  <r>
    <x v="1"/>
  </r>
  <r>
    <x v="1"/>
  </r>
  <r>
    <x v="1"/>
  </r>
  <r>
    <x v="1"/>
  </r>
  <r>
    <x v="1"/>
  </r>
  <r>
    <x v="2"/>
  </r>
  <r>
    <x v="3"/>
  </r>
  <r>
    <x v="4"/>
  </r>
  <r>
    <x v="4"/>
  </r>
  <r>
    <x v="5"/>
  </r>
  <r>
    <x v="6"/>
  </r>
  <r>
    <x v="7"/>
  </r>
  <r>
    <x v="7"/>
  </r>
  <r>
    <x v="8"/>
  </r>
  <r>
    <x v="9"/>
  </r>
  <r>
    <x v="10"/>
  </r>
  <r>
    <x v="11"/>
  </r>
  <r>
    <x v="6"/>
  </r>
  <r>
    <x v="7"/>
  </r>
  <r>
    <x v="12"/>
  </r>
  <r>
    <x v="13"/>
  </r>
  <r>
    <x v="14"/>
  </r>
  <r>
    <x v="15"/>
  </r>
  <r>
    <x v="16"/>
  </r>
  <r>
    <x v="17"/>
  </r>
  <r>
    <x v="17"/>
  </r>
  <r>
    <x v="18"/>
  </r>
  <r>
    <x v="18"/>
  </r>
  <r>
    <x v="18"/>
  </r>
  <r>
    <x v="19"/>
  </r>
  <r>
    <x v="19"/>
  </r>
  <r>
    <x v="19"/>
  </r>
  <r>
    <x v="16"/>
  </r>
  <r>
    <x v="16"/>
  </r>
  <r>
    <x v="16"/>
  </r>
  <r>
    <x v="19"/>
  </r>
  <r>
    <x v="19"/>
  </r>
  <r>
    <x v="19"/>
  </r>
  <r>
    <x v="19"/>
  </r>
  <r>
    <x v="19"/>
  </r>
  <r>
    <x v="20"/>
  </r>
  <r>
    <x v="6"/>
  </r>
  <r>
    <x v="20"/>
  </r>
  <r>
    <x v="20"/>
  </r>
  <r>
    <x v="20"/>
  </r>
  <r>
    <x v="20"/>
  </r>
  <r>
    <x v="20"/>
  </r>
  <r>
    <x v="21"/>
  </r>
  <r>
    <x v="22"/>
  </r>
  <r>
    <x v="6"/>
  </r>
  <r>
    <x v="23"/>
  </r>
  <r>
    <x v="24"/>
  </r>
  <r>
    <x v="25"/>
  </r>
  <r>
    <x v="20"/>
  </r>
  <r>
    <x v="20"/>
  </r>
  <r>
    <x v="26"/>
  </r>
  <r>
    <x v="27"/>
  </r>
  <r>
    <x v="28"/>
  </r>
  <r>
    <x v="28"/>
  </r>
  <r>
    <x v="24"/>
  </r>
  <r>
    <x v="24"/>
  </r>
  <r>
    <x v="24"/>
  </r>
  <r>
    <x v="24"/>
  </r>
  <r>
    <x v="24"/>
  </r>
  <r>
    <x v="24"/>
  </r>
  <r>
    <x v="24"/>
  </r>
  <r>
    <x v="24"/>
  </r>
  <r>
    <x v="18"/>
  </r>
  <r>
    <x v="24"/>
  </r>
  <r>
    <x v="29"/>
  </r>
  <r>
    <x v="6"/>
  </r>
  <r>
    <x v="29"/>
  </r>
  <r>
    <x v="29"/>
  </r>
  <r>
    <x v="24"/>
  </r>
  <r>
    <x v="24"/>
  </r>
  <r>
    <x v="20"/>
  </r>
  <r>
    <x v="24"/>
  </r>
  <r>
    <x v="6"/>
  </r>
  <r>
    <x v="24"/>
  </r>
  <r>
    <x v="24"/>
  </r>
  <r>
    <x v="29"/>
  </r>
  <r>
    <x v="29"/>
  </r>
  <r>
    <x v="30"/>
  </r>
  <r>
    <x v="6"/>
  </r>
  <r>
    <x v="30"/>
  </r>
  <r>
    <x v="30"/>
  </r>
  <r>
    <x v="30"/>
  </r>
  <r>
    <x v="30"/>
  </r>
  <r>
    <x v="30"/>
  </r>
  <r>
    <x v="30"/>
  </r>
  <r>
    <x v="30"/>
  </r>
  <r>
    <x v="30"/>
  </r>
  <r>
    <x v="30"/>
  </r>
  <r>
    <x v="30"/>
  </r>
  <r>
    <x v="31"/>
  </r>
  <r>
    <x v="31"/>
  </r>
  <r>
    <x v="30"/>
  </r>
  <r>
    <x v="18"/>
  </r>
  <r>
    <x v="30"/>
  </r>
  <r>
    <x v="32"/>
  </r>
  <r>
    <x v="6"/>
  </r>
  <r>
    <x v="6"/>
  </r>
  <r>
    <x v="6"/>
  </r>
  <r>
    <x v="6"/>
  </r>
  <r>
    <x v="6"/>
  </r>
  <r>
    <x v="6"/>
  </r>
  <r>
    <x v="6"/>
  </r>
  <r>
    <x v="6"/>
  </r>
  <r>
    <x v="33"/>
  </r>
  <r>
    <x v="6"/>
  </r>
  <r>
    <x v="6"/>
  </r>
  <r>
    <x v="6"/>
  </r>
  <r>
    <x v="6"/>
  </r>
  <r>
    <x v="34"/>
  </r>
  <r>
    <x v="35"/>
  </r>
  <r>
    <x v="6"/>
  </r>
  <r>
    <x v="6"/>
  </r>
  <r>
    <x v="6"/>
  </r>
  <r>
    <x v="6"/>
  </r>
  <r>
    <x v="6"/>
  </r>
  <r>
    <x v="6"/>
  </r>
  <r>
    <x v="6"/>
  </r>
  <r>
    <x v="6"/>
  </r>
  <r>
    <x v="6"/>
  </r>
  <r>
    <x v="6"/>
  </r>
  <r>
    <x v="6"/>
  </r>
  <r>
    <x v="36"/>
  </r>
  <r>
    <x v="36"/>
  </r>
  <r>
    <x v="36"/>
  </r>
  <r>
    <x v="36"/>
  </r>
  <r>
    <x v="6"/>
  </r>
  <r>
    <x v="6"/>
  </r>
  <r>
    <x v="6"/>
  </r>
  <r>
    <x v="6"/>
  </r>
  <r>
    <x v="6"/>
  </r>
  <r>
    <x v="6"/>
  </r>
  <r>
    <x v="6"/>
  </r>
  <r>
    <x v="6"/>
  </r>
  <r>
    <x v="6"/>
  </r>
  <r>
    <x v="6"/>
  </r>
  <r>
    <x v="6"/>
  </r>
  <r>
    <x v="6"/>
  </r>
  <r>
    <x v="6"/>
  </r>
  <r>
    <x v="6"/>
  </r>
  <r>
    <x v="6"/>
  </r>
  <r>
    <x v="6"/>
  </r>
  <r>
    <x v="6"/>
  </r>
  <r>
    <x v="6"/>
  </r>
  <r>
    <x v="6"/>
  </r>
  <r>
    <x v="6"/>
  </r>
  <r>
    <x v="6"/>
  </r>
  <r>
    <x v="6"/>
  </r>
  <r>
    <x v="6"/>
  </r>
  <r>
    <x v="6"/>
  </r>
  <r>
    <x v="6"/>
  </r>
  <r>
    <x v="6"/>
  </r>
  <r>
    <x v="6"/>
  </r>
  <r>
    <x v="6"/>
  </r>
  <r>
    <x v="6"/>
  </r>
  <r>
    <x v="37"/>
  </r>
  <r>
    <x v="38"/>
  </r>
  <r>
    <x v="6"/>
  </r>
  <r>
    <x v="6"/>
  </r>
  <r>
    <x v="6"/>
  </r>
  <r>
    <x v="6"/>
  </r>
  <r>
    <x v="39"/>
  </r>
  <r>
    <x v="6"/>
  </r>
  <r>
    <x v="6"/>
  </r>
  <r>
    <x v="40"/>
  </r>
  <r>
    <x v="40"/>
  </r>
  <r>
    <x v="6"/>
  </r>
  <r>
    <x v="41"/>
  </r>
  <r>
    <x v="42"/>
  </r>
  <r>
    <x v="42"/>
  </r>
  <r>
    <x v="42"/>
  </r>
  <r>
    <x v="42"/>
  </r>
  <r>
    <x v="41"/>
  </r>
  <r>
    <x v="6"/>
  </r>
  <r>
    <x v="6"/>
  </r>
  <r>
    <x v="6"/>
  </r>
  <r>
    <x v="6"/>
  </r>
  <r>
    <x v="6"/>
  </r>
  <r>
    <x v="6"/>
  </r>
  <r>
    <x v="6"/>
  </r>
  <r>
    <x v="6"/>
  </r>
  <r>
    <x v="6"/>
  </r>
  <r>
    <x v="6"/>
  </r>
  <r>
    <x v="6"/>
  </r>
  <r>
    <x v="6"/>
  </r>
  <r>
    <x v="6"/>
  </r>
  <r>
    <x v="6"/>
  </r>
  <r>
    <x v="6"/>
  </r>
  <r>
    <x v="6"/>
  </r>
  <r>
    <x v="6"/>
  </r>
  <r>
    <x v="6"/>
  </r>
  <r>
    <x v="43"/>
  </r>
  <r>
    <x v="6"/>
  </r>
  <r>
    <x v="6"/>
  </r>
  <r>
    <x v="44"/>
  </r>
  <r>
    <x v="44"/>
  </r>
  <r>
    <x v="6"/>
  </r>
  <r>
    <x v="6"/>
  </r>
  <r>
    <x v="6"/>
  </r>
  <r>
    <x v="6"/>
  </r>
  <r>
    <x v="6"/>
  </r>
  <r>
    <x v="6"/>
  </r>
  <r>
    <x v="6"/>
  </r>
  <r>
    <x v="6"/>
  </r>
  <r>
    <x v="6"/>
  </r>
  <r>
    <x v="45"/>
  </r>
  <r>
    <x v="6"/>
  </r>
  <r>
    <x v="6"/>
  </r>
  <r>
    <x v="6"/>
  </r>
  <r>
    <x v="6"/>
  </r>
  <r>
    <x v="6"/>
  </r>
  <r>
    <x v="6"/>
  </r>
  <r>
    <x v="6"/>
  </r>
  <r>
    <x v="6"/>
  </r>
  <r>
    <x v="6"/>
  </r>
  <r>
    <x v="6"/>
  </r>
  <r>
    <x v="6"/>
  </r>
  <r>
    <x v="6"/>
  </r>
  <r>
    <x v="46"/>
  </r>
  <r>
    <x v="6"/>
  </r>
  <r>
    <x v="6"/>
  </r>
  <r>
    <x v="6"/>
  </r>
  <r>
    <x v="6"/>
  </r>
  <r>
    <x v="47"/>
  </r>
  <r>
    <x v="6"/>
  </r>
  <r>
    <x v="6"/>
  </r>
  <r>
    <x v="6"/>
  </r>
  <r>
    <x v="48"/>
  </r>
  <r>
    <x v="6"/>
  </r>
  <r>
    <x v="6"/>
  </r>
  <r>
    <x v="6"/>
  </r>
  <r>
    <x v="6"/>
  </r>
  <r>
    <x v="6"/>
  </r>
  <r>
    <x v="6"/>
  </r>
  <r>
    <x v="49"/>
  </r>
  <r>
    <x v="6"/>
  </r>
  <r>
    <x v="6"/>
  </r>
  <r>
    <x v="6"/>
  </r>
  <r>
    <x v="50"/>
  </r>
  <r>
    <x v="50"/>
  </r>
  <r>
    <x v="50"/>
  </r>
  <r>
    <x v="6"/>
  </r>
  <r>
    <x v="6"/>
  </r>
  <r>
    <x v="6"/>
  </r>
  <r>
    <x v="51"/>
  </r>
  <r>
    <x v="6"/>
  </r>
  <r>
    <x v="6"/>
  </r>
  <r>
    <x v="6"/>
  </r>
  <r>
    <x v="6"/>
  </r>
  <r>
    <x v="52"/>
  </r>
  <r>
    <x v="6"/>
  </r>
  <r>
    <x v="6"/>
  </r>
  <r>
    <x v="53"/>
  </r>
  <r>
    <x v="54"/>
  </r>
  <r>
    <x v="54"/>
  </r>
  <r>
    <x v="6"/>
  </r>
  <r>
    <x v="6"/>
  </r>
  <r>
    <x v="6"/>
  </r>
  <r>
    <x v="6"/>
  </r>
  <r>
    <x v="6"/>
  </r>
  <r>
    <x v="6"/>
  </r>
  <r>
    <x v="6"/>
  </r>
  <r>
    <x v="6"/>
  </r>
  <r>
    <x v="6"/>
  </r>
  <r>
    <x v="6"/>
  </r>
  <r>
    <x v="6"/>
  </r>
  <r>
    <x v="6"/>
  </r>
  <r>
    <x v="6"/>
  </r>
  <r>
    <x v="6"/>
  </r>
  <r>
    <x v="6"/>
  </r>
  <r>
    <x v="6"/>
  </r>
  <r>
    <x v="6"/>
  </r>
  <r>
    <x v="6"/>
  </r>
  <r>
    <x v="55"/>
  </r>
  <r>
    <x v="53"/>
  </r>
  <r>
    <x v="6"/>
  </r>
  <r>
    <x v="56"/>
  </r>
  <r>
    <x v="6"/>
  </r>
  <r>
    <x v="6"/>
  </r>
  <r>
    <x v="6"/>
  </r>
  <r>
    <x v="6"/>
  </r>
  <r>
    <x v="6"/>
  </r>
  <r>
    <x v="6"/>
  </r>
  <r>
    <x v="6"/>
  </r>
  <r>
    <x v="6"/>
  </r>
  <r>
    <x v="6"/>
  </r>
  <r>
    <x v="6"/>
  </r>
  <r>
    <x v="6"/>
  </r>
  <r>
    <x v="6"/>
  </r>
  <r>
    <x v="6"/>
  </r>
  <r>
    <x v="6"/>
  </r>
  <r>
    <x v="6"/>
  </r>
  <r>
    <x v="57"/>
  </r>
  <r>
    <x v="6"/>
  </r>
  <r>
    <x v="6"/>
  </r>
  <r>
    <x v="6"/>
  </r>
  <r>
    <x v="6"/>
  </r>
  <r>
    <x v="6"/>
  </r>
  <r>
    <x v="6"/>
  </r>
  <r>
    <x v="6"/>
  </r>
  <r>
    <x v="6"/>
  </r>
  <r>
    <x v="6"/>
  </r>
  <r>
    <x v="6"/>
  </r>
  <r>
    <x v="6"/>
  </r>
  <r>
    <x v="6"/>
  </r>
  <r>
    <x v="6"/>
  </r>
  <r>
    <x v="6"/>
  </r>
  <r>
    <x v="6"/>
  </r>
  <r>
    <x v="58"/>
  </r>
  <r>
    <x v="59"/>
  </r>
  <r>
    <x v="6"/>
  </r>
  <r>
    <x v="6"/>
  </r>
  <r>
    <x v="60"/>
  </r>
  <r>
    <x v="6"/>
  </r>
  <r>
    <x v="6"/>
  </r>
  <r>
    <x v="6"/>
  </r>
  <r>
    <x v="6"/>
  </r>
  <r>
    <x v="61"/>
  </r>
  <r>
    <x v="6"/>
  </r>
  <r>
    <x v="62"/>
  </r>
  <r>
    <x v="6"/>
  </r>
  <r>
    <x v="63"/>
  </r>
  <r>
    <x v="63"/>
  </r>
  <r>
    <x v="6"/>
  </r>
  <r>
    <x v="64"/>
  </r>
  <r>
    <x v="65"/>
  </r>
  <r>
    <x v="63"/>
  </r>
  <r>
    <x v="6"/>
  </r>
  <r>
    <x v="6"/>
  </r>
  <r>
    <x v="6"/>
  </r>
  <r>
    <x v="66"/>
  </r>
  <r>
    <x v="6"/>
  </r>
  <r>
    <x v="6"/>
  </r>
  <r>
    <x v="6"/>
  </r>
  <r>
    <x v="6"/>
  </r>
  <r>
    <x v="6"/>
  </r>
  <r>
    <x v="67"/>
  </r>
  <r>
    <x v="68"/>
  </r>
  <r>
    <x v="6"/>
  </r>
  <r>
    <x v="6"/>
  </r>
  <r>
    <x v="6"/>
  </r>
  <r>
    <x v="6"/>
  </r>
  <r>
    <x v="6"/>
  </r>
  <r>
    <x v="69"/>
  </r>
  <r>
    <x v="69"/>
  </r>
  <r>
    <x v="6"/>
  </r>
  <r>
    <x v="70"/>
  </r>
  <r>
    <x v="6"/>
  </r>
  <r>
    <x v="6"/>
  </r>
  <r>
    <x v="6"/>
  </r>
  <r>
    <x v="6"/>
  </r>
  <r>
    <x v="6"/>
  </r>
  <r>
    <x v="71"/>
  </r>
  <r>
    <x v="59"/>
  </r>
  <r>
    <x v="72"/>
  </r>
  <r>
    <x v="6"/>
  </r>
  <r>
    <x v="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7">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2"/>
  </r>
  <r>
    <x v="3"/>
  </r>
  <r>
    <x v="4"/>
  </r>
  <r>
    <x v="5"/>
  </r>
  <r>
    <x v="6"/>
  </r>
  <r>
    <x v="5"/>
  </r>
  <r>
    <x v="7"/>
  </r>
  <r>
    <x v="8"/>
  </r>
  <r>
    <x v="9"/>
  </r>
  <r>
    <x v="10"/>
  </r>
  <r>
    <x v="11"/>
  </r>
  <r>
    <x v="12"/>
  </r>
  <r>
    <x v="5"/>
  </r>
  <r>
    <x v="13"/>
  </r>
  <r>
    <x v="14"/>
  </r>
  <r>
    <x v="15"/>
  </r>
  <r>
    <x v="16"/>
  </r>
  <r>
    <x v="17"/>
  </r>
  <r>
    <x v="18"/>
  </r>
  <r>
    <x v="19"/>
  </r>
  <r>
    <x v="19"/>
  </r>
  <r>
    <x v="20"/>
  </r>
  <r>
    <x v="20"/>
  </r>
  <r>
    <x v="20"/>
  </r>
  <r>
    <x v="21"/>
  </r>
  <r>
    <x v="21"/>
  </r>
  <r>
    <x v="21"/>
  </r>
  <r>
    <x v="18"/>
  </r>
  <r>
    <x v="18"/>
  </r>
  <r>
    <x v="18"/>
  </r>
  <r>
    <x v="21"/>
  </r>
  <r>
    <x v="21"/>
  </r>
  <r>
    <x v="21"/>
  </r>
  <r>
    <x v="21"/>
  </r>
  <r>
    <x v="21"/>
  </r>
  <r>
    <x v="22"/>
  </r>
  <r>
    <x v="5"/>
  </r>
  <r>
    <x v="22"/>
  </r>
  <r>
    <x v="22"/>
  </r>
  <r>
    <x v="22"/>
  </r>
  <r>
    <x v="22"/>
  </r>
  <r>
    <x v="22"/>
  </r>
  <r>
    <x v="23"/>
  </r>
  <r>
    <x v="24"/>
  </r>
  <r>
    <x v="5"/>
  </r>
  <r>
    <x v="25"/>
  </r>
  <r>
    <x v="26"/>
  </r>
  <r>
    <x v="27"/>
  </r>
  <r>
    <x v="22"/>
  </r>
  <r>
    <x v="22"/>
  </r>
  <r>
    <x v="28"/>
  </r>
  <r>
    <x v="29"/>
  </r>
  <r>
    <x v="30"/>
  </r>
  <r>
    <x v="30"/>
  </r>
  <r>
    <x v="26"/>
  </r>
  <r>
    <x v="26"/>
  </r>
  <r>
    <x v="26"/>
  </r>
  <r>
    <x v="26"/>
  </r>
  <r>
    <x v="26"/>
  </r>
  <r>
    <x v="26"/>
  </r>
  <r>
    <x v="26"/>
  </r>
  <r>
    <x v="26"/>
  </r>
  <r>
    <x v="20"/>
  </r>
  <r>
    <x v="26"/>
  </r>
  <r>
    <x v="5"/>
  </r>
  <r>
    <x v="5"/>
  </r>
  <r>
    <x v="31"/>
  </r>
  <r>
    <x v="31"/>
  </r>
  <r>
    <x v="26"/>
  </r>
  <r>
    <x v="32"/>
  </r>
  <r>
    <x v="22"/>
  </r>
  <r>
    <x v="26"/>
  </r>
  <r>
    <x v="5"/>
  </r>
  <r>
    <x v="26"/>
  </r>
  <r>
    <x v="26"/>
  </r>
  <r>
    <x v="31"/>
  </r>
  <r>
    <x v="31"/>
  </r>
  <r>
    <x v="33"/>
  </r>
  <r>
    <x v="5"/>
  </r>
  <r>
    <x v="33"/>
  </r>
  <r>
    <x v="33"/>
  </r>
  <r>
    <x v="33"/>
  </r>
  <r>
    <x v="33"/>
  </r>
  <r>
    <x v="33"/>
  </r>
  <r>
    <x v="33"/>
  </r>
  <r>
    <x v="33"/>
  </r>
  <r>
    <x v="33"/>
  </r>
  <r>
    <x v="33"/>
  </r>
  <r>
    <x v="33"/>
  </r>
  <r>
    <x v="33"/>
  </r>
  <r>
    <x v="33"/>
  </r>
  <r>
    <x v="33"/>
  </r>
  <r>
    <x v="20"/>
  </r>
  <r>
    <x v="33"/>
  </r>
  <r>
    <x v="34"/>
  </r>
  <r>
    <x v="5"/>
  </r>
  <r>
    <x v="5"/>
  </r>
  <r>
    <x v="5"/>
  </r>
  <r>
    <x v="5"/>
  </r>
  <r>
    <x v="5"/>
  </r>
  <r>
    <x v="5"/>
  </r>
  <r>
    <x v="5"/>
  </r>
  <r>
    <x v="5"/>
  </r>
  <r>
    <x v="35"/>
  </r>
  <r>
    <x v="5"/>
  </r>
  <r>
    <x v="5"/>
  </r>
  <r>
    <x v="5"/>
  </r>
  <r>
    <x v="5"/>
  </r>
  <r>
    <x v="36"/>
  </r>
  <r>
    <x v="37"/>
  </r>
  <r>
    <x v="5"/>
  </r>
  <r>
    <x v="5"/>
  </r>
  <r>
    <x v="5"/>
  </r>
  <r>
    <x v="5"/>
  </r>
  <r>
    <x v="5"/>
  </r>
  <r>
    <x v="5"/>
  </r>
  <r>
    <x v="5"/>
  </r>
  <r>
    <x v="5"/>
  </r>
  <r>
    <x v="5"/>
  </r>
  <r>
    <x v="5"/>
  </r>
  <r>
    <x v="5"/>
  </r>
  <r>
    <x v="38"/>
  </r>
  <r>
    <x v="38"/>
  </r>
  <r>
    <x v="38"/>
  </r>
  <r>
    <x v="38"/>
  </r>
  <r>
    <x v="5"/>
  </r>
  <r>
    <x v="5"/>
  </r>
  <r>
    <x v="5"/>
  </r>
  <r>
    <x v="5"/>
  </r>
  <r>
    <x v="5"/>
  </r>
  <r>
    <x v="5"/>
  </r>
  <r>
    <x v="5"/>
  </r>
  <r>
    <x v="5"/>
  </r>
  <r>
    <x v="5"/>
  </r>
  <r>
    <x v="5"/>
  </r>
  <r>
    <x v="5"/>
  </r>
  <r>
    <x v="5"/>
  </r>
  <r>
    <x v="5"/>
  </r>
  <r>
    <x v="5"/>
  </r>
  <r>
    <x v="5"/>
  </r>
  <r>
    <x v="5"/>
  </r>
  <r>
    <x v="5"/>
  </r>
  <r>
    <x v="5"/>
  </r>
  <r>
    <x v="5"/>
  </r>
  <r>
    <x v="5"/>
  </r>
  <r>
    <x v="5"/>
  </r>
  <r>
    <x v="5"/>
  </r>
  <r>
    <x v="5"/>
  </r>
  <r>
    <x v="5"/>
  </r>
  <r>
    <x v="5"/>
  </r>
  <r>
    <x v="5"/>
  </r>
  <r>
    <x v="5"/>
  </r>
  <r>
    <x v="5"/>
  </r>
  <r>
    <x v="5"/>
  </r>
  <r>
    <x v="39"/>
  </r>
  <r>
    <x v="40"/>
  </r>
  <r>
    <x v="5"/>
  </r>
  <r>
    <x v="5"/>
  </r>
  <r>
    <x v="5"/>
  </r>
  <r>
    <x v="5"/>
  </r>
  <r>
    <x v="41"/>
  </r>
  <r>
    <x v="5"/>
  </r>
  <r>
    <x v="5"/>
  </r>
  <r>
    <x v="42"/>
  </r>
  <r>
    <x v="42"/>
  </r>
  <r>
    <x v="5"/>
  </r>
  <r>
    <x v="43"/>
  </r>
  <r>
    <x v="43"/>
  </r>
  <r>
    <x v="43"/>
  </r>
  <r>
    <x v="43"/>
  </r>
  <r>
    <x v="43"/>
  </r>
  <r>
    <x v="43"/>
  </r>
  <r>
    <x v="5"/>
  </r>
  <r>
    <x v="5"/>
  </r>
  <r>
    <x v="5"/>
  </r>
  <r>
    <x v="5"/>
  </r>
  <r>
    <x v="5"/>
  </r>
  <r>
    <x v="5"/>
  </r>
  <r>
    <x v="5"/>
  </r>
  <r>
    <x v="5"/>
  </r>
  <r>
    <x v="5"/>
  </r>
  <r>
    <x v="5"/>
  </r>
  <r>
    <x v="5"/>
  </r>
  <r>
    <x v="5"/>
  </r>
  <r>
    <x v="5"/>
  </r>
  <r>
    <x v="5"/>
  </r>
  <r>
    <x v="5"/>
  </r>
  <r>
    <x v="5"/>
  </r>
  <r>
    <x v="5"/>
  </r>
  <r>
    <x v="5"/>
  </r>
  <r>
    <x v="44"/>
  </r>
  <r>
    <x v="5"/>
  </r>
  <r>
    <x v="5"/>
  </r>
  <r>
    <x v="45"/>
  </r>
  <r>
    <x v="45"/>
  </r>
  <r>
    <x v="5"/>
  </r>
  <r>
    <x v="5"/>
  </r>
  <r>
    <x v="5"/>
  </r>
  <r>
    <x v="5"/>
  </r>
  <r>
    <x v="5"/>
  </r>
  <r>
    <x v="5"/>
  </r>
  <r>
    <x v="5"/>
  </r>
  <r>
    <x v="5"/>
  </r>
  <r>
    <x v="5"/>
  </r>
  <r>
    <x v="46"/>
  </r>
  <r>
    <x v="5"/>
  </r>
  <r>
    <x v="5"/>
  </r>
  <r>
    <x v="5"/>
  </r>
  <r>
    <x v="5"/>
  </r>
  <r>
    <x v="5"/>
  </r>
  <r>
    <x v="5"/>
  </r>
  <r>
    <x v="5"/>
  </r>
  <r>
    <x v="5"/>
  </r>
  <r>
    <x v="5"/>
  </r>
  <r>
    <x v="5"/>
  </r>
  <r>
    <x v="5"/>
  </r>
  <r>
    <x v="5"/>
  </r>
  <r>
    <x v="5"/>
  </r>
  <r>
    <x v="5"/>
  </r>
  <r>
    <x v="5"/>
  </r>
  <r>
    <x v="5"/>
  </r>
  <r>
    <x v="5"/>
  </r>
  <r>
    <x v="47"/>
  </r>
  <r>
    <x v="5"/>
  </r>
  <r>
    <x v="5"/>
  </r>
  <r>
    <x v="5"/>
  </r>
  <r>
    <x v="48"/>
  </r>
  <r>
    <x v="5"/>
  </r>
  <r>
    <x v="5"/>
  </r>
  <r>
    <x v="5"/>
  </r>
  <r>
    <x v="5"/>
  </r>
  <r>
    <x v="5"/>
  </r>
  <r>
    <x v="5"/>
  </r>
  <r>
    <x v="49"/>
  </r>
  <r>
    <x v="5"/>
  </r>
  <r>
    <x v="5"/>
  </r>
  <r>
    <x v="5"/>
  </r>
  <r>
    <x v="50"/>
  </r>
  <r>
    <x v="50"/>
  </r>
  <r>
    <x v="50"/>
  </r>
  <r>
    <x v="5"/>
  </r>
  <r>
    <x v="5"/>
  </r>
  <r>
    <x v="5"/>
  </r>
  <r>
    <x v="51"/>
  </r>
  <r>
    <x v="5"/>
  </r>
  <r>
    <x v="5"/>
  </r>
  <r>
    <x v="5"/>
  </r>
  <r>
    <x v="5"/>
  </r>
  <r>
    <x v="52"/>
  </r>
  <r>
    <x v="5"/>
  </r>
  <r>
    <x v="5"/>
  </r>
  <r>
    <x v="53"/>
  </r>
  <r>
    <x v="54"/>
  </r>
  <r>
    <x v="54"/>
  </r>
  <r>
    <x v="5"/>
  </r>
  <r>
    <x v="5"/>
  </r>
  <r>
    <x v="5"/>
  </r>
  <r>
    <x v="5"/>
  </r>
  <r>
    <x v="5"/>
  </r>
  <r>
    <x v="5"/>
  </r>
  <r>
    <x v="5"/>
  </r>
  <r>
    <x v="5"/>
  </r>
  <r>
    <x v="5"/>
  </r>
  <r>
    <x v="5"/>
  </r>
  <r>
    <x v="5"/>
  </r>
  <r>
    <x v="5"/>
  </r>
  <r>
    <x v="5"/>
  </r>
  <r>
    <x v="5"/>
  </r>
  <r>
    <x v="5"/>
  </r>
  <r>
    <x v="5"/>
  </r>
  <r>
    <x v="5"/>
  </r>
  <r>
    <x v="5"/>
  </r>
  <r>
    <x v="55"/>
  </r>
  <r>
    <x v="56"/>
  </r>
  <r>
    <x v="5"/>
  </r>
  <r>
    <x v="57"/>
  </r>
  <r>
    <x v="5"/>
  </r>
  <r>
    <x v="5"/>
  </r>
  <r>
    <x v="5"/>
  </r>
  <r>
    <x v="5"/>
  </r>
  <r>
    <x v="5"/>
  </r>
  <r>
    <x v="5"/>
  </r>
  <r>
    <x v="5"/>
  </r>
  <r>
    <x v="5"/>
  </r>
  <r>
    <x v="5"/>
  </r>
  <r>
    <x v="5"/>
  </r>
  <r>
    <x v="5"/>
  </r>
  <r>
    <x v="5"/>
  </r>
  <r>
    <x v="5"/>
  </r>
  <r>
    <x v="5"/>
  </r>
  <r>
    <x v="5"/>
  </r>
  <r>
    <x v="58"/>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
  </r>
  <r>
    <x v="5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6">
  <r>
    <n v="1"/>
    <m/>
    <m/>
    <m/>
    <m/>
    <m/>
    <m/>
    <s v="n/a"/>
    <x v="0"/>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1"/>
    <m/>
    <m/>
    <m/>
    <m/>
    <m/>
    <m/>
    <s v="n/a"/>
    <x v="1"/>
    <s v="1424"/>
    <s v="n/a"/>
    <s v="n"/>
    <s v="n"/>
    <s v="n"/>
    <n v="9784121014245"/>
    <s v="4121014243"/>
    <n v="39917744"/>
    <s v="Japanese"/>
    <s v="The Source of the American Spirit: &quot;In God We Trust&quot;"/>
    <s v="Amerika seishin no minamoto: &quot;kami no moto ni aru kono kuni&quot;"/>
    <s v="アメリカ精神の源: 「神のもとにあるこの国」"/>
    <s v="Halloran, Fumiko"/>
    <s v="n/a"/>
    <s v="Chūk̄ō shinsho"/>
    <s v="中公新書"/>
    <x v="0"/>
    <x v="0"/>
    <x v="0"/>
    <s v="Heisei 10"/>
    <s v="n/a"/>
    <s v="n/a"/>
    <s v="Civilization ^ Religion ^ Since 1945 ^ United States -- Civilization -- 1945- ^ United States -- Religion ^ États-Unis -- Civilisation -- 1945- ^ États-Unis -- Religion ^ United States"/>
    <s v="0"/>
    <m/>
    <m/>
  </r>
  <r>
    <n v="2"/>
    <m/>
    <m/>
    <m/>
    <m/>
    <m/>
    <m/>
    <s v="https://www.amazon.co.jp/dp/4121012933"/>
    <x v="0"/>
    <s v="1293"/>
    <s v="n/a"/>
    <s v="n"/>
    <s v="n"/>
    <s v="n"/>
    <n v="9784121012937"/>
    <s v="4121012933"/>
    <n v="36698342"/>
    <s v="Japanese"/>
    <s v="Imjin War: Mythology and Reality of the Emperor's Birth"/>
    <s v="Jinshin no ran: tennō tanjō no shinwa to shijitsu"/>
    <s v="壬申の乱: 天皇誕生の神話と史実"/>
    <s v="Tōyama, Mitsuo"/>
    <s v="遠山美都男"/>
    <s v="Chūkō shinsho"/>
    <s v="中公新書"/>
    <x v="0"/>
    <x v="0"/>
    <x v="1"/>
    <s v="Heisei 8"/>
    <s v="Shohan"/>
    <s v="初版"/>
    <s v="Jinshin Revolt, 672 ^ Mythology, Japanese ^ Mythology, Japanese ^ 672"/>
    <s v="0"/>
    <m/>
    <m/>
  </r>
  <r>
    <n v="3"/>
    <m/>
    <m/>
    <m/>
    <m/>
    <m/>
    <m/>
    <s v="https://www.amazon.co.jp/dp/4121001052"/>
    <x v="0"/>
    <s v="105"/>
    <s v="n/a"/>
    <s v="n"/>
    <s v="n"/>
    <s v="n"/>
    <n v="9784121001054"/>
    <s v="4121001052"/>
    <n v="28402112"/>
    <s v="Japanese"/>
    <s v="The Bible: How to Read It"/>
    <s v="Seisho: kore o ika ni yomu ka"/>
    <s v="聖書: これをいかに読むか"/>
    <s v="Akashi, Michio"/>
    <s v="赤司道雄"/>
    <s v="Chūkō shinsho"/>
    <s v="中公新書"/>
    <x v="0"/>
    <x v="0"/>
    <x v="2"/>
    <s v="Shōwa 41"/>
    <s v="Shohan"/>
    <s v="初版"/>
    <s v="Criticism, interpretation, etc ^ Bible -- Criticism, interpretation, etc ^ Bible -- Critique, interprétation, etc ^ Bible"/>
    <s v="0"/>
    <m/>
    <m/>
  </r>
  <r>
    <n v="4"/>
    <m/>
    <m/>
    <m/>
    <m/>
    <m/>
    <m/>
    <s v="https://www.amazon.co.jp/dp/4121003640"/>
    <x v="1"/>
    <s v="364"/>
    <s v="n/a"/>
    <s v="https://libcat.colorado.edu/Record/b7682792"/>
    <s v="n"/>
    <s v="y"/>
    <n v="9784121003645"/>
    <s v="4121003640"/>
    <n v="28392224"/>
    <s v="Japanese"/>
    <s v="Buddhist Thought: Exploring Its Original Form"/>
    <s v="Bukkyō no shisō: sono genkei o saguru"/>
    <s v="佛教の思想: その原形をさぐる"/>
    <s v="Ueyama, Shunpei ^ Kajiyama, Yūichi"/>
    <s v="上山春平 ^ 梶山雄一"/>
    <s v="Chūkō shinsho"/>
    <s v="中公新書"/>
    <x v="0"/>
    <x v="1"/>
    <x v="3"/>
    <s v="Shōwa 49"/>
    <s v="Shohan"/>
    <s v="初版"/>
    <s v="Buddhism -- Doctrines ^ Buddhism -- Doctrines"/>
    <s v="0"/>
    <m/>
    <m/>
  </r>
  <r>
    <n v="5"/>
    <m/>
    <m/>
    <m/>
    <m/>
    <m/>
    <m/>
    <s v="https://www.amazon.co.jp/dp/4121020294"/>
    <x v="0"/>
    <s v="2029"/>
    <s v="n/a"/>
    <s v="n"/>
    <s v="n"/>
    <s v="n"/>
    <n v="9784121020291"/>
    <s v="4121020294"/>
    <n v="471398128"/>
    <s v="Japanese"/>
    <s v="North Korean Repatriation Project: &quot;Grand Abduction&quot; or &quot;Exile&quot;?"/>
    <s v="Kita Chōsen kikoku jigyō: &quot;sōdai na rachi&quot; ka &quot;tsuihō&quot; ka"/>
    <s v="北朝鮮帰国事業: 「壮大な拉致」か「追放」か"/>
    <s v="Kikuchi, Yoshiaki"/>
    <s v="菊池嘉晃"/>
    <s v="Chūkō shinsho"/>
    <s v="中公新書"/>
    <x v="1"/>
    <x v="2"/>
    <x v="4"/>
    <s v="Heisei 21"/>
    <s v="n/a"/>
    <s v="n/a"/>
    <s v="Return migration -- Korea (North) ^ Repatriation -- Korea (North) ^ Koreans -- Japan -- History ^ Diplomatic relations ^ Koreans ^ Repatriation ^ Return migration ^ Hikiagesha mondai ^ Chōsenjin(Nihon zairyū) ^ History ^ Korea (North) -- Foreign relations -- Japan ^ Japan -- Foreign relations -- Korea (North) ^ Japan ^ Korea (North)"/>
    <s v="0"/>
    <m/>
    <m/>
  </r>
  <r>
    <n v="6"/>
    <m/>
    <m/>
    <m/>
    <m/>
    <m/>
    <m/>
    <s v="https://www.amazon.co.jp/dp/4121003721"/>
    <x v="1"/>
    <s v="372"/>
    <s v="n/a"/>
    <s v="https://libcat.colorado.edu/Record/b7680419"/>
    <s v="https://libcat.colorado.edu/Record/b7680419"/>
    <s v="y"/>
    <n v="9784121003720"/>
    <s v="4121003721"/>
    <n v="28277440"/>
    <s v="Japanese"/>
    <s v="Japanese Gods"/>
    <s v="Nihon no kamigami"/>
    <s v="日本の神々"/>
    <s v="Matsumae, Takeshi"/>
    <s v="松前健"/>
    <s v="Chūkō shinsho"/>
    <s v="中公新書"/>
    <x v="0"/>
    <x v="1"/>
    <x v="3"/>
    <s v="Shōwa 49"/>
    <s v="Shohan"/>
    <s v="初版"/>
    <s v="Mythology, Japanese ^ Mythology, Japanese"/>
    <s v="0"/>
    <m/>
    <m/>
  </r>
  <r>
    <n v="7"/>
    <m/>
    <m/>
    <m/>
    <m/>
    <m/>
    <m/>
    <s v="https://www.amazon.co.jp/dp/4121011198"/>
    <x v="1"/>
    <s v="1119"/>
    <s v="n/a"/>
    <s v="https://libcat.colorado.edu/Record/b7757257"/>
    <s v="https://libcat.colorado.edu/Record/b7757257"/>
    <s v="y"/>
    <n v="9784121011190"/>
    <s v="4121011198"/>
    <n v="28494240"/>
    <s v="Japanese"/>
    <s v="Taika Reforms: Court Revolution of June 645"/>
    <s v="Taika Kaishin: 645-nen 6-gatsu no kyūtei kakumei"/>
    <s v="大化改新: 六四五年六月の宮廷革命"/>
    <s v="Tōyama, Mitsuo"/>
    <s v="遠山美都男"/>
    <s v="Chūkō shinsho"/>
    <s v="中公新書"/>
    <x v="0"/>
    <x v="0"/>
    <x v="5"/>
    <s v="Heisei 5"/>
    <s v="n/a"/>
    <s v="初版"/>
    <s v="History ^ 645-710 ^ Japan -- History -- Taika Reforms, 645-710 ^ Japan"/>
    <s v="0"/>
    <m/>
    <m/>
  </r>
  <r>
    <n v="8"/>
    <m/>
    <m/>
    <m/>
    <m/>
    <m/>
    <m/>
    <s v="https://www.amazon.co.jp/dp/4121010477"/>
    <x v="2"/>
    <s v="1047"/>
    <s v="n/a"/>
    <s v="n"/>
    <s v="n"/>
    <s v="n"/>
    <n v="9784121010476"/>
    <s v="4121010477"/>
    <n v="27388463"/>
    <s v="Japanese"/>
    <s v="Guardian Saints: Gods Who Couldn't Become Human"/>
    <s v="Shugo seija: hito ni narenakatta kamigami"/>
    <s v="守護聖者: 人になれなかった神々"/>
    <s v="Ueda, Shigeo"/>
    <s v="植田重雄"/>
    <s v="Chūkō shinsho"/>
    <s v="中公新書"/>
    <x v="0"/>
    <x v="0"/>
    <x v="6"/>
    <s v="Heisei 3"/>
    <s v="Shohan"/>
    <s v="初版"/>
    <s v="Christian patron saints ^ Saints patrons chrétiens ^ Christian patron saints"/>
    <s v="0"/>
    <m/>
    <m/>
  </r>
  <r>
    <n v="9"/>
    <m/>
    <m/>
    <m/>
    <m/>
    <m/>
    <m/>
    <s v="https://www.amazon.co.jp/dp/4121012283"/>
    <x v="0"/>
    <s v="1228"/>
    <s v="n/a"/>
    <s v="n"/>
    <s v="n"/>
    <s v="n"/>
    <n v="9784121012289"/>
    <s v="4121012283"/>
    <n v="36091762"/>
    <s v="Japanese"/>
    <s v="Letters from Honolulu: Viewing the World from Hawaii"/>
    <s v="Honoruru kara no tegami: sekai o Hawai kara miru"/>
    <s v="ホノルルからの 手紙: 世界をハワイから見る"/>
    <s v="Halloran, Fumiko"/>
    <s v="ハロラン芙美子"/>
    <s v="Chūkō shinsho"/>
    <s v="中公新書"/>
    <x v="0"/>
    <x v="0"/>
    <x v="7"/>
    <s v="Heisei 7"/>
    <s v="n/a"/>
    <s v="n/a"/>
    <s v="Travel ^ History ^ Hawaii -- Description and travel ^ Hawaii -- History ^ Hawaii -- Descriptions et voyages ^ Hawaii"/>
    <s v="0"/>
    <m/>
    <m/>
  </r>
  <r>
    <n v="9"/>
    <m/>
    <m/>
    <m/>
    <m/>
    <m/>
    <m/>
    <s v="https://www.amazon.co.jp/dp/4121012283"/>
    <x v="1"/>
    <s v="1228"/>
    <s v="n/a"/>
    <s v="n"/>
    <s v="n"/>
    <s v="n"/>
    <n v="9784121012289"/>
    <s v="4121012283"/>
    <n v="36091762"/>
    <s v="Japanese"/>
    <s v="Letters from Honolulu: Viewing the World from Hawaii"/>
    <s v="Honoruru kara no tegami: sekai o Hawai kara miru"/>
    <s v="ホノルルからの 手紙: 世界をハワイから見る"/>
    <s v="Halloran, Fumiko"/>
    <s v="ハロラン芙美子"/>
    <s v="Chūkō shinsho"/>
    <s v="中公新書"/>
    <x v="0"/>
    <x v="0"/>
    <x v="7"/>
    <s v="Heisei 7"/>
    <s v="n/a"/>
    <s v="n/a"/>
    <s v="Travel ^ History ^ Hawaii -- Description and travel ^ Hawaii -- History ^ Hawaii -- Descriptions et voyages ^ Hawaii"/>
    <s v="0"/>
    <m/>
    <m/>
  </r>
  <r>
    <n v="9"/>
    <m/>
    <m/>
    <m/>
    <m/>
    <m/>
    <m/>
    <s v="https://www.amazon.co.jp/dp/4121012283"/>
    <x v="1"/>
    <s v="1228"/>
    <s v="n/a"/>
    <s v="n"/>
    <s v="n"/>
    <s v="n"/>
    <n v="9784121012289"/>
    <s v="4121012283"/>
    <n v="36091762"/>
    <s v="Japanese"/>
    <s v="Letters from Honolulu: Viewing the World from Hawaii"/>
    <s v="Honoruru kara no tegami: sekai o Hawai kara miru"/>
    <s v="ホノルルからの 手紙: 世界をハワイから見る"/>
    <s v="Halloran, Fumiko"/>
    <s v="ハロラン芙美子"/>
    <s v="Chūkō shinsho"/>
    <s v="中公新書"/>
    <x v="0"/>
    <x v="0"/>
    <x v="7"/>
    <s v="Heisei 7"/>
    <s v="n/a"/>
    <s v="n/a"/>
    <s v="Travel ^ History ^ Hawaii -- Description and travel ^ Hawaii -- History ^ Hawaii -- Descriptions et voyages ^ Hawaii"/>
    <s v="0"/>
    <m/>
    <m/>
  </r>
  <r>
    <n v="9"/>
    <m/>
    <m/>
    <m/>
    <m/>
    <m/>
    <m/>
    <s v="https://www.amazon.co.jp/dp/4121012283"/>
    <x v="1"/>
    <s v="1228"/>
    <s v="n/a"/>
    <s v="n"/>
    <s v="n"/>
    <s v="n"/>
    <n v="9784121012289"/>
    <s v="4121012283"/>
    <n v="36091762"/>
    <s v="Japanese"/>
    <s v="Letters from Honolulu: Viewing the World from Hawaii"/>
    <s v="Honoruru kara no tegami: sekai o Hawai kara miru"/>
    <s v="ホノルルからの 手紙: 世界をハワイから見る"/>
    <s v="Halloran, Fumiko"/>
    <s v="ハロラン芙美子"/>
    <s v="Chūkō shinsho"/>
    <s v="中公新書"/>
    <x v="0"/>
    <x v="0"/>
    <x v="7"/>
    <s v="Heisei 7"/>
    <s v="n/a"/>
    <s v="n/a"/>
    <s v="Travel ^ History ^ Hawaii -- Description and travel ^ Hawaii -- History ^ Hawaii -- Descriptions et voyages ^ Hawaii"/>
    <s v="0"/>
    <m/>
    <m/>
  </r>
  <r>
    <n v="9"/>
    <m/>
    <m/>
    <m/>
    <m/>
    <m/>
    <m/>
    <s v="https://www.amazon.co.jp/dp/4121012283"/>
    <x v="1"/>
    <s v="1228"/>
    <s v="n/a"/>
    <s v="n"/>
    <s v="n"/>
    <s v="n"/>
    <n v="9784121012289"/>
    <s v="4121012283"/>
    <n v="36091762"/>
    <s v="Japanese"/>
    <s v="Letters from Honolulu: Viewing the World from Hawaii"/>
    <s v="Honoruru kara no tegami: sekai o Hawai kara miru"/>
    <s v="ホノルルからの 手紙: 世界をハワイから見る"/>
    <s v="Halloran, Fumiko"/>
    <s v="ハロラン芙美子"/>
    <s v="Chūkō shinsho"/>
    <s v="中公新書"/>
    <x v="0"/>
    <x v="0"/>
    <x v="7"/>
    <s v="Heisei 7"/>
    <s v="n/a"/>
    <s v="n/a"/>
    <s v="Travel ^ History ^ Hawaii -- Description and travel ^ Hawaii -- History ^ Hawaii -- Descriptions et voyages ^ Hawaii"/>
    <s v="0"/>
    <m/>
    <m/>
  </r>
  <r>
    <n v="9"/>
    <m/>
    <m/>
    <m/>
    <m/>
    <m/>
    <m/>
    <s v="https://www.amazon.co.jp/dp/4121012283"/>
    <x v="1"/>
    <s v="1228"/>
    <s v="n/a"/>
    <s v="n"/>
    <s v="n"/>
    <s v="n"/>
    <n v="9784121012289"/>
    <s v="4121012283"/>
    <n v="36091762"/>
    <s v="Japanese"/>
    <s v="Letters from Honolulu: Viewing the World from Hawaii"/>
    <s v="Honoruru kara no tegami: sekai o Hawai kara miru"/>
    <s v="ホノルルからの 手紙: 世界をハワイから見る"/>
    <s v="Halloran, Fumiko"/>
    <s v="ハロラン芙美子"/>
    <s v="Chūkō shinsho"/>
    <s v="中公新書"/>
    <x v="0"/>
    <x v="0"/>
    <x v="7"/>
    <s v="Heisei 7"/>
    <s v="n/a"/>
    <s v="n/a"/>
    <s v="Travel ^ History ^ Hawaii -- Description and travel ^ Hawaii -- History ^ Hawaii -- Descriptions et voyages ^ Hawaii"/>
    <s v="0"/>
    <m/>
    <m/>
  </r>
  <r>
    <n v="10"/>
    <m/>
    <m/>
    <m/>
    <m/>
    <m/>
    <m/>
    <s v="https://www.amazon.co.jp/dp/4121007034"/>
    <x v="1"/>
    <s v="703"/>
    <s v="n/a"/>
    <s v="https://libcat.colorado.edu/Record/b7682500"/>
    <s v="n"/>
    <s v="y"/>
    <n v="9784121007032"/>
    <s v="4121007034"/>
    <n v="14968933"/>
    <s v="Japanese"/>
    <s v="Mysterious Seven-Branched Sword: East Asia and Japan in the 5th Century"/>
    <s v="Nazo no shichishitō: goseiki no Higashi Ajia to Nihon"/>
    <s v="謎の七支刀: 五世紀の東アジアと日本"/>
    <s v="Miyazaki, Ichisada"/>
    <s v="宮崎市定 ^ 宮崎市定"/>
    <s v="Chūkō shinsho"/>
    <s v="中公新書. 中公新書"/>
    <x v="0"/>
    <x v="0"/>
    <x v="8"/>
    <s v="Shōwa 58"/>
    <s v="Shohan"/>
    <s v="初版"/>
    <s v="Swords -- Japan ^ Inscriptions, Japanese ^ Antiquities ^ Inscriptions, Japanese ^ International relations ^ Swords ^ History ^ To 645 ^ Japan -- History -- To 645 ^ Japan -- Antiquities ^ East Asia -- Relations -- Japan ^ Japan -- Relations -- East Asia ^ East Asia ^ Japan ^ 七支刀.; 日本; 外国関係; 歴史; 古代.; 日本; 歴史; 古代"/>
    <s v="0"/>
    <m/>
    <m/>
  </r>
  <r>
    <n v="11"/>
    <m/>
    <m/>
    <m/>
    <m/>
    <m/>
    <m/>
    <s v="n/a"/>
    <x v="0"/>
    <s v="n/a"/>
    <s v="n/a"/>
    <s v="n"/>
    <s v="n"/>
    <s v="n"/>
    <n v="9784047797017"/>
    <s v="4047797014"/>
    <n v="16141636"/>
    <s v="Japanese"/>
    <s v="Secrets of Emperor Kofun: Kyoosuke Kushinotz Series"/>
    <s v="Kodai ten'nō no himitsu: Kōzu Kyōsuke shirīzu"/>
    <s v="古伐天皇の秘密: 神津恭介シリーズ"/>
    <s v="Takagi, Akimitsu"/>
    <s v="高木彬光"/>
    <s v="Kadokawa novels"/>
    <s v="カドカワノベルス"/>
    <x v="2"/>
    <x v="3"/>
    <x v="9"/>
    <s v="Shōwa 61"/>
    <s v="n/a"/>
    <s v="n/a"/>
    <s v="Fiction ^ History ^ To 794 ^ Japan -- History -- To 794 -- Fiction ^ Japan"/>
    <s v="0"/>
    <m/>
    <m/>
  </r>
  <r>
    <n v="12"/>
    <m/>
    <m/>
    <m/>
    <m/>
    <m/>
    <s v="NDL record"/>
    <s v="n/a"/>
    <x v="0"/>
    <s v="n/a"/>
    <s v="n/a"/>
    <s v="n/a"/>
    <s v="n"/>
    <s v="n"/>
    <s v="n/a"/>
    <s v="n/a"/>
    <n v="673195250"/>
    <s v="Japanese"/>
    <s v="Introduction to Four Pillars of Destiny: Your Fate as Determined by Birthdate and Time"/>
    <s v="Shichū suimei nyūmon"/>
    <s v="四柱推命入門: 生年月日時が証すあなたの運命"/>
    <s v="Shinshō, Fumiko"/>
    <s v="新章文子"/>
    <s v="Pureibukkusu"/>
    <s v="プレイブックス"/>
    <x v="3"/>
    <x v="4"/>
    <x v="10"/>
    <s v="Shōwa 46"/>
    <s v="n/a"/>
    <s v="n/a"/>
    <s v="n/a"/>
    <s v="0"/>
    <m/>
    <m/>
  </r>
  <r>
    <n v="13"/>
    <m/>
    <m/>
    <m/>
    <m/>
    <m/>
    <m/>
    <s v="https://www.amazon.co.jp/dp/4061488880"/>
    <x v="0"/>
    <s v="888"/>
    <s v="n/a"/>
    <s v="n"/>
    <s v="n"/>
    <s v="n"/>
    <n v="9784061488885"/>
    <s v="4061488880"/>
    <n v="32354147"/>
    <s v="Japanese"/>
    <s v="Mystical Thought of Zoroaster"/>
    <s v="Zoroasutā no shinpi shisō"/>
    <s v="ゾロアスターの神秘思想"/>
    <s v="Okada, Akinori"/>
    <s v="岡田明憲"/>
    <s v="Kōdansha gendai shinsho"/>
    <s v="講談社現代新書"/>
    <x v="4"/>
    <x v="5"/>
    <x v="11"/>
    <s v="Shōwa 63"/>
    <s v="n/a"/>
    <s v="n/a"/>
    <s v="Zoroastrianism ^ Zoroastrisme ^ Zoroastrianism ^ Zoroastrianism"/>
    <s v="0"/>
    <m/>
    <m/>
  </r>
  <r>
    <n v="14"/>
    <m/>
    <m/>
    <m/>
    <m/>
    <m/>
    <m/>
    <s v="https://www.amazon.co.jp/dp/4061489305"/>
    <x v="0"/>
    <s v="930"/>
    <s v="n/a"/>
    <s v="n"/>
    <s v="n"/>
    <s v="n"/>
    <n v="9784061489301"/>
    <s v="4061489305"/>
    <n v="32011736"/>
    <s v="Japanese"/>
    <s v="Freemasonry: Transformation of Western Mysticism"/>
    <s v="Furīmeison: Seiō shinpi shugi no hen'yō"/>
    <s v="フリーメイソン: 西欧神秘主義の変容"/>
    <s v="Yoshimura, Masakazu"/>
    <s v="吉村正和"/>
    <s v="Kōdansha gendai shinsho"/>
    <s v="n/a"/>
    <x v="4"/>
    <x v="5"/>
    <x v="12"/>
    <s v="n/a"/>
    <s v="n/a"/>
    <s v="n/a"/>
    <s v="Freemasonry -- History ^ Freemasonry ^ Freemasons -- History ^ Freemasons ^ History"/>
    <s v="0"/>
    <m/>
    <m/>
  </r>
  <r>
    <n v="15"/>
    <m/>
    <m/>
    <m/>
    <m/>
    <m/>
    <m/>
    <s v="https://www.amazon.co.jp/dp/4106101432"/>
    <x v="2"/>
    <s v="143"/>
    <s v="n/a"/>
    <s v="n"/>
    <s v="n"/>
    <s v="n"/>
    <n v="9784106101434"/>
    <s v="4106101432"/>
    <n v="62398097"/>
    <s v="Japanese"/>
    <s v="The Man Who Invested in the Russo-Japanese War: Diary of a Jewish Banker"/>
    <s v="Nichi-Ro sensō ni tōshi shita otoko: Yudayajin ginkōka no nikki"/>
    <s v="日露戦争に投資した男: ユダヤ人銀行家の日記"/>
    <s v="Tabata, Norishige"/>
    <s v="田畑則重"/>
    <s v="Shinchō shinsho"/>
    <s v="新潮新書"/>
    <x v="5"/>
    <x v="6"/>
    <x v="13"/>
    <s v="Heisei 17"/>
    <s v="n/a"/>
    <s v="n/a"/>
    <s v="Bankers -- United States -- Biography ^ Russo-Japanese War, 1904-1905 ^ Banquiers -- États-Unis -- Biographies ^ Bankers ^ Schiff, Joseph Henry, 1847-1920 ^ Biographies ^ 1904-1905 ^ United States"/>
    <s v="0"/>
    <m/>
    <m/>
  </r>
  <r>
    <n v="16"/>
    <m/>
    <m/>
    <m/>
    <m/>
    <m/>
    <m/>
    <s v="https://www.amazon.co.jp/dp/4847060636"/>
    <x v="0"/>
    <s v="n/a"/>
    <s v="n/a"/>
    <s v="n"/>
    <s v="n"/>
    <s v="n/a"/>
    <n v="9784847060632"/>
    <s v="4847060636"/>
    <s v="n/a"/>
    <s v="Japanese"/>
    <s v="Sea, Women, and Methane Hydrates"/>
    <s v="n/a"/>
    <s v="海と女とメタンハイドレート"/>
    <s v="n/a"/>
    <s v="n/a"/>
    <s v="n/a"/>
    <s v="n/a"/>
    <x v="6"/>
    <x v="7"/>
    <x v="14"/>
    <s v="Heisei 25"/>
    <s v="n/a"/>
    <s v="n/a"/>
    <s v="n/a"/>
    <s v="0"/>
    <m/>
    <m/>
  </r>
  <r>
    <n v="17"/>
    <m/>
    <m/>
    <m/>
    <m/>
    <m/>
    <m/>
    <s v="https://www.amazon.co.jp/dp/4004302196"/>
    <x v="0"/>
    <s v="219"/>
    <s v="n/a"/>
    <s v="https://libcat.colorado.edu/Record/b7660292"/>
    <s v="https://libcat.colorado.edu/Record/b7660292"/>
    <s v="y"/>
    <n v="9784004302193"/>
    <s v="4004302196"/>
    <n v="30497101"/>
    <s v="Japanese"/>
    <s v="Christianity and Laughter"/>
    <s v="Kirisutokyō to warai"/>
    <s v="キリスト教と笑い"/>
    <s v="Miyata, Mitsuo"/>
    <s v="宮田光雄"/>
    <s v="Iwanami shinsho"/>
    <s v="岩波新書. 新赤版"/>
    <x v="7"/>
    <x v="8"/>
    <x v="15"/>
    <s v="Heisei 4"/>
    <s v="n/a"/>
    <s v="n/a"/>
    <s v="Wit and humor -- Religious aspects -- Christianity ^ Humour -- Aspect religieux -- Christianisme ^ Wit and humor -- Religious aspects -- Christianity"/>
    <s v="0"/>
    <m/>
    <m/>
  </r>
  <r>
    <n v="18"/>
    <m/>
    <m/>
    <m/>
    <m/>
    <m/>
    <m/>
    <s v="https://www.amazon.co.jp/dp/4004121582"/>
    <x v="0"/>
    <s v="909, C158"/>
    <s v="n/a"/>
    <s v="n"/>
    <s v="n"/>
    <s v="n"/>
    <n v="9784004121589"/>
    <s v="4004121582"/>
    <n v="1179157580"/>
    <s v="Japanese"/>
    <s v="Jesus and His Era"/>
    <s v="Iesu to sono jidai"/>
    <s v="イエスとその時代"/>
    <s v="Arai, Sasagu"/>
    <s v="荒井献"/>
    <s v="Iwanami shinsho"/>
    <s v="岩波新書. 青版"/>
    <x v="7"/>
    <x v="1"/>
    <x v="3"/>
    <s v="Shōwa 49"/>
    <s v="n/a"/>
    <s v="n/a"/>
    <s v="Jesus Christ -- Biography ^ Jesus Christ ^ Biographies"/>
    <s v="0"/>
    <m/>
    <m/>
  </r>
  <r>
    <n v="19"/>
    <m/>
    <m/>
    <m/>
    <m/>
    <m/>
    <m/>
    <s v="https://www.amazon.co.jp/dp/4569807135"/>
    <x v="2"/>
    <s v="243"/>
    <s v="n/a"/>
    <s v="n"/>
    <s v="n"/>
    <s v="n"/>
    <n v="9784569807133"/>
    <s v="4569807135"/>
    <n v="825179733"/>
    <s v="Japanese"/>
    <s v="Techniques of Japanese-Style Logical Thinking"/>
    <s v="Nihonryu rojikaru shiko no gijutsu"/>
    <s v="日本流・ロジカル思考の技術"/>
    <s v="Iikubo, Hirotsugu"/>
    <s v="飯久保広嗣"/>
    <s v="Pieichipi bijinesu shinsho"/>
    <s v="PHPビジネス新書"/>
    <x v="3"/>
    <x v="9"/>
    <x v="16"/>
    <s v="Heisei 24"/>
    <s v="n/a"/>
    <s v="n/a"/>
    <s v="問題解決 ^ Mondaikaiketsu"/>
    <s v="0"/>
    <m/>
    <m/>
  </r>
  <r>
    <n v="20"/>
    <m/>
    <m/>
    <m/>
    <m/>
    <m/>
    <m/>
    <s v="https://www.amazon.co.jp/dp/462105158X"/>
    <x v="0"/>
    <s v="158"/>
    <s v="n/a"/>
    <s v="n"/>
    <s v="n"/>
    <s v="n"/>
    <n v="9784621051580"/>
    <s v="462105158X"/>
    <n v="34027045"/>
    <s v="Japanese"/>
    <s v="Akashi Kikaku: Stratagem of the Russo-Japanese War"/>
    <s v="Akashi kōsaku: bōryaku no Nichi-Ro Sensō"/>
    <s v="明石工作: 謀略の日露戦争"/>
    <s v="Inaba, Chiharu"/>
    <s v="稲葉千晴"/>
    <s v="Maruzen raiburarī"/>
    <s v="丸善ライブラリー"/>
    <x v="8"/>
    <x v="10"/>
    <x v="7"/>
    <s v="Heisei 7"/>
    <s v="n/a"/>
    <s v="n/a"/>
    <s v="Russo-Japanese War, 1904-1905 -- Military intelligence -- Japan ^ Military intelligence ^ 明石元二郎, 1864-1919. 明石元二郎, 1864-1919 ^ Akashi, Motojirō, 1864-1919 ^ Akashi, Motojirō, 1864-1919 ^ Akashi, Motojirō, 1864-1919 ^ 1904-1905 ^ Japan"/>
    <s v="0"/>
    <m/>
    <m/>
  </r>
  <r>
    <n v="21"/>
    <m/>
    <m/>
    <m/>
    <m/>
    <m/>
    <m/>
    <s v="https://www.amazon.co.jp/dp/4634294001"/>
    <x v="3"/>
    <s v="40"/>
    <s v="n/a"/>
    <s v="n"/>
    <s v="n"/>
    <s v="n"/>
    <n v="9784634294004"/>
    <s v="4634294001"/>
    <n v="28073905"/>
    <s v="Japanese"/>
    <s v="Historical Stroll through Fukuoka Prefecture"/>
    <s v="Fukuoka-ken no rekishi sanpo"/>
    <s v="福岡県の歴史散步"/>
    <s v="Fukuoka-ken Kōtō Gakkō Rekishi Kenkyūkai"/>
    <s v="福岡県高等学校歴史研究会"/>
    <s v="Shin zenkoku rekishi sanpo shirīzu"/>
    <s v="新全国歴史散步シリーズ"/>
    <x v="9"/>
    <x v="11"/>
    <x v="12"/>
    <s v="n/a"/>
    <s v="Shinpan 1-han"/>
    <s v="新版 1版"/>
    <s v="Historic sites -- Japan -- Fukuoka-ken ^ Historic sites ^ Travel ^ 福岡県 (Japan); Description and travel ^ Fukuoka-ken (Japan) -- Description and travel ^ Japan -- Fukuoka-ken"/>
    <s v="0"/>
    <m/>
    <m/>
  </r>
  <r>
    <n v="22"/>
    <m/>
    <m/>
    <m/>
    <m/>
    <m/>
    <m/>
    <s v="n/a"/>
    <x v="0"/>
    <s v="n/a"/>
    <s v="n/a"/>
    <s v="n/a"/>
    <s v="n"/>
    <s v="n"/>
    <s v="n/a"/>
    <s v="n/a"/>
    <n v="673222623"/>
    <s v="Japanese"/>
    <s v="Encyclopedia of Kimono Dressing: Embracing a New Fashion"/>
    <s v="Kimono kitsuke shōjiten"/>
    <s v="きもの着付け小事典: 個性をいかす新しい装い"/>
    <s v="Matsushima, Shigeo"/>
    <s v="松島茂雄"/>
    <s v="Ikeda3Lbukkusu"/>
    <s v="イケダ3Lブックス"/>
    <x v="3"/>
    <x v="12"/>
    <x v="17"/>
    <s v="Shōwa 47"/>
    <s v="n/a"/>
    <s v="n/a"/>
    <s v="n/a"/>
    <s v="0"/>
    <m/>
    <m/>
  </r>
  <r>
    <n v="23"/>
    <m/>
    <m/>
    <m/>
    <m/>
    <m/>
    <m/>
    <m/>
    <x v="3"/>
    <s v="n/a"/>
    <s v="n/a"/>
    <s v="n"/>
    <s v="n"/>
    <s v="n/a"/>
    <s v="n/a"/>
    <s v="439814014x"/>
    <s v="n/a"/>
    <s v="n/a"/>
    <s v="Kamakura"/>
    <s v="n/a"/>
    <s v="鎌倉"/>
    <s v="n/a"/>
    <s v="n/a"/>
    <s v="n/a"/>
    <s v="n/a"/>
    <x v="3"/>
    <x v="1"/>
    <x v="18"/>
    <s v="n/a"/>
    <s v="n/a"/>
    <s v="n/a"/>
    <s v="n/a"/>
    <s v="0"/>
    <m/>
    <m/>
  </r>
  <r>
    <n v="24"/>
    <m/>
    <m/>
    <m/>
    <m/>
    <m/>
    <m/>
    <s v="n/a"/>
    <x v="0"/>
    <s v="84"/>
    <s v="n/a"/>
    <s v="n/a"/>
    <s v="n"/>
    <s v="n"/>
    <s v="n/a"/>
    <s v="n/a"/>
    <n v="20980442"/>
    <s v="Japanese"/>
    <s v="Narrating the Records of the Grand Historian"/>
    <s v="Shiki o kataru"/>
    <s v="史記を語る"/>
    <s v="Miyazaki, Ichisada"/>
    <s v="宮崎市定"/>
    <s v="Iwanami shinsho"/>
    <s v="岩波新書"/>
    <x v="7"/>
    <x v="8"/>
    <x v="19"/>
    <s v="Shōwa 54"/>
    <s v="n/a"/>
    <s v="n/a"/>
    <s v="Han Dynasty (China) ^ Qin Dynasty (China) ^ 司馬遷, approximately 145-approximately 86 BC 史記 ^ Sima, Qian, approximately 145-approximately 86 BC Shi ji ^ History ^ To 220 ^ China -- History -- To 221 BC ^ China -- History -- Qin dynasty, 221-207 BC ^ China -- History -- Han dynasty, 202 BC-220 AD ^ China ^ Shi ji (Sima, Qian)"/>
    <s v="0"/>
    <m/>
    <m/>
  </r>
  <r>
    <n v="25"/>
    <m/>
    <m/>
    <m/>
    <m/>
    <m/>
    <m/>
    <s v="n/a"/>
    <x v="3"/>
    <s v="5"/>
    <s v="n/a"/>
    <s v="n/a"/>
    <s v="n"/>
    <s v="n"/>
    <s v="n/a"/>
    <s v="n/a"/>
    <n v="863701612"/>
    <s v="Japanese"/>
    <s v="Walk, See, Eat: Kyushu"/>
    <s v="Aruku, miru, taberu, Kyūshū"/>
    <s v="步く・見る・食べる, 九州"/>
    <s v="Mineo, Ichiro"/>
    <s v="峰尾一路"/>
    <s v="Earia gaido"/>
    <s v="エアリアガイド"/>
    <x v="10"/>
    <x v="13"/>
    <x v="20"/>
    <s v="Shōwa 56"/>
    <s v="Shohan"/>
    <s v="初版"/>
    <s v="Travel ^ Guidebooks ^ Kyūshū Region (Japan) -- Guidebooks ^ Kyūshū Region (Japan) -- Description and travel ^ Japan -- Kyūshū Region"/>
    <s v="0"/>
    <m/>
    <m/>
  </r>
  <r>
    <n v="26"/>
    <m/>
    <m/>
    <m/>
    <m/>
    <m/>
    <m/>
    <s v="n/a"/>
    <x v="3"/>
    <s v="2"/>
    <s v="n/a"/>
    <s v="n/a"/>
    <s v="n"/>
    <s v="n"/>
    <s v="n/a"/>
    <s v="n/a"/>
    <n v="42893796"/>
    <s v="Japanese"/>
    <s v="Heinrich Heine's Poetry Collection"/>
    <s v="Haine shishū"/>
    <s v="ハイネ詩集"/>
    <s v="Heine, Heinrich ^ Inoue, Shōzō"/>
    <s v="井上正蔵"/>
    <s v="Seishun no shishū"/>
    <s v="青春の詩集. 外国篇"/>
    <x v="11"/>
    <x v="14"/>
    <x v="2"/>
    <s v="Shōwa 41"/>
    <s v="n/a"/>
    <s v="n/a"/>
    <s v="n/a"/>
    <s v="0"/>
    <m/>
    <m/>
  </r>
  <r>
    <n v="27"/>
    <m/>
    <m/>
    <m/>
    <m/>
    <m/>
    <m/>
    <s v="https://www.amazon.co.jp/dp/4140018704"/>
    <x v="3"/>
    <s v="870"/>
    <s v="n/a"/>
    <s v="n"/>
    <s v="n"/>
    <s v="n"/>
    <n v="9784140018705"/>
    <s v="4140018704"/>
    <n v="47618223"/>
    <s v="Japanese"/>
    <s v="The World of Vermeer: Trajectory of a 17th Century Dutch Genre Painter"/>
    <s v="Ferumēru no sekai: jūshichiseiki oranda fūzoku gaka no kiseki"/>
    <s v="フェルメールの世界: 17世紀オランダ風俗画家の軌跡"/>
    <s v="Kobayashi, Yoriko"/>
    <s v="小林頼子"/>
    <s v="Enueichikei bukkusu"/>
    <s v="NHKブックス"/>
    <x v="12"/>
    <x v="15"/>
    <x v="21"/>
    <s v="Heisei 11"/>
    <s v="n/a"/>
    <s v="n/a"/>
    <s v="Vermeer, Johannes, 1632-1675 ^ Vermeer, Johannes, 1632-1675"/>
    <s v="0"/>
    <m/>
    <m/>
  </r>
  <r>
    <n v="28"/>
    <m/>
    <m/>
    <m/>
    <m/>
    <m/>
    <m/>
    <s v="https://www.amazon.co.jp/dp/4166604732"/>
    <x v="0"/>
    <s v="473"/>
    <s v="n/a"/>
    <s v="n"/>
    <s v="n"/>
    <s v="n"/>
    <n v="9784166604739"/>
    <s v="4166604732"/>
    <n v="63747794"/>
    <s v="Japanese"/>
    <s v="Miscalculation After the Victory in the Russo-Japanese War - ChatGPT translation"/>
    <s v="Nichi-Ro Sensō shōri no ato no gosan"/>
    <s v="日露戦争勝利の後の誤算"/>
    <s v="Kuroiwa, Hisako"/>
    <s v="黒岩比佐子"/>
    <s v="Bunshun shinsho"/>
    <s v="文春新書"/>
    <x v="13"/>
    <x v="16"/>
    <x v="13"/>
    <s v="Heisei 17"/>
    <s v="n/a"/>
    <s v="n/a"/>
    <s v="日露戦争(1904-1905); 日比谷焼打事件(1905) ^ Riots -- Japan -- Tokyo -- History -- 20th century ^ Government and the press -- Japan -- History -- 20th century ^ Russo-Japanese War, 1904-1905 ^ Government and the press ^ Riots ^ Nichiro sensō ^ Hibiya yakiuchi jiken ^ History ^ 1900-1999 ^ Japan -- History -- 20th century ^ Japan ^ Japan -- Tokyo"/>
    <s v="0"/>
    <m/>
    <m/>
  </r>
  <r>
    <n v="29"/>
    <m/>
    <m/>
    <m/>
    <m/>
    <m/>
    <m/>
    <s v="https://www.amazon.co.jp/dp/4061587021"/>
    <x v="0"/>
    <s v="n/a"/>
    <s v="n/a"/>
    <s v="n"/>
    <s v="n"/>
    <s v="n"/>
    <n v="9784061587021"/>
    <s v="4061587021"/>
    <n v="16714154"/>
    <s v="Japanese"/>
    <s v="Ancient Japanese History and Korea - ChatGPT translation"/>
    <s v="Nihon kodaishi to Chōsen"/>
    <s v="日本古代史と朝鮮"/>
    <s v="Kim, Tal-su"/>
    <s v="金達寿"/>
    <s v="Kōdansha gakujutsu bunko"/>
    <s v="講談社学術文庫"/>
    <x v="4"/>
    <x v="5"/>
    <x v="22"/>
    <s v="Shōwa 60"/>
    <s v="n/a"/>
    <s v="n/a"/>
    <s v="Civilization -- Korean influences ^ International relations ^ Japan -- Civilization -- Korean influences ^ Japan -- Relations -- Korea ^ Korea -- Relations -- Japan ^ Japan ^ Korea"/>
    <s v="0"/>
    <m/>
    <m/>
  </r>
  <r>
    <n v="30.01"/>
    <m/>
    <m/>
    <m/>
    <m/>
    <m/>
    <m/>
    <s v="https://www.amazon.co.jp/dp/4165081205"/>
    <x v="0"/>
    <s v="1 上"/>
    <s v="2"/>
    <s v="n"/>
    <s v="n"/>
    <s v="n"/>
    <n v="9784165081203"/>
    <s v="4165081205"/>
    <n v="10697088"/>
    <s v="Japanese"/>
    <s v="Path of Fire - ChatGPT translation"/>
    <s v="Hi no michi"/>
    <s v="火の路"/>
    <s v="Matsumoto, Seichō"/>
    <s v="n/a"/>
    <s v="Matsumoto, Seichō,; 1909-1992"/>
    <s v="松本清張, 1909- Works. 1971"/>
    <x v="13"/>
    <x v="16"/>
    <x v="8"/>
    <s v="Shōwa 58"/>
    <s v="n/a"/>
    <s v="n/a"/>
    <s v="n/a"/>
    <s v="0"/>
    <m/>
    <m/>
  </r>
  <r>
    <n v="30.02"/>
    <m/>
    <m/>
    <m/>
    <m/>
    <m/>
    <m/>
    <s v="https://www.amazon.co.jp/dp/4165081205"/>
    <x v="0"/>
    <s v="2 下"/>
    <s v="2"/>
    <s v="n"/>
    <s v="n"/>
    <s v="n"/>
    <n v="9784165081203"/>
    <s v="4165081205"/>
    <n v="10697088"/>
    <s v="Japanese"/>
    <s v="Path of Fire - ChatGPT translation"/>
    <s v="Hi no michi"/>
    <s v="火の路"/>
    <s v="Matsumoto, Seichō"/>
    <s v="n/a"/>
    <s v="Matsumoto, Seichō,; 1909-1992"/>
    <s v="松本清張, 1909- Works. 1971"/>
    <x v="13"/>
    <x v="16"/>
    <x v="8"/>
    <s v="Shōwa 58"/>
    <s v="n/a"/>
    <s v="n/a"/>
    <s v="n/a"/>
    <s v="0"/>
    <m/>
    <m/>
  </r>
  <r>
    <n v="31.01"/>
    <m/>
    <m/>
    <m/>
    <m/>
    <m/>
    <m/>
    <s v="https://www.amazon.co.jp/dp/4167651688"/>
    <x v="0"/>
    <s v="1 上"/>
    <s v="2"/>
    <s v="n"/>
    <s v="n"/>
    <s v="n"/>
    <n v="9784167651688"/>
    <s v="4167651688"/>
    <n v="703409896"/>
    <s v="Japanese"/>
    <s v="Secret Records of Zhou Enlai: Party Confidential Documents Speak - Volume 1 - ChatGPT translation"/>
    <s v="Shu onrai hiroku: To kimitsu bunsho wa kataru. 1"/>
    <s v="周恩来秘錄: 党機密文書は語る. 上"/>
    <s v="Ko, Bunken ^ Kamimura, Koji"/>
    <s v="高文謙 上村幸治"/>
    <s v="Bunshun bunko"/>
    <s v="文春文庫"/>
    <x v="3"/>
    <x v="16"/>
    <x v="23"/>
    <s v="Heisei 22"/>
    <s v="n/a"/>
    <s v="n/a"/>
    <s v="Chūgoku -- Seiji -- Rekishi -- 20seiki ^ 周, 恩来, 1898-1976 ^ Shu, Onrai, 1898-1976 ^ Shū, Onrai ^ Shu, Onrai, 1898-1976 ^ 中国; 政治; 歴史; 20世紀 ^ Chugoku -- Seiji -- Rekishi -- 20seiki ^ Chugoku -- Seiji -- Rekishi -- 20seiki"/>
    <s v="0"/>
    <m/>
    <m/>
  </r>
  <r>
    <n v="31.02"/>
    <m/>
    <m/>
    <m/>
    <m/>
    <m/>
    <m/>
    <s v="https://www.amazon.co.jp/dp/4167651696"/>
    <x v="0"/>
    <s v="2 下"/>
    <s v="2"/>
    <s v="n"/>
    <s v="n"/>
    <s v="n"/>
    <n v="9784167651695"/>
    <s v="4167651696"/>
    <n v="703409891"/>
    <s v="Japanese"/>
    <s v="Secret Records of Zhou Enlai: Party Confidential Documents Speak - Volume 2 - ChatGPT translation"/>
    <s v="Shu onrai hiroku: To kimitsu bunsho wa kataru. 2"/>
    <s v="周恩来秘錄: 党機密文書は語る. 下"/>
    <s v="Ko, Bunken ^ Kamimura, Koji"/>
    <s v="高文謙 上村幸治"/>
    <s v="Bunshun bunko"/>
    <s v="文春文庫"/>
    <x v="3"/>
    <x v="16"/>
    <x v="23"/>
    <s v="Heisei 22"/>
    <s v="n/a"/>
    <s v="n/a"/>
    <s v="Chūgoku -- Seiji -- Rekishi -- 1949 ^ 周, 恩来, 1898-1976 ^ Shu, Onrai, 1898-1976 ^ Shū, Onrai ^ Shu, Onrai, 1898-1976 ^ 中国; 政治; 歴史; 1949- ^ Chugoku -- Seiji -- Rekishi -- 1949- ^ Chugoku -- Seiji -- Rekishi -- 1949-"/>
    <s v="0"/>
    <m/>
    <m/>
  </r>
  <r>
    <n v="32"/>
    <m/>
    <m/>
    <m/>
    <m/>
    <m/>
    <m/>
    <s v="https://www.amazon.co.jp/dp/4167169401"/>
    <x v="0"/>
    <s v="n/a"/>
    <s v="n/a"/>
    <s v="n"/>
    <s v="n"/>
    <s v="n"/>
    <n v="9784167169404"/>
    <s v="4167169401"/>
    <n v="169864142"/>
    <s v="Japanese"/>
    <s v="Great Tsunami of Sanriku Coast - ChatGPT translation"/>
    <s v="Sanriku Kaigan ōtsunami"/>
    <s v="三陸海岸大津波"/>
    <s v="Yoshimura, Akira"/>
    <s v="吉村昭"/>
    <s v="Bunshun bunko"/>
    <s v="文春文庫"/>
    <x v="13"/>
    <x v="16"/>
    <x v="24"/>
    <s v="Heisei 16"/>
    <s v="n/a"/>
    <s v="n/a"/>
    <s v="Tsunamis -- Japan -- Tōhoku Region -- History ^ Tsunami damage -- Japan -- Sanriku Region -- History ^ Tsunamis -- Japan -- Sanriku Region -- History ^ Tsunami damage ^ Tsunamis ^ History ^ Japan -- Sanriku Region ^ Japan -- Tōhoku Region"/>
    <s v="0"/>
    <m/>
    <m/>
  </r>
  <r>
    <n v="33"/>
    <m/>
    <m/>
    <m/>
    <m/>
    <m/>
    <m/>
    <s v="https://www.amazon.co.jp/dp/4061857738"/>
    <x v="0"/>
    <s v="n/a"/>
    <s v="n/a"/>
    <s v="n"/>
    <s v="n"/>
    <s v="n"/>
    <n v="9784061857735"/>
    <s v="4061857738"/>
    <n v="35076350"/>
    <s v="Japanese"/>
    <s v="Journey Through Ancient History - ChatGPT translation"/>
    <s v="Kodaishi kikō"/>
    <s v="古代史紀行"/>
    <s v="Miyawaki, Shunzō"/>
    <s v="宮脇俊三"/>
    <s v="Kōdansha bunko"/>
    <s v="講談社文庫"/>
    <x v="4"/>
    <x v="5"/>
    <x v="25"/>
    <s v="Heisei 6"/>
    <s v="n/a"/>
    <s v="n/a"/>
    <s v="Historic sites -- Japan ^ Historic sites ^ Travel ^ History ^ To 1185 ^ Japan -- Description and travel ^ Japan -- History -- To 1185 ^ Japan"/>
    <s v="0"/>
    <m/>
    <m/>
  </r>
  <r>
    <n v="34.01"/>
    <m/>
    <m/>
    <m/>
    <m/>
    <m/>
    <s v="are v.3,4 in donation?"/>
    <s v="n/a"/>
    <x v="1"/>
    <s v="1"/>
    <s v="4"/>
    <s v="n/a"/>
    <s v="https://libcat.colorado.edu/Record/b3427395"/>
    <s v="n"/>
    <s v="n/a"/>
    <s v="n/a"/>
    <n v="4675682"/>
    <s v="Japanese"/>
    <s v="History of Women in the Meiji Era - ChatGPT translation"/>
    <s v="Meiji josei shi"/>
    <s v="明治女性史"/>
    <s v="Murakami, Nobuhiko"/>
    <s v="村上信彦"/>
    <s v="Kōdansha bunko"/>
    <s v="講談社文庫"/>
    <x v="4"/>
    <x v="17"/>
    <x v="26"/>
    <s v="Shōwa 52"/>
    <s v="n/a"/>
    <s v="n/a"/>
    <s v="雇用; 女性問題; 女性; 社会的状況 ^ Women -- Japan -- Social conditions ^ Women -- Employment -- Japan -- History ^ Feminism -- Japan -- History ^ Feminism ^ Women ^ Women -- Employment ^ Social conditions ^ Women -- Social conditions ^ History ^ 日本 ^ Japan"/>
    <s v="0"/>
    <m/>
    <m/>
  </r>
  <r>
    <n v="34.020000000000003"/>
    <m/>
    <m/>
    <m/>
    <m/>
    <m/>
    <s v="are v.3,4 in donation?"/>
    <s v="n/a"/>
    <x v="1"/>
    <s v="2"/>
    <s v="4"/>
    <s v="n/a"/>
    <s v="https://libcat.colorado.edu/Record/b3427395"/>
    <s v="n"/>
    <s v="n/a"/>
    <s v="n/a"/>
    <n v="4675682"/>
    <s v="Japanese"/>
    <s v="History of Women in the Meiji Era - ChatGPT translation"/>
    <s v="Meiji josei shi"/>
    <s v="明治女性史"/>
    <s v="Murakami, Nobuhiko"/>
    <s v="村上信彦"/>
    <s v="Kōdansha bunko"/>
    <s v="講談社文庫"/>
    <x v="4"/>
    <x v="17"/>
    <x v="26"/>
    <s v="Shōwa 52"/>
    <s v="n/a"/>
    <s v="n/a"/>
    <s v="雇用; 女性問題; 女性; 社会的状況 ^ Women -- Japan -- Social conditions ^ Women -- Employment -- Japan -- History ^ Feminism -- Japan -- History ^ Feminism ^ Women ^ Women -- Employment ^ Social conditions ^ Women -- Social conditions ^ History ^ 日本 ^ Japan"/>
    <s v="0"/>
    <m/>
    <m/>
  </r>
  <r>
    <n v="35"/>
    <m/>
    <m/>
    <m/>
    <m/>
    <m/>
    <m/>
    <s v="https://www.amazon.co.jp/dp/4061591495"/>
    <x v="0"/>
    <s v="1149"/>
    <s v="n/a"/>
    <s v="n"/>
    <s v="n"/>
    <s v="n"/>
    <n v="9784061591493"/>
    <s v="4061591495"/>
    <n v="47347898"/>
    <s v="Japanese"/>
    <s v="Gospel According to Thomas - ChatGPT translation"/>
    <s v="Tomasu ni yoru fukuinsho"/>
    <s v="トマスによる福音書"/>
    <s v="Arai, Sasagu"/>
    <s v="荒井献"/>
    <s v="Kōdansha gakujutsu bunko"/>
    <s v="講談社学術文庫"/>
    <x v="4"/>
    <x v="5"/>
    <x v="25"/>
    <s v="Heisei 6"/>
    <s v="n/a"/>
    <s v="n/a"/>
    <s v="Commentaries ^ Criticism, interpretation, etc ^ 聖書; 新約.; キリスト ^ Gospel of Thomas (Coptic Gospel) -- Criticism, interpretation, etc ^ Bible. Gospels -- Commentaries ^ Bible. Gospels ^ Gospel of Thomas (Coptic Gospel)"/>
    <s v="0"/>
    <m/>
    <m/>
  </r>
  <r>
    <n v="36.01"/>
    <m/>
    <m/>
    <m/>
    <m/>
    <m/>
    <m/>
    <s v="n/a"/>
    <x v="0"/>
    <s v="1"/>
    <s v="2"/>
    <s v="n"/>
    <s v="n"/>
    <s v="n"/>
    <n v="9784061588332"/>
    <s v="4061588338"/>
    <n v="24648294"/>
    <s v="Japanese"/>
    <s v="Nihon Shoki: Complete Contemporary Translation - ChatGPT translation"/>
    <s v="Nihon shoki: zen gendaigo yaku"/>
    <s v="日本書紀: 全現代語訳"/>
    <s v="Ujitani, Tsutomu"/>
    <s v="宇治谷孟"/>
    <s v="Kōdansha gakujutsu bunko"/>
    <s v="講談社学術文庫"/>
    <x v="4"/>
    <x v="5"/>
    <x v="11"/>
    <s v="Shōwa 63"/>
    <s v="n/a"/>
    <s v="n/a"/>
    <s v="History ^ To 645 ^ Japan -- History -- To 645 ^ Japan"/>
    <s v="0"/>
    <m/>
    <m/>
  </r>
  <r>
    <n v="36.020000000000003"/>
    <m/>
    <m/>
    <m/>
    <m/>
    <m/>
    <m/>
    <s v="n/a"/>
    <x v="0"/>
    <s v="2"/>
    <s v="2"/>
    <s v="n"/>
    <s v="n"/>
    <s v="n"/>
    <n v="9784061588349"/>
    <s v="4061588346"/>
    <n v="24648294"/>
    <s v="Japanese"/>
    <s v="Nihon Shoki: Complete Contemporary Translation - ChatGPT translation"/>
    <s v="Nihon shoki: zen gendaigo yaku"/>
    <s v="日本書紀: 全現代語訳"/>
    <s v="Ujitani, Tsutomu"/>
    <s v="宇治谷孟"/>
    <s v="Kōdansha gakujutsu bunko"/>
    <s v="講談社学術文庫"/>
    <x v="4"/>
    <x v="5"/>
    <x v="11"/>
    <s v="Shōwa 63"/>
    <s v="n/a"/>
    <s v="n/a"/>
    <s v="History ^ To 645 ^ Japan -- History -- To 645 ^ Japan"/>
    <s v="0"/>
    <m/>
    <m/>
  </r>
  <r>
    <n v="37"/>
    <m/>
    <m/>
    <m/>
    <m/>
    <m/>
    <m/>
    <s v="https://www.amazon.co.jp/dp/4061844903"/>
    <x v="0"/>
    <s v="n/a"/>
    <s v="n/a"/>
    <s v="n"/>
    <s v="n"/>
    <s v="n"/>
    <n v="9784061844902"/>
    <s v="4061844903"/>
    <n v="54785199"/>
    <s v="Japanese"/>
    <s v="End of the Ancient Era - ChatGPT translation"/>
    <s v="Kodai no shūen"/>
    <s v="古代の終焉"/>
    <s v="Matsumoto, Seichō"/>
    <s v="松本清張"/>
    <s v="Kōdansha bunko"/>
    <s v="講談社文庫"/>
    <x v="4"/>
    <x v="5"/>
    <x v="12"/>
    <s v="n/a"/>
    <s v="n/a"/>
    <s v="n/a"/>
    <s v="History ^ To 645 ^ Japan -- History -- To 645 ^ Japan"/>
    <s v="0"/>
    <m/>
    <m/>
  </r>
  <r>
    <n v="38"/>
    <m/>
    <m/>
    <m/>
    <m/>
    <m/>
    <s v="inform Juliana"/>
    <s v="https://www.amazon.co.jp/dp/4061859951"/>
    <x v="2"/>
    <s v="n/a"/>
    <s v="n/a"/>
    <s v="n"/>
    <s v="n"/>
    <s v="n"/>
    <n v="9784061859951"/>
    <s v="4061859951"/>
    <n v="33425934"/>
    <s v="Japanese"/>
    <s v="Comfort Women of the Occupation Forces - ChatGPT translation"/>
    <s v="Senryōgun ianfu"/>
    <s v="占領軍慰安婦"/>
    <s v="Yamada, Meiko"/>
    <s v="山田盟子"/>
    <s v="Kōdansha bunko"/>
    <s v="講談社文庫"/>
    <x v="4"/>
    <x v="5"/>
    <x v="7"/>
    <s v="Heisei 7"/>
    <s v="n/a"/>
    <s v="n/a"/>
    <s v="Comfort women -- Japan -- History ^ Comfort women ^ History ^ 1945-1952 ^ Japan -- History -- Allied occupation, 1945-1952 ^ Japan"/>
    <s v="0"/>
    <m/>
    <m/>
  </r>
  <r>
    <n v="39"/>
    <m/>
    <m/>
    <m/>
    <m/>
    <m/>
    <m/>
    <s v="https://www.amazon.co.jp/dp/4061832212"/>
    <x v="3"/>
    <s v="n/a"/>
    <s v="n/a"/>
    <s v="n"/>
    <s v="n"/>
    <s v="y"/>
    <n v="9784061832213"/>
    <s v="4061832212"/>
    <n v="36988496"/>
    <s v="Japanese"/>
    <s v="Laozi (Lao Tzu) - ChatGPT translation"/>
    <s v="Rōshi"/>
    <s v="老子"/>
    <s v="Laozi ^ Kimura, Eiichi ^ Nomura, Shigeo"/>
    <s v="老子 ^ 木村英一 ^ 野村茂夫"/>
    <s v="Kōdansha bunko"/>
    <s v="講談社文庫"/>
    <x v="4"/>
    <x v="5"/>
    <x v="27"/>
    <s v="Shōwa 59"/>
    <s v="n/a"/>
    <s v="n/a"/>
    <s v="Laozi. Dao de jing ^ Dao de jing (Laozi)"/>
    <s v="0"/>
    <m/>
    <m/>
  </r>
  <r>
    <n v="40"/>
    <m/>
    <m/>
    <m/>
    <m/>
    <m/>
    <m/>
    <s v="https://www.amazon.co.jp/dp/4061852183"/>
    <x v="0"/>
    <s v="n/a"/>
    <s v="n/a"/>
    <s v="n"/>
    <s v="n"/>
    <s v="n"/>
    <n v="9784061852181"/>
    <s v="4061852183"/>
    <n v="29842177"/>
    <s v="Japanese"/>
    <s v="Private Annotations on Ancient History - ChatGPT translation"/>
    <s v="Kodaishi shichū"/>
    <s v="古代史私注"/>
    <s v="Matsumoto, Seichō"/>
    <s v="松本清張"/>
    <s v="Kōdansha bunko"/>
    <s v="講談社文庫"/>
    <x v="4"/>
    <x v="5"/>
    <x v="5"/>
    <s v="Heisei 5"/>
    <s v="n/a"/>
    <s v="n/a"/>
    <s v="History ^ To 794 ^ Japan -- History -- To 794 ^ Japan"/>
    <s v="0"/>
    <m/>
    <m/>
  </r>
  <r>
    <n v="41"/>
    <m/>
    <m/>
    <m/>
    <m/>
    <m/>
    <m/>
    <s v="https://www.amazon.co.jp/dp/4061859072"/>
    <x v="0"/>
    <s v="n/a"/>
    <s v="n/a"/>
    <s v="n"/>
    <s v="n"/>
    <s v="n"/>
    <n v="9784061859074"/>
    <s v="4061859072"/>
    <n v="173520827"/>
    <s v="Japanese"/>
    <s v="Biographies of Chinese Poets - ChatGPT translation"/>
    <s v="Chūgoku shijinden"/>
    <s v="中国詩人伝"/>
    <s v="Chin, Shunshin ^ Li, Geng"/>
    <s v="陳舜臣 ^ 李庚"/>
    <s v="Kōdansha bunko"/>
    <s v="講談社文庫"/>
    <x v="4"/>
    <x v="5"/>
    <x v="7"/>
    <s v="Heisei 7"/>
    <s v="n/a"/>
    <s v="n/a"/>
    <s v="Poets, Chinese -- Biography ^ Poètes chinois -- Biographies ^ Poets, Chinese ^ Biographies"/>
    <s v="0"/>
    <m/>
    <m/>
  </r>
  <r>
    <n v="42"/>
    <m/>
    <m/>
    <m/>
    <m/>
    <m/>
    <m/>
    <s v="https://www.amazon.co.jp/dp/4003314514"/>
    <x v="0"/>
    <s v="n/a"/>
    <s v="n/a"/>
    <s v="n"/>
    <s v="n"/>
    <s v="n"/>
    <n v="9784003314517"/>
    <s v="4003314514"/>
    <n v="47310829"/>
    <s v="Japanese"/>
    <s v="Origins of Christianity: Among Other Essays - ChatGPT translation"/>
    <s v="Kirisutokyō no kigen: hoka ippen"/>
    <s v="基督敎の起源: 他一篇"/>
    <s v="Hatano, Seiichi"/>
    <s v="波多野精一"/>
    <s v="Iwanami bunko"/>
    <s v="岩波文庫"/>
    <x v="7"/>
    <x v="1"/>
    <x v="19"/>
    <s v="Shōwa 54"/>
    <s v="n/a"/>
    <s v="n/a"/>
    <s v="Christianity -- Origin ^ Theology -- Early works to 1800 ^ Christianisme -- Origines ^ Théologie -- Ouvrages avant 1800 ^ Christianity -- Origin ^ Theology ^ Early works ^ キリスト敎; 歴史"/>
    <s v="0"/>
    <m/>
    <m/>
  </r>
  <r>
    <n v="43"/>
    <m/>
    <m/>
    <m/>
    <m/>
    <m/>
    <m/>
    <s v="https://www.amazon.co.jp/dp/4003102010"/>
    <x v="1"/>
    <s v="n/a"/>
    <s v="n/a"/>
    <s v="n"/>
    <s v="https://libcat.colorado.edu/Record/b7685918"/>
    <s v="n"/>
    <n v="9784003102015"/>
    <s v="4003102010"/>
    <n v="672810104"/>
    <s v="Japanese"/>
    <s v="Evening Emerald: Selected Poems - ChatGPT translation"/>
    <s v="Bansui shishō"/>
    <s v="晚翠詩抄"/>
    <s v="Doi, Bansui"/>
    <s v="土井晚翠"/>
    <s v="n/a"/>
    <s v="n/a"/>
    <x v="3"/>
    <x v="8"/>
    <x v="10"/>
    <s v="Shōwa 46"/>
    <s v="n/a"/>
    <s v="改版"/>
    <s v="詩 -- 詩集 ^ Shi --"/>
    <s v="0"/>
    <m/>
    <m/>
  </r>
  <r>
    <n v="44"/>
    <m/>
    <m/>
    <m/>
    <m/>
    <m/>
    <m/>
    <s v="https://www.amazon.co.jp/dp/4003104161"/>
    <x v="1"/>
    <s v="n/a"/>
    <s v="n/a"/>
    <s v="https://libcat.colorado.edu/Record/b7717751"/>
    <s v="https://libcat.colorado.edu/Record/b7717751"/>
    <s v="y"/>
    <n v="9784003104163"/>
    <s v="4003104161"/>
    <n v="33739835"/>
    <s v="Japanese"/>
    <s v="Coral Collection: Selection of Modern French Lyric Poetry - ChatGPT translation"/>
    <s v="Sangoshū: Furansu kindai jojōshi sen"/>
    <s v="珊瑚集: 仏蘭西近代抒情詩選"/>
    <s v="Nagai, Kafū"/>
    <s v="永井荷風"/>
    <s v="Iwanami bunko"/>
    <s v="岩波文庫"/>
    <x v="7"/>
    <x v="8"/>
    <x v="6"/>
    <s v="Heisei 3"/>
    <s v="Kaihan"/>
    <s v="改版"/>
    <s v="n/a"/>
    <s v="0"/>
    <m/>
    <m/>
  </r>
  <r>
    <n v="45.01"/>
    <m/>
    <m/>
    <m/>
    <m/>
    <m/>
    <s v="are v.2,3,4 in donation?"/>
    <s v="n/a"/>
    <x v="1"/>
    <s v="1"/>
    <s v="4"/>
    <s v="n"/>
    <s v="2+ Results"/>
    <s v="n"/>
    <n v="9784003331903"/>
    <s v="4003331907"/>
    <n v="23838752"/>
    <s v="Japanese"/>
    <s v="Shobogenzo (Treasury of the True Dharma Eye) - ChatGPT translation"/>
    <s v="Shōbō genzō"/>
    <s v="正法眼蔵"/>
    <s v="Dōgen ^ Mizuno, Yaoko"/>
    <s v="道元 ^ 水野弥穗子"/>
    <s v="Iwanami bunko"/>
    <s v="岩波文庫"/>
    <x v="7"/>
    <x v="8"/>
    <x v="28"/>
    <s v="n/a"/>
    <s v="n/a"/>
    <s v="n/a"/>
    <s v="Theology, Doctrinal ^ 曹洞宗 Doctrines Early works to 1800 ^ Sōtōshū -- Doctrines -- Early works to 1800 ^ Sōtōshū ^ Sōtōshū -- Doctrines -- Early works to 1800 ^ Early works"/>
    <s v="0"/>
    <m/>
    <m/>
  </r>
  <r>
    <n v="46"/>
    <m/>
    <m/>
    <m/>
    <m/>
    <m/>
    <m/>
    <s v="n/a"/>
    <x v="0"/>
    <s v="491"/>
    <s v="n/a"/>
    <s v="n"/>
    <s v="2+ Results"/>
    <s v="n"/>
    <s v="9784003311516 (paperback)"/>
    <s v="4003311515 (paperback)"/>
    <n v="7719763"/>
    <s v="Japanese"/>
    <s v="The Book of Tea - ChatGPT translation"/>
    <s v="Cha no hon"/>
    <s v="茶の本"/>
    <s v="Okakura, Kakuzō ^ Muraoka, Hiroshi"/>
    <s v="岡倉覚三 ^ 村岡博"/>
    <s v="Iwanami bunko"/>
    <s v="岩波文庫"/>
    <x v="7"/>
    <x v="8"/>
    <x v="29"/>
    <s v="Shōwa 36"/>
    <s v="Kaihan"/>
    <s v="改版"/>
    <s v="Japanese tea ceremony ^ Cérémonie du thé ^ Japanese tea ceremony ^ Japanese tea ceremony"/>
    <s v="0"/>
    <m/>
    <m/>
  </r>
  <r>
    <n v="47"/>
    <m/>
    <m/>
    <m/>
    <m/>
    <m/>
    <s v="NDL record"/>
    <s v="https://www.amazon.co.jp/dp/4003300114"/>
    <x v="1"/>
    <s v="n/a"/>
    <s v="n/a"/>
    <s v="n"/>
    <s v="2+ Results"/>
    <s v="n"/>
    <n v="9784003300114"/>
    <s v="4003300114"/>
    <n v="672883149"/>
    <s v="Japanese"/>
    <s v="Wind, Shape, Flower Transmission - ChatGPT translation"/>
    <s v="Fūshi kaden"/>
    <s v="風姿花伝"/>
    <s v="Seami ^ Nogami, Toyoichirō ^ Nishio, Minoru"/>
    <s v="世阿弥 ^ 野上豊一郎 ^ 西尾実"/>
    <s v="Iwanami bunko"/>
    <s v="岩波文庫"/>
    <x v="7"/>
    <x v="8"/>
    <x v="30"/>
    <s v="Shōwa 33"/>
    <s v="n/a"/>
    <s v="n/a"/>
    <s v="能楽 ^ Nōgaku ^ Nogaku"/>
    <s v="0"/>
    <m/>
    <m/>
  </r>
  <r>
    <n v="48"/>
    <m/>
    <m/>
    <m/>
    <m/>
    <m/>
    <m/>
    <s v="https://www.amazon.co.jp/dp/400310482X"/>
    <x v="1"/>
    <s v="31-048-2"/>
    <s v="n/a"/>
    <s v="https://libcat.colorado.edu/Record/b7717753"/>
    <s v="https://libcat.colorado.edu/Record/b7717753"/>
    <s v="y"/>
    <n v="9784003104828"/>
    <s v="400310482X"/>
    <n v="27716391"/>
    <s v="Japanese"/>
    <s v="Shiki Masaoka's Selected Lyric Poems - ChatGPT translation"/>
    <s v="Hakushū jojō shishō"/>
    <s v="白秋抒情詩抄"/>
    <s v="Kitahara, Hakushū"/>
    <s v="北原白秋"/>
    <s v="Iwanami bunko"/>
    <s v="岩波文庫"/>
    <x v="7"/>
    <x v="8"/>
    <x v="31"/>
    <s v="Shōwa 53"/>
    <s v="Kaihan"/>
    <s v="改版"/>
    <s v="poetry ^ Poetry ^ Poetry"/>
    <s v="0"/>
    <m/>
    <m/>
  </r>
  <r>
    <n v="49"/>
    <m/>
    <m/>
    <m/>
    <m/>
    <m/>
    <m/>
    <s v="https://www.amazon.co.jp/dp/406256890X"/>
    <x v="0"/>
    <s v="n/a"/>
    <s v="n/a"/>
    <s v="n"/>
    <s v="n"/>
    <s v="n"/>
    <n v="9784062568906"/>
    <s v="406256890X"/>
    <n v="225177691"/>
    <s v="Japanese"/>
    <s v="Flesh Emperor: The Man Who Amassed a Fortune through Dowa and Violence - ChatGPT translation"/>
    <s v="Shokuniku no teiō: dōwa to bōryoku de kyofu o tsukanda otoko"/>
    <s v="食肉の帝王: 同和と暴力で巨富を摑んだ男"/>
    <s v="Mizoguchi, Atsushi"/>
    <s v="溝口敦"/>
    <s v="Kōdansha + alpha bunko"/>
    <s v="講談社 + alpha 文庫"/>
    <x v="4"/>
    <x v="5"/>
    <x v="24"/>
    <s v="Heisei 16"/>
    <s v="n/a"/>
    <s v="n/a"/>
    <s v="Meat industry and trade -- Japan ^ Political corruption -- Japan ^ Executives -- Japan -- Biography ^ Executives ^ Meat industry and trade ^ Political corruption ^ 浅田満, 1938- ^ Asada, Mitsuru, 1938- ^ ハンナン株式会社 ^ Hannan Kabushiki Kaisha ^ collective biographies ^ Biographies ^ Biographies ^ Biographies ^ Japan"/>
    <s v="0"/>
    <m/>
    <m/>
  </r>
  <r>
    <n v="50"/>
    <m/>
    <m/>
    <m/>
    <m/>
    <m/>
    <m/>
    <s v="https://www.amazon.co.jp/dp/4769822057"/>
    <x v="0"/>
    <s v="n/a"/>
    <s v="n/a"/>
    <s v="n"/>
    <s v="n"/>
    <s v="n"/>
    <n v="9784769822059"/>
    <s v="4769822057"/>
    <n v="674979110"/>
    <s v="Japanese"/>
    <s v="The Rise and Fall of Warlords: Volume 1 - Until Winning the Russo-Japanese War - ChatGPT translation"/>
    <s v="1, Nichiro sensō ni katsu made"/>
    <s v="軍閥興亡史. 第1卷, 日露戦争に勝つまで"/>
    <s v="Itō, Masanori"/>
    <s v="伊藤正徳"/>
    <s v="Kōjinsha NF Bunko"/>
    <s v="光人社NF文庫"/>
    <x v="3"/>
    <x v="18"/>
    <x v="0"/>
    <s v="Heisei 10"/>
    <s v="n/a"/>
    <s v="n/a"/>
    <s v="軍閥 ^ Gunbatsu -- Rekishi"/>
    <s v="0"/>
    <m/>
    <m/>
  </r>
  <r>
    <n v="51"/>
    <m/>
    <m/>
    <m/>
    <m/>
    <m/>
    <s v="Only OCLC record is in Chinese, needs original cataloging. are v.1,3 in donation?"/>
    <s v="n/a"/>
    <x v="0"/>
    <s v="2 中 "/>
    <s v="n/a"/>
    <s v="n"/>
    <s v="n"/>
    <s v="n"/>
    <n v="9784101205021"/>
    <s v="4101205027"/>
    <n v="987179103"/>
    <s v="Japanese"/>
    <s v="Anthology of Modern Famous Poems - ChatGPT translation"/>
    <s v="Gendai Meishi-sen"/>
    <s v="現代名詩選"/>
    <s v="n/a"/>
    <s v="n/a"/>
    <s v="n/a"/>
    <s v="n/a"/>
    <x v="14"/>
    <x v="6"/>
    <x v="32"/>
    <s v="n/a"/>
    <s v="Dai-1-ban"/>
    <s v="第1番"/>
    <s v="n/a"/>
    <s v="0"/>
    <m/>
    <m/>
  </r>
  <r>
    <n v="52"/>
    <m/>
    <m/>
    <m/>
    <m/>
    <m/>
    <m/>
    <s v="https://www.amazon.co.jp/dp/4480082298"/>
    <x v="0"/>
    <s v="n/a"/>
    <s v="n/a"/>
    <s v="n"/>
    <s v="n"/>
    <s v="n"/>
    <n v="9784480082299"/>
    <s v="4480082298"/>
    <n v="47344991"/>
    <s v="Japanese"/>
    <s v="Ancient Yamato Court - ChatGPT translation"/>
    <s v="Kodai yamato chōtei"/>
    <s v="古代大和朝廷"/>
    <s v="Miyazaki, Ichisada"/>
    <s v="宮崎市定"/>
    <s v="Chikuma gakugei bunko"/>
    <s v="ちくま学芸文庫"/>
    <x v="15"/>
    <x v="19"/>
    <x v="7"/>
    <s v="Heisei 7"/>
    <s v="n/a"/>
    <s v="n/a"/>
    <s v="History ^ Trivia and miscellanea ^ To 645 ^ Japan -- History -- To 645 ^ Japan -- History -- Miscellanea ^ Japan ^ 日本; 歴史; 古代"/>
    <s v="0"/>
    <m/>
    <m/>
  </r>
  <r>
    <n v="53"/>
    <m/>
    <m/>
    <m/>
    <m/>
    <m/>
    <m/>
    <s v="n/a"/>
    <x v="3"/>
    <s v="n/a"/>
    <s v="n/a"/>
    <s v="n/a"/>
    <s v="n"/>
    <s v="n"/>
    <s v="n/a"/>
    <s v="n/a"/>
    <n v="61761305"/>
    <s v="Japanese"/>
    <s v="Verlaine's Poetry Collection - ChatGPT translation"/>
    <s v="Verurēnu shishū"/>
    <s v="ヴェルレーヌ詩集"/>
    <s v="Verlaine, Paul ^ Horiguchi, Daigaku"/>
    <s v="堀口大学"/>
    <s v="Shinchō bunko"/>
    <s v="新潮文庫"/>
    <x v="5"/>
    <x v="6"/>
    <x v="33"/>
    <s v="Shōwa 25"/>
    <s v="n/a"/>
    <s v="n/a"/>
    <s v="n/a"/>
    <s v="0"/>
    <m/>
    <m/>
  </r>
  <r>
    <n v="54.01"/>
    <m/>
    <m/>
    <m/>
    <m/>
    <m/>
    <s v="are v.2,3,4 in donation?"/>
    <s v="n/a"/>
    <x v="0"/>
    <s v="1"/>
    <s v="4"/>
    <s v="n"/>
    <s v="n"/>
    <s v="n"/>
    <n v="9784394700012"/>
    <s v="4394700019"/>
    <n v="25804282"/>
    <s v="Japanese"/>
    <s v="Santoka: Collection of Haiku - ChatGPT translation"/>
    <s v="Santōka: kushū"/>
    <s v="山頭火: 句集"/>
    <s v="Taneda, Santōka"/>
    <s v="種田山頭火"/>
    <s v="Santōka bunko"/>
    <s v="山頭火文庫"/>
    <x v="16"/>
    <x v="20"/>
    <x v="12"/>
    <s v="n/a"/>
    <s v="Shohan"/>
    <s v="初版"/>
    <s v="n/a"/>
    <s v="0"/>
    <m/>
    <m/>
  </r>
  <r>
    <n v="55"/>
    <m/>
    <m/>
    <m/>
    <m/>
    <m/>
    <s v="1984 reprint"/>
    <s v="n/a"/>
    <x v="3"/>
    <s v="1 上"/>
    <s v="2"/>
    <s v="n/a"/>
    <s v="n"/>
    <s v="n"/>
    <s v="n/a"/>
    <s v="n/a"/>
    <n v="16525837"/>
    <s v="Japanese"/>
    <s v="New Instructions on the Manyoshu Collection - ChatGPT translation"/>
    <s v="Shinkun Man'yōshū"/>
    <s v="新訓萬葉集"/>
    <s v="Sasaki, Nobutsuna"/>
    <s v="佐佐木信綱"/>
    <s v="Iwanami bunko"/>
    <s v="岩波文庫"/>
    <x v="7"/>
    <x v="8"/>
    <x v="34"/>
    <s v="Shōwa 2"/>
    <s v="n/a"/>
    <s v="n/a"/>
    <s v="Japanese poetry -- To 794 ^ Japanese poetry ^ To 794"/>
    <s v="0"/>
    <m/>
    <m/>
  </r>
  <r>
    <n v="56"/>
    <m/>
    <m/>
    <m/>
    <m/>
    <m/>
    <s v="1984 reprint"/>
    <s v="n/a"/>
    <x v="3"/>
    <s v="2 下"/>
    <s v="2"/>
    <s v="n/a"/>
    <s v="n"/>
    <s v="n"/>
    <s v="n/a"/>
    <s v="n/a"/>
    <n v="16525837"/>
    <s v="Japanese"/>
    <s v="New Instructions on the Manyoshu Collection - ChatGPT translation"/>
    <s v="Shinkun Man'yōshū"/>
    <s v="新訓萬葉集"/>
    <s v="Sasaki, Nobutsuna"/>
    <s v="佐佐木信綱"/>
    <s v="Iwanami bunko"/>
    <s v="岩波文庫"/>
    <x v="7"/>
    <x v="8"/>
    <x v="34"/>
    <s v="Shōwa 2"/>
    <s v="n/a"/>
    <s v="n/a"/>
    <s v="Japanese poetry -- To 794 ^ Japanese poetry ^ To 794"/>
    <s v="0"/>
    <m/>
    <m/>
  </r>
  <r>
    <n v="57"/>
    <m/>
    <m/>
    <m/>
    <m/>
    <m/>
    <s v="explore purchasing other books in series"/>
    <s v="https://www.amazon.co.jp/dp/476361505X"/>
    <x v="2"/>
    <s v="5"/>
    <s v="?"/>
    <s v="n"/>
    <s v="n"/>
    <s v="n"/>
    <n v="9784763615053"/>
    <s v="476361505X"/>
    <n v="37633921"/>
    <s v="Japanese"/>
    <s v="pascal"/>
    <s v="Nihon no dentōshoku: sono shikimei to shikichō"/>
    <s v="日本の傳統色: その色名と色調"/>
    <s v="Nagasaki, Seiki"/>
    <s v="長崎盛輝"/>
    <s v="Kyōto Shoin ātsu korekushon"/>
    <s v="京都書院アーツコレクション"/>
    <x v="17"/>
    <x v="21"/>
    <x v="1"/>
    <s v="Heisei 8"/>
    <s v="n/a"/>
    <s v="n/a"/>
    <s v="Color -- Terminology ^ Color guides ^ Color -- Japan ^ Couleur -- Guides ^ Color ^ Color guides ^ Terminology ^ Japan"/>
    <s v="0"/>
    <m/>
    <m/>
  </r>
  <r>
    <n v="58"/>
    <m/>
    <m/>
    <m/>
    <m/>
    <m/>
    <m/>
    <s v="n/a"/>
    <x v="1"/>
    <s v="n/a"/>
    <s v="n/a"/>
    <s v="n/a"/>
    <s v="https://libcat.colorado.edu/Record/b3329275"/>
    <s v="y"/>
    <s v="n/a"/>
    <s v="n/a"/>
    <n v="7406165"/>
    <s v="Japanese"/>
    <s v="Ancient Culture of Japan - ChatGPT translation"/>
    <s v="Nihon no kodai bunka"/>
    <s v="日本の古代文化"/>
    <s v="Hayashiya, Tatsusaburō"/>
    <s v="林屋辰三郎"/>
    <s v="Nihon rekishi sōsho (Iwanami Shoten)"/>
    <s v="日本歴史叢書 (Iwanami Shoten)"/>
    <x v="7"/>
    <x v="1"/>
    <x v="10"/>
    <s v="Shōwa 46"/>
    <s v="n/a"/>
    <s v="n/a"/>
    <s v="Civilization ^ Kultur ^ To 1600 ^ Japan -- Civilization -- To 1600 ^ Japan ^ Japan"/>
    <s v="0"/>
    <m/>
    <m/>
  </r>
  <r>
    <n v="59"/>
    <m/>
    <m/>
    <m/>
    <m/>
    <m/>
    <m/>
    <s v="https://www.amazon.co.jp/dp/4569573436"/>
    <x v="0"/>
    <s v="n/a"/>
    <s v="n/a"/>
    <s v="n"/>
    <s v="n"/>
    <s v="n"/>
    <n v="9784569573434"/>
    <s v="4569573436"/>
    <n v="48820743"/>
    <s v="Japanese"/>
    <s v="Shinno Masayuki: Legendary Chief of Staff - ChatGPT translation"/>
    <s v="Akiyama Saneyuki: densetsu no meisanbō"/>
    <s v="秋山真之: 伝說の名参謀"/>
    <s v="Kamikawa, Taketoshi"/>
    <s v="神川武利"/>
    <s v="PHP bunko"/>
    <s v="PHP文庫"/>
    <x v="18"/>
    <x v="9"/>
    <x v="35"/>
    <s v="Heisei 12"/>
    <s v="Dai 1-han"/>
    <s v="第1版"/>
    <s v="秋山真之-小說 ^ Admirals -- Japan -- Biography ^ Akiyama, Saneyuki-Shōsetsu ^ Admirals ^ 秋山真之, 1868-1918 ^ Akiyama, Saneyuki, 1868-1918 ^ Akiyama, Saneyuki, 1868-1918 ^ Japan. 海軍 Biography ^ Japan. Kaigun -- Biography ^ Japan. Kaigun ^ Biographies ^ Japan"/>
    <s v="0"/>
    <m/>
    <m/>
  </r>
  <r>
    <n v="60"/>
    <m/>
    <m/>
    <m/>
    <m/>
    <m/>
    <m/>
    <s v="https://www.amazon.co.jp/dp/4569664032"/>
    <x v="0"/>
    <s v="n/a"/>
    <s v="n/a"/>
    <s v="n"/>
    <s v="n"/>
    <s v="n"/>
    <n v="9784569664033"/>
    <s v="4569664032"/>
    <n v="170009215"/>
    <s v="Japanese"/>
    <s v="Akashi Motojiro: The &quot;Cunning Strategist&quot; who Led Japan to Victory in the Russo-Japanese War - ChatGPT translation"/>
    <s v="Akashi motojirō: nichiro sensō o shōri ni michibiita kiryaku no sanbō"/>
    <s v="明石元二郎: 日露戦争を勝利に導いた「奇略の参謀」"/>
    <s v="Nomura, Toshio"/>
    <s v="野村敏雄"/>
    <s v="PHP bunko"/>
    <s v="PHP文庫"/>
    <x v="18"/>
    <x v="9"/>
    <x v="13"/>
    <s v="Heisei 17"/>
    <s v="n/a"/>
    <s v="n/a"/>
    <s v="明石元二郎-小說 ^ Akashi, Motojirō-Shōsetsu ^ 明石元二郎 ^ Akashi, Motojirō"/>
    <s v="0"/>
    <m/>
    <m/>
  </r>
  <r>
    <n v="61"/>
    <m/>
    <m/>
    <m/>
    <m/>
    <m/>
    <m/>
    <s v="n/a"/>
    <x v="0"/>
    <s v="n/a"/>
    <s v="n/a"/>
    <s v="n"/>
    <s v="2+ Results"/>
    <s v="n"/>
    <s v="9784101063041 (paperback)"/>
    <s v="4101063044 (paperback)"/>
    <n v="17531985"/>
    <s v="Japanese"/>
    <s v="Dunhuang - ChatGPT translation"/>
    <s v="Tonkō"/>
    <s v="敦煌"/>
    <s v="Inoue, Yasushi"/>
    <s v="井上靖"/>
    <s v="Shinchō bunko"/>
    <s v="新潮文庫"/>
    <x v="5"/>
    <x v="6"/>
    <x v="36"/>
    <s v="Shōwa 40"/>
    <s v="n/a"/>
    <s v="n/a"/>
    <s v="Fiction ^ History ^ Dunhuang (China) -- History -- Fiction ^ China -- Dunhuang ^ Dunhuang"/>
    <s v="0"/>
    <m/>
    <m/>
  </r>
  <r>
    <n v="62"/>
    <m/>
    <m/>
    <m/>
    <m/>
    <m/>
    <m/>
    <s v="https://www.amazon.co.jp/dp/4101204039"/>
    <x v="0"/>
    <s v="n/a"/>
    <s v="n/a"/>
    <s v="n"/>
    <s v="n"/>
    <s v="n"/>
    <n v="9784101204031"/>
    <s v="4101204039"/>
    <n v="17426192"/>
    <s v="Japanese"/>
    <s v="Homeland of Poetry - ChatGPT translation"/>
    <s v="Shi no Furusato"/>
    <s v="詩のふるさと"/>
    <s v="Itō, Shinkichi"/>
    <s v="伊藤信吉"/>
    <s v="Shinchō bunko"/>
    <s v="新潮文庫"/>
    <x v="5"/>
    <x v="6"/>
    <x v="37"/>
    <s v="Shōwa 43"/>
    <s v="n/a"/>
    <s v="n/a"/>
    <s v="詩の場所.; 旅行 ^ Poetry of places ^ Poetry of places ^ Travel ^ Poetry ^ 日本 ^ Japan -- Description and travel -- Poetry ^ Japan"/>
    <s v="0"/>
    <m/>
    <m/>
  </r>
  <r>
    <n v="63"/>
    <m/>
    <m/>
    <m/>
    <m/>
    <m/>
    <m/>
    <s v="n/a"/>
    <x v="0"/>
    <s v="132"/>
    <s v="n/a"/>
    <s v="n/a"/>
    <s v="n"/>
    <s v="n"/>
    <s v="n/a"/>
    <s v="n/a"/>
    <n v="25094465"/>
    <s v="Japanese"/>
    <s v="Hakushu Kitahara's Poetry Collection - ChatGPT translation"/>
    <s v="Kitahara Hakushū shishū"/>
    <s v="北原白秋詩集"/>
    <s v="Kitahara, Hakushū"/>
    <s v="北原白秋"/>
    <s v="Shinchō bunko"/>
    <s v="新潮文庫"/>
    <x v="5"/>
    <x v="6"/>
    <x v="33"/>
    <s v="Shōwa 25"/>
    <s v="n/a"/>
    <s v="n/a"/>
    <s v="Japanese poetry ^ Japanese poetry ^ Kitahara, Hakushū ^ Kitahara, Hakushū"/>
    <s v="0"/>
    <m/>
    <m/>
  </r>
  <r>
    <n v="64"/>
    <m/>
    <m/>
    <m/>
    <m/>
    <m/>
    <m/>
    <s v="https://www.amazon.co.jp/dp/4101244057"/>
    <x v="0"/>
    <s v="n/a"/>
    <s v="n/a"/>
    <s v="n"/>
    <s v="n"/>
    <s v="n"/>
    <n v="9784101244051"/>
    <s v="4101244057"/>
    <n v="26437753"/>
    <s v="Japanese"/>
    <s v="King of Yomi: My View of Takamatsu-zuka - ChatGPT translation"/>
    <s v="Yomi no ōkimi: shiken Takamatsuzuka"/>
    <s v="黄泉の王: 私見・高松塚"/>
    <s v="Umehara, Takeshi"/>
    <s v="梅原猛"/>
    <s v="Shinchō bunko"/>
    <s v="新潮文庫"/>
    <x v="5"/>
    <x v="6"/>
    <x v="38"/>
    <s v="Heisei 2"/>
    <s v="n/a"/>
    <s v="n/a"/>
    <s v="Tombs -- Japan ^ Takamatsuzuka Tomb (Japan) ^ Historiography ^ Tombs ^ History ^ 645-794 ^ 飛鳥村 (Japan); Antiquities ^ Japan -- History -- 645-794 -- Historiography ^ Japan"/>
    <s v="0"/>
    <m/>
    <m/>
  </r>
  <r>
    <n v="65"/>
    <m/>
    <m/>
    <m/>
    <m/>
    <m/>
    <m/>
    <s v="https://www.amazon.co.jp/dp/4101324026"/>
    <x v="0"/>
    <s v="n/a"/>
    <s v="n/a"/>
    <s v="n"/>
    <s v="n"/>
    <s v="n"/>
    <n v="9784101324029"/>
    <s v="4101324026"/>
    <n v="48845929"/>
    <s v="Japanese"/>
    <s v="Where Did the Emperor Come From? - ChatGPT translation"/>
    <s v="Tennō wa doko kara kita ka"/>
    <s v="天皇はどこから来たか"/>
    <s v="Osabe, Hideo"/>
    <s v="長部日出雄"/>
    <s v="Shinchō bunko"/>
    <s v="新潮文庫"/>
    <x v="5"/>
    <x v="6"/>
    <x v="39"/>
    <s v="Heisei 13"/>
    <s v="n/a"/>
    <s v="n/a"/>
    <s v="日本-歴史-古代 ^ Emperors -- Japan -- History ^ Emperors ^ Nihon-Rekishi-Kodai ^ History ^ To 645 ^ Japan -- History -- To 645 ^ Japan"/>
    <s v="0"/>
    <m/>
    <m/>
  </r>
  <r>
    <n v="66"/>
    <m/>
    <m/>
    <m/>
    <m/>
    <m/>
    <m/>
    <s v="https://www.amazon.co.jp/dp/4101300518"/>
    <x v="0"/>
    <s v="-23-1"/>
    <s v="n/a"/>
    <s v="n"/>
    <s v="n"/>
    <s v="n"/>
    <n v="9784101300511"/>
    <s v="4101300518"/>
    <n v="170030866"/>
    <s v="Japanese"/>
    <s v="And the Murderer Is Set Free in the Field - ChatGPT translation"/>
    <s v="Soshite satsujinsha wa no ni hanatareru"/>
    <s v="そして殺人者は野に放たれる"/>
    <s v="Higaki, Takashi"/>
    <s v="日垣隆"/>
    <s v="Shinchō bunko"/>
    <s v="新潮文庫"/>
    <x v="5"/>
    <x v="6"/>
    <x v="40"/>
    <s v="Heisei 18"/>
    <s v="n/a"/>
    <s v="n/a"/>
    <s v="刑事責任.; 精神障害 ^ Keiji sekinin ^ Seishin shōgai"/>
    <s v="0"/>
    <m/>
    <m/>
  </r>
  <r>
    <n v="67"/>
    <m/>
    <m/>
    <m/>
    <m/>
    <m/>
    <m/>
    <s v="https://www.amazon.co.jp/dp/4102110011"/>
    <x v="0"/>
    <s v="n/a"/>
    <s v="n/a"/>
    <s v="n"/>
    <s v="n"/>
    <s v="n"/>
    <n v="9784102110010"/>
    <s v="4102110011"/>
    <n v="33645964"/>
    <s v="Japanese"/>
    <s v="End of an Affair - ChatGPT translation"/>
    <s v="Jōji no owari"/>
    <s v="情事の終り"/>
    <s v="Greene, Graham ^ Tanaka, Seijirō"/>
    <s v="田中西二郎"/>
    <s v="Shinchō bunko"/>
    <s v="新潮文庫"/>
    <x v="5"/>
    <x v="6"/>
    <x v="37"/>
    <s v="Shōwa 43"/>
    <s v="Kaihan"/>
    <s v="改版"/>
    <s v="n/a"/>
    <s v="0"/>
    <m/>
    <m/>
  </r>
  <r>
    <n v="68"/>
    <m/>
    <m/>
    <m/>
    <m/>
    <m/>
    <m/>
    <s v="https://www.amazon.co.jp/dp/4101004064"/>
    <x v="0"/>
    <s v="n/a"/>
    <s v="n/a"/>
    <s v="n"/>
    <s v="2+ Results"/>
    <s v="n"/>
    <n v="9784101004068"/>
    <s v="4101004064"/>
    <n v="33641764"/>
    <s v="Japanese"/>
    <s v="Yamato Road; Shinano Road - ChatGPT translation"/>
    <s v="Yamatoji: Shinanoji"/>
    <s v="大和路 ; 信濃路"/>
    <s v="Hori, Tatsuo"/>
    <s v="堀辰雄"/>
    <s v="Shinchō bunko"/>
    <s v="新潮文庫"/>
    <x v="5"/>
    <x v="6"/>
    <x v="41"/>
    <s v="Shōwa 45"/>
    <s v="Kaihan"/>
    <s v="改版"/>
    <s v="Essays"/>
    <s v="0"/>
    <m/>
    <m/>
  </r>
  <r>
    <n v="69"/>
    <m/>
    <m/>
    <m/>
    <m/>
    <m/>
    <m/>
    <s v="https://www.amazon.co.jp/dp/416767940X"/>
    <x v="0"/>
    <s v="n/a"/>
    <s v="n/a"/>
    <s v="n"/>
    <s v="n"/>
    <s v="n"/>
    <n v="9784167679408"/>
    <s v="416767940X"/>
    <n v="76903385"/>
    <s v="Japanese"/>
    <s v="Questions from His Majesty: Emperor Showa and Postwar Politics - ChatGPT translation"/>
    <s v="Heika no goshitsumon: Shōwa Tennō to sengo seiji"/>
    <s v="陛下の御質問: 昭和天皇と戦後政治"/>
    <s v="Iwami, Takao"/>
    <s v="岩見隆夫"/>
    <s v="Bunshun bunko"/>
    <s v="文春文庫"/>
    <x v="13"/>
    <x v="16"/>
    <x v="13"/>
    <s v="Heisei 17"/>
    <s v="n/a"/>
    <s v="n/a"/>
    <s v="日本-政治・行政-歴史 ^ Politics and government ^ Nihon-Seiji gyōsei-Rekishi ^ 裕仁, Emperor of Japan, 1901-1989 ^ Hirohito, Emperor of Japan, 1901-1989 ^ Hirohito, Emperor of Japan, 1901-1989 ^ Since 1945 ^ Japan -- Politics and government -- 1945- ^ Japan"/>
    <s v="0"/>
    <m/>
    <m/>
  </r>
  <r>
    <n v="70"/>
    <m/>
    <m/>
    <m/>
    <m/>
    <m/>
    <m/>
    <s v="https://www.amazon.co.jp/dp/4101258236"/>
    <x v="0"/>
    <s v="6425"/>
    <s v="n/a"/>
    <s v="n"/>
    <s v="n"/>
    <s v="n"/>
    <n v="9784101258232"/>
    <s v="4101258236"/>
    <n v="50869465"/>
    <s v="Japanese"/>
    <s v="Code of the Kojiki: Mythology Reveals the Dawn of Science - ChatGPT translation"/>
    <s v="Kojiki no angō: shinwa ga kataru kagaku no yoake"/>
    <s v="古事記の暗号: 神話が語る科学の夜明け"/>
    <s v="Fujimura, Yuka"/>
    <s v="藤村由加"/>
    <s v="Shinchō bunko"/>
    <s v="新潮文庫"/>
    <x v="5"/>
    <x v="6"/>
    <x v="42"/>
    <s v="Heisei 14"/>
    <s v="n/a"/>
    <s v="n/a"/>
    <s v="古事記.; 神話-日本.; 易・占い ^ Mythology, Japanese ^ Mythology, Japanese ^ Kojiki ^ Shinwa-Nihon ^ Eki uranai ^ History ^ To 645 ^ Japan -- History -- To 645 ^ Japan ^ 古事記 ^ Kojiki ^ Kojiki"/>
    <s v="0"/>
    <m/>
    <m/>
  </r>
  <r>
    <n v="71"/>
    <m/>
    <m/>
    <m/>
    <m/>
    <m/>
    <m/>
    <s v="n/a"/>
    <x v="0"/>
    <s v="2234"/>
    <s v="n/a"/>
    <s v="n"/>
    <s v="n"/>
    <s v="n"/>
    <s v="9784041040058 (pbk.)"/>
    <s v="4041040051 (pbk.)"/>
    <n v="42423258"/>
    <s v="Japanese"/>
    <s v="Kenji Miyazawa's Poetry Collection - ChatGPT translation"/>
    <s v="Miyazawa Kenji shishū"/>
    <s v="宮沢賢治詩集"/>
    <s v="Miyazawa, Kenji ^ Nakamura, Minoru"/>
    <s v="宮沢賢治 ^ 中村稔"/>
    <s v="Kadokawa bunko"/>
    <s v="n/a"/>
    <x v="2"/>
    <x v="3"/>
    <x v="43"/>
    <s v="Shōwa 38"/>
    <s v="n/a"/>
    <s v="n/a"/>
    <s v="n/a"/>
    <s v="0"/>
    <m/>
    <m/>
  </r>
  <r>
    <n v="72"/>
    <m/>
    <m/>
    <m/>
    <m/>
    <m/>
    <s v="NDL record"/>
    <s v="https://www.amazon.co.jp/dp/4041533031"/>
    <x v="0"/>
    <s v="n/a"/>
    <s v="n/a"/>
    <s v="n"/>
    <s v="n"/>
    <s v="n"/>
    <n v="9784041533031"/>
    <s v="4041533031"/>
    <n v="673760347"/>
    <s v="Japanese"/>
    <s v="Exploring Japanese History. 3, Ritsuryo System and Poets - ChatGPT translation"/>
    <s v="3"/>
    <s v="日本史探訪. 3, 律令体制と歌びとたち"/>
    <s v="Kadokawa Shoten"/>
    <s v="角川書店"/>
    <s v="n/a"/>
    <s v="n/a"/>
    <x v="3"/>
    <x v="3"/>
    <x v="27"/>
    <s v="Shōwa 59"/>
    <s v="n/a"/>
    <s v="n/a"/>
    <s v="日本; 日本 ^ Nihon -- Rekishi -- Asukajidai ^ Nihon -- Rekishi -- Taikanokaishinjidai"/>
    <s v="0"/>
    <m/>
    <m/>
  </r>
  <r>
    <n v="73"/>
    <m/>
    <m/>
    <m/>
    <m/>
    <m/>
    <m/>
    <s v="https://www.amazon.co.jp/dp/4043574185"/>
    <x v="0"/>
    <s v="14658"/>
    <s v="n/a"/>
    <s v="n"/>
    <s v="n"/>
    <s v="n"/>
    <n v="9784043574186"/>
    <s v="4043574185"/>
    <n v="930943274"/>
    <s v="Japanese"/>
    <s v="Kokin Wakashu: Beginner's Classics of Japanese Classics - ChatGPT translation"/>
    <s v="Kokin wakashū: bigināzu kurashikkusu Nihon no koten"/>
    <s v="古今和歌集: ビギナーズ・クラシックス日本の古典"/>
    <s v="Nakajima, Terumasa"/>
    <s v="中島輝賢"/>
    <s v="Kadokawa bunko"/>
    <s v="角川文庫"/>
    <x v="19"/>
    <x v="1"/>
    <x v="14"/>
    <s v="Heisei 25"/>
    <s v="9-han"/>
    <s v="9-版"/>
    <s v="Waka -- History and criticism ^ Japanese poetry -- Heian period, 794-1185 -- History and criticism ^ Japanese poetry -- Heian period ^ Waka ^ Criticism, interpretation, etc ^ 794-1185 ^ 古今和歌集 ^ Kokin wakashū ^ Kokin wakashū"/>
    <s v="0"/>
    <m/>
    <m/>
  </r>
  <r>
    <n v="74"/>
    <m/>
    <m/>
    <m/>
    <m/>
    <m/>
    <m/>
    <s v="https://www.amazon.co.jp/dp/4043551010"/>
    <x v="0"/>
    <s v="11616"/>
    <s v="n/a"/>
    <s v="n"/>
    <s v="n"/>
    <s v="n"/>
    <n v="9784043551019"/>
    <s v="4043551010"/>
    <n v="49202556"/>
    <s v="Japanese"/>
    <s v="Why Couldn't Prince Shotoku Become Emperor? - ChatGPT translation"/>
    <s v="Shōtoku Taishi wa naze tennō ni narenakatta no ka"/>
    <s v="聖徳太子はなぜ天皇になれなかったのか"/>
    <s v="Tōyama, Mitsuo"/>
    <s v="遠山美都男"/>
    <s v="Kadokawa bunko"/>
    <s v="角川文庫"/>
    <x v="2"/>
    <x v="3"/>
    <x v="35"/>
    <s v="Heisei 12"/>
    <s v="Shohan"/>
    <s v="初版"/>
    <s v="Emperors -- Succession -- Japan ^ Emperors -- Succession ^ 聖徳太子, 574?-622? ^ Shōtoku Taishi, 574?-622? ^ Soga family ^ Shōtoku Taishi, 574?-622? ^ Soga family ^ History ^ To 645 ^ Japan -- History -- To 645 ^ Japan"/>
    <s v="0"/>
    <m/>
    <m/>
  </r>
  <r>
    <n v="75"/>
    <m/>
    <m/>
    <m/>
    <m/>
    <m/>
    <m/>
    <s v="n/a"/>
    <x v="0"/>
    <s v="n/a"/>
    <s v="n/a"/>
    <s v="n/a"/>
    <s v="n"/>
    <s v="n"/>
    <s v="n/a"/>
    <s v="n/a"/>
    <n v="31989861"/>
    <s v="Japanese"/>
    <s v="A Group Under the Moon: Translated Poems by Daigaku Horiguchi - ChatGPT translation"/>
    <s v="Gekka no ichigun: Horiguchi Daigaku yakushishū"/>
    <s v="月下の一群: 堀口大學譯詩集"/>
    <s v="Horiguchi, Daigaku"/>
    <s v="堀口大學"/>
    <s v="Shinchō bunko"/>
    <s v="新潮文庫"/>
    <x v="5"/>
    <x v="6"/>
    <x v="44"/>
    <s v="Shōwa 30"/>
    <s v="n/a"/>
    <s v="n/a"/>
    <s v="French poetry -- Translations into Japanese ^ Japanese poetry -- Translations into French ^ French poetry ^ Japanese poetry ^ Translations"/>
    <s v="0"/>
    <m/>
    <m/>
  </r>
  <r>
    <n v="76"/>
    <m/>
    <m/>
    <m/>
    <m/>
    <m/>
    <m/>
    <s v="n/a"/>
    <x v="0"/>
    <s v="805"/>
    <s v="n/a"/>
    <s v="n/a"/>
    <s v="n"/>
    <s v="n"/>
    <s v="n/a"/>
    <s v="n/a"/>
    <n v="224943338"/>
    <s v="Japanese"/>
    <s v="Fujimura's Poetry Drafts (Early Spring) - Part One - ChatGPT translation"/>
    <s v="(Sōshun) zen-pen"/>
    <s v="藤村詩稿. (早春) 前篇"/>
    <s v="Shimazaki, Tōson"/>
    <s v="島崎藤村"/>
    <s v="Shinchō bunko"/>
    <s v="新潮文庫. 新潮社版"/>
    <x v="5"/>
    <x v="6"/>
    <x v="44"/>
    <s v="Shōwa 30"/>
    <s v="n/a"/>
    <s v="n/a"/>
    <s v="Japanese poetry ^ Japanese poetry"/>
    <s v="0"/>
    <m/>
    <m/>
  </r>
  <r>
    <n v="77"/>
    <m/>
    <m/>
    <m/>
    <m/>
    <m/>
    <m/>
    <s v="n/a"/>
    <x v="1"/>
    <s v="7238-7241"/>
    <s v="n/a"/>
    <s v="n/a"/>
    <s v="https://libcat.colorado.edu/Record/b7685923"/>
    <s v="y"/>
    <s v="n/a"/>
    <s v="n/a"/>
    <n v="21952791"/>
    <s v="Japanese"/>
    <s v="Tatsuji Miyoshi's Poetry Collection - ChatGPT translation"/>
    <s v="Miyoshi Tatsuji shishū"/>
    <s v="三好達治詩集"/>
    <s v="Miyoshi, Tatsuji ^ Kuwabara, Takeo ^ Ōtsuki, Tetsuo"/>
    <s v="三好達治 ^ 桑原武夫 ^ 大槻鉄男"/>
    <s v="Iwanami bunko"/>
    <s v="岩波文庫"/>
    <x v="7"/>
    <x v="8"/>
    <x v="10"/>
    <s v="Shōwa 46"/>
    <s v="n/a"/>
    <s v="n/a"/>
    <s v="Poetry ^ poetry ^ Poetry ^ Poetry"/>
    <s v="0"/>
    <m/>
    <m/>
  </r>
  <r>
    <n v="78"/>
    <m/>
    <m/>
    <m/>
    <m/>
    <m/>
    <m/>
    <s v="https://www.amazon.co.jp/dp/4101123179"/>
    <x v="0"/>
    <s v="n/a"/>
    <s v="n/a"/>
    <s v="n"/>
    <s v="n"/>
    <s v="n"/>
    <n v="9784101123172"/>
    <s v="4101123179"/>
    <n v="24115392"/>
    <s v="Japanese"/>
    <s v="The Birth of Christ - ChatGPT translation"/>
    <s v="Kirisuto no tanjō"/>
    <s v="キリストの誕生"/>
    <s v="Endō, Shūsaku"/>
    <s v="遠藤周作"/>
    <s v="Shinchō bunko"/>
    <s v="新潮文庫"/>
    <x v="5"/>
    <x v="6"/>
    <x v="45"/>
    <s v="Shōwa 57"/>
    <s v="n/a"/>
    <s v="n/a"/>
    <s v="Japanese fiction ^ Japanese fiction"/>
    <s v="0"/>
    <m/>
    <m/>
  </r>
  <r>
    <n v="79"/>
    <m/>
    <m/>
    <m/>
    <m/>
    <m/>
    <m/>
    <s v="https://www.amazon.co.jp/dp/4803316090"/>
    <x v="0"/>
    <s v="n/a"/>
    <s v="n/a"/>
    <s v="n"/>
    <s v="2+ Results"/>
    <s v="n"/>
    <n v="9784803316094"/>
    <s v="4803316090"/>
    <n v="674070726"/>
    <s v="Japanese"/>
    <s v="Amakusa - ChatGPT translation"/>
    <s v="Amakusa"/>
    <s v="天草"/>
    <s v="Sakakiyama, Jun"/>
    <s v="榊山潤"/>
    <s v="n/a"/>
    <s v="n/a"/>
    <x v="3"/>
    <x v="22"/>
    <x v="11"/>
    <s v="Shōwa 63"/>
    <s v="n/a"/>
    <s v="n/a"/>
    <s v="n/a"/>
    <s v="0"/>
    <m/>
    <m/>
  </r>
  <r>
    <n v="80"/>
    <m/>
    <m/>
    <m/>
    <m/>
    <m/>
    <s v="damaged, reject"/>
    <s v="https://www.amazon.co.jp/dp/4101390061"/>
    <x v="3"/>
    <s v="9149"/>
    <s v="n/a"/>
    <s v="n"/>
    <s v="n"/>
    <s v="n"/>
    <n v="9784101390062"/>
    <s v="4101390061"/>
    <n v="711039614"/>
    <s v="Japanese"/>
    <s v="Attack on Oomoto: Sumiko Deguchi and Her Era - ChatGPT translation"/>
    <s v="Ōmoto shūgeki: Deguchi Sumi to sono jidai"/>
    <s v="大本襲撃: 出口すみとその時代"/>
    <s v="Hayase, Keiichi"/>
    <s v="早瀬圭一"/>
    <s v="Shinchō bunko"/>
    <s v="新潮文庫"/>
    <x v="5"/>
    <x v="1"/>
    <x v="46"/>
    <s v="Heisei 23"/>
    <s v="n/a"/>
    <s v="n/a"/>
    <s v="Ōmotokyō ^ 出口すみ子. 出口すみ, 1883-1952 ^ Deguchi, Sumiko ^ Deguchi, Sumi, 1883-1952 ^ 大本 (Religious organization) History ^ Ōmoto (Religious organization) -- History ^ Ōmoto (Religious organization) ^ History"/>
    <s v="0"/>
    <m/>
    <m/>
  </r>
  <r>
    <n v="80"/>
    <m/>
    <m/>
    <m/>
    <m/>
    <m/>
    <m/>
    <s v="https://www.amazon.co.jp/dp/4101390061"/>
    <x v="0"/>
    <s v="9149"/>
    <s v="n/a"/>
    <s v="n"/>
    <s v="n"/>
    <s v="n"/>
    <n v="9784101390062"/>
    <s v="4101390061"/>
    <n v="711039614"/>
    <s v="Japanese"/>
    <s v="Attack on Oomoto: Sumiko Deguchi and Her Era - ChatGPT translation"/>
    <s v="Ōmoto shūgeki: Deguchi Sumi to sono jidai"/>
    <s v="大本襲撃: 出口すみとその時代"/>
    <s v="Hayase, Keiichi"/>
    <s v="早瀬圭一"/>
    <s v="Shinchō bunko"/>
    <s v="新潮文庫"/>
    <x v="5"/>
    <x v="1"/>
    <x v="46"/>
    <s v="Heisei 23"/>
    <s v="n/a"/>
    <s v="n/a"/>
    <s v="Ōmotokyō ^ 出口すみ子. 出口すみ, 1883-1952 ^ Deguchi, Sumiko ^ Deguchi, Sumi, 1883-1952 ^ 大本 (Religious organization) History ^ Ōmoto (Religious organization) -- History ^ Ōmoto (Religious organization) ^ History"/>
    <s v="0"/>
    <m/>
    <m/>
  </r>
  <r>
    <n v="81"/>
    <m/>
    <m/>
    <m/>
    <m/>
    <m/>
    <m/>
    <s v="n/a"/>
    <x v="0"/>
    <s v="1908"/>
    <s v="n/a"/>
    <s v="n/a"/>
    <s v="n"/>
    <s v="n"/>
    <s v="n/a"/>
    <s v="n/a"/>
    <n v="36937417"/>
    <s v="Japanese"/>
    <s v="Tosa Diary: With Modern Language Translation - ChatGPT translation"/>
    <s v="Tosa nikki: tsuketari gendaigoyaku"/>
    <s v="土佐日記: 附現代語譯"/>
    <s v="Ki, Tsurayuki, -945 or 946 ^ Mitani, Eiichi"/>
    <s v="紀貫之-94 ^ 三谷榮一"/>
    <s v="Kadokawa bunko"/>
    <s v="角川文庫"/>
    <x v="2"/>
    <x v="3"/>
    <x v="47"/>
    <s v="Shōwa 35"/>
    <s v="Shohan"/>
    <s v="初版"/>
    <s v="Authors, Japanese -- Heian period, 794-1185 -- Diaries ^ Authors, Japanese -- Heian period ^ 紀貫之, -945 or 946 Diaries. 紀貫之, -945 or 946 Diaries ^ Ki, Tsurayuki, -945 or 946 -- Diaries ^ Ki, Tsurayuki, -945 or 946 -- Diaries ^ Ki, Tsurayuki, -945 or 946 ^ autobiographies (literary works) ^ Autobiographies ^ Diaries ^ Autobiographies ^ Autobiographies ^ 794 - 1185"/>
    <s v="0"/>
    <m/>
    <m/>
  </r>
  <r>
    <n v="82"/>
    <m/>
    <m/>
    <m/>
    <m/>
    <m/>
    <m/>
    <s v="n/a"/>
    <x v="0"/>
    <s v="1008"/>
    <s v="n/a"/>
    <m/>
    <m/>
    <s v="n"/>
    <s v="n/a"/>
    <s v="n/a"/>
    <n v="36937219"/>
    <s v="Japanese"/>
    <s v="The Life of an Amorous Man: With Modern Language Translation - ChatGPT translation"/>
    <s v="Kōshoku ichidaiotoko: tsuketari gendaigo yaku"/>
    <s v="好色一代男: 附現代語譯"/>
    <s v="Ihara, Saikaku ^ Teruoka, Yasutaka"/>
    <s v="井原西鶴 ^ 暉峻康隆"/>
    <s v="Kadokawa bunko"/>
    <s v="角川文庫"/>
    <x v="2"/>
    <x v="3"/>
    <x v="48"/>
    <s v="Shōwa 31"/>
    <s v="n/a"/>
    <s v="n/a"/>
    <s v="n/a"/>
    <s v="0"/>
    <m/>
    <m/>
  </r>
  <r>
    <n v="83"/>
    <m/>
    <m/>
    <m/>
    <m/>
    <m/>
    <m/>
    <s v="https://www.amazon.co.jp/dp/4122029910"/>
    <x v="0"/>
    <s v="n/a"/>
    <s v="n/a"/>
    <s v="n"/>
    <s v="n"/>
    <s v="n"/>
    <n v="9784122029910"/>
    <s v="4122029910"/>
    <n v="47301660"/>
    <s v="Japanese"/>
    <s v="Study of the Nine-Rank System: Prehistory of the Imperial Examination"/>
    <s v="Kyūhin kanjinhō no kenkyū: kakyo zenshi"/>
    <s v="九品官人法の研究: 科挙前史"/>
    <s v="Miyazaki, Ichisada"/>
    <s v="宮崎市定"/>
    <s v="Chūkō bunko"/>
    <s v="中公文庫"/>
    <x v="0"/>
    <x v="0"/>
    <x v="49"/>
    <s v="Heisei 9"/>
    <s v="n/a"/>
    <s v="n/a"/>
    <s v="法制史-中国.; 科挙 ^ Hōseishi-Chūgoku ^ Kakyo ^ 法制史; 中国.; 科挙"/>
    <s v="0"/>
    <m/>
    <m/>
  </r>
  <r>
    <n v="84"/>
    <m/>
    <m/>
    <m/>
    <m/>
    <m/>
    <s v="NDL record"/>
    <s v="https://www.amazon.co.jp/dp/4122026024"/>
    <x v="0"/>
    <s v="n/a"/>
    <s v="n/a"/>
    <s v="n"/>
    <s v="n"/>
    <s v="n"/>
    <n v="9784122026025"/>
    <s v="4122026024"/>
    <n v="675635522"/>
    <s v="Japanese"/>
    <s v="Emperor Yongzheng: China's Dictatorial Monarch"/>
    <s v="Yōseitei"/>
    <s v="雍正帝: 中国の独裁君主"/>
    <s v="Miyazaki, Ichisada"/>
    <s v="宮崎市定"/>
    <s v="n/a"/>
    <s v="n/a"/>
    <x v="3"/>
    <x v="0"/>
    <x v="1"/>
    <s v="Heisei 8"/>
    <s v="n/a"/>
    <s v="n/a"/>
    <s v="世宗, 1678-1735, 清 ^ Seisō ^ Yoseitei"/>
    <s v="0"/>
    <m/>
    <m/>
  </r>
  <r>
    <n v="85.04"/>
    <m/>
    <m/>
    <m/>
    <m/>
    <m/>
    <s v="we have other volumes, but not this one"/>
    <s v="n/a"/>
    <x v="0"/>
    <s v="4"/>
    <s v="31"/>
    <s v="n/a"/>
    <s v="https://libcat.colorado.edu/Record/b10147459"/>
    <s v="n"/>
    <s v="n/a"/>
    <s v="n/a"/>
    <n v="24264193"/>
    <s v="Japanese"/>
    <s v="Japanese Poetry: Yosano Tekkan, Yosano Akiko, Wakayama Bokusui, Yoshii Isamu"/>
    <s v="Nihon no shiika"/>
    <s v="日本の詩歌: 与謝野鉄幹, 与謝野晶子, 若山牧水, 吉井勇"/>
    <s v="Itō, Shinkichi"/>
    <s v="伊藤信吉"/>
    <s v="Chūkō bunko"/>
    <s v="中公文庫"/>
    <x v="0"/>
    <x v="0"/>
    <x v="50"/>
    <s v="Shōwa 50"/>
    <s v="Shohan"/>
    <s v="初版"/>
    <s v="Japanese poetry -- 1868- -- Criticism and interpretation ^ Poets, Japanese ^ Japanese poetry ^ Poets, Japanese ^ Criticism, interpretation, etc ^ Since 1868"/>
    <s v="0"/>
    <m/>
    <m/>
  </r>
  <r>
    <n v="85.23"/>
    <m/>
    <m/>
    <m/>
    <m/>
    <m/>
    <s v="we have other volumes, but not this one"/>
    <s v="n/a"/>
    <x v="0"/>
    <s v="23"/>
    <s v="31"/>
    <s v="n/a"/>
    <s v="https://libcat.colorado.edu/Record/b10147459"/>
    <s v="n"/>
    <s v="n/a"/>
    <s v="n/a"/>
    <n v="24264193"/>
    <s v="Japanese"/>
    <s v="Japanese Poetry: Nakahara Chuya, Ito Sei, Yagi Jukichi"/>
    <s v="Nihon no shiika"/>
    <s v="日本の詩歌: 中原中也, 伊東静雄, 八木重吉"/>
    <s v="Itō, Shinkichi"/>
    <s v="伊藤信吉"/>
    <s v="Chūkō bunko"/>
    <s v="中公文庫"/>
    <x v="0"/>
    <x v="0"/>
    <x v="3"/>
    <s v="Shōwa 49"/>
    <s v="Shohan"/>
    <s v="初版"/>
    <s v="Japanese poetry -- 1868- -- Criticism and interpretation ^ Poets, Japanese ^ Japanese poetry ^ Poets, Japanese ^ Criticism, interpretation, etc ^ Since 1868"/>
    <s v="0"/>
    <m/>
    <m/>
  </r>
  <r>
    <n v="85.27"/>
    <m/>
    <m/>
    <m/>
    <m/>
    <m/>
    <s v="we have other volumes, but not this one"/>
    <s v="n/a"/>
    <x v="0"/>
    <s v="27"/>
    <s v="31"/>
    <s v="n"/>
    <s v="https://libcat.colorado.edu/Record/b10147459"/>
    <s v="n"/>
    <s v="n/a"/>
    <s v="4122003434"/>
    <n v="24264193"/>
    <s v="Japanese"/>
    <s v="Japanese Poetry: Contemporary Poetry Collection"/>
    <s v="Nihon no shiika"/>
    <s v="日本の詩歌: 現代詩集"/>
    <s v="Itō, Shinkichi"/>
    <s v="伊藤信吉"/>
    <s v="Chūkō bunko"/>
    <s v="中公文庫"/>
    <x v="0"/>
    <x v="0"/>
    <x v="51"/>
    <s v="Shōwa 51"/>
    <s v="Shohan"/>
    <s v="初版"/>
    <s v="Japanese poetry -- 1868- -- Criticism and interpretation ^ Poets, Japanese ^ Japanese poetry ^ Poets, Japanese ^ Criticism, interpretation, etc ^ Since 1868"/>
    <s v="0"/>
    <m/>
    <m/>
  </r>
  <r>
    <n v="86"/>
    <m/>
    <m/>
    <m/>
    <m/>
    <m/>
    <m/>
    <s v="https://www.amazon.co.jp/dp/4122013593"/>
    <x v="0"/>
    <s v="n/a"/>
    <s v="n/a"/>
    <s v="n"/>
    <s v="n"/>
    <s v="n"/>
    <n v="9784122013599"/>
    <s v="4122013593"/>
    <n v="673247707"/>
    <s v="Japanese"/>
    <s v="Learning from China"/>
    <s v="Chūgoku ni manabu"/>
    <s v="中国に学ぶ"/>
    <s v="Miyazaki, Ichisada"/>
    <s v="宮崎市定"/>
    <s v="Chūkō bunko"/>
    <s v="中公文庫"/>
    <x v="0"/>
    <x v="0"/>
    <x v="9"/>
    <s v="Shōwa 61"/>
    <s v="n/a"/>
    <s v="n/a"/>
    <s v="中国; 中国 ^ Chūgoku -- Rekishi ^ Chūgoku -- rekishi"/>
    <s v="0"/>
    <m/>
    <m/>
  </r>
  <r>
    <n v="87"/>
    <m/>
    <m/>
    <m/>
    <m/>
    <m/>
    <m/>
    <s v="https://www.amazon.co.jp/dp/4122018692"/>
    <x v="0"/>
    <s v="n/a"/>
    <s v="n/a"/>
    <s v="n"/>
    <s v="n"/>
    <s v="n"/>
    <n v="9784122018693"/>
    <s v="4122018692"/>
    <n v="26438526"/>
    <s v="Japanese"/>
    <s v="Mysterious Seven-Branched Sword: East Asia and Japan in the 5th Century"/>
    <s v="Nazo no shichishitō: goseiki no Higashi Ajia to Nihon"/>
    <s v="謎の七支刀: 五世紀の東アジアと日本"/>
    <s v="Miyazaki, Ichisada"/>
    <s v="宮崎市定"/>
    <s v="Chūkō bunko"/>
    <s v="中公文庫"/>
    <x v="0"/>
    <x v="0"/>
    <x v="15"/>
    <s v="Heisei 4"/>
    <s v="n/a"/>
    <s v="n/a"/>
    <s v="Swords -- Japan ^ Inscriptions, Japanese ^ Antiquities ^ Inscriptions, Japanese ^ International relations ^ Swords ^ History ^ To 645 ^ Japan -- History -- To 645 ^ Japan -- Antiquities ^ East Asia -- Relations -- Japan ^ Japan -- Relations -- East Asia ^ East Asia ^ Japan"/>
    <s v="0"/>
    <m/>
    <m/>
  </r>
  <r>
    <n v="88"/>
    <m/>
    <m/>
    <m/>
    <m/>
    <m/>
    <m/>
    <s v="https://www.amazon.co.jp/dp/412201297X"/>
    <x v="0"/>
    <s v="n/a"/>
    <s v="n/a"/>
    <s v="n"/>
    <s v="n"/>
    <s v="n"/>
    <n v="9784122012974"/>
    <s v="412201297X"/>
    <n v="22797886"/>
    <s v="Japanese"/>
    <s v="Travelogue of Western Asia"/>
    <s v="Nishi Ajia yūki"/>
    <s v="西アジア遊記"/>
    <s v="Miyazaki, Ichisada ^ Miyazaki, Ichisada"/>
    <s v="宮崎市定 ^ 宮崎市定 ^ 菩薩蛮記"/>
    <s v="Chūkō bunko"/>
    <s v="中公文庫"/>
    <x v="0"/>
    <x v="0"/>
    <x v="9"/>
    <s v="Shōwa 61"/>
    <s v="n/a"/>
    <s v="初版"/>
    <s v="Travel ^ 宮崎市定, 1901- Journeys Middle East ^ Miyazaki, Ichisada, 1901-1995 -- Travel -- Middle East ^ Miyazaki, Ichisada, 1901-1995 ^ History ^ Middle East -- Description and travel ^ Middle East -- History ^ Middle East"/>
    <s v="0"/>
    <m/>
    <m/>
  </r>
  <r>
    <n v="89"/>
    <m/>
    <m/>
    <m/>
    <m/>
    <m/>
    <m/>
    <s v="https://www.amazon.co.jp/dp/4122019427"/>
    <x v="0"/>
    <s v="n/a"/>
    <s v="n/a"/>
    <s v="n"/>
    <s v="n"/>
    <s v="n"/>
    <n v="9784122019423"/>
    <s v="4122019427"/>
    <n v="27979516"/>
    <s v="Japanese"/>
    <s v="When I Look Around, I See Willows and Cherry Blossoms"/>
    <s v="Miwataseba yanagi sakura"/>
    <s v="見わたせば柳さくら"/>
    <s v="Maruya, Saiichi ^ Yamazaki, Masakazu"/>
    <s v="丸谷才一 ^ 山崎正和"/>
    <s v="Chūkō bunko"/>
    <s v="中公文庫"/>
    <x v="0"/>
    <x v="0"/>
    <x v="15"/>
    <s v="Heisei 4"/>
    <s v="n/a"/>
    <s v="n/a"/>
    <s v="Arts, Japanese ^ Aesthetics, Japanese ^ National characteristics, Japanese ^ Aesthetics, Japanese ^ Arts, Japanese ^ Civilization ^ National characteristics, Japanese ^ Japan -- Civilization ^ Japan"/>
    <s v="0"/>
    <m/>
    <m/>
  </r>
  <r>
    <n v="90"/>
    <m/>
    <m/>
    <m/>
    <m/>
    <m/>
    <m/>
    <s v="https://www.amazon.co.jp/dp/4122014018"/>
    <x v="0"/>
    <s v="n/a"/>
    <s v="n/a"/>
    <s v="n"/>
    <s v="n"/>
    <s v="n"/>
    <n v="9784122014015"/>
    <s v="4122014018"/>
    <n v="47424999"/>
    <s v="Japanese"/>
    <s v="Overview of Asian History"/>
    <s v="Ajiashi gaisetsu"/>
    <s v="アジア史槪說"/>
    <s v="Miyazaki, Ichisada"/>
    <s v="宮崎市定"/>
    <s v="Chūkō bunko"/>
    <s v="中公文庫"/>
    <x v="0"/>
    <x v="1"/>
    <x v="52"/>
    <s v="Shōwa 62"/>
    <s v="n/a"/>
    <s v="n/a"/>
    <s v="History ^ Asia -- History ^ Asia ^ アジア; 歴史"/>
    <s v="0"/>
    <m/>
    <m/>
  </r>
  <r>
    <n v="91"/>
    <m/>
    <m/>
    <m/>
    <m/>
    <m/>
    <m/>
    <s v="https://www.amazon.co.jp/dp/4122015464"/>
    <x v="0"/>
    <s v="n/a"/>
    <s v="n/a"/>
    <s v="n"/>
    <s v="n"/>
    <s v="n"/>
    <n v="9784122015463"/>
    <s v="4122015464"/>
    <n v="22789826"/>
    <s v="Japanese"/>
    <s v="Empire of the Great Tang: Medieval China"/>
    <s v="Daitō teikoku: Chūgoku no chūsei"/>
    <s v="大唐帝国: 中国の中世"/>
    <s v="Miyazaki, Ichisada"/>
    <s v="宮崎市定"/>
    <s v="Chūkō bunko"/>
    <s v="中公文庫"/>
    <x v="0"/>
    <x v="0"/>
    <x v="11"/>
    <s v="Shōwa 63"/>
    <s v="Saihan"/>
    <s v="再版"/>
    <s v="Tang Dynasty (China) ^ History ^ 618-907 ^ China -- History -- Tang dynasty, 618-907 ^ China"/>
    <s v="0"/>
    <m/>
    <m/>
  </r>
  <r>
    <n v="92"/>
    <m/>
    <m/>
    <m/>
    <m/>
    <m/>
    <m/>
    <s v="https://www.amazon.co.jp/dp/4122016185"/>
    <x v="0"/>
    <s v="n/a"/>
    <s v="n/a"/>
    <s v="n"/>
    <s v="n"/>
    <s v="n"/>
    <n v="9784122016187"/>
    <s v="4122016185"/>
    <n v="34364704"/>
    <s v="Japanese"/>
    <s v="Exploration of Central Asia"/>
    <s v="Chūa tanken"/>
    <s v="中亜探検"/>
    <s v="Tachibana, Zuichō"/>
    <s v="橘瑞超"/>
    <s v="Chūkō bunko"/>
    <s v="中公文庫"/>
    <x v="0"/>
    <x v="0"/>
    <x v="12"/>
    <s v="n/a"/>
    <s v="n/a"/>
    <s v="n/a"/>
    <s v="Buddhism -- Asia, Central ^ Buddhism ^ Travel ^ Asia, Central -- Description and travel ^ Asie centrale -- Descriptions et voyages ^ Central Asia"/>
    <s v="0"/>
    <m/>
    <m/>
  </r>
  <r>
    <n v="93.01"/>
    <m/>
    <m/>
    <m/>
    <m/>
    <m/>
    <m/>
    <s v="n/a"/>
    <x v="0"/>
    <s v="1 上"/>
    <s v="2"/>
    <s v="n"/>
    <s v="n"/>
    <s v="n"/>
    <n v="9784122021211"/>
    <s v="4122021219"/>
    <n v="37622777"/>
    <s v="Japanese"/>
    <s v="Burning with Madder Red: The Novel of Gakueta-ō"/>
    <s v="Akane ni moyu: shōsetsu Nukataō"/>
    <s v="茜に燃ゆ: 小說額田王"/>
    <s v="Kuroiwa, Jūgo"/>
    <s v="黒岩重吾"/>
    <s v="Chūko bunko"/>
    <s v="中公文庫"/>
    <x v="0"/>
    <x v="0"/>
    <x v="25"/>
    <s v="Heisei 6"/>
    <s v="n/a"/>
    <s v="n/a"/>
    <s v="Jinshin Revolt, 672 -- Fiction ^ 額田女王, active 7th century Fiction ^ Nukada no Ōkimi, active 7th century -- Fiction ^ Nukada no Ōkimi, active 7th century ^ Fiction ^ 672"/>
    <s v="0"/>
    <m/>
    <m/>
  </r>
  <r>
    <n v="93.02"/>
    <m/>
    <m/>
    <m/>
    <m/>
    <m/>
    <m/>
    <m/>
    <x v="0"/>
    <s v="2 下"/>
    <s v="2"/>
    <s v="n"/>
    <s v="n"/>
    <s v="n"/>
    <n v="9784122021228"/>
    <s v="4122021227"/>
    <n v="37622777"/>
    <s v="Japanese"/>
    <s v="Burning with Madder Red: The Novel of Gakueta-ō"/>
    <s v="Akane ni moyu: shōsetsu Nukataō"/>
    <s v="茜に燃ゆ: 小說額田王"/>
    <s v="Kuroiwa, Jūgo"/>
    <s v="黒岩重吾"/>
    <s v="Chūko bunko"/>
    <s v="中公文庫"/>
    <x v="0"/>
    <x v="0"/>
    <x v="25"/>
    <s v="Heisei 6"/>
    <s v="n/a"/>
    <s v="n/a"/>
    <s v="Jinshin Revolt, 672 -- Fiction ^ 額田女王, active 7th century Fiction ^ Nukada no Ōkimi, active 7th century -- Fiction ^ Nukada no Ōkimi, active 7th century ^ Fiction ^ 672"/>
    <s v="0"/>
    <m/>
    <m/>
  </r>
  <r>
    <n v="94"/>
    <m/>
    <m/>
    <m/>
    <m/>
    <m/>
    <m/>
    <s v="https://www.amazon.co.jp/dp/4122034027"/>
    <x v="0"/>
    <s v="n/a"/>
    <s v="n/a"/>
    <s v="n"/>
    <s v="n"/>
    <s v="n"/>
    <n v="9784122034020"/>
    <s v="4122034027"/>
    <n v="45717231"/>
    <s v="Japanese"/>
    <s v="The Man Who Shot Ito Hirobumi: The Original Image of Revolutionary An Jung-geun"/>
    <s v="Itō Hirobumi o utta otoko: kakumei gishi An Jungun no genzō"/>
    <s v="伊藤博文を撃った男: 革命義士安重根の原像"/>
    <s v="Saitō, Michinori"/>
    <s v="斎藤充功"/>
    <s v="Chūkō bunko"/>
    <s v="中公文庫"/>
    <x v="1"/>
    <x v="2"/>
    <x v="21"/>
    <s v="Heisei 11"/>
    <s v="n/a"/>
    <s v="n/a"/>
    <s v="Assassins -- Japan -- Biography ^ Assassination ^ Assassins ^ 安重根, 1879-1910. 伊藤博文, 1841-1909 Assassination ^ An, Chung-gŭn, 1879-1910 ^ Itō, Hirobumi, 1841-1909 -- Assassination ^ An, Chung-gŭn, 1879-1910 ^ Itō, Hirobumi, 1841-1909 ^ Biographies ^ Japan"/>
    <s v="0"/>
    <m/>
    <m/>
  </r>
  <r>
    <n v="95"/>
    <m/>
    <m/>
    <m/>
    <m/>
    <m/>
    <m/>
    <s v="https://www.amazon.co.jp/dp/4167357119"/>
    <x v="0"/>
    <s v="n/a"/>
    <s v="n/a"/>
    <s v="n"/>
    <s v="n"/>
    <s v="n"/>
    <n v="9784167357115"/>
    <s v="4167357119"/>
    <n v="43550276"/>
    <s v="Japanese"/>
    <s v="Chair at the Top: Russo-Japanese War and Kodama Gentaro"/>
    <s v="Tenpen no isu: Nichiro Sensō to Kodama Gentarō"/>
    <s v="天辺の椅子: 日露戦争と児玉源太郎"/>
    <s v="Furukawa, Kaoru"/>
    <s v="古川薰"/>
    <s v="Bunshun bunko"/>
    <s v="文春文庫"/>
    <x v="13"/>
    <x v="16"/>
    <x v="1"/>
    <s v="Heisei 8"/>
    <s v="n/a"/>
    <s v="n/a"/>
    <s v="Generals -- Japan -- Fiction ^ Generals ^ 児玉源太郎, 1852-1906 Fiction ^ Kodama, Gentarō, 1852-1906 -- Fiction ^ Kodama, Gentarō, 1852-1906 ^ Japan. 陸軍 Fiction ^ Japan. Rikugun -- Fiction ^ Japan. Rikugun ^ Fiction ^ Japan"/>
    <s v="0"/>
    <m/>
    <m/>
  </r>
  <r>
    <n v="96"/>
    <m/>
    <m/>
    <m/>
    <m/>
    <m/>
    <m/>
    <s v="https://www.amazon.co.jp/dp/4122038677"/>
    <x v="0"/>
    <s v="n/a"/>
    <s v="n/a"/>
    <s v="n"/>
    <s v="n"/>
    <s v="n"/>
    <n v="9784122038677"/>
    <s v="4122038677"/>
    <n v="52866623"/>
    <s v="Japanese"/>
    <s v="Origins of Buddhism: India"/>
    <s v="Bukkyō no genryū: Indo"/>
    <s v="仏教の源流: インド"/>
    <s v="Nagao, Gajin"/>
    <s v="長尾雅人"/>
    <s v="Chūkō bunko"/>
    <s v="中公文庫"/>
    <x v="1"/>
    <x v="2"/>
    <x v="39"/>
    <s v="Heisei 13"/>
    <s v="Shohan"/>
    <s v="初版"/>
    <s v="仏教哲学-歴史 ^ Buddhism -- India -- History ^ Buddhism ^ Bukkyō tetsugaku-Rekishi ^ 釈迦 ^ History ^ India"/>
    <s v="0"/>
    <m/>
    <m/>
  </r>
  <r>
    <n v="97.02"/>
    <m/>
    <m/>
    <m/>
    <m/>
    <m/>
    <s v="Japanese OCLC record"/>
    <s v="https://www.amazon.co.jp/dp/4122000424"/>
    <x v="1"/>
    <s v="2"/>
    <s v="26"/>
    <s v="n"/>
    <s v="https://libcat.colorado.edu/Record/b9775967"/>
    <s v="n"/>
    <n v="9784122000421"/>
    <s v="4122000424"/>
    <n v="1183269206"/>
    <s v="Japanese"/>
    <s v="Formation of Ancient States"/>
    <s v="Kodai kokka no seiritsu"/>
    <s v="古代国家の成立"/>
    <s v="Naoki, kojiro"/>
    <s v="直木孝次郎"/>
    <s v="Chuko bunko"/>
    <s v="中公文庫 . 日本の歴史"/>
    <x v="3"/>
    <x v="0"/>
    <x v="53"/>
    <s v="Shōwa 48"/>
    <s v="n/a"/>
    <s v="n/a"/>
    <s v="日本 ーー 歴史 ーー 飛鳥時代; 日本 ーー 歴史 ーー 大化改新時代 ^ Nihon -- ^ Nihon --"/>
    <s v="0"/>
    <m/>
    <m/>
  </r>
  <r>
    <n v="98"/>
    <m/>
    <m/>
    <m/>
    <m/>
    <m/>
    <s v="NDL record"/>
    <s v="https://www.amazon.co.jp/dp/4805614846"/>
    <x v="0"/>
    <s v="n/a"/>
    <s v="n/a"/>
    <s v="n"/>
    <s v="n"/>
    <s v="n"/>
    <n v="9784805614846"/>
    <s v="4805614846"/>
    <n v="674183058"/>
    <s v="Japanese"/>
    <s v="Catholic Prayers: Approved by the Archbishop of Tokyo"/>
    <s v="Katorikku no inori"/>
    <s v="カトリックの祈り: 東京大司教認可"/>
    <s v="Sanpauro"/>
    <s v="サンパウロ"/>
    <s v="n/a"/>
    <s v="n/a"/>
    <x v="20"/>
    <x v="23"/>
    <x v="7"/>
    <s v="Heisei 7"/>
    <s v="n/a"/>
    <s v="n/a"/>
    <s v="祈とう ^ Kitō"/>
    <s v="0"/>
    <m/>
    <m/>
  </r>
  <r>
    <n v="99"/>
    <m/>
    <m/>
    <m/>
    <m/>
    <m/>
    <m/>
    <s v="n/a"/>
    <x v="0"/>
    <s v="n/a"/>
    <s v="n/a"/>
    <s v="n/a"/>
    <s v="n"/>
    <s v="n"/>
    <s v="n/a"/>
    <s v="n/a"/>
    <n v="21165635"/>
    <s v="Japanese"/>
    <s v="Catholic Church Prayers"/>
    <s v="Kōkyōkai kitōbun"/>
    <s v="公敎會祈禱文"/>
    <s v="Katorikku Chūō Kyōgikai"/>
    <s v="カトリック中央協議会"/>
    <s v="n/a"/>
    <s v="n/a"/>
    <x v="21"/>
    <x v="24"/>
    <x v="54"/>
    <s v="Shōwa 23"/>
    <s v="Shohan"/>
    <s v="初版"/>
    <s v="Catholic Church -- Prayers and devotions ^ Église catholique -- Prières et dévotions ^ Catholic Church ^ Prayers and devotions"/>
    <s v="0"/>
    <m/>
    <m/>
  </r>
  <r>
    <n v="100"/>
    <m/>
    <m/>
    <m/>
    <m/>
    <m/>
    <s v="4 cds"/>
    <s v="n/a"/>
    <x v="4"/>
    <s v="n/a"/>
    <s v="n/a"/>
    <s v="n/a"/>
    <s v="n"/>
    <s v="n"/>
    <s v="n/a"/>
    <s v="n/a"/>
    <n v="774623401"/>
    <s v="Chinese"/>
    <s v="The excellent songs of Inner Mongolian folk collection.&lt;/b&gt;&lt;/font&gt;&lt;/font&gt;"/>
    <s v="Ȯbȯr Mongġol-un arad-un daġuu-yin oci bu̇tu̇gel"/>
    <s v="Ȯbȯr Mongġol-un arad-un daġuu-yin oci bu̇tu̇gel"/>
    <s v="n/a"/>
    <s v="n/a"/>
    <s v="n/a"/>
    <s v="n/a"/>
    <x v="22"/>
    <x v="25"/>
    <x v="23"/>
    <s v="n/a"/>
    <s v="n/a"/>
    <s v="n/a"/>
    <s v="Folk songs, Mongolian -- China -- Inner Mongolia ^ Folk songs -- China -- Inner Mongolia ^ Folk music -- China -- Inner Mongolia ^ Choruses, Secular, Unaccompanied ^ Chœurs profanes a cappella ^ Choruses, Secular, Unaccompanied ^ Folk music ^ Folk songs ^ Folk songs, Mongolian ^ Scores ^ Folk songs ^ Folk songs ^ Scores ^ Chansons folkloriques ^ Partitions (Musique) ^ China -- Inner Mongolia"/>
    <s v="0"/>
    <m/>
    <m/>
  </r>
  <r>
    <n v="101"/>
    <m/>
    <m/>
    <m/>
    <m/>
    <m/>
    <m/>
    <s v="n/a"/>
    <x v="0"/>
    <s v="n/a"/>
    <s v="n/a"/>
    <s v="n/a"/>
    <s v="n"/>
    <s v="n"/>
    <s v="n/a"/>
    <s v="n/a"/>
    <n v="15485411"/>
    <s v="Japanese"/>
    <s v="200-Year History of Shuyukan"/>
    <s v="Shūyūkan nihyakunenshi"/>
    <s v="修猷館二百年史"/>
    <s v="Shūyūkan 200-nen Kinen Jigyō Iinkai"/>
    <s v="修猷館 200年記念事業委員会"/>
    <s v="n/a"/>
    <s v="n/a"/>
    <x v="23"/>
    <x v="26"/>
    <x v="22"/>
    <s v="Shōwa 60"/>
    <s v="n/a"/>
    <s v="n/a"/>
    <s v="福岡県立修猷館高等学校 History ^ Fukuoka Kenritsu Shūyūkan Kōtō Gakkō -- History ^ Fukuoka Kenritsu Shūyūkan Kōtō Gakkō ^ History"/>
    <s v="0"/>
    <m/>
    <m/>
  </r>
  <r>
    <n v="102"/>
    <m/>
    <m/>
    <m/>
    <m/>
    <m/>
    <m/>
    <s v="n/a"/>
    <x v="0"/>
    <s v="n/a"/>
    <s v="n/a"/>
    <s v="n/a"/>
    <s v="n"/>
    <s v="n"/>
    <s v="n/a"/>
    <s v="n/a"/>
    <n v="672894417"/>
    <s v="Japanese"/>
    <s v="New Compilation of Empress Shoken's Poetry"/>
    <s v="Shinshū shōken kōtaigō gyoshū"/>
    <s v="新輯昭憲皇太后御集"/>
    <s v="Shōken Kōtaigō"/>
    <s v="昭憲皇太后"/>
    <s v="n/a"/>
    <s v="n/a"/>
    <x v="24"/>
    <x v="27"/>
    <x v="36"/>
    <s v="Shōwa 40"/>
    <s v="n/a"/>
    <s v="n/a"/>
    <s v="n/a"/>
    <s v="0"/>
    <m/>
    <m/>
  </r>
  <r>
    <n v="103.01"/>
    <m/>
    <m/>
    <m/>
    <m/>
    <m/>
    <m/>
    <s v="n/a"/>
    <x v="3"/>
    <s v="1"/>
    <s v="10"/>
    <s v="n/a"/>
    <s v="n"/>
    <s v="n"/>
    <s v="n/a"/>
    <s v="n/a"/>
    <n v="18535447"/>
    <s v="Japanese"/>
    <s v="Century of the Emperor"/>
    <s v="Tennō no seiki"/>
    <s v="天皇の世紀"/>
    <s v="Osaragi, Jirō"/>
    <s v="大佛次郎"/>
    <s v="n/a"/>
    <s v="n/a"/>
    <x v="25"/>
    <x v="1"/>
    <x v="55"/>
    <s v="n/a"/>
    <s v="n/a"/>
    <s v="n/a"/>
    <s v="井伊直弼, 1815-1860 ^ Ii, Naosuke, 1815-1860 ^ Ii, Naosuke, 1815-1860 ^ History ^ 1853-1870 ^ Japan -- History -- Restoration, 1853-1870 ^ Japan"/>
    <s v="0"/>
    <m/>
    <m/>
  </r>
  <r>
    <n v="103.02"/>
    <m/>
    <m/>
    <m/>
    <m/>
    <m/>
    <m/>
    <s v="n/a"/>
    <x v="3"/>
    <s v="2"/>
    <s v="10"/>
    <s v="n/a"/>
    <s v="n"/>
    <s v="n"/>
    <s v="n/a"/>
    <s v="n/a"/>
    <n v="18535447"/>
    <s v="Japanese"/>
    <s v="Century of the Emperor"/>
    <s v="Tennō no seiki"/>
    <s v="天皇の世紀"/>
    <s v="Osaragi, Jirō"/>
    <s v="大佛次郎"/>
    <s v="n/a"/>
    <s v="n/a"/>
    <x v="25"/>
    <x v="1"/>
    <x v="55"/>
    <s v="n/a"/>
    <s v="n/a"/>
    <s v="n/a"/>
    <s v="井伊直弼, 1815-1860 ^ Ii, Naosuke, 1815-1860 ^ Ii, Naosuke, 1815-1860 ^ History ^ 1853-1870 ^ Japan -- History -- Restoration, 1853-1870 ^ Japan"/>
    <s v="0"/>
    <m/>
    <m/>
  </r>
  <r>
    <n v="103.03"/>
    <m/>
    <m/>
    <m/>
    <m/>
    <m/>
    <m/>
    <s v="n/a"/>
    <x v="3"/>
    <s v="3"/>
    <s v="10"/>
    <s v="n/a"/>
    <s v="n"/>
    <s v="n"/>
    <s v="n/a"/>
    <s v="n/a"/>
    <n v="18535447"/>
    <s v="Japanese"/>
    <s v="Century of the Emperor"/>
    <s v="Tennō no seiki"/>
    <s v="天皇の世紀"/>
    <s v="Osaragi, Jirō"/>
    <s v="大佛次郎"/>
    <s v="n/a"/>
    <s v="n/a"/>
    <x v="25"/>
    <x v="1"/>
    <x v="55"/>
    <s v="n/a"/>
    <s v="n/a"/>
    <s v="n/a"/>
    <s v="井伊直弼, 1815-1860 ^ Ii, Naosuke, 1815-1860 ^ Ii, Naosuke, 1815-1860 ^ History ^ 1853-1870 ^ Japan -- History -- Restoration, 1853-1870 ^ Japan"/>
    <s v="0"/>
    <m/>
    <m/>
  </r>
  <r>
    <n v="104"/>
    <m/>
    <m/>
    <m/>
    <m/>
    <m/>
    <m/>
    <s v="https://www.amazon.co.jp/dp/4000600206"/>
    <x v="1"/>
    <s v="20"/>
    <s v="n/a"/>
    <s v="n"/>
    <s v="n"/>
    <s v="y"/>
    <n v="9784000600200"/>
    <s v="4000600206"/>
    <n v="23364851"/>
    <s v="Japanese"/>
    <s v="Diaries: Tosa Diary, Kagero Diary, Izumi Shikibu Diary, Sarashina Diary"/>
    <s v="Tosa nikki. Kagerō nikki. Izumi Shikibu nikki. Sarashina nikki"/>
    <s v="土左日記. かげろふ日記. 和泉式部日記. 更級日記"/>
    <s v="Ki, Tsurayuki, -945 or 946 ^ Suzuki, Tomotarō"/>
    <s v="紀貫之-94 ^ 946  ^ 鈴木知太郎"/>
    <s v="Nihon koten bungaku taikei"/>
    <s v="日本古典文學大系"/>
    <x v="7"/>
    <x v="8"/>
    <x v="56"/>
    <s v="Shōwa 32"/>
    <s v="n/a"/>
    <s v="n/a"/>
    <s v="Japanese literature -- Heian period, 794-1185 ^ Japanese literature -- Heian period ^ 和泉式部, 974?- 和泉式 部日記 菅原孝標女, 1008- 更級日記 道綱母, approximately 935-995. かげろふ日記 紀貫之, -945 or 946. 土佐日記 和泉式部, 974?- 和泉式部日記 菅原孝標女, 1008- 更級日記 道綱母, approximately 935-995. かげろふ日記 紀貫之, -945 or 946. 土佐日記 ^ Izumi Shikibu, 974?- Izumi Shikibu nikki ^ Sugawara no Takasue no Musume, 1008- Sarashina nikki ^ Michitsuna no Haha, approximately 935-995. Kagerō nikki ^ Ki, Tsurayuki, -945 or 946. Tosa nikki ^ Izumi Shikibu, 974?- Izumi Shikibu nikki ^ Sugawara no Takasue no Musume, 1008- Sarashina nikki ^ Michitsuna no Haha, approximately 935-995. Kagerō nikki ^ Ki, Tsurayuki, -945 or 946. Tosa nikki ^ 794-1185 ^ 土佐日記 ^ Izumi Shikibu nikki (Izumi Shikibu) ^ Kagerō nikki (Michitsuna no Haha) ^ Sarashina nikki (Sugawara no Takasue no Musume) ^ Tosa nikki (Ki, Tsurayuki)"/>
    <s v="0"/>
    <m/>
    <m/>
  </r>
  <r>
    <n v="105.01"/>
    <m/>
    <m/>
    <m/>
    <m/>
    <m/>
    <s v="NDL record, year unclear"/>
    <s v="n/a"/>
    <x v="0"/>
    <s v="1 上"/>
    <s v="2"/>
    <s v="n/a"/>
    <s v="n"/>
    <s v="n"/>
    <s v="n/a"/>
    <s v="n/a"/>
    <n v="672576412"/>
    <s v="Japanese"/>
    <s v="New Compilation of Emperor Meiji's Poetry"/>
    <s v="Shinshū meiji tennō gyoshū"/>
    <s v="新輯明治天皇御集"/>
    <s v="Meiji Tennō"/>
    <s v="明治天皇"/>
    <s v="n/a"/>
    <s v="n/a"/>
    <x v="24"/>
    <x v="27"/>
    <x v="57"/>
    <s v="Shōwa 39"/>
    <s v="n/a"/>
    <s v="n/a"/>
    <s v="n/a"/>
    <s v="0"/>
    <m/>
    <m/>
  </r>
  <r>
    <n v="105.02"/>
    <m/>
    <m/>
    <m/>
    <m/>
    <m/>
    <s v="NDL record, year unclear"/>
    <s v="n/a"/>
    <x v="0"/>
    <s v="2 下"/>
    <s v="2"/>
    <s v="n/a"/>
    <s v="n"/>
    <s v="n"/>
    <s v="n/a"/>
    <s v="n/a"/>
    <n v="672576412"/>
    <s v="Japanese"/>
    <s v="New Compilation of Emperor Meiji's Poetry"/>
    <s v="Shinshū meiji tennō gyoshū"/>
    <s v="新輯明治天皇御集"/>
    <s v="Meiji Tennō"/>
    <s v="明治天皇"/>
    <s v="n/a"/>
    <s v="n/a"/>
    <x v="24"/>
    <x v="27"/>
    <x v="57"/>
    <s v="Shōwa 39"/>
    <s v="n/a"/>
    <s v="n/a"/>
    <s v="n/a"/>
    <s v="0"/>
    <m/>
    <m/>
  </r>
  <r>
    <n v="106"/>
    <m/>
    <m/>
    <m/>
    <m/>
    <m/>
    <m/>
    <s v="https://www.amazon.co.jp/dp/4806011258"/>
    <x v="2"/>
    <s v="n/a"/>
    <s v="n/a"/>
    <s v="n"/>
    <s v="n"/>
    <s v="n"/>
    <n v="9784806011255"/>
    <s v="4806011258"/>
    <n v="1056954299"/>
    <s v="Japanese"/>
    <s v="Collected Tanka Poetry of Ozaki Saigyo"/>
    <s v="Ozaki Saeko tanka shūsei"/>
    <s v="尾崎左永子短歌集成"/>
    <s v="Ozaki, Saeko"/>
    <s v="尾崎左永子"/>
    <s v="n/a"/>
    <s v="n/a"/>
    <x v="26"/>
    <x v="1"/>
    <x v="58"/>
    <s v="Heisei 30"/>
    <s v="n/a"/>
    <s v="n/a"/>
    <s v="poetry ^ Poetry ^ Poetry"/>
    <s v="0"/>
    <m/>
    <m/>
  </r>
  <r>
    <n v="107"/>
    <m/>
    <m/>
    <m/>
    <m/>
    <m/>
    <m/>
    <s v="n/a"/>
    <x v="0"/>
    <s v="n/a"/>
    <s v="n/a"/>
    <s v="n/a"/>
    <s v="n"/>
    <s v="n"/>
    <s v="n/a"/>
    <s v="n/a"/>
    <n v="675146145"/>
    <s v="Japanese"/>
    <s v="Unforgettable Oil People"/>
    <s v="Wasureenu sekiyujintachi"/>
    <s v="忘れ得ぬ石油人たち"/>
    <s v="Yabe, Mō"/>
    <s v="矢部孟"/>
    <s v="n/a"/>
    <s v="n/a"/>
    <x v="27"/>
    <x v="28"/>
    <x v="13"/>
    <s v="Heisei 17"/>
    <s v="n/a"/>
    <s v="n/a"/>
    <s v="石油産業 ^ Sekiyusangyō -- Rekishi"/>
    <s v="0"/>
    <m/>
    <m/>
  </r>
  <r>
    <n v="108.03"/>
    <m/>
    <m/>
    <m/>
    <m/>
    <m/>
    <m/>
    <s v="n/a"/>
    <x v="0"/>
    <s v="3 下"/>
    <s v="3"/>
    <s v="n/a"/>
    <s v="n"/>
    <s v="n"/>
    <s v="n/a"/>
    <s v="n/a"/>
    <n v="33690621"/>
    <s v="Japanese"/>
    <s v="Modern Western History"/>
    <s v="Seiyō gendaishi"/>
    <s v="西洋現代史"/>
    <s v="Imazu, Akira"/>
    <s v="今津晃"/>
    <s v="Kyōdaiseiyōshi"/>
    <s v="京大西洋史"/>
    <x v="28"/>
    <x v="29"/>
    <x v="59"/>
    <s v="Shōwa 28"/>
    <s v="n/a"/>
    <s v="n/a"/>
    <s v="西洋; 歴史"/>
    <s v="0"/>
    <m/>
    <m/>
  </r>
  <r>
    <n v="109.01"/>
    <m/>
    <m/>
    <m/>
    <m/>
    <m/>
    <m/>
    <s v="n/a"/>
    <x v="0"/>
    <s v="1 上"/>
    <s v="?"/>
    <s v="n/a"/>
    <s v="n"/>
    <s v="n"/>
    <s v="n/a"/>
    <s v="n/a"/>
    <n v="42570093"/>
    <s v="Japanese"/>
    <s v="History of China"/>
    <s v="Chūgoku shi"/>
    <s v="中國史"/>
    <s v="Toyama, Gunji"/>
    <s v="外山軍治"/>
    <s v="Kyōdai Tōyō shi"/>
    <s v="京大東洋史"/>
    <x v="28"/>
    <x v="29"/>
    <x v="44"/>
    <s v="Shōwa 30"/>
    <s v="n/a"/>
    <s v="n/a"/>
    <s v="History ^ China -- History ^ China"/>
    <s v="0"/>
    <m/>
    <m/>
  </r>
  <r>
    <n v="110.01"/>
    <m/>
    <m/>
    <m/>
    <m/>
    <m/>
    <s v="we have unrevised version"/>
    <s v="n/a"/>
    <x v="0"/>
    <s v="1 上"/>
    <s v="2"/>
    <s v="n/a"/>
    <s v="n"/>
    <s v="n"/>
    <s v="n/a"/>
    <s v="n/a"/>
    <n v="32064145"/>
    <s v="Japanese"/>
    <s v="Overview of Japanese History"/>
    <s v="Nihon shi gaisetsu"/>
    <s v="日本史槪說"/>
    <s v="Sakamoto, Tarō"/>
    <s v="坂本太郎"/>
    <s v="n/a"/>
    <s v="n/a"/>
    <x v="29"/>
    <x v="30"/>
    <x v="60"/>
    <s v="Shōwa 37"/>
    <s v="Shintei"/>
    <s v="新訂"/>
    <s v="History ^ Japan -- History ^ Japan"/>
    <s v="0"/>
    <m/>
    <m/>
  </r>
  <r>
    <n v="110.02"/>
    <m/>
    <m/>
    <m/>
    <m/>
    <m/>
    <s v="we have unrevised version"/>
    <s v="n/a"/>
    <x v="0"/>
    <s v="2 下"/>
    <s v="2"/>
    <s v="n/a"/>
    <s v="n"/>
    <s v="n"/>
    <s v="n/a"/>
    <s v="n/a"/>
    <n v="32064145"/>
    <s v="Japanese"/>
    <s v="Overview of Japanese History"/>
    <s v="Nihon shi gaisetsu"/>
    <s v="日本史槪說"/>
    <s v="Sakamoto, Tarō"/>
    <s v="坂本太郎"/>
    <s v="n/a"/>
    <s v="n/a"/>
    <x v="29"/>
    <x v="30"/>
    <x v="60"/>
    <s v="Shōwa 37"/>
    <s v="Shintei"/>
    <s v="新訂"/>
    <s v="History ^ Japan -- History ^ Japan"/>
    <s v="0"/>
    <m/>
    <m/>
  </r>
  <r>
    <n v="111"/>
    <m/>
    <m/>
    <m/>
    <m/>
    <m/>
    <m/>
    <s v="n/a"/>
    <x v="2"/>
    <s v="n/a"/>
    <s v="n/a"/>
    <s v="n/a"/>
    <s v="n"/>
    <s v="n"/>
    <s v="n/a"/>
    <s v="n/a"/>
    <n v="42408962"/>
    <s v="Japanese"/>
    <s v="Story of Good Omens"/>
    <s v="Kitchō ajibanashi"/>
    <s v="吉兆味ばなし"/>
    <s v="Yuki, Teiichi"/>
    <s v="湯木貞一"/>
    <s v="n/a"/>
    <s v="n/a"/>
    <x v="30"/>
    <x v="31"/>
    <x v="45"/>
    <s v="Shōwa 57"/>
    <s v="n/a"/>
    <s v="n/a"/>
    <s v="Cooking, Japanese ^ Cooking, Japanese"/>
    <s v="0"/>
    <m/>
    <m/>
  </r>
  <r>
    <n v="112"/>
    <m/>
    <m/>
    <m/>
    <m/>
    <m/>
    <m/>
    <s v="https://www.amazon.co.jp/dp/4892810754"/>
    <x v="0"/>
    <s v="n/a"/>
    <s v="n/a"/>
    <s v="n"/>
    <s v="n"/>
    <s v="n"/>
    <n v="9784892810756"/>
    <s v="4892810754"/>
    <n v="48564178"/>
    <s v="Japanese"/>
    <s v="Essays on Ancient Chinese History"/>
    <s v="Chūgoku kodaishi ronkō"/>
    <s v="中國古代史論考"/>
    <s v="Satō, Hisashi"/>
    <s v="佐藤長"/>
    <s v="n/a"/>
    <s v="n/a"/>
    <x v="31"/>
    <x v="32"/>
    <x v="35"/>
    <s v="Heisei 12"/>
    <s v="n/a"/>
    <s v="n/a"/>
    <s v="History ^ 221 BC-960 AD ^ China -- History -- 221 BC-960 AD ^ China"/>
    <s v="0"/>
    <m/>
    <m/>
  </r>
  <r>
    <n v="113.01"/>
    <m/>
    <m/>
    <m/>
    <m/>
    <m/>
    <m/>
    <s v="n/a"/>
    <x v="0"/>
    <s v="1 上"/>
    <s v="3"/>
    <s v="n/a"/>
    <s v="n"/>
    <s v="n"/>
    <s v="n/a"/>
    <s v="n/a"/>
    <n v="80575767"/>
    <s v="Japanese"/>
    <s v="Storm and Stress: Selected Works by Kojima Yoshihisa"/>
    <s v="Fūun: Kodama Yoshio chosaku senshū"/>
    <s v="風雲: 児玉誉士夫著作選集"/>
    <s v="Kodama, Yoshio"/>
    <s v="児玉誉士夫"/>
    <s v="n/a"/>
    <s v="n/a"/>
    <x v="32"/>
    <x v="1"/>
    <x v="17"/>
    <s v="Shōwa 47"/>
    <s v="n/a"/>
    <s v="n/a"/>
    <s v="Right-wing extremists -- Japan -- Biography ^ Nationalists -- Japan -- Biography ^ Conservatives -- Japan -- Biography ^ Spies -- Japan -- Biography ^ Yakuza -- Japan -- Biography ^ War criminals -- Japan -- Biography ^ War criminals ^ 児玉誉士夫, 1911-1984 ^ Kodama, Yoshio, 1911-1984 ^ Kodama, Yoshio, 1911-1984 ^ autobiographies (literary works) ^ Autobiographies ^ History ^ Autobiographies ^ Autobiographies ^ 1926-1989 ^ Japan -- History -- Shōwa period, 1926-1989 ^ Japan"/>
    <s v="0"/>
    <m/>
    <m/>
  </r>
  <r>
    <n v="113.02"/>
    <m/>
    <m/>
    <m/>
    <m/>
    <m/>
    <m/>
    <s v="n/a"/>
    <x v="0"/>
    <s v="2 中"/>
    <s v="3"/>
    <s v="n/a"/>
    <s v="n"/>
    <s v="n"/>
    <s v="n/a"/>
    <s v="n/a"/>
    <n v="80575767"/>
    <s v="Japanese"/>
    <s v="Storm and Stress: Selected Works by Kojima Yoshihisa"/>
    <s v="Fūun: Kodama Yoshio chosaku senshū"/>
    <s v="風雲: 児玉誉士夫著作選集"/>
    <s v="Kodama, Yoshio"/>
    <s v="児玉誉士夫"/>
    <s v="n/a"/>
    <s v="n/a"/>
    <x v="32"/>
    <x v="1"/>
    <x v="17"/>
    <s v="Shōwa 47"/>
    <s v="n/a"/>
    <s v="n/a"/>
    <s v="Right-wing extremists -- Japan -- Biography ^ Nationalists -- Japan -- Biography ^ Conservatives -- Japan -- Biography ^ Spies -- Japan -- Biography ^ Yakuza -- Japan -- Biography ^ War criminals -- Japan -- Biography ^ War criminals ^ 児玉誉士夫, 1911-1984 ^ Kodama, Yoshio, 1911-1984 ^ Kodama, Yoshio, 1911-1984 ^ autobiographies (literary works) ^ Autobiographies ^ History ^ Autobiographies ^ Autobiographies ^ 1926-1989 ^ Japan -- History -- Shōwa period, 1926-1989 ^ Japan"/>
    <s v="0"/>
    <m/>
    <m/>
  </r>
  <r>
    <n v="113.03"/>
    <m/>
    <m/>
    <m/>
    <m/>
    <m/>
    <m/>
    <s v="n/a"/>
    <x v="0"/>
    <s v="3 下"/>
    <s v="3"/>
    <s v="n/a"/>
    <s v="n"/>
    <s v="n"/>
    <s v="n/a"/>
    <s v="n/a"/>
    <n v="80575767"/>
    <s v="Japanese"/>
    <s v="Storm and Stress: Selected Works by Kojima Yoshihisa"/>
    <s v="Fūun: Kodama Yoshio chosaku senshū"/>
    <s v="風雲: 児玉誉士夫著作選集"/>
    <s v="Kodama, Yoshio"/>
    <s v="児玉誉士夫"/>
    <s v="n/a"/>
    <s v="n/a"/>
    <x v="32"/>
    <x v="1"/>
    <x v="17"/>
    <s v="Shōwa 47"/>
    <s v="n/a"/>
    <s v="n/a"/>
    <s v="Right-wing extremists -- Japan -- Biography ^ Nationalists -- Japan -- Biography ^ Conservatives -- Japan -- Biography ^ Spies -- Japan -- Biography ^ Yakuza -- Japan -- Biography ^ War criminals -- Japan -- Biography ^ War criminals ^ 児玉誉士夫, 1911-1984 ^ Kodama, Yoshio, 1911-1984 ^ Kodama, Yoshio, 1911-1984 ^ autobiographies (literary works) ^ Autobiographies ^ History ^ Autobiographies ^ Autobiographies ^ 1926-1989 ^ Japan -- History -- Shōwa period, 1926-1989 ^ Japan"/>
    <s v="0"/>
    <m/>
    <m/>
  </r>
  <r>
    <n v="114"/>
    <m/>
    <m/>
    <m/>
    <m/>
    <m/>
    <m/>
    <s v="https://www.amazon.co.jp/dp/4000025503"/>
    <x v="0"/>
    <s v="n/a"/>
    <s v="n/a"/>
    <s v="n"/>
    <s v="n"/>
    <s v="n"/>
    <n v="9784000025508"/>
    <s v="4000025503"/>
    <n v="19216701"/>
    <s v="Japanese"/>
    <s v="New Studies on the Analects of Confucius"/>
    <s v="Rongo no shinkenkyū"/>
    <s v="論語の新研究"/>
    <s v="Miyazaki, Ichisada"/>
    <s v="宮崎市定 ^ 宮崎市定"/>
    <s v="n/a"/>
    <s v="n/a"/>
    <x v="7"/>
    <x v="8"/>
    <x v="3"/>
    <s v="Shōwa 49"/>
    <s v="n/a"/>
    <s v="n/a"/>
    <s v="Confucius. 論語 ^ Confucius. Lun yu ^ 論語 ^ Lun yu (Confucius)"/>
    <s v="0"/>
    <m/>
    <m/>
  </r>
  <r>
    <n v="115"/>
    <m/>
    <m/>
    <m/>
    <m/>
    <m/>
    <m/>
    <s v="n/a"/>
    <x v="0"/>
    <s v="n/a"/>
    <s v="n/a"/>
    <s v="n/a"/>
    <s v="n"/>
    <s v="n"/>
    <s v="n/a"/>
    <s v="n/a"/>
    <n v="15431006"/>
    <s v="Japanese"/>
    <s v="Meiji Constitutional Government and Hirobumi Ito"/>
    <s v="Meiji rikkensei to Itō Hirobumi"/>
    <s v="明治立憲政と伊藤博文"/>
    <s v="Akita, George ^ Arai, Kōtarō ^ Banno, Junji"/>
    <s v="アキタジョージ ^ 荒井孝太郎 ^ 坂野潤治"/>
    <s v="n/a"/>
    <s v="n/a"/>
    <x v="33"/>
    <x v="33"/>
    <x v="10"/>
    <s v="Shōwa 46"/>
    <s v="n/a"/>
    <s v="n/a"/>
    <s v="Constitutional history -- Japan ^ Constitutional history ^ Politics and government ^ 1868-1912 ^ Japan -- Politics and government -- 1868-1912 ^ Japan ^ 日本; 政治; 歴史; 明治時代"/>
    <s v="0"/>
    <m/>
    <m/>
  </r>
  <r>
    <n v="116.001"/>
    <m/>
    <m/>
    <m/>
    <m/>
    <m/>
    <m/>
    <s v="n/a"/>
    <x v="1"/>
    <s v="bekkan"/>
    <s v="25"/>
    <s v="n/a"/>
    <s v="n"/>
    <s v="y"/>
    <s v="n/a"/>
    <s v="n/a"/>
    <n v="26452408"/>
    <s v="Japanese"/>
    <s v="Complete Works of Miyazaki Shoten"/>
    <s v="Miyazaki Ichisada zenshū"/>
    <s v="宮崎市定全集"/>
    <s v="Miyazaki, Ichisada"/>
    <s v="宮崎市定"/>
    <s v="n/a"/>
    <s v="n/a"/>
    <x v="7"/>
    <x v="8"/>
    <x v="61"/>
    <s v="n/a"/>
    <s v="n/a"/>
    <s v="n/a"/>
    <s v="China ^ China"/>
    <s v="0"/>
    <m/>
    <m/>
  </r>
  <r>
    <n v="116.15"/>
    <m/>
    <m/>
    <m/>
    <m/>
    <m/>
    <m/>
    <s v="n/a"/>
    <x v="1"/>
    <s v="15"/>
    <s v="25"/>
    <s v="n/a"/>
    <s v="n"/>
    <s v="y"/>
    <s v="n/a"/>
    <s v="n/a"/>
    <n v="26452408"/>
    <s v="Japanese"/>
    <s v="Complete Works of Miyazaki Shoten"/>
    <s v="Miyazaki Ichisada zenshū"/>
    <s v="宮崎市定全集"/>
    <s v="Miyazaki, Ichisada"/>
    <s v="宮崎市定"/>
    <s v="n/a"/>
    <s v="n/a"/>
    <x v="7"/>
    <x v="8"/>
    <x v="61"/>
    <s v="n/a"/>
    <s v="n/a"/>
    <s v="n/a"/>
    <s v="China ^ China"/>
    <s v="0"/>
    <m/>
    <m/>
  </r>
  <r>
    <n v="117.01"/>
    <m/>
    <m/>
    <m/>
    <m/>
    <m/>
    <m/>
    <s v="n/a"/>
    <x v="3"/>
    <s v="1"/>
    <s v="5"/>
    <s v="n/a"/>
    <s v="https://libcat.colorado.edu/Record/b1832923"/>
    <s v="y"/>
    <s v="n/a"/>
    <s v="n/a"/>
    <n v="48373618"/>
    <s v="Japanese"/>
    <s v="Research on the History of Asai"/>
    <s v="Ajia shi kenkyū"/>
    <s v="アジア史研究"/>
    <s v="Miyazaki, Ichisada"/>
    <s v="宮崎市定"/>
    <s v="Tōyō shi kenkyū sōkan"/>
    <s v="東洋史研究叢刋"/>
    <x v="34"/>
    <x v="34"/>
    <x v="62"/>
    <s v="n/a"/>
    <s v="n/a"/>
    <s v="n/a"/>
    <s v="History ^ China -- History ^ China ^ 東洋; 歴史.; 中国; 歴史"/>
    <s v="0"/>
    <m/>
    <m/>
  </r>
  <r>
    <n v="117.02"/>
    <m/>
    <m/>
    <m/>
    <m/>
    <m/>
    <m/>
    <m/>
    <x v="3"/>
    <s v="2"/>
    <s v="5"/>
    <s v="n/a"/>
    <s v="https://libcat.colorado.edu/Record/b1832923"/>
    <s v="y"/>
    <s v="n/a"/>
    <s v="n/a"/>
    <n v="48373618"/>
    <s v="Japanese"/>
    <s v="Research on the History of Asai"/>
    <s v="Ajia shi kenkyū"/>
    <s v="アジア史研究"/>
    <s v="Miyazaki, Ichisada"/>
    <s v="宮崎市定"/>
    <s v="Tōyō shi kenkyū sōkan"/>
    <s v="東洋史研究叢刋"/>
    <x v="34"/>
    <x v="34"/>
    <x v="62"/>
    <s v="n/a"/>
    <s v="n/a"/>
    <s v="n/a"/>
    <s v="History ^ China -- History ^ China ^ 東洋; 歴史.; 中国; 歴史"/>
    <s v="0"/>
    <m/>
    <m/>
  </r>
  <r>
    <n v="117.03"/>
    <m/>
    <m/>
    <m/>
    <m/>
    <m/>
    <m/>
    <m/>
    <x v="3"/>
    <s v="3"/>
    <s v="5"/>
    <s v="n/a"/>
    <s v="https://libcat.colorado.edu/Record/b1832923"/>
    <s v="y"/>
    <s v="n/a"/>
    <s v="n/a"/>
    <n v="48373618"/>
    <s v="Japanese"/>
    <s v="Research on the History of Asai"/>
    <s v="Ajia shi kenkyū"/>
    <s v="アジア史研究"/>
    <s v="Miyazaki, Ichisada"/>
    <s v="宮崎市定"/>
    <s v="Tōyō shi kenkyū sōkan"/>
    <s v="東洋史研究叢刋"/>
    <x v="34"/>
    <x v="34"/>
    <x v="62"/>
    <s v="n/a"/>
    <s v="n/a"/>
    <s v="n/a"/>
    <s v="History ^ China -- History ^ China ^ 東洋; 歴史.; 中国; 歴史"/>
    <s v="0"/>
    <m/>
    <m/>
  </r>
  <r>
    <n v="117.04"/>
    <m/>
    <m/>
    <m/>
    <m/>
    <m/>
    <m/>
    <m/>
    <x v="3"/>
    <s v="4"/>
    <s v="5"/>
    <s v="n/a"/>
    <s v="https://libcat.colorado.edu/Record/b1832923"/>
    <s v="y"/>
    <s v="n/a"/>
    <s v="n/a"/>
    <n v="48373618"/>
    <s v="Japanese"/>
    <s v="Research on the History of Asai"/>
    <s v="Ajia shi kenkyū"/>
    <s v="アジア史研究"/>
    <s v="Miyazaki, Ichisada"/>
    <s v="宮崎市定"/>
    <s v="Tōyō shi kenkyū sōkan"/>
    <s v="東洋史研究叢刋"/>
    <x v="34"/>
    <x v="34"/>
    <x v="62"/>
    <s v="n/a"/>
    <s v="n/a"/>
    <s v="n/a"/>
    <s v="History ^ China -- History ^ China ^ 東洋; 歴史.; 中国; 歴史"/>
    <s v="0"/>
    <m/>
    <m/>
  </r>
  <r>
    <n v="118"/>
    <m/>
    <m/>
    <m/>
    <m/>
    <m/>
    <m/>
    <s v="n/a"/>
    <x v="3"/>
    <s v="n/a"/>
    <s v="n/a"/>
    <s v="n/a"/>
    <s v="n"/>
    <s v="n"/>
    <s v="n/a"/>
    <s v="n/a"/>
    <n v="674944159"/>
    <s v="Japanese"/>
    <s v="Recollection of Nao Hiroshi Amaya - ChatGPT translation"/>
    <s v="Tsuiso amaya naohiro"/>
    <s v="追想天谷直弘"/>
    <s v="n/a"/>
    <s v="n/a"/>
    <s v="n/a"/>
    <s v="n/a"/>
    <x v="3"/>
    <x v="35"/>
    <x v="7"/>
    <s v="Heisei 7"/>
    <s v="n/a"/>
    <s v="n/a"/>
    <s v="天谷, 直弘, 1925-1994 ^ Amaya, Naohiro, 1925-1994"/>
    <s v="0"/>
    <m/>
    <m/>
  </r>
  <r>
    <n v="119.02"/>
    <m/>
    <m/>
    <m/>
    <m/>
    <m/>
    <m/>
    <s v="n/a"/>
    <x v="1"/>
    <s v="2"/>
    <s v="21"/>
    <s v="n/a"/>
    <s v="https://libcat.colorado.edu/Record/b3276556"/>
    <s v="y"/>
    <s v="n/a"/>
    <s v="n/a"/>
    <n v="27345754"/>
    <s v="Japanese"/>
    <s v="Shōwa Man'yōshū"/>
    <s v="Shōwa Man'yōshū"/>
    <s v="昭和萬葉集 ; 昭和元年-5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03"/>
    <m/>
    <m/>
    <m/>
    <m/>
    <m/>
    <m/>
    <s v="n/a"/>
    <x v="1"/>
    <s v="3"/>
    <s v="21"/>
    <s v="n/a"/>
    <s v="https://libcat.colorado.edu/Record/b3276556"/>
    <s v="y"/>
    <s v="n/a"/>
    <s v="n/a"/>
    <n v="27345754"/>
    <s v="Japanese"/>
    <s v="Shōwa Man'yōshū"/>
    <s v="Shōwa Man'yōshū"/>
    <s v="昭和萬葉集 ; 昭和6年-8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04"/>
    <m/>
    <m/>
    <m/>
    <m/>
    <m/>
    <m/>
    <s v="n/a"/>
    <x v="1"/>
    <s v="4"/>
    <s v="21"/>
    <s v="n/a"/>
    <s v="https://libcat.colorado.edu/Record/b3276556"/>
    <s v="y"/>
    <s v="n/a"/>
    <s v="n/a"/>
    <n v="27345754"/>
    <s v="Japanese"/>
    <s v="Shōwa Man'yōshū"/>
    <s v="Shōwa Man'yōshū"/>
    <s v="昭和萬葉集 ; 昭和9年-11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05"/>
    <m/>
    <m/>
    <m/>
    <m/>
    <m/>
    <m/>
    <s v="n/a"/>
    <x v="1"/>
    <s v="5"/>
    <s v="21"/>
    <s v="n/a"/>
    <s v="https://libcat.colorado.edu/Record/b3276556"/>
    <s v="y"/>
    <s v="n/a"/>
    <s v="n/a"/>
    <n v="27345754"/>
    <s v="Japanese"/>
    <s v="Shōwa Man'yōshū"/>
    <s v="Shōwa Man'yōshū"/>
    <s v="昭和萬葉集 ; 昭和12年-14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07"/>
    <m/>
    <m/>
    <m/>
    <m/>
    <m/>
    <m/>
    <s v="n/a"/>
    <x v="1"/>
    <s v="7"/>
    <s v="21"/>
    <s v="n/a"/>
    <s v="https://libcat.colorado.edu/Record/b3276556"/>
    <s v="y"/>
    <s v="n/a"/>
    <s v="n/a"/>
    <n v="27345754"/>
    <s v="Japanese"/>
    <s v="Shōwa Man'yōshū"/>
    <s v="Shōwa Man'yōshū"/>
    <s v="昭和萬葉集 ; 昭和15年-16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08"/>
    <m/>
    <m/>
    <m/>
    <m/>
    <m/>
    <m/>
    <s v="n/a"/>
    <x v="1"/>
    <s v="8"/>
    <s v="21"/>
    <s v="n/a"/>
    <s v="https://libcat.colorado.edu/Record/b3276556"/>
    <s v="y"/>
    <s v="n/a"/>
    <s v="n/a"/>
    <n v="27345754"/>
    <s v="Japanese"/>
    <s v="Shōwa Man'yōshū"/>
    <s v="Shōwa Man'yōshū"/>
    <s v="昭和萬葉集 ; 昭和16年-20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09"/>
    <m/>
    <m/>
    <m/>
    <m/>
    <m/>
    <m/>
    <s v="n/a"/>
    <x v="1"/>
    <s v="9"/>
    <s v="21"/>
    <s v="n/a"/>
    <s v="https://libcat.colorado.edu/Record/b3276556"/>
    <s v="y"/>
    <s v="n/a"/>
    <s v="n/a"/>
    <n v="27345754"/>
    <s v="Japanese"/>
    <s v="Shōwa Man'yōshū"/>
    <s v="Shōwa Man'yōshū"/>
    <s v="昭和萬葉集 ; 昭和20年-22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1"/>
    <m/>
    <m/>
    <m/>
    <m/>
    <m/>
    <m/>
    <s v="n/a"/>
    <x v="1"/>
    <s v="10"/>
    <s v="21"/>
    <s v="n/a"/>
    <s v="https://libcat.colorado.edu/Record/b3276556"/>
    <s v="y"/>
    <s v="n/a"/>
    <s v="n/a"/>
    <n v="27345754"/>
    <s v="Japanese"/>
    <s v="Shōwa Man'yōshū"/>
    <s v="Shōwa Man'yōshū"/>
    <s v="昭和萬葉集 ; 昭和23年-24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12"/>
    <m/>
    <m/>
    <m/>
    <m/>
    <m/>
    <m/>
    <s v="n/a"/>
    <x v="1"/>
    <s v="12"/>
    <s v="21"/>
    <s v="n/a"/>
    <s v="https://libcat.colorado.edu/Record/b3276556"/>
    <s v="y"/>
    <s v="n/a"/>
    <s v="n/a"/>
    <n v="27345754"/>
    <s v="Japanese"/>
    <s v="Shōwa Man'yōshū"/>
    <s v="Shōwa Man'yōshū"/>
    <s v="昭和萬葉集 ; 昭和25年-26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14"/>
    <m/>
    <m/>
    <m/>
    <m/>
    <m/>
    <m/>
    <s v="n/a"/>
    <x v="1"/>
    <s v="14"/>
    <s v="21"/>
    <s v="n/a"/>
    <s v="https://libcat.colorado.edu/Record/b3276556"/>
    <s v="y"/>
    <s v="n/a"/>
    <s v="n/a"/>
    <n v="27345754"/>
    <s v="Japanese"/>
    <s v="Shōwa Man'yōshū"/>
    <s v="Shōwa Man'yōshū"/>
    <s v="昭和萬葉集 ; 昭和27年-29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15"/>
    <m/>
    <m/>
    <m/>
    <m/>
    <m/>
    <m/>
    <s v="n/a"/>
    <x v="1"/>
    <s v="15"/>
    <s v="21"/>
    <s v="n/a"/>
    <s v="https://libcat.colorado.edu/Record/b3276556"/>
    <s v="y"/>
    <s v="n/a"/>
    <s v="n/a"/>
    <n v="27345754"/>
    <s v="Japanese"/>
    <s v="Shōwa Man'yōshū"/>
    <s v="Shōwa Man'yōshū"/>
    <s v="昭和萬葉集 ; 昭和30年-31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16"/>
    <m/>
    <m/>
    <m/>
    <m/>
    <m/>
    <m/>
    <s v="n/a"/>
    <x v="1"/>
    <s v="14"/>
    <s v="21"/>
    <s v="n/a"/>
    <s v="https://libcat.colorado.edu/Record/b3276556"/>
    <s v="y"/>
    <s v="n/a"/>
    <s v="n/a"/>
    <n v="27345754"/>
    <s v="Japanese"/>
    <s v="Shōwa Man'yōshū"/>
    <s v="Shōwa Man'yōshū"/>
    <s v="昭和萬葉集 ; 昭和32年-34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17"/>
    <m/>
    <m/>
    <m/>
    <m/>
    <m/>
    <m/>
    <s v="n/a"/>
    <x v="1"/>
    <s v="17"/>
    <s v="21"/>
    <s v="n/a"/>
    <s v="https://libcat.colorado.edu/Record/b3276556"/>
    <s v="y"/>
    <s v="n/a"/>
    <s v="n/a"/>
    <n v="27345754"/>
    <s v="Japanese"/>
    <s v="Shōwa Man'yōshū"/>
    <s v="Shōwa Man'yōshū"/>
    <s v="昭和萬葉集 ; 昭和35年-38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19.19"/>
    <m/>
    <m/>
    <m/>
    <m/>
    <m/>
    <m/>
    <s v="n/a"/>
    <x v="1"/>
    <s v="19"/>
    <s v="21"/>
    <s v="n/a"/>
    <s v="https://libcat.colorado.edu/Record/b3276556"/>
    <s v="y"/>
    <s v="n/a"/>
    <s v="n/a"/>
    <n v="27345754"/>
    <s v="Japanese"/>
    <s v="Shōwa Man'yōshū"/>
    <s v="Shōwa Man'yōshū"/>
    <s v="昭和萬葉集 ; 昭和39年-42年 "/>
    <s v="Tsuchiya, Bunmei ^ Toki, Zenmaro ^ Matsumura, Eiichi ^ Ōta, Seikyū"/>
    <s v="土屋文明 ^ 土岐善麿 ^ 松村英一 ^ 太田青丘"/>
    <s v="n/a"/>
    <s v="n/a"/>
    <x v="4"/>
    <x v="1"/>
    <x v="63"/>
    <s v="n/a"/>
    <s v="n/a"/>
    <s v="n/a"/>
    <s v="Waka ^ Japanese poetry -- Shōwa period, 1926-1989 ^ Japanese poetry -- Shōwa period ^ Waka ^ 1926-1989"/>
    <s v="0"/>
    <m/>
    <m/>
  </r>
  <r>
    <n v="120"/>
    <m/>
    <m/>
    <m/>
    <m/>
    <m/>
    <m/>
    <s v="n/a"/>
    <x v="0"/>
    <s v="n/a"/>
    <s v="n/a"/>
    <s v="n/a"/>
    <s v="n"/>
    <s v="n"/>
    <s v="n/a"/>
    <s v="n/a"/>
    <n v="51739414"/>
    <s v="Japanese"/>
    <s v="Visiting the Traces of the Kushan Dynasty - ChatGPT translation"/>
    <s v="Kushān ōchō no ato o tazunete"/>
    <s v="クシャーン王朝の跡を訪ねて"/>
    <s v="Inoue, Yasushi"/>
    <s v="井上靖"/>
    <s v="n/a"/>
    <s v="n/a"/>
    <x v="35"/>
    <x v="36"/>
    <x v="45"/>
    <s v="Shōwa 57"/>
    <s v="n/a"/>
    <s v="n/a"/>
    <s v="n/a"/>
    <m/>
    <m/>
    <m/>
  </r>
  <r>
    <n v="121"/>
    <m/>
    <m/>
    <m/>
    <m/>
    <m/>
    <m/>
    <s v="n/a"/>
    <x v="3"/>
    <s v="n/a"/>
    <s v="n/a"/>
    <s v="n"/>
    <s v="https://libcat.colorado.edu/Record/b1185536"/>
    <s v="y"/>
    <n v="9780804804219"/>
    <s v="0804804214"/>
    <n v="518409"/>
    <s v="English"/>
    <s v="n/a"/>
    <s v="A net of fireflies: Japanese haiku and haiku paintings"/>
    <s v="A net of fireflies: Japanese haiku and haiku paintings"/>
    <s v="Stewart, Harold"/>
    <s v="n/a"/>
    <s v="n/a"/>
    <s v="n/a"/>
    <x v="3"/>
    <x v="1"/>
    <x v="47"/>
    <s v="n/a"/>
    <s v="[1st ed.]. Twelfth printing"/>
    <s v="n/a"/>
    <s v="Haiku ^ Japanese poetry -- Translations into English ^ Painting, Japanese ^ Haiku ^ Japanese poetry ^ Painting, Japanese ^ Haiku ^ Translations ^ Haiku"/>
    <m/>
    <m/>
    <m/>
  </r>
  <r>
    <n v="122"/>
    <m/>
    <m/>
    <m/>
    <m/>
    <m/>
    <m/>
    <s v="n/a"/>
    <x v="0"/>
    <s v="n/a"/>
    <s v="n/a"/>
    <s v="n/a"/>
    <s v="n"/>
    <s v="n"/>
    <s v="n/a"/>
    <s v="n/a"/>
    <n v="556057352"/>
    <s v="Japanese"/>
    <s v="The Hometown of History: Yamato - ChatGPT translation"/>
    <s v="Rekishi no furusato Yamato"/>
    <s v="歴史のふるさと大和"/>
    <s v="Watarai, Keisuke"/>
    <s v="渡会恵介"/>
    <s v="n/a"/>
    <s v="n/a"/>
    <x v="36"/>
    <x v="37"/>
    <x v="43"/>
    <s v="Shōwa 38"/>
    <s v="n/a"/>
    <s v="n/a"/>
    <s v="Travel ^ History ^ 奈良県(Japan); History ^ Nara-ken (Japan) -- History ^ Nara-ken (Japan) -- Description and travel ^ Japan -- Nara-ken"/>
    <m/>
    <m/>
    <m/>
  </r>
  <r>
    <n v="123.01"/>
    <m/>
    <m/>
    <m/>
    <m/>
    <m/>
    <s v="ask JPT to purchase instead"/>
    <s v="n/a"/>
    <x v="3"/>
    <s v="1"/>
    <s v="10"/>
    <s v="n/a"/>
    <s v="n"/>
    <s v="n"/>
    <s v="n/a"/>
    <s v="n/a"/>
    <n v="19275943"/>
    <s v="Japanese"/>
    <s v="Osaragi Jiro's Selection: Modern Novels; Floral Pattern - ChatGPT translation"/>
    <s v="Osaragi Jirō jisenshū: gendai shōsetsu"/>
    <s v="大佛次郎自選集: 現代小說 ; 花紋"/>
    <s v="Osaragi, Jirō"/>
    <s v="大佛次郎"/>
    <s v="n/a"/>
    <s v="n/a"/>
    <x v="25"/>
    <x v="1"/>
    <x v="64"/>
    <s v="n/a"/>
    <s v="n/a"/>
    <s v="n/a"/>
    <s v="n/a"/>
    <m/>
    <m/>
    <m/>
  </r>
  <r>
    <n v="123.02"/>
    <m/>
    <m/>
    <m/>
    <m/>
    <m/>
    <s v="ask JPT to purchase instead"/>
    <s v="n/a"/>
    <x v="3"/>
    <s v="2"/>
    <s v="10"/>
    <s v="n/a"/>
    <s v="n"/>
    <s v="n"/>
    <s v="n/a"/>
    <s v="n/a"/>
    <n v="19275943"/>
    <s v="Japanese"/>
    <s v="Osaragi Jiro's Selection: Modern Novels; Ice Stairs - ChatGPT translation"/>
    <s v="Osaragi Jirō jisenshū: gendai shōsetsu"/>
    <s v="大佛次郎自選集: 現代小說 ; 氷の階段"/>
    <s v="Osaragi, Jirō"/>
    <s v="大佛次郎"/>
    <s v="n/a"/>
    <s v="n/a"/>
    <x v="25"/>
    <x v="1"/>
    <x v="64"/>
    <s v="n/a"/>
    <s v="n/a"/>
    <s v="n/a"/>
    <s v="n/a"/>
    <m/>
    <m/>
    <m/>
  </r>
  <r>
    <n v="123.03"/>
    <m/>
    <m/>
    <m/>
    <m/>
    <m/>
    <s v="ask JPT to purchase instead"/>
    <s v="n/a"/>
    <x v="3"/>
    <s v="3"/>
    <s v="10"/>
    <s v="n/a"/>
    <s v="n"/>
    <s v="n"/>
    <s v="n/a"/>
    <s v="n/a"/>
    <n v="19275943"/>
    <s v="Japanese"/>
    <s v="Osaragi Jiro's Selection: Modern Novels; Midsummer Night's Dream, Funny Guy, Kuroshio - ChatGPT translation"/>
    <s v="Osaragi Jirō jisenshū: gendai shōsetsu"/>
    <s v="大佛次郎自選集: 現代小說 ; 真夏の夜の夢. おかしな奴. 黒潮"/>
    <s v="Osaragi, Jirō"/>
    <s v="大佛次郎"/>
    <s v="n/a"/>
    <s v="n/a"/>
    <x v="25"/>
    <x v="1"/>
    <x v="64"/>
    <s v="n/a"/>
    <s v="n/a"/>
    <s v="n/a"/>
    <s v="n/a"/>
    <m/>
    <m/>
    <m/>
  </r>
  <r>
    <n v="123.04"/>
    <m/>
    <m/>
    <m/>
    <m/>
    <m/>
    <s v="ask JPT to purchase instead"/>
    <s v="n/a"/>
    <x v="3"/>
    <s v="4"/>
    <s v="10"/>
    <s v="n/a"/>
    <s v="n"/>
    <s v="n"/>
    <s v="n/a"/>
    <s v="n/a"/>
    <n v="19275943"/>
    <s v="Japanese"/>
    <s v="Osaragi Jiro's Selection: Modern Novels; Return Home - ChatGPT translation"/>
    <s v="Osaragi Jirō jisenshū: gendai shōsetsu"/>
    <s v="大佛次郎自選集: 現代小說 ; 帰鄉"/>
    <s v="Osaragi, Jirō"/>
    <s v="大佛次郎"/>
    <s v="n/a"/>
    <s v="n/a"/>
    <x v="25"/>
    <x v="1"/>
    <x v="64"/>
    <s v="n/a"/>
    <s v="n/a"/>
    <s v="n/a"/>
    <s v="n/a"/>
    <s v="0"/>
    <m/>
    <m/>
  </r>
  <r>
    <n v="123.05"/>
    <m/>
    <m/>
    <m/>
    <m/>
    <m/>
    <s v="ask JPT to purchase instead"/>
    <s v="n/a"/>
    <x v="3"/>
    <s v="5"/>
    <s v="10"/>
    <s v="n/a"/>
    <s v="n"/>
    <s v="n"/>
    <s v="n/a"/>
    <s v="n/a"/>
    <n v="19275943"/>
    <s v="Japanese"/>
    <s v="Osaragi Jiro's Selection: Modern Novels; Sôgata Sisters - ChatGPT translation"/>
    <s v="Osaragi Jirō jisenshū: gendai shōsetsu"/>
    <s v="大佛次郎自選集: 現代小說 ; 宗方姉妹"/>
    <s v="Osaragi, Jirō"/>
    <s v="大佛次郎"/>
    <s v="n/a"/>
    <s v="n/a"/>
    <x v="25"/>
    <x v="1"/>
    <x v="64"/>
    <s v="n/a"/>
    <s v="n/a"/>
    <s v="n/a"/>
    <s v="n/a"/>
    <s v="0"/>
    <m/>
    <m/>
  </r>
  <r>
    <n v="123.06"/>
    <m/>
    <m/>
    <m/>
    <m/>
    <m/>
    <s v="try to buy, not in donation"/>
    <s v="n/a"/>
    <x v="3"/>
    <s v="6"/>
    <s v="10"/>
    <s v="n/a"/>
    <s v="n"/>
    <s v="n"/>
    <s v="n/a"/>
    <s v="n/a"/>
    <n v="19275943"/>
    <s v="Japanese"/>
    <s v="Osaragi Jiro's Selection: Modern Novels; Journey - ChatGPT translation"/>
    <s v="Osaragi Jirō jisenshū: gendai shōsetsu"/>
    <s v="大佛次郎自選集: 現代小說 ; 旅路"/>
    <s v="Osaragi, Jirō"/>
    <s v="大佛次郎"/>
    <s v="n/a"/>
    <s v="n/a"/>
    <x v="25"/>
    <x v="1"/>
    <x v="64"/>
    <s v="n/a"/>
    <s v="n/a"/>
    <s v="n/a"/>
    <s v="n/a"/>
    <s v="0"/>
    <m/>
    <m/>
  </r>
  <r>
    <n v="123.07"/>
    <m/>
    <m/>
    <m/>
    <m/>
    <m/>
    <s v="try to buy, not in donation"/>
    <s v="n/a"/>
    <x v="3"/>
    <s v="7"/>
    <s v="10"/>
    <s v="n/a"/>
    <s v="n"/>
    <s v="n"/>
    <s v="n/a"/>
    <s v="n/a"/>
    <n v="19275943"/>
    <s v="Japanese"/>
    <s v="Osaragi Jiro's Selection: Modern Novels; Balloon - ChatGPT translation"/>
    <s v="Osaragi Jirō jisenshū: gendai shōsetsu"/>
    <s v="大佛次郎自選集: 現代小說 ; 風船"/>
    <s v="Osaragi, Jirō"/>
    <s v="大佛次郎"/>
    <s v="n/a"/>
    <s v="n/a"/>
    <x v="25"/>
    <x v="1"/>
    <x v="64"/>
    <s v="n/a"/>
    <s v="n/a"/>
    <s v="n/a"/>
    <s v="n/a"/>
    <s v="0"/>
    <m/>
    <m/>
  </r>
  <r>
    <n v="123.08"/>
    <m/>
    <m/>
    <m/>
    <m/>
    <m/>
    <s v="ask JPT to purchase instead"/>
    <s v="n/a"/>
    <x v="3"/>
    <s v="8"/>
    <s v="10"/>
    <s v="n/a"/>
    <s v="n"/>
    <s v="n"/>
    <s v="n/a"/>
    <s v="n/a"/>
    <n v="19275943"/>
    <s v="Japanese"/>
    <s v="Osaragi Jiro's Selection: Modern Novels; Warm Winter - ChatGPT translation"/>
    <s v="Osaragi Jirō jisenshū: gendai shōsetsu"/>
    <s v="大佛次郎自選集: 現代小說 ; 冬あたたか"/>
    <s v="Osaragi, Jirō"/>
    <s v="大佛次郎"/>
    <s v="n/a"/>
    <s v="n/a"/>
    <x v="25"/>
    <x v="1"/>
    <x v="64"/>
    <s v="n/a"/>
    <s v="n/a"/>
    <s v="n/a"/>
    <s v="n/a"/>
    <s v="0"/>
    <m/>
    <m/>
  </r>
  <r>
    <n v="123.09"/>
    <m/>
    <m/>
    <m/>
    <m/>
    <m/>
    <s v="try to buy, not in donation"/>
    <s v="n/a"/>
    <x v="3"/>
    <s v="9"/>
    <s v="10"/>
    <s v="n/a"/>
    <s v="n"/>
    <s v="n"/>
    <s v="n/a"/>
    <s v="n/a"/>
    <n v="19275943"/>
    <s v="Japanese"/>
    <s v="Osaragi Jiro's Selection: Modern Novels; New Tree - ChatGPT translation"/>
    <s v="Osaragi Jirō jisenshū: gendai shōsetsu"/>
    <s v="大佛次郎自選集: 現代小說 ; 新樹"/>
    <s v="Osaragi, Jirō"/>
    <s v="大佛次郎"/>
    <s v="n/a"/>
    <s v="n/a"/>
    <x v="25"/>
    <x v="1"/>
    <x v="64"/>
    <s v="n/a"/>
    <s v="n/a"/>
    <s v="n/a"/>
    <s v="n/a"/>
    <s v="0"/>
    <m/>
    <m/>
  </r>
  <r>
    <n v="123.1"/>
    <m/>
    <m/>
    <m/>
    <m/>
    <m/>
    <s v="try to buy, not in donation"/>
    <s v="n/a"/>
    <x v="3"/>
    <s v="10"/>
    <s v="10"/>
    <s v="n/a"/>
    <s v="n"/>
    <s v="n"/>
    <s v="n/a"/>
    <s v="n/a"/>
    <n v="19275943"/>
    <s v="Japanese"/>
    <s v="Osaragi Jiro's Selection: Modern Novels; Clown - ChatGPT translation"/>
    <s v="Osaragi Jirō jisenshū: gendai shōsetsu"/>
    <s v="大佛次郎自選集: 現代小說 ; 道化師"/>
    <s v="Osaragi, Jirō"/>
    <s v="大佛次郎"/>
    <s v="n/a"/>
    <s v="n/a"/>
    <x v="25"/>
    <x v="1"/>
    <x v="64"/>
    <s v="n/a"/>
    <s v="n/a"/>
    <s v="n/a"/>
    <s v="n/a"/>
    <s v="0"/>
    <m/>
    <m/>
  </r>
  <r>
    <n v="124.02"/>
    <m/>
    <m/>
    <m/>
    <m/>
    <m/>
    <s v="investigate purchasing set"/>
    <s v="n/a"/>
    <x v="0"/>
    <s v="2"/>
    <s v="6"/>
    <s v="n/a"/>
    <s v="n"/>
    <s v="n"/>
    <s v="n/a"/>
    <s v="n/a"/>
    <n v="24323023"/>
    <s v="Japanese"/>
    <s v="Spiritual History of the Japanese: Medieval Views on Life, Death, and Religion"/>
    <s v="Nihonjin no seishinshi"/>
    <s v="日本人の精神史: 中世の生死と宗教観"/>
    <s v="Kamei, Katsuichirō ^ Kamei, Ayako"/>
    <s v="龜井勝一郎 ^ 亀井斐子 ^ writer of added commentary"/>
    <s v="n/a"/>
    <s v="n/a"/>
    <x v="37"/>
    <x v="1"/>
    <x v="65"/>
    <s v="Shōwa 42"/>
    <s v="n/a"/>
    <s v="n/a"/>
    <s v="Civilization ^ Japan -- Civilization ^ Japan"/>
    <m/>
    <m/>
    <m/>
  </r>
  <r>
    <n v="125.02"/>
    <m/>
    <m/>
    <m/>
    <m/>
    <m/>
    <m/>
    <s v="n/a"/>
    <x v="0"/>
    <s v="2"/>
    <s v="4?"/>
    <s v="n/a"/>
    <s v="n"/>
    <s v="n"/>
    <s v="n/a"/>
    <s v="n/a"/>
    <n v="27694681"/>
    <s v="Japanese"/>
    <s v="Pursuit of Enlightenment and Preferences of the Dynasty: Studies in the Spiritual History of the Japanese"/>
    <s v="Ōchō no kyūdō to irogonomi: Nihonjin no seishinshi kenkyū"/>
    <s v="王朝の求道と色好み: 日本人の精神史研究"/>
    <s v="Kamei, Katsuichirō"/>
    <s v="亀井勝一郎 ^ 亀井勝一郎"/>
    <s v="Nihonjin no seishinshi kenkyū"/>
    <s v="日本人の精神史研究"/>
    <x v="37"/>
    <x v="38"/>
    <x v="60"/>
    <s v="Shōwa 37"/>
    <s v="n/a"/>
    <s v="n/a"/>
    <s v="Civilization ^ Courts and courtiers ^ To 1600 ^ Japan -- Court and courtiers ^ Japan -- Civilization -- To 1600 ^ Japan ^ 日本文学; 歴史; 平安時代"/>
    <m/>
    <m/>
    <m/>
  </r>
  <r>
    <n v="126.11"/>
    <m/>
    <m/>
    <m/>
    <m/>
    <m/>
    <m/>
    <s v="n/a"/>
    <x v="0"/>
    <s v="11"/>
    <s v="n/a"/>
    <s v="n/a"/>
    <s v="n"/>
    <s v="n"/>
    <s v="n/a"/>
    <s v="n/a"/>
    <n v="33687664"/>
    <s v="Japanese"/>
    <s v="Awakening of China"/>
    <s v="Chūgoku no mezame"/>
    <s v="中国のめざめ"/>
    <s v="Miyazaki, Ichisada"/>
    <s v="宮崎市定"/>
    <s v="Tōyō no rekishi"/>
    <s v="東洋の歴史"/>
    <x v="36"/>
    <x v="37"/>
    <x v="65"/>
    <s v="Shōwa 42"/>
    <s v="n/a"/>
    <s v="初版"/>
    <s v="孫逸仙, 1866-1925. 孫逸仙, 1866-1925 ^ Sun, Yat-sen, 1866-1925 ^ Sun, Yat-sen, 1866-1925 ^ History ^ 1911-1928 ^ China -- History -- Revolution, 1911-1912 ^ China -- History -- 1912-1928 ^ China ^ 中国; 歴史; 民国時代"/>
    <s v="0"/>
    <m/>
    <m/>
  </r>
  <r>
    <n v="127.01"/>
    <m/>
    <m/>
    <m/>
    <m/>
    <m/>
    <m/>
    <s v="n/a"/>
    <x v="0"/>
    <s v="1"/>
    <s v="4"/>
    <s v="n/a"/>
    <s v="n"/>
    <s v="n"/>
    <s v="n/a"/>
    <s v="n/a"/>
    <n v="1225802171"/>
    <s v="Japanese"/>
    <s v="Complete Works of Herbert Norman"/>
    <s v="Hābāto Nōman zenshū"/>
    <s v="ハーバート・ノーマン全集"/>
    <s v="Norman, E. Herbert"/>
    <s v="大窪愿二"/>
    <s v="n/a"/>
    <s v="n/a"/>
    <x v="7"/>
    <x v="8"/>
    <x v="66"/>
    <s v="n/a"/>
    <s v="n/a"/>
    <s v="n/a"/>
    <s v="Draft -- Japan ^ Peasants -- Japan ^ Draft ^ Intellectual life ^ Peasants ^ Politics and government ^ 安藤昌益, active 1744-1763 ^ Andō, Shōeki, active 1744-1763 ^ Norman, E. Herbert, 1909-1957 ^ Andō, Shōeki, fl. 1744-1763 ^ Norman, E. Herbert, 1909-1957 ^ Norman, E. Herbert, 1909-1957 ^ Andō, Shōeki, active 1744-1763 ^ History ^ Since 1600 ^ Japan -- Politics and government -- 1868- ^ Japan -- Intellectual life -- 1600-1868 ^ Japan -- History -- Meiji period, 1868-1912 ^ Japan"/>
    <s v="0"/>
    <m/>
    <m/>
  </r>
  <r>
    <n v="127.02"/>
    <m/>
    <m/>
    <m/>
    <m/>
    <m/>
    <m/>
    <s v="n/a"/>
    <x v="0"/>
    <s v="2"/>
    <s v="4"/>
    <s v="n/a"/>
    <s v="n"/>
    <s v="n"/>
    <s v="n/a"/>
    <s v="n/a"/>
    <n v="1225802171"/>
    <s v="Japanese"/>
    <s v="Complete Works of Herbert Norman"/>
    <s v="Hābāto Nōman zenshū"/>
    <s v="ハーバート・ノーマン全集"/>
    <s v="Norman, E. Herbert"/>
    <s v="大窪愿二"/>
    <s v="n/a"/>
    <s v="n/a"/>
    <x v="7"/>
    <x v="8"/>
    <x v="66"/>
    <s v="n/a"/>
    <s v="n/a"/>
    <s v="n/a"/>
    <s v="Draft -- Japan ^ Peasants -- Japan ^ Draft ^ Intellectual life ^ Peasants ^ Politics and government ^ 安藤昌益, active 1744-1763 ^ Andō, Shōeki, active 1744-1763 ^ Norman, E. Herbert, 1909-1957 ^ Andō, Shōeki, fl. 1744-1763 ^ Norman, E. Herbert, 1909-1957 ^ Norman, E. Herbert, 1909-1957 ^ Andō, Shōeki, active 1744-1763 ^ History ^ Since 1600 ^ Japan -- Politics and government -- 1868- ^ Japan -- Intellectual life -- 1600-1868 ^ Japan -- History -- Meiji period, 1868-1912 ^ Japan"/>
    <s v="0"/>
    <m/>
    <m/>
  </r>
  <r>
    <n v="127.03"/>
    <m/>
    <m/>
    <m/>
    <m/>
    <m/>
    <m/>
    <s v="n/a"/>
    <x v="0"/>
    <s v="3"/>
    <s v="4"/>
    <s v="n/a"/>
    <s v="n"/>
    <s v="n"/>
    <s v="n/a"/>
    <s v="n/a"/>
    <n v="1225802171"/>
    <s v="Japanese"/>
    <s v="Complete Works of Herbert Norman"/>
    <s v="Hābāto Nōman zenshū"/>
    <s v="ハーバート・ノーマン全集"/>
    <s v="Norman, E. Herbert"/>
    <s v="大窪愿二"/>
    <s v="n/a"/>
    <s v="n/a"/>
    <x v="7"/>
    <x v="8"/>
    <x v="66"/>
    <s v="n/a"/>
    <s v="n/a"/>
    <s v="n/a"/>
    <s v="Draft -- Japan ^ Peasants -- Japan ^ Draft ^ Intellectual life ^ Peasants ^ Politics and government ^ 安藤昌益, active 1744-1763 ^ Andō, Shōeki, active 1744-1763 ^ Norman, E. Herbert, 1909-1957 ^ Andō, Shōeki, fl. 1744-1763 ^ Norman, E. Herbert, 1909-1957 ^ Norman, E. Herbert, 1909-1957 ^ Andō, Shōeki, active 1744-1763 ^ History ^ Since 1600 ^ Japan -- Politics and government -- 1868- ^ Japan -- Intellectual life -- 1600-1868 ^ Japan -- History -- Meiji period, 1868-1912 ^ Japan"/>
    <s v="0"/>
    <m/>
    <m/>
  </r>
  <r>
    <n v="127.04"/>
    <m/>
    <m/>
    <m/>
    <m/>
    <m/>
    <m/>
    <s v="n/a"/>
    <x v="0"/>
    <s v="4"/>
    <s v="4"/>
    <s v="n/a"/>
    <s v="n"/>
    <s v="n"/>
    <s v="n/a"/>
    <s v="n/a"/>
    <n v="1225802171"/>
    <s v="Japanese"/>
    <s v="Complete Works of Herbert Norman"/>
    <s v="Hābāto Nōman zenshū"/>
    <s v="ハーバート・ノーマン全集"/>
    <s v="Norman, E. Herbert"/>
    <s v="大窪愿二"/>
    <s v="n/a"/>
    <s v="n/a"/>
    <x v="7"/>
    <x v="8"/>
    <x v="66"/>
    <s v="n/a"/>
    <s v="n/a"/>
    <s v="n/a"/>
    <s v="Draft -- Japan ^ Peasants -- Japan ^ Draft ^ Intellectual life ^ Peasants ^ Politics and government ^ 安藤昌益, active 1744-1763 ^ Andō, Shōeki, active 1744-1763 ^ Norman, E. Herbert, 1909-1957 ^ Andō, Shōeki, fl. 1744-1763 ^ Norman, E. Herbert, 1909-1957 ^ Norman, E. Herbert, 1909-1957 ^ Andō, Shōeki, active 1744-1763 ^ History ^ Since 1600 ^ Japan -- Politics and government -- 1868- ^ Japan -- Intellectual life -- 1600-1868 ^ Japan -- History -- Meiji period, 1868-1912 ^ Japan"/>
    <s v="0"/>
    <m/>
    <m/>
  </r>
  <r>
    <n v="128"/>
    <m/>
    <m/>
    <m/>
    <m/>
    <m/>
    <m/>
    <s v="https://www.amazon.co.jp/dp/4642065466"/>
    <x v="0"/>
    <s v="46"/>
    <s v="n/a"/>
    <s v="n"/>
    <s v="n"/>
    <s v="n"/>
    <n v="9784642065467"/>
    <s v="4642065466"/>
    <n v="25875978"/>
    <s v="Japanese"/>
    <s v="Ansei Purge"/>
    <s v="Ansei no Taigogu"/>
    <s v="安政の大獄"/>
    <s v="Yoshida, Tsunekichi"/>
    <s v="吉田常吉"/>
    <s v="Nihon rekishi sōsho"/>
    <s v="日本歴史叢書"/>
    <x v="38"/>
    <x v="39"/>
    <x v="6"/>
    <s v="Heisei 3"/>
    <s v="n/a"/>
    <s v="n/a"/>
    <s v="Politics and government ^ History ^ 1600-1868 ^ Japan -- Politics and government -- 1600-1868 ^ Japan -- History -- Ansei Purge, 1858-1860 ^ Japan"/>
    <s v="0"/>
    <m/>
    <m/>
  </r>
  <r>
    <n v="129"/>
    <m/>
    <m/>
    <m/>
    <m/>
    <m/>
    <s v="NDL record"/>
    <s v="n/a"/>
    <x v="2"/>
    <s v="n/a"/>
    <s v="n/a"/>
    <s v="n/a"/>
    <s v="n"/>
    <s v="n"/>
    <s v="n/a"/>
    <s v="n/a"/>
    <n v="1020953423"/>
    <s v="Japanese"/>
    <s v="Japan: Appearance and Reality"/>
    <s v="Nihon: mikake to shinsō"/>
    <s v="日本: 見かけと真相"/>
    <s v="Kinoshita, Hideo ^ Halloran, Richard"/>
    <s v="木下秀夫"/>
    <s v="n/a"/>
    <s v="n/a"/>
    <x v="3"/>
    <x v="40"/>
    <x v="41"/>
    <s v="Shōwa 45"/>
    <s v="n/a"/>
    <s v="n/a"/>
    <s v="日本 ーー 歴史 ーー 明治以後; 日本 ーー 社会 ^ Nihon -- rekishi -- meijiigo ^ Nihon -- shakai"/>
    <s v="0"/>
    <m/>
    <m/>
  </r>
  <r>
    <n v="130.56"/>
    <m/>
    <m/>
    <m/>
    <m/>
    <m/>
    <m/>
    <s v="https://www.amazon.co.jp/dp/4165105600"/>
    <x v="3"/>
    <s v="n/a"/>
    <s v="n/a"/>
    <s v="n"/>
    <s v="n"/>
    <s v="n"/>
    <n v="9784165105602"/>
    <s v="4165105600"/>
    <n v="835722391"/>
    <s v="Japanese"/>
    <s v="Complete Works of Ryōtarō Shiba - Volume 56"/>
    <s v="Shiba Ryōtarō zenshū"/>
    <s v="司馬遼太郎全集. 第56卷"/>
    <s v="Shiba, Ryōtarō"/>
    <s v="司馬遼太郎"/>
    <s v="n/a"/>
    <s v="n/a"/>
    <x v="13"/>
    <x v="16"/>
    <x v="21"/>
    <s v="Heisei 11"/>
    <s v="n/a"/>
    <s v="n/a"/>
    <s v="n/a"/>
    <s v="0"/>
    <m/>
    <m/>
  </r>
  <r>
    <n v="131.11000000000001"/>
    <m/>
    <m/>
    <m/>
    <m/>
    <m/>
    <m/>
    <s v="n/a"/>
    <x v="2"/>
    <s v="12"/>
    <s v="n/a"/>
    <s v="n/a"/>
    <s v="n"/>
    <s v="n"/>
    <s v="n/a"/>
    <s v="n/a"/>
    <n v="20769401"/>
    <s v="Japanese"/>
    <s v="Zeng Guofan"/>
    <s v="Sō Kokuhan"/>
    <s v="曾国藩"/>
    <s v="Kondō, Hideki"/>
    <s v="近藤秀樹 ^ 宮崎市定"/>
    <s v="Chūgoku jinbutsu sōsho"/>
    <s v="中国人物叢書. 第1期"/>
    <x v="3"/>
    <x v="41"/>
    <x v="2"/>
    <s v="Shōwa 41"/>
    <s v="n/a"/>
    <s v="初版"/>
    <s v="曾国藩, 1811-1872 ^ Zeng, Guofan, 1811-1872 ^ Zeng, Guofan, 1811-1872 ^ History ^ 1850-1864 ^ China -- History -- Foreign intervention, 1857-1861 ^ China -- History -- Taiping Rebellion, 1850-1864 ^ China"/>
    <s v="0"/>
    <m/>
    <m/>
  </r>
  <r>
    <n v="131.12"/>
    <m/>
    <m/>
    <m/>
    <m/>
    <m/>
    <m/>
    <s v="n/a"/>
    <x v="2"/>
    <s v="11"/>
    <s v="n/a"/>
    <s v="n/a"/>
    <s v="n"/>
    <s v="n"/>
    <s v="n/a"/>
    <s v="n/a"/>
    <n v="20769346"/>
    <s v="Japanese"/>
    <s v="Lin Zexu"/>
    <s v="Rin Sokujo"/>
    <s v="林則徐"/>
    <s v="Horikawa, Tetsuo"/>
    <s v="堀川哲男 ^ 宮崎市定"/>
    <s v="Chūgoku jinbutsu sōsho"/>
    <s v="中国人物叢書. 第1期"/>
    <x v="3"/>
    <x v="41"/>
    <x v="2"/>
    <s v="Shōwa 41"/>
    <s v="n/a"/>
    <s v="初版"/>
    <s v="林則徐, 1785-1850. 林 則徐, 1785-1850 ^ Lin, Zexu, 1785-1850 ^ Lin, Zexu, 1785-1850 ^ Lin, Zexu, 1785-1850 ^ History ^ 1840-1842 ^ China -- History -- Opium War, 1840-1842 ^ China"/>
    <s v="0"/>
    <m/>
    <m/>
  </r>
  <r>
    <n v="132"/>
    <m/>
    <m/>
    <m/>
    <m/>
    <m/>
    <m/>
    <s v="n/a"/>
    <x v="0"/>
    <s v="n/a"/>
    <s v="n/a"/>
    <s v="n/a"/>
    <s v="n"/>
    <s v="n"/>
    <s v="n/a"/>
    <s v="n/a"/>
    <n v="47535271"/>
    <s v="Japanese"/>
    <s v="Waiting and Hoping for God"/>
    <s v="Kami o machinozomu"/>
    <s v="神を待ちのぞむ"/>
    <s v="Weil, Simone ^ Tanabe, Tamotsu ^ Sugiyama, Tsuyoshi"/>
    <s v="田辺保 ^ 杉山毅"/>
    <s v="n/a"/>
    <s v="n/a"/>
    <x v="39"/>
    <x v="42"/>
    <x v="65"/>
    <s v="Shōwa 42"/>
    <s v="n/a"/>
    <s v="n/a"/>
    <s v="God -- Worship and love ^ Dieu -- Adoration et amour ^ God -- Worship and love"/>
    <s v="0"/>
    <m/>
    <m/>
  </r>
  <r>
    <n v="133.01"/>
    <m/>
    <m/>
    <m/>
    <m/>
    <m/>
    <m/>
    <s v="n/a"/>
    <x v="3"/>
    <s v="1"/>
    <s v="11"/>
    <s v="n/a"/>
    <s v="n"/>
    <s v="n"/>
    <s v="n/a"/>
    <s v="n/a"/>
    <n v="33723817"/>
    <s v="Japanese"/>
    <s v="Aden, Arabia"/>
    <s v="Aden arabia"/>
    <s v="アデン・アラビア"/>
    <s v="Nizan, Paul ^ Shinoda, Kōichirō"/>
    <s v="篠田浩一郎"/>
    <s v="Pōru nizan chosakushū"/>
    <s v="ポール・ニザン著作集"/>
    <x v="10"/>
    <x v="43"/>
    <x v="2"/>
    <s v="Shōwa 41"/>
    <s v="n/a"/>
    <s v="n/a"/>
    <s v="n/a"/>
    <s v="0"/>
    <m/>
    <m/>
  </r>
  <r>
    <n v="133.04"/>
    <m/>
    <m/>
    <m/>
    <m/>
    <m/>
    <m/>
    <s v="n/a"/>
    <x v="3"/>
    <s v="4"/>
    <s v="11"/>
    <s v="n/a"/>
    <s v="n"/>
    <s v="n"/>
    <s v="n/a"/>
    <s v="n/a"/>
    <n v="33553252"/>
    <s v="Japanese"/>
    <s v="Trojan Horse"/>
    <s v="Toroi no mokuba"/>
    <s v="トロイの木馬"/>
    <s v="Nizan, Paul ^ Urano, Kinuko"/>
    <s v="浦野衣子"/>
    <s v="Paul Nizan tyosakusyū"/>
    <s v="ポール・ニザン著作集"/>
    <x v="10"/>
    <x v="43"/>
    <x v="41"/>
    <s v="Shōwa 45"/>
    <s v="n/a"/>
    <s v="n/a"/>
    <s v="n/a"/>
    <s v="0"/>
    <m/>
    <m/>
  </r>
  <r>
    <n v="133.05000000000001"/>
    <m/>
    <m/>
    <m/>
    <m/>
    <m/>
    <m/>
    <s v="n/a"/>
    <x v="3"/>
    <s v="5"/>
    <s v="11"/>
    <s v="n/a"/>
    <s v="n"/>
    <s v="n"/>
    <s v="n/a"/>
    <s v="n/a"/>
    <n v="33553279"/>
    <s v="Japanese"/>
    <s v="Conspiracy"/>
    <s v="Inbō"/>
    <s v="陰謀"/>
    <s v="Nizan, Paul ^ Suzuki, Michihiko"/>
    <s v="鈴木道彥"/>
    <s v="Paul Nizan tyosakusyū"/>
    <s v="ポール・ニザン著作集"/>
    <x v="10"/>
    <x v="43"/>
    <x v="10"/>
    <s v="Shōwa 46"/>
    <s v="n/a"/>
    <s v="n/a"/>
    <s v="n/a"/>
    <s v="0"/>
    <m/>
    <m/>
  </r>
  <r>
    <n v="133.06"/>
    <m/>
    <m/>
    <m/>
    <m/>
    <m/>
    <m/>
    <s v="n/a"/>
    <x v="3"/>
    <s v="6"/>
    <s v="11"/>
    <s v="n/a"/>
    <s v="n"/>
    <s v="n"/>
    <s v="n/a"/>
    <s v="n/a"/>
    <n v="33553310"/>
    <s v="Japanese"/>
    <s v="Ancient Materialists"/>
    <s v="Kodai no yuibutsuronshatachi"/>
    <s v="古代の唯物論者たち"/>
    <s v="Nizan, Paul ^ Katō, Haruhisa"/>
    <s v="加藤晴久"/>
    <s v="Paul Nizan tyosakusyū"/>
    <s v="ポール・ニザン著作集"/>
    <x v="10"/>
    <x v="43"/>
    <x v="3"/>
    <s v="Shōwa 49"/>
    <s v="n/a"/>
    <s v="n/a"/>
    <s v="n/a"/>
    <s v="0"/>
    <m/>
    <m/>
  </r>
  <r>
    <n v="133.08000000000001"/>
    <m/>
    <m/>
    <m/>
    <m/>
    <m/>
    <m/>
    <s v="n/a"/>
    <x v="3"/>
    <s v="8"/>
    <s v="11"/>
    <s v="n/a"/>
    <s v="n"/>
    <s v="n"/>
    <s v="n/a"/>
    <s v="n/a"/>
    <n v="33553341"/>
    <s v="Japanese"/>
    <s v="Intellectuals in Crisis"/>
    <s v="Kiki no chishikijin"/>
    <s v="危機の知識人"/>
    <s v="Nizan, Paul ^ Ebisaka, Takeshi"/>
    <s v="海老坂武"/>
    <s v="Paul Nizan tyosakusyū"/>
    <s v="ポール・ニザン著作集"/>
    <x v="10"/>
    <x v="43"/>
    <x v="3"/>
    <s v="Shōwa 49"/>
    <s v="n/a"/>
    <s v="n/a"/>
    <s v="n/a"/>
    <s v="0"/>
    <m/>
    <m/>
  </r>
  <r>
    <n v="133.1"/>
    <m/>
    <m/>
    <m/>
    <m/>
    <m/>
    <m/>
    <s v="n/a"/>
    <x v="3"/>
    <s v="10"/>
    <s v="11"/>
    <s v="n/a"/>
    <s v="n"/>
    <s v="n"/>
    <s v="n/a"/>
    <s v="n/a"/>
    <n v="33723865"/>
    <s v="Japanese"/>
    <s v="Life of Paul Nizan"/>
    <s v="Pōru nizan no shōgai"/>
    <s v="ポール・ニザンの生涯"/>
    <s v="Ginsbourg, Ariel ^ Saeki, Ryūkō"/>
    <s v="佐伯隆幸"/>
    <s v="Pōru nizan chosakushū"/>
    <s v="ポール・ニザン著作集"/>
    <x v="10"/>
    <x v="43"/>
    <x v="37"/>
    <s v="Shōwa 43"/>
    <s v="n/a"/>
    <s v="n/a"/>
    <s v="Nizan, Paul, 1905-1940"/>
    <s v="0"/>
    <m/>
    <m/>
  </r>
  <r>
    <n v="134"/>
    <m/>
    <m/>
    <m/>
    <m/>
    <m/>
    <m/>
    <s v="https://www.amazon.co.jp/dp/4163397000"/>
    <x v="0"/>
    <s v="n/a"/>
    <s v="n/a"/>
    <s v="n"/>
    <s v="n"/>
    <s v="n"/>
    <n v="9784163397009"/>
    <s v="4163397000"/>
    <n v="47395387"/>
    <s v="Japanese"/>
    <s v="America's New Elites"/>
    <s v="Amerika no nyū erīto tachi"/>
    <s v="アメリカのニューエリートたち"/>
    <s v="Haroran, Fumiko"/>
    <s v="ハロラン芙美子"/>
    <s v="n/a"/>
    <s v="n/a"/>
    <x v="13"/>
    <x v="44"/>
    <x v="22"/>
    <s v="Shōwa 60"/>
    <s v="n/a"/>
    <s v="n/a"/>
    <s v="Japanese Americans ^ Cross-cultural studies -- United States ^ Elite (Social sciences) -- United States ^ Central business districts -- Washington (D.C.) ^ Études transculturelles -- États-Unis ^ Élite (Sciences sociales) -- États-Unis ^ Central business districts ^ Cross-cultural studies ^ Elite (Social sciences) ^ Japanese Americans ^ United States ^ Washington (D.C.) ^ アメリカ合衆国"/>
    <s v="0"/>
    <m/>
    <m/>
  </r>
  <r>
    <n v="134"/>
    <m/>
    <m/>
    <m/>
    <m/>
    <m/>
    <m/>
    <s v="https://www.amazon.co.jp/dp/4163397000"/>
    <x v="1"/>
    <s v="n/a"/>
    <s v="n/a"/>
    <s v="n"/>
    <s v="n"/>
    <s v="n"/>
    <n v="9784163397009"/>
    <s v="4163397000"/>
    <n v="47395387"/>
    <s v="Japanese"/>
    <s v="America's New Elites"/>
    <s v="Amerika no nyū erīto tachi"/>
    <s v="アメリカのニューエリートたち"/>
    <s v="Haroran, Fumiko"/>
    <s v="ハロラン芙美子"/>
    <s v="n/a"/>
    <s v="n/a"/>
    <x v="13"/>
    <x v="44"/>
    <x v="22"/>
    <s v="Shōwa 60"/>
    <s v="n/a"/>
    <s v="n/a"/>
    <s v="Japanese Americans ^ Cross-cultural studies -- United States ^ Elite (Social sciences) -- United States ^ Central business districts -- Washington (D.C.) ^ Études transculturelles -- États-Unis ^ Élite (Sciences sociales) -- États-Unis ^ Central business districts ^ Cross-cultural studies ^ Elite (Social sciences) ^ Japanese Americans ^ United States ^ Washington (D.C.) ^ アメリカ合衆国"/>
    <s v="0"/>
    <m/>
    <m/>
  </r>
  <r>
    <n v="135"/>
    <m/>
    <m/>
    <m/>
    <m/>
    <m/>
    <m/>
    <s v="https://www.amazon.co.jp/dp/483201451X"/>
    <x v="0"/>
    <s v="n/a"/>
    <s v="n/a"/>
    <s v="n"/>
    <s v="n"/>
    <s v="n"/>
    <n v="9784832014510"/>
    <s v="483201451X"/>
    <n v="40188118"/>
    <s v="Japanese"/>
    <s v="Melville Island: Diary of a Military Doctor"/>
    <s v="Mereyontō, aru gun'i no nikki"/>
    <s v="メレヨン島・ある軍医の日記"/>
    <s v="Nakano, Kaichi"/>
    <s v="中野嘉一"/>
    <s v="n/a"/>
    <s v="n/a"/>
    <x v="40"/>
    <x v="45"/>
    <x v="7"/>
    <s v="Heisei 7"/>
    <s v="Shohan"/>
    <s v="初版"/>
    <s v="World War, 1939-1945 -- Campaigns -- Caroline Islands ^ World War, 1939-1945 -- Caroline Islands -- Midical care ^ World War, 1939-1945 -- Personal narratives, Japanese ^ Guerre mondiale, 1939-1945 -- Campagnes et batailles -- Carolines ^ Military campaigns ^ 中野嘉一, 1906- ^ Nakano, Kaichi, 1906-1998 ^ Nakano, Kaichi, 1906-1998 ^ autobiographies (literary works) ^ Personal narratives ^ Autobiographies ^ Personal narratives -- Japanese ^ Autobiographies ^ Personal narratives ^ Autobiographies ^ Récits personnels ^ 1939-1945 ^ Caroline Islands"/>
    <s v="0"/>
    <m/>
    <m/>
  </r>
  <r>
    <n v="136"/>
    <m/>
    <m/>
    <m/>
    <m/>
    <m/>
    <m/>
    <s v="https://www.amazon.co.jp/dp/4544011388"/>
    <x v="0"/>
    <s v="n/a"/>
    <s v="n/a"/>
    <s v="n"/>
    <s v="n"/>
    <s v="n"/>
    <n v="9784544011388"/>
    <s v="4544011388"/>
    <n v="41450435"/>
    <s v="Japanese"/>
    <s v="Revised Story of the National Palace Museum"/>
    <s v="Shintei Kokyū Hakubutsuin monogatari"/>
    <s v="新訂故宮博物院物語"/>
    <s v="Furuya, Keiji"/>
    <s v="古屋奎二 ^ 古屋奎二"/>
    <s v="n/a"/>
    <s v="n/a"/>
    <x v="41"/>
    <x v="46"/>
    <x v="15"/>
    <s v="Heisei 4"/>
    <s v="Shohan"/>
    <s v="初版"/>
    <s v="Museums -- Taiwan -- Taipei -- History ^ Museums ^ 國立故宮博物院 History ^ Guo li gu gong bo wu yuan -- History ^ Guo li gu gong bo wu yuan ^ History ^ Taiwan -- Taipei ^ 故宮博物院(国立)"/>
    <s v="0"/>
    <m/>
    <m/>
  </r>
  <r>
    <n v="137"/>
    <m/>
    <m/>
    <m/>
    <m/>
    <m/>
    <m/>
    <s v="https://www.amazon.co.jp/dp/4532094607"/>
    <x v="0"/>
    <s v="n/a"/>
    <s v="n/a"/>
    <s v="n"/>
    <s v="n"/>
    <s v="n"/>
    <n v="9784532094607"/>
    <s v="4532094607"/>
    <n v="18877419"/>
    <s v="Japanese"/>
    <s v="Teenage Blues: Reportage on Education Reform in the United States"/>
    <s v="Tīn'ēji burūsu: ruporutāju Beikoku no kyōiku kaikaku"/>
    <s v="ティンエージブルース: ルポルタージュ・米国の教育改革"/>
    <s v="Halloran, Fumiko"/>
    <s v="n/a"/>
    <s v="n/a"/>
    <s v="n/a"/>
    <x v="42"/>
    <x v="47"/>
    <x v="11"/>
    <s v="Shōwa 63"/>
    <s v="1-han"/>
    <s v="1版"/>
    <s v="High schools -- United States ^ High school students -- United States ^ Écoles secondaires -- États-Unis ^ Élèves du secondaire -- États-Unis ^ High school students ^ High schools ^ United States"/>
    <s v="0"/>
    <m/>
    <m/>
  </r>
  <r>
    <n v="137"/>
    <m/>
    <m/>
    <m/>
    <m/>
    <m/>
    <m/>
    <s v="https://www.amazon.co.jp/dp/4532094607"/>
    <x v="1"/>
    <s v="n/a"/>
    <s v="n/a"/>
    <s v="n"/>
    <s v="n"/>
    <s v="n"/>
    <n v="9784532094607"/>
    <s v="4532094607"/>
    <n v="18877419"/>
    <s v="Japanese"/>
    <s v="Teenage Blues: Reportage on Education Reform in the United States"/>
    <s v="Tīn'ēji burūsu: ruporutāju Beikoku no kyōiku kaikaku"/>
    <s v="ティンエージブルース: ルポルタージュ・米国の教育改革"/>
    <s v="Halloran, Fumiko"/>
    <s v="n/a"/>
    <s v="n/a"/>
    <s v="n/a"/>
    <x v="42"/>
    <x v="47"/>
    <x v="11"/>
    <s v="Shōwa 63"/>
    <s v="1-han"/>
    <s v="1版"/>
    <s v="High schools -- United States ^ High school students -- United States ^ Écoles secondaires -- États-Unis ^ Élèves du secondaire -- États-Unis ^ High school students ^ High schools ^ United States"/>
    <s v="0"/>
    <m/>
    <m/>
  </r>
  <r>
    <n v="138"/>
    <m/>
    <m/>
    <m/>
    <m/>
    <m/>
    <m/>
    <s v="n/a"/>
    <x v="0"/>
    <s v="n/a"/>
    <s v="n/a"/>
    <s v="n/a"/>
    <s v="n"/>
    <s v="n"/>
    <s v="n/a"/>
    <s v="n/a"/>
    <n v="673185333"/>
    <s v="Japanese"/>
    <s v="America by Starlight"/>
    <s v="Hoshiakari no amerika"/>
    <s v="星明かりのアメリカ"/>
    <s v="Halloran, Fumiko"/>
    <s v="n/a"/>
    <s v="n/a"/>
    <s v="n/a"/>
    <x v="3"/>
    <x v="44"/>
    <x v="45"/>
    <s v="Shōwa 57"/>
    <s v="n/a"/>
    <s v="n/a"/>
    <s v="女性 ^ Josei -- Amerikagasshūkoku ^ Fujin --"/>
    <s v="0"/>
    <m/>
    <m/>
  </r>
  <r>
    <n v="138"/>
    <m/>
    <m/>
    <m/>
    <m/>
    <m/>
    <m/>
    <s v="n/a"/>
    <x v="1"/>
    <s v="n/a"/>
    <s v="n/a"/>
    <s v="n/a"/>
    <s v="n"/>
    <s v="n"/>
    <s v="n/a"/>
    <s v="n/a"/>
    <n v="673185333"/>
    <s v="Japanese"/>
    <s v="America by Starlight"/>
    <s v="Hoshiakari no amerika"/>
    <s v="星明かりのアメリカ"/>
    <s v="Halloran, Fumiko"/>
    <s v="n/a"/>
    <s v="n/a"/>
    <s v="n/a"/>
    <x v="3"/>
    <x v="44"/>
    <x v="45"/>
    <s v="Shōwa 57"/>
    <s v="n/a"/>
    <s v="n/a"/>
    <s v="女性 ^ Josei -- Amerikagasshūkoku ^ Fujin --"/>
    <s v="0"/>
    <m/>
    <m/>
  </r>
  <r>
    <n v="139"/>
    <m/>
    <m/>
    <m/>
    <m/>
    <m/>
    <s v="NDL record"/>
    <s v="https://www.amazon.co.jp/dp/4774003700"/>
    <x v="0"/>
    <s v="n/a"/>
    <s v="n/a"/>
    <s v="n"/>
    <s v="n"/>
    <s v="n"/>
    <n v="9784774003702"/>
    <s v="4774003700"/>
    <n v="675700403"/>
    <s v="Japanese"/>
    <s v="Tanka Cantabile: First Lessons in Tanka Poetry"/>
    <s v="Tanka kantābire: Hajimete no tanka ressun"/>
    <s v="短歌カンタービレ: はじめての短歌レッスン"/>
    <s v="Ozaki, Saeko"/>
    <s v="尾崎左永子"/>
    <s v="n/a"/>
    <s v="n/a"/>
    <x v="43"/>
    <x v="48"/>
    <x v="67"/>
    <s v="Heisei 19"/>
    <s v="n/a"/>
    <s v="n/a"/>
    <s v="和歌 ^ Waka -- Sakuhō ^ Waka --"/>
    <s v="0"/>
    <m/>
    <m/>
  </r>
  <r>
    <n v="140"/>
    <m/>
    <m/>
    <m/>
    <m/>
    <m/>
    <m/>
    <s v="n/a"/>
    <x v="0"/>
    <s v="n/a"/>
    <s v="n/a"/>
    <s v="n/a"/>
    <s v="n"/>
    <s v="n"/>
    <s v="n/a"/>
    <s v="n/a"/>
    <n v="81980375"/>
    <s v="Japanese"/>
    <s v="Limits of Humanity"/>
    <s v="Ningen no kyokugen"/>
    <s v="人間の極限"/>
    <s v="Mori, Masuo ^ &lt;td&gt;&lt;font size=2 face=&quot;Arial,Helvetica,sans-serif&quot;&gt;&lt;div&gt;&lt;span class=vernacular lang=&quot;ja&quot;&gt;メレヨン島海軍森軍医長記錄刊公会.&lt;/div&gt;&lt;/font&gt;"/>
    <s v="森萬壽夫 ^ メレヨン島海軍森軍医長記錄刊公会"/>
    <s v="n/a"/>
    <s v="n/a"/>
    <x v="44"/>
    <x v="49"/>
    <x v="51"/>
    <s v="Shōwa 51"/>
    <s v="n/a"/>
    <s v="n/a"/>
    <s v="World War, 1939-1945 -- Campaigns -- Caroline Islands ^ World War, 1939-1945 -- Personal narratives, Japanese ^ Guerre mondiale, 1939-1945 -- Campagnes et batailles -- Carolines ^ Military campaigns ^ 森萬壽夫, 1914- ^ Personal narratives -- Japanese ^ 1939 - 1945 ^ Caroline Islands"/>
    <s v="0"/>
    <m/>
    <m/>
  </r>
  <r>
    <n v="140"/>
    <m/>
    <m/>
    <m/>
    <m/>
    <m/>
    <m/>
    <s v="n/a"/>
    <x v="1"/>
    <s v="n/a"/>
    <s v="n/a"/>
    <s v="n/a"/>
    <s v="n"/>
    <s v="n"/>
    <s v="n/a"/>
    <s v="n/a"/>
    <n v="81980375"/>
    <s v="Japanese"/>
    <s v="Limits of Humanity"/>
    <s v="Ningen no kyokugen"/>
    <s v="人間の極限"/>
    <s v="Mori, Masuo ^ &lt;td&gt;&lt;font size=2 face=&quot;Arial,Helvetica,sans-serif&quot;&gt;&lt;div&gt;&lt;span class=vernacular lang=&quot;ja&quot;&gt;メレヨン島海軍森軍医長記錄刊公会.&lt;/div&gt;&lt;/font&gt;"/>
    <s v="森萬壽夫 ^ メレヨン島海軍森軍医長記錄刊公会"/>
    <s v="n/a"/>
    <s v="n/a"/>
    <x v="44"/>
    <x v="49"/>
    <x v="51"/>
    <s v="Shōwa 51"/>
    <s v="n/a"/>
    <s v="n/a"/>
    <s v="World War, 1939-1945 -- Campaigns -- Caroline Islands ^ World War, 1939-1945 -- Personal narratives, Japanese ^ Guerre mondiale, 1939-1945 -- Campagnes et batailles -- Carolines ^ Military campaigns ^ 森萬壽夫, 1914- ^ Personal narratives -- Japanese ^ 1939 - 1945 ^ Caroline Islands"/>
    <s v="0"/>
    <m/>
    <m/>
  </r>
  <r>
    <n v="140"/>
    <m/>
    <m/>
    <m/>
    <m/>
    <m/>
    <m/>
    <s v="n/a"/>
    <x v="1"/>
    <s v="n/a"/>
    <s v="n/a"/>
    <s v="n/a"/>
    <s v="n"/>
    <s v="n"/>
    <s v="n/a"/>
    <s v="n/a"/>
    <n v="81980375"/>
    <s v="Japanese"/>
    <s v="Limits of Humanity"/>
    <s v="Ningen no kyokugen"/>
    <s v="人間の極限"/>
    <s v="Mori, Masuo ^ &lt;td&gt;&lt;font size=2 face=&quot;Arial,Helvetica,sans-serif&quot;&gt;&lt;div&gt;&lt;span class=vernacular lang=&quot;ja&quot;&gt;メレヨン島海軍森軍医長記錄刊公会.&lt;/div&gt;&lt;/font&gt;"/>
    <s v="森萬壽夫 ^ メレヨン島海軍森軍医長記錄刊公会"/>
    <s v="n/a"/>
    <s v="n/a"/>
    <x v="44"/>
    <x v="49"/>
    <x v="51"/>
    <s v="Shōwa 51"/>
    <s v="n/a"/>
    <s v="n/a"/>
    <s v="World War, 1939-1945 -- Campaigns -- Caroline Islands ^ World War, 1939-1945 -- Personal narratives, Japanese ^ Guerre mondiale, 1939-1945 -- Campagnes et batailles -- Carolines ^ Military campaigns ^ 森萬壽夫, 1914- ^ Personal narratives -- Japanese ^ 1939 - 1945 ^ Caroline Islands"/>
    <s v="0"/>
    <m/>
    <m/>
  </r>
  <r>
    <n v="140"/>
    <m/>
    <m/>
    <m/>
    <m/>
    <m/>
    <m/>
    <s v="n/a"/>
    <x v="1"/>
    <s v="n/a"/>
    <s v="n/a"/>
    <s v="n/a"/>
    <s v="n"/>
    <s v="n"/>
    <s v="n/a"/>
    <s v="n/a"/>
    <n v="81980375"/>
    <s v="Japanese"/>
    <s v="Limits of Humanity"/>
    <s v="Ningen no kyokugen"/>
    <s v="人間の極限"/>
    <s v="Mori, Masuo ^ &lt;td&gt;&lt;font size=2 face=&quot;Arial,Helvetica,sans-serif&quot;&gt;&lt;div&gt;&lt;span class=vernacular lang=&quot;ja&quot;&gt;メレヨン島海軍森軍医長記錄刊公会.&lt;/div&gt;&lt;/font&gt;"/>
    <s v="森萬壽夫 ^ メレヨン島海軍森軍医長記錄刊公会"/>
    <s v="n/a"/>
    <s v="n/a"/>
    <x v="44"/>
    <x v="49"/>
    <x v="51"/>
    <s v="Shōwa 51"/>
    <s v="n/a"/>
    <s v="n/a"/>
    <s v="World War, 1939-1945 -- Campaigns -- Caroline Islands ^ World War, 1939-1945 -- Personal narratives, Japanese ^ Guerre mondiale, 1939-1945 -- Campagnes et batailles -- Carolines ^ Military campaigns ^ 森萬壽夫, 1914- ^ Personal narratives -- Japanese ^ 1939 - 1945 ^ Caroline Islands"/>
    <s v="0"/>
    <m/>
    <m/>
  </r>
  <r>
    <n v="141"/>
    <m/>
    <m/>
    <m/>
    <m/>
    <m/>
    <m/>
    <s v="https://www.amazon.co.jp/dp/4311202229"/>
    <x v="0"/>
    <s v="n/a"/>
    <s v="n/a"/>
    <s v="n"/>
    <s v="n"/>
    <s v="n"/>
    <n v="9784311202223"/>
    <s v="4311202229"/>
    <n v="244097287"/>
    <s v="Japanese"/>
    <s v="Battle of Baekgang: Defeat of Ancient Japan and the Mystery of Yakushiji Temple"/>
    <s v="Hakusonkō: Kodai Nihon no haisen to Yakushiji no nazo"/>
    <s v="白村江: 古代日本の敗戦と薬師寺の謎"/>
    <s v="Suzuki, Osamu"/>
    <s v="鈴木治"/>
    <s v="n/a"/>
    <s v="n/a"/>
    <x v="45"/>
    <x v="50"/>
    <x v="21"/>
    <s v="Heisei 11"/>
    <s v="Shinsōban"/>
    <s v="新装版"/>
    <s v="International relations ^ History ^ To 794 ^ Japan -- History -- To 645 ^ Japan -- History -- To 794 ^ Japan -- Relations -- China ^ China -- Relations -- Japan ^ China ^ Japan"/>
    <s v="0"/>
    <m/>
    <m/>
  </r>
  <r>
    <n v="142"/>
    <m/>
    <m/>
    <m/>
    <m/>
    <m/>
    <m/>
    <s v="n/a"/>
    <x v="0"/>
    <s v="n/a"/>
    <s v="n/a"/>
    <s v="n/a"/>
    <s v="n"/>
    <s v="n"/>
    <s v="n/a"/>
    <s v="n/a"/>
    <n v="19172553"/>
    <s v="Japanese"/>
    <s v="Manyoshu: Songs of Destiny"/>
    <s v="Man'yōshū: unmei no uta"/>
    <s v="万葉集: 運命の歌"/>
    <s v="Kojima, Shinʼichi"/>
    <s v="小島信一"/>
    <s v="n/a"/>
    <s v="n/a"/>
    <x v="46"/>
    <x v="51"/>
    <x v="41"/>
    <s v="Shōwa 45"/>
    <s v="Shohan"/>
    <s v="初版"/>
    <s v="Japanese poetry -- To 794 -- History and criticism ^ Japanese poetry ^ Criticism, interpretation, etc ^ To 794 ^ 万葉集 ^ Man'yōshū ^ Man'yōshū"/>
    <s v="0"/>
    <m/>
    <m/>
  </r>
  <r>
    <n v="143.02000000000001"/>
    <m/>
    <m/>
    <m/>
    <m/>
    <m/>
    <m/>
    <s v="https://www.amazon.co.jp/dp/4120015912"/>
    <x v="0"/>
    <s v="n/a"/>
    <s v="n/a"/>
    <s v="n"/>
    <s v="n"/>
    <s v="n"/>
    <n v="9784120015915"/>
    <s v="4120015912"/>
    <n v="47392029"/>
    <s v="Japanese"/>
    <s v="Unknown Freemasons"/>
    <s v="Shirarezaru Furīmēson"/>
    <s v="知られざるフリーメーソン"/>
    <s v="Knight, Stephen ^ Kishimoto, Kanji"/>
    <s v="岸本完司"/>
    <s v="n/a"/>
    <s v="n/a"/>
    <x v="0"/>
    <x v="0"/>
    <x v="52"/>
    <s v="Shōwa 62"/>
    <s v="Shohan"/>
    <s v="初版"/>
    <s v="Freemasonry ^ Franc-maçonnerie ^ Freemasonry ^ フリーメーソン"/>
    <s v="0"/>
    <m/>
    <m/>
  </r>
  <r>
    <n v="144"/>
    <m/>
    <m/>
    <m/>
    <m/>
    <m/>
    <m/>
    <s v="https://www.amazon.co.jp/dp/4754100182"/>
    <x v="0"/>
    <s v="n/a"/>
    <s v="n/a"/>
    <s v="n"/>
    <s v="n"/>
    <s v="n"/>
    <n v="9784754100186"/>
    <s v="4754100182"/>
    <n v="55892058"/>
    <s v="Japanese"/>
    <s v="Agaricus Power: The Mystical Powers of the Last Food God Mushroom that Can Cure Terminal Cancer"/>
    <s v="Agarikusu pawā: miki gan mo sukuu, chikyūjō saigo no shokuhin"/>
    <s v="アガリクス・パワー: 末期ガンも救う, 地球上最後の食品神の茸の不思議な力"/>
    <s v="Okamoto, Takeshi"/>
    <s v="岡本丈"/>
    <s v="n/a"/>
    <s v="n/a"/>
    <x v="47"/>
    <x v="52"/>
    <x v="49"/>
    <s v="Heisei 9"/>
    <s v="n/a"/>
    <s v="n/a"/>
    <s v="きのこ.; 健康法 ^ Agaricus -- Therapeutic use -- Popular works ^ Mushrooms -- Therapeutic use -- Popular works ^ Agaricus -- Emploi en thérapeutique -- Ouvrages de vulgarisation ^ Mycothérapie -- Ouvrages de vulgarisation ^ Mushrooms -- Therapeutic use ^ Kinoko ^ Kenkōhō ^ Popular works"/>
    <s v="0"/>
    <m/>
    <m/>
  </r>
  <r>
    <n v="146"/>
    <m/>
    <m/>
    <m/>
    <m/>
    <m/>
    <m/>
    <s v="https://www.amazon.co.jp/dp/4897721849"/>
    <x v="0"/>
    <s v="n/a"/>
    <s v="n/a"/>
    <s v="n"/>
    <s v="n"/>
    <s v="n"/>
    <n v="9784897721842"/>
    <s v="4897721849"/>
    <n v="54925044"/>
    <s v="Japanese"/>
    <s v="Eye-Witness in Asia"/>
    <s v="Ajia mokugeki"/>
    <s v="アジア目擊"/>
    <s v="Halloran, Richard ^ Chino, Keiko"/>
    <s v="千野境子"/>
    <s v="n/a"/>
    <s v="n/a"/>
    <x v="48"/>
    <x v="53"/>
    <x v="68"/>
    <s v="Heisei 15"/>
    <s v="n/a"/>
    <s v="n/a"/>
    <s v="日本; 歴史; 昭和時代 (1945年以後); 韓国; 歴史 ^ Nihon -- Rekishi -- Showa jidai (1945nen igo) ^ Kankoku -- Rekishi ^ アジア(東部); 歴史"/>
    <s v="0"/>
    <m/>
    <m/>
  </r>
  <r>
    <n v="147"/>
    <m/>
    <m/>
    <m/>
    <m/>
    <m/>
    <m/>
    <s v="https://www.amazon.co.jp/dp/4642021736"/>
    <x v="0"/>
    <s v="n/a"/>
    <s v="n/a"/>
    <s v="n"/>
    <s v="n"/>
    <s v="n"/>
    <n v="9784642021739"/>
    <s v="4642021736"/>
    <n v="43692184"/>
    <s v="Japanese"/>
    <s v="Ancient Ritual Theory"/>
    <s v="Kodai saishiron"/>
    <s v="古代祭祀論"/>
    <s v="Nakamura, Hideo"/>
    <s v="中村英重"/>
    <s v="Kodaishi kenkyū sensho"/>
    <s v="古代史研究選書"/>
    <x v="38"/>
    <x v="39"/>
    <x v="21"/>
    <s v="Heisei 11"/>
    <s v="n/a"/>
    <s v="n/a"/>
    <s v="日本-歴史-古代.; 祭り ^ Rites and ceremonies -- Japan -- History ^ Shinto -- Rituals -- History ^ Religion ^ Rites and ceremonies ^ Shinto -- Rituals ^ Nihon-Rekishi-Kodai ^ Matsuri ^ History ^ To 1185 ^ Japan -- Religion -- To 1185 ^ Japan"/>
    <s v="0"/>
    <m/>
    <m/>
  </r>
  <r>
    <n v="148.01"/>
    <m/>
    <m/>
    <m/>
    <m/>
    <m/>
    <m/>
    <s v="n/a"/>
    <x v="0"/>
    <s v="1"/>
    <s v="2"/>
    <s v="n"/>
    <s v="n"/>
    <s v="n"/>
    <n v="9784163626703"/>
    <s v="4163626700"/>
    <n v="13693544"/>
    <s v="Japanese"/>
    <s v="Showa History of High Officials"/>
    <s v="Jūshintachi no Shōwa shi"/>
    <s v="重臣たちの昭和史"/>
    <s v="Shōda, Tatsuo"/>
    <s v="勝田龍夫"/>
    <s v="n/a"/>
    <s v="n/a"/>
    <x v="13"/>
    <x v="1"/>
    <x v="20"/>
    <s v="Shōwa 56"/>
    <s v="n/a"/>
    <s v="n/a"/>
    <s v="昭和史 ^ Politicians -- Japan ^ Politicians ^ 原田, 熊雄(1888-1946) ^ History ^ 1926-1945 ^ 日本; 歴史; 昭和時代 ^ Japan -- History -- 1926-1945 ^ Japan"/>
    <s v="0"/>
    <m/>
    <m/>
  </r>
  <r>
    <n v="148.02000000000001"/>
    <m/>
    <m/>
    <m/>
    <m/>
    <m/>
    <m/>
    <s v="n/a"/>
    <x v="0"/>
    <s v="2"/>
    <s v="2"/>
    <s v="n"/>
    <s v="n"/>
    <s v="n"/>
    <n v="9784163626703"/>
    <s v="4163626700"/>
    <n v="13693544"/>
    <s v="Japanese"/>
    <s v="Showa History of High Officials"/>
    <s v="Jūshintachi no Shōwa shi"/>
    <s v="重臣たちの昭和史"/>
    <s v="Shōda, Tatsuo"/>
    <s v="勝田龍夫"/>
    <s v="n/a"/>
    <s v="n/a"/>
    <x v="13"/>
    <x v="1"/>
    <x v="20"/>
    <s v="Shōwa 56"/>
    <s v="n/a"/>
    <s v="n/a"/>
    <s v="昭和史 ^ Politicians -- Japan ^ Politicians ^ 原田, 熊雄(1888-1946) ^ History ^ 1926-1945 ^ 日本; 歴史; 昭和時代 ^ Japan -- History -- 1926-1945 ^ Japan"/>
    <s v="0"/>
    <m/>
    <m/>
  </r>
  <r>
    <n v="148.06"/>
    <m/>
    <m/>
    <m/>
    <m/>
    <m/>
    <m/>
    <s v="n/a"/>
    <x v="0"/>
    <s v="6"/>
    <s v="12"/>
    <s v="n/a"/>
    <s v="n"/>
    <s v="n"/>
    <s v="n/a"/>
    <s v="n/a"/>
    <n v="43072901"/>
    <s v="Japanese"/>
    <s v="Records of the Grand Historian: Spring and Autumn Annals"/>
    <s v="Shiki"/>
    <s v="史記: 春秋戦国篇"/>
    <s v="Tanaka, Kenji ^ Ikkai, Tomoyoshi ^ Sima, Qian, approximately 145 B.C.-approximately 86 B.C"/>
    <s v="田中謙二 ^ 一海知義 ^ 司馬遷approximately 145-approximately 86 B.C ^ 史記 ^ Japanese &amp; Chinese"/>
    <s v="Chūgoku kotensen (Unnumbered)"/>
    <s v="中国古典選 (Unnumbered)"/>
    <x v="25"/>
    <x v="1"/>
    <x v="69"/>
    <s v="n/a"/>
    <s v="n/a"/>
    <s v="n/a"/>
    <s v="司馬遷, approximately 145-approximately 86 BC 史記 ^ Sima, Qian, approximately 145 BC-approximately 86 BC Shih chi ^ China -- History -- To 1766 BC ^ China -- History -- 1766 BC-220 AD"/>
    <s v="0"/>
    <m/>
    <m/>
  </r>
  <r>
    <n v="148.08000000000001"/>
    <m/>
    <m/>
    <m/>
    <m/>
    <m/>
    <s v="subset of three in set of 12"/>
    <s v="n/a"/>
    <x v="0"/>
    <s v="8"/>
    <s v="12"/>
    <s v="n/a"/>
    <s v="n"/>
    <s v="n"/>
    <s v="n/a"/>
    <s v="n/a"/>
    <n v="43072901"/>
    <s v="Japanese"/>
    <s v="Records of the Grand Historian: Han Wu"/>
    <s v="Shiki"/>
    <s v="史記: 漢武篇"/>
    <s v="Tanaka, Kenji ^ Ikkai, Tomoyoshi ^ Sima, Qian, approximately 145 B.C.-approximately 86 B.C"/>
    <s v="田中謙二 ^ 一海知義 ^ 司馬遷approximately 145-approximately 86 B.C ^ 史記 ^ Japanese &amp; Chinese"/>
    <s v="Chūgoku kotensen (Unnumbered)"/>
    <s v="中国古典選 (Unnumbered)"/>
    <x v="25"/>
    <x v="1"/>
    <x v="69"/>
    <s v="n/a"/>
    <s v="n/a"/>
    <s v="n/a"/>
    <s v="司馬遷, approximately 145-approximately 86 BC 史記 ^ Sima, Qian, approximately 145 BC-approximately 86 BC Shih chi ^ China -- History -- To 1766 BC ^ China -- History -- 1766 BC-220 AD"/>
    <s v="0"/>
    <m/>
    <m/>
  </r>
  <r>
    <n v="149"/>
    <m/>
    <m/>
    <m/>
    <m/>
    <m/>
    <m/>
    <s v="n/a"/>
    <x v="0"/>
    <s v="n/a"/>
    <s v="n/a"/>
    <s v="n/a"/>
    <s v="n"/>
    <s v="n"/>
    <s v="n/a"/>
    <s v="n/a"/>
    <n v="16712609"/>
    <s v="Japanese"/>
    <s v="Structure of the Daijosai Ceremony"/>
    <s v="Daijōsai no kōzō"/>
    <s v="大嘗祭の構造"/>
    <s v="Hirano, Takakuni"/>
    <s v="平野孝國"/>
    <s v="n/a"/>
    <s v="n/a"/>
    <x v="49"/>
    <x v="54"/>
    <x v="9"/>
    <s v="Shōwa 61"/>
    <s v="Shohan"/>
    <s v="初版"/>
    <s v="Daijōsai ^ Emperors -- Succession -- Japan ^ Daijōsai ^ Emperors -- Succession ^ Japan"/>
    <s v="0"/>
    <m/>
    <m/>
  </r>
  <r>
    <n v="150"/>
    <m/>
    <m/>
    <m/>
    <m/>
    <m/>
    <m/>
    <s v="https://www.amazon.co.jp/dp/4120024121"/>
    <x v="0"/>
    <s v="n/a"/>
    <s v="n/a"/>
    <s v="n"/>
    <s v="n"/>
    <s v="n"/>
    <n v="9784120024122"/>
    <s v="4120024121"/>
    <n v="34168381"/>
    <s v="Japanese"/>
    <s v="Playful Mind"/>
    <s v="Yūshinfu"/>
    <s v="遊心譜"/>
    <s v="Miyazaki, Ichisada"/>
    <s v="宮崎市定"/>
    <s v="n/a"/>
    <s v="n/a"/>
    <x v="0"/>
    <x v="0"/>
    <x v="7"/>
    <s v="Heisei 7"/>
    <s v="Shohan"/>
    <s v="初版"/>
    <s v="n/a"/>
    <s v="0"/>
    <m/>
    <m/>
  </r>
  <r>
    <n v="151"/>
    <m/>
    <m/>
    <m/>
    <m/>
    <m/>
    <m/>
    <s v="https://www.amazon.co.jp/dp/410347601X"/>
    <x v="0"/>
    <s v="n/a"/>
    <s v="n/a"/>
    <s v="n"/>
    <s v="n"/>
    <s v="n"/>
    <n v="9784103476016"/>
    <s v="410347601X"/>
    <n v="15405957"/>
    <s v="Japanese"/>
    <s v="New Biography of Confucius: A New Interpretation of &quot;The Analects&quot;"/>
    <s v="Kōshi shinden: &quot;Rongo&quot; no atarashii yomikata"/>
    <s v="孔子新伝: 「論語」の新しい読み方"/>
    <s v="Lin, Fusheng"/>
    <s v="林復生"/>
    <s v="n/a"/>
    <s v="n/a"/>
    <x v="5"/>
    <x v="6"/>
    <x v="8"/>
    <s v="Shōwa 58"/>
    <s v="n/a"/>
    <s v="n/a"/>
    <s v="Philosophers -- China -- Biography ^ Philosophers ^ Confucius. 論語 ^ Confucius ^ Confucius. Lun yu ^ Confucius ^ Biographies ^ China ^ Lun yu (Confucius)"/>
    <s v="0"/>
    <m/>
    <m/>
  </r>
  <r>
    <n v="152"/>
    <m/>
    <m/>
    <m/>
    <m/>
    <m/>
    <m/>
    <s v="n/a"/>
    <x v="0"/>
    <s v="n/a"/>
    <s v="n/a"/>
    <s v="n/a"/>
    <s v="n"/>
    <s v="n"/>
    <s v="n/a"/>
    <s v="n/a"/>
    <n v="19895072"/>
    <s v="Japanese"/>
    <s v="Learning from China"/>
    <s v="Chūgoku ni manabu"/>
    <s v="中国に学ぶ"/>
    <s v="Miyazaki, Ichisada"/>
    <s v="宮崎市定"/>
    <s v="n/a"/>
    <s v="n/a"/>
    <x v="3"/>
    <x v="41"/>
    <x v="10"/>
    <s v="Shōwa 46"/>
    <s v="n/a"/>
    <s v="n/a"/>
    <s v="Historians -- Japan ^ Historians ^ Historians -- Japan ^ History ^ China -- History ^ China -- History ^ China ^ Japan ^ China -- History"/>
    <s v="0"/>
    <m/>
    <m/>
  </r>
  <r>
    <n v="153"/>
    <m/>
    <m/>
    <m/>
    <m/>
    <m/>
    <m/>
    <s v="https://www.amazon.co.jp/dp/4163450505"/>
    <x v="2"/>
    <s v="n/a"/>
    <s v="n/a"/>
    <s v="n"/>
    <s v="n"/>
    <s v="n"/>
    <n v="9784163450506"/>
    <s v="4163450505"/>
    <n v="23546038"/>
    <s v="Japanese"/>
    <s v="Showa Emperor's Monologue: Diary of Hidenari Terazaki"/>
    <s v="Shōwa Tennō dokuhakuroku: Terasaki Hidenari Goyōgakari nikki"/>
    <s v="昭和天皇独白錄: 寺崎英成御用掛日記"/>
    <s v="Terasaki, Hidenari ^ Miller, Mariko T ^ &lt;td&gt;&lt;font size=2 face=&quot;Arial,Helvetica,sans-serif&quot;&gt;&lt;div&gt;&lt;span class=vernacular lang=&quot;ja&quot;&gt;昭和天皇(1901-1989)&lt;/div&gt;&lt;/font&gt;"/>
    <s v="寺崎英成 ^ 昭和天皇(1901-1989)"/>
    <s v="n/a"/>
    <s v="n/a"/>
    <x v="13"/>
    <x v="16"/>
    <x v="6"/>
    <s v="Heisei 3"/>
    <s v="n/a"/>
    <s v="n/a"/>
    <s v="裕仁, Emperor of Japan, 1901- Interviews. 寺崎英成, 1900-1951 Diaries ^ Hirohito, Emperor of Japan, 1901-1989 -- Interviews ^ Terasaki, Hidenari, 1900-1951 -- Diaries ^ Hirohito, Emperor of Japan, 1901-1989 ^ Hirohito, Emperor of Japan, 1901-1989 ^ Terasaki, Hidenari, 1900-1951 ^ Hirohito, Emperor of Japan, 1901-1989 ^ History ^ Diaries ^ Interviews ^ 1926-1989 ^ Japan -- History -- Shōwa period, 1926-1989 ^ Japan -- History -- 1868-1945 ^ Japan -- History -- 1945- ^ Japan ^ Japan -- History -- 1868-1945 ^ Japan -- History -- 1945- ^ 日本; 歴史; 昭和時代"/>
    <s v="0"/>
    <m/>
    <m/>
  </r>
  <r>
    <n v="154"/>
    <m/>
    <m/>
    <m/>
    <m/>
    <m/>
    <m/>
    <s v="https://www.amazon.co.jp/dp/4805002654"/>
    <x v="2"/>
    <s v="n/a"/>
    <s v="n/a"/>
    <s v="n"/>
    <s v="n"/>
    <s v="n"/>
    <n v="9784805002650"/>
    <s v="4805002654"/>
    <n v="45027680"/>
    <s v="Japanese"/>
    <s v="Illustrated Guide to Identifying Wish-Fulfilling Buddha Statues: Meaning in Form and Appearance"/>
    <s v="Zusetsu negai ga kanau butsuzō no miwakekata: sugata, katachi niwa imi ga aru"/>
    <s v="図說願いがかなう佛像の見分け方: 姿, かたちにわ意味がある"/>
    <s v="Matsubara, Tetsumyō ^ Gendai Zen Kenkyūkai (Japan)"/>
    <s v="松原哲明 ^ 現代禪研究会 (Japan)"/>
    <s v="n/a"/>
    <s v="n/a"/>
    <x v="50"/>
    <x v="55"/>
    <x v="1"/>
    <s v="Heisei 8"/>
    <s v="Saihan"/>
    <s v="再版"/>
    <s v="Buddhist gods -- Handbooks, manuals, etc ^ Buddhist sculpture -- Handbooks, manuals, etc ^ Buddhist sculpture -- Japan -- Handbooks, manuals, etc ^ Buddhist gods ^ Buddhist sculpture ^ Handbooks and manuals ^ Japan"/>
    <s v="0"/>
    <m/>
    <m/>
  </r>
  <r>
    <n v="155.01"/>
    <m/>
    <m/>
    <m/>
    <m/>
    <m/>
    <m/>
    <s v="n/a"/>
    <x v="3"/>
    <s v="1 上"/>
    <s v="2"/>
    <s v="n"/>
    <s v="n"/>
    <s v="n"/>
    <n v="9784163485508"/>
    <s v="4163485503"/>
    <n v="122941323"/>
    <s v="Japanese"/>
    <s v="Hoover Secretary's Files"/>
    <s v="Fūvā Chōkan no fairu"/>
    <s v="フーヴァー長官のファイル"/>
    <s v="Gentry, Curt ^ Yoshida, Toshiko"/>
    <s v="吉田利子"/>
    <s v="n/a"/>
    <s v="n/a"/>
    <x v="13"/>
    <x v="16"/>
    <x v="25"/>
    <s v="Heisei 6"/>
    <s v="n/a"/>
    <s v="n/a"/>
    <s v="Police -- United States -- Biography ^ Government executives -- United States -- Biography ^ Hauts fonctionnaires -- États-Unis -- Biographies ^ Government executives ^ Police ^ Hoover, J. Edgar (John Edgar), 1895-1972 ^ Hoover, J. Edgar (John Edgar), 1895-1972 ^ United States. Federal Bureau of Investigation -- Biography ^ États-Unis. Federal Bureau of Investigation -- Biographies ^ United States. Federal Bureau of Investigation ^ Biography ^ Biographies ^ Biographies ^ Biographies ^ United States"/>
    <s v="0"/>
    <m/>
    <m/>
  </r>
  <r>
    <n v="155.02000000000001"/>
    <m/>
    <m/>
    <m/>
    <m/>
    <m/>
    <m/>
    <s v="n/a"/>
    <x v="3"/>
    <s v="2 下"/>
    <s v="2"/>
    <s v="n"/>
    <s v="n"/>
    <s v="n"/>
    <n v="9784163485607"/>
    <s v="4163485600"/>
    <n v="122941323"/>
    <s v="Japanese"/>
    <s v="Hoover Secretary's Files"/>
    <s v="Fūvā Chōkan no fairu"/>
    <s v="フーヴァー長官のファイル"/>
    <s v="Gentry, Curt ^ Yoshida, Toshiko"/>
    <s v="吉田利子"/>
    <s v="n/a"/>
    <s v="n/a"/>
    <x v="13"/>
    <x v="16"/>
    <x v="25"/>
    <s v="Heisei 6"/>
    <s v="n/a"/>
    <s v="n/a"/>
    <s v="Police -- United States -- Biography ^ Government executives -- United States -- Biography ^ Hauts fonctionnaires -- États-Unis -- Biographies ^ Government executives ^ Police ^ Hoover, J. Edgar (John Edgar), 1895-1972 ^ Hoover, J. Edgar (John Edgar), 1895-1972 ^ United States. Federal Bureau of Investigation -- Biography ^ États-Unis. Federal Bureau of Investigation -- Biographies ^ United States. Federal Bureau of Investigation ^ Biography ^ Biographies ^ Biographies ^ Biographies ^ United States"/>
    <s v="0"/>
    <m/>
    <m/>
  </r>
  <r>
    <n v="156"/>
    <m/>
    <m/>
    <m/>
    <m/>
    <m/>
    <s v="consider more up to date version"/>
    <s v="n/a"/>
    <x v="3"/>
    <s v="n/a"/>
    <s v="n/a"/>
    <s v="n/a"/>
    <s v="n"/>
    <s v="n"/>
    <s v="n/a"/>
    <s v="n/a"/>
    <n v="1183293779"/>
    <s v="Japanese"/>
    <s v="Social Security Handy Guide: 1961 Edition"/>
    <s v="Syakai hosyo benri jiten: Iza to iu toki donna hosyo ga ukerareruka"/>
    <s v="社会保障便利事典: 61年版"/>
    <s v="Syakai hoken hoki kenkyukai ^ Koseisyo daijin kambo seisakuka chosashitsu ^ Shukan syakai hosyo henshubu"/>
    <s v="社会保険法規研究会 厚生省大臣官房政策課調査室 「週刊社会保障」編集部"/>
    <s v="n/a"/>
    <s v="n/a"/>
    <x v="3"/>
    <x v="56"/>
    <x v="20"/>
    <s v="Shōwa 56"/>
    <s v="n/a"/>
    <s v="n/a"/>
    <s v="社会保障 ^ Syakaihosyo"/>
    <s v="0"/>
    <m/>
    <m/>
  </r>
  <r>
    <n v="157"/>
    <m/>
    <m/>
    <m/>
    <m/>
    <m/>
    <m/>
    <s v="https://www.amazon.co.jp/dp/4533081487"/>
    <x v="3"/>
    <s v="ajia 18"/>
    <s v="n/a"/>
    <s v="n"/>
    <s v="n"/>
    <s v="n"/>
    <n v="9784533081484"/>
    <s v="4533081487"/>
    <n v="751997775"/>
    <s v="Japanese"/>
    <s v="Kaohsiung, Tainan, Hualien, Taipei in Taiwan"/>
    <s v="Taiwan takao tainan karen taihoku = Taiwan Kaohsiung Tainan Hualian Taipei"/>
    <s v="台湾高雄・台南・花蓮・台北"/>
    <s v="n/a"/>
    <s v="n/a"/>
    <s v="Tabitomo"/>
    <s v="タビトモ"/>
    <x v="51"/>
    <x v="57"/>
    <x v="46"/>
    <s v="Heisei 23"/>
    <s v="n/a"/>
    <s v="n/a"/>
    <s v="n/a"/>
    <s v="0"/>
    <m/>
    <m/>
  </r>
  <r>
    <n v="158"/>
    <m/>
    <m/>
    <m/>
    <m/>
    <m/>
    <m/>
    <s v="https://www.amazon.co.jp/dp/4635003485"/>
    <x v="3"/>
    <s v="n/a"/>
    <s v="n/a"/>
    <s v="n"/>
    <s v="n"/>
    <s v="n"/>
    <n v="9784635003483"/>
    <s v="4635003485"/>
    <n v="674008435"/>
    <s v="Japanese"/>
    <s v="Nara, Yamato Road"/>
    <s v="Nara yamatoji"/>
    <s v="奈良・大和路"/>
    <s v="Yama To Keikokusha"/>
    <s v="山と渓谷社"/>
    <s v="n/a"/>
    <s v="n/a"/>
    <x v="3"/>
    <x v="58"/>
    <x v="25"/>
    <s v="Heisei 6"/>
    <s v="n/a"/>
    <s v="n/a"/>
    <s v="n/a"/>
    <s v="0"/>
    <m/>
    <m/>
  </r>
  <r>
    <n v="159"/>
    <m/>
    <m/>
    <m/>
    <m/>
    <m/>
    <m/>
    <s v="n/a"/>
    <x v="0"/>
    <s v="n/a"/>
    <s v="n/a"/>
    <s v="n/a"/>
    <s v="n"/>
    <s v="n"/>
    <s v="n/a"/>
    <s v="n/a"/>
    <n v="32337713"/>
    <s v="Japanese"/>
    <s v="From the Streets of Washington"/>
    <s v="Washington no machi kara"/>
    <s v="ワシントンの街から"/>
    <s v="Halloran, Fumiko"/>
    <s v="ハロラン芙美子"/>
    <s v="n/a"/>
    <s v="n/a"/>
    <x v="13"/>
    <x v="16"/>
    <x v="19"/>
    <s v="Shōwa 54"/>
    <s v="n/a"/>
    <s v="n/a"/>
    <s v="Manners and customs ^ Politics and government ^ Halloran, Fumiko ^ Since 1951 ^ Washington (D.C.) -- Social life and customs -- 1951- ^ United States -- Politics and government -- 1969-1974 ^ United States -- Politics and government -- 1974-1977 ^ Washington (D.C.) -- Mœurs et coutumes -- 1951- ^ États-Unis -- Politique et gouvernement -- 1969-1974 ^ États-Unis -- Politique et gouvernement -- 1974-1977 ^ United States ^ Washington (D.C.)"/>
    <s v="0"/>
    <m/>
    <m/>
  </r>
  <r>
    <n v="159"/>
    <m/>
    <m/>
    <m/>
    <m/>
    <m/>
    <m/>
    <s v="n/a"/>
    <x v="1"/>
    <s v="n/a"/>
    <s v="n/a"/>
    <s v="n/a"/>
    <s v="n"/>
    <s v="n"/>
    <s v="n/a"/>
    <s v="n/a"/>
    <n v="32337713"/>
    <s v="Japanese"/>
    <s v="From the Streets of Washington"/>
    <s v="Washington no machi kara"/>
    <s v="ワシントンの街から"/>
    <s v="Halloran, Fumiko"/>
    <s v="ハロラン芙美子"/>
    <s v="n/a"/>
    <s v="n/a"/>
    <x v="13"/>
    <x v="16"/>
    <x v="19"/>
    <s v="Shōwa 54"/>
    <s v="n/a"/>
    <s v="n/a"/>
    <s v="Manners and customs ^ Politics and government ^ Halloran, Fumiko ^ Since 1951 ^ Washington (D.C.) -- Social life and customs -- 1951- ^ United States -- Politics and government -- 1969-1974 ^ United States -- Politics and government -- 1974-1977 ^ Washington (D.C.) -- Mœurs et coutumes -- 1951- ^ États-Unis -- Politique et gouvernement -- 1969-1974 ^ États-Unis -- Politique et gouvernement -- 1974-1977 ^ United States ^ Washington (D.C.)"/>
    <s v="0"/>
    <m/>
    <m/>
  </r>
  <r>
    <n v="159"/>
    <m/>
    <m/>
    <m/>
    <m/>
    <m/>
    <m/>
    <s v="n/a"/>
    <x v="1"/>
    <s v="n/a"/>
    <s v="n/a"/>
    <s v="n/a"/>
    <s v="n"/>
    <s v="n"/>
    <s v="n/a"/>
    <s v="n/a"/>
    <n v="32337713"/>
    <s v="Japanese"/>
    <s v="From the Streets of Washington"/>
    <s v="Washington no machi kara"/>
    <s v="ワシントンの街から"/>
    <s v="Halloran, Fumiko"/>
    <s v="ハロラン芙美子"/>
    <s v="n/a"/>
    <s v="n/a"/>
    <x v="13"/>
    <x v="16"/>
    <x v="19"/>
    <s v="Shōwa 54"/>
    <s v="n/a"/>
    <s v="n/a"/>
    <s v="Manners and customs ^ Politics and government ^ Halloran, Fumiko ^ Since 1951 ^ Washington (D.C.) -- Social life and customs -- 1951- ^ United States -- Politics and government -- 1969-1974 ^ United States -- Politics and government -- 1974-1977 ^ Washington (D.C.) -- Mœurs et coutumes -- 1951- ^ États-Unis -- Politique et gouvernement -- 1969-1974 ^ États-Unis -- Politique et gouvernement -- 1974-1977 ^ United States ^ Washington (D.C.)"/>
    <s v="0"/>
    <m/>
    <m/>
  </r>
  <r>
    <n v="160"/>
    <m/>
    <m/>
    <m/>
    <m/>
    <m/>
    <m/>
    <s v="n/a"/>
    <x v="0"/>
    <s v="n/a"/>
    <s v="n/a"/>
    <s v="n/a"/>
    <s v="n"/>
    <s v="n"/>
    <s v="n/a"/>
    <s v="n/a"/>
    <n v="33517969"/>
    <s v="Japanese"/>
    <s v="My View of Ancient Customs and Landscapes"/>
    <s v="Shisetsu kofudoki"/>
    <s v="私說古風土記"/>
    <s v="Matsumoto, Seichō"/>
    <s v="松本淸張"/>
    <s v="n/a"/>
    <s v="n/a"/>
    <x v="52"/>
    <x v="59"/>
    <x v="26"/>
    <s v="Shōwa 52"/>
    <s v="Shohan"/>
    <s v="初版"/>
    <s v="History ^ To 794 ^ Japan -- History -- To 794 ^ Japan ^ 古風土記"/>
    <s v="0"/>
    <m/>
    <m/>
  </r>
  <r>
    <n v="161"/>
    <m/>
    <m/>
    <m/>
    <m/>
    <m/>
    <m/>
    <s v="https://www.amazon.co.jp/dp/432900156X"/>
    <x v="0"/>
    <s v="n/a"/>
    <s v="n/a"/>
    <s v="n"/>
    <s v="n"/>
    <s v="n"/>
    <n v="9784329001566"/>
    <s v="432900156X"/>
    <n v="24029536"/>
    <s v="Japanese"/>
    <s v="Consideration of the Entombed at Takamatsuzuka: The Mystery of the Tenmu Era"/>
    <s v="Takamatsuzuka hisōsha kō: Tenmuchō no nazo"/>
    <s v="高松塚被葬者考: 天武朝の謎"/>
    <s v="Kobayashi, Yasuko"/>
    <s v="小林恵子"/>
    <s v="n/a"/>
    <s v="n/a"/>
    <x v="53"/>
    <x v="60"/>
    <x v="11"/>
    <s v="Shōwa 63"/>
    <s v="n/a"/>
    <s v="n/a"/>
    <s v="Takamatsuzuka Tomb (Asuka-mura, Japan) ^ Takamatsuzuka Tomb (Asuka-mura, Japan) ^ 天武, Emperor of Japan, 631?-686. 天武; Emperor of Japan 631-686 ^ Tenmu, Emperor of Japan, 631?-686 ^ History ^ To 794 ^ 飛鳥村 (Japan); Antiquities ^ Japan -- History -- To 794 ^ Japan"/>
    <s v="0"/>
    <m/>
    <m/>
  </r>
  <r>
    <n v="162"/>
    <m/>
    <m/>
    <m/>
    <m/>
    <m/>
    <m/>
    <s v="https://www.amazon.co.jp/dp/4924899135"/>
    <x v="0"/>
    <s v="n/a"/>
    <s v="n/a"/>
    <s v="n"/>
    <s v="n"/>
    <s v="n"/>
    <n v="9784924899131"/>
    <s v="4924899135"/>
    <n v="38916255"/>
    <s v="Japanese"/>
    <s v="Jinshin War: From Emperor Ōjin to Emperor Tenmu: The 3rd Kasugai Symposium"/>
    <s v="Jinshin no Ran: Ōama no Ōji kara Tenmu Tennō e: Dai 3-kai Kasugai Shinpojūmu"/>
    <s v="壬申の乱: 大海人皇子から天武天皇へ: 第 3回春日井シンポジウム"/>
    <s v="Mori, Kōichi ^ Kadowaki, Teiji"/>
    <s v="森浩一 ^ 門脇禎二"/>
    <s v="n/a"/>
    <s v="n/a"/>
    <x v="54"/>
    <x v="61"/>
    <x v="1"/>
    <s v="Heisei 8"/>
    <s v="Dai 1-han"/>
    <s v="第 1版"/>
    <s v="壬申の乱 ^ Jinshin Revolt, 672 -- Congresses ^ Jinshin no ran ^ Conference papers and proceedings ^ 672"/>
    <s v="0"/>
    <m/>
    <m/>
  </r>
  <r>
    <n v="163"/>
    <m/>
    <m/>
    <m/>
    <m/>
    <m/>
    <s v="no worldcat record, no CiNii results, nothing on google"/>
    <s v="n/a"/>
    <x v="0"/>
    <s v="n/a"/>
    <s v="n/a"/>
    <s v="n/a"/>
    <s v="n"/>
    <s v="n/a"/>
    <s v="n/a"/>
    <s v="n/a"/>
    <s v="n/a"/>
    <s v="Japanese"/>
    <s v="Sentient Beings Without Greenery"/>
    <s v="Ennaki shūjō"/>
    <s v="緑なき衆生"/>
    <s v="Koseta, Hiroshi"/>
    <s v="小瀬田弘"/>
    <s v="n/a"/>
    <s v="n/a"/>
    <x v="28"/>
    <x v="29"/>
    <x v="9"/>
    <s v="Shōwa 61"/>
    <s v="n/a"/>
    <s v="n/a"/>
    <s v="n/a"/>
    <s v="0"/>
    <m/>
    <m/>
  </r>
  <r>
    <n v="164"/>
    <m/>
    <m/>
    <m/>
    <m/>
    <m/>
    <m/>
    <s v="n/a"/>
    <x v="0"/>
    <s v="n/a"/>
    <s v="n/a"/>
    <s v="n/a"/>
    <s v="n"/>
    <s v="n"/>
    <s v="n/a"/>
    <s v="n/a"/>
    <n v="15398202"/>
    <s v="Japanese"/>
    <s v="Correspondence of Kim Dae-jung in Prison"/>
    <s v="Kin Daichū gokuchū shokan"/>
    <s v="金大中獄中書簡"/>
    <s v="Kim, Dae Jung"/>
    <s v="n/a"/>
    <s v="n/a"/>
    <s v="n/a"/>
    <x v="7"/>
    <x v="8"/>
    <x v="8"/>
    <s v="Shōwa 58"/>
    <s v="n/a"/>
    <s v="n/a"/>
    <s v="Politicians -- Korea (South) -- Correspondence ^ Political prisoners -- Korea (South) -- Correspondence ^ Political prisoners ^ Politicians ^ 李姬鎬 Correspondence ^ Kim, Dae Jung, 1925-2009 -- Correspondence ^ Yi, Hŭi-ho -- Correspondence ^ Yi, Hŭi-ho -- Correspondence ^ Kim, Dae Jung, 1925-2009 ^ Yi, Hŭi-ho ^ Personal correspondence ^ Korea (South)"/>
    <s v="0"/>
    <m/>
    <m/>
  </r>
  <r>
    <n v="165"/>
    <m/>
    <m/>
    <m/>
    <m/>
    <m/>
    <m/>
    <s v="n/a"/>
    <x v="0"/>
    <s v="n/a"/>
    <s v="n/a"/>
    <s v="n/a"/>
    <s v="n"/>
    <s v="n"/>
    <s v="n/a"/>
    <s v="n/a"/>
    <n v="23323952"/>
    <s v="Japanese"/>
    <s v="Battle of Baekgang and Jinshin War: Three Kingdoms of Korea and Japan in the Early Tang Dynasty"/>
    <s v="Hakusukinoe no Tatakai to Jinshin no Ran: Tō shoki no Chōsen sangoku to Nihon"/>
    <s v="白村江の戦いと壬申の乱: 唐初期の朝鮮三国と日本"/>
    <s v="Kobayashi, Yasuko"/>
    <s v="小林恵子"/>
    <s v="n/a"/>
    <s v="n/a"/>
    <x v="53"/>
    <x v="60"/>
    <x v="52"/>
    <s v="Shōwa 62"/>
    <s v="n/a"/>
    <s v="n/a"/>
    <s v="Tang Dynasty (China) ^ History ^ To 935 ^ 百濟 (Kingdom) ^ East Asia -- History ^ China -- History -- Tang dynasty, 618-907 ^ Japan -- History -- 645-794 ^ Korea -- History -- To 935 ^ Paekche (Kingdom) ^ Asia -- Paekche (Kingdom) ^ China ^ East Asia ^ Japan ^ Korea"/>
    <s v="0"/>
    <m/>
    <m/>
  </r>
  <r>
    <n v="166"/>
    <m/>
    <m/>
    <m/>
    <m/>
    <m/>
    <s v="no worldcat record, no CiNii results, nothing on google"/>
    <m/>
    <x v="0"/>
    <m/>
    <m/>
    <s v="n/a"/>
    <s v="n"/>
    <s v="n/a"/>
    <s v="n/a"/>
    <s v="n/a"/>
    <s v="n/a"/>
    <s v="Japanese"/>
    <s v="Sparrows and Reaching a Hundred Years"/>
    <s v="Suzume, Hyaku made"/>
    <s v="雀, 百まで"/>
    <s v="Koseta, Hiroshi"/>
    <s v="小瀬田弘"/>
    <s v="n/a"/>
    <s v="n/a"/>
    <x v="28"/>
    <x v="29"/>
    <x v="15"/>
    <s v="Heisei 4"/>
    <s v="n/a"/>
    <s v="n/a"/>
    <s v="n/a"/>
    <s v="0"/>
    <m/>
    <m/>
  </r>
  <r>
    <n v="167"/>
    <m/>
    <m/>
    <m/>
    <m/>
    <m/>
    <m/>
    <s v="https://www.amazon.co.jp/dp/4309221718"/>
    <x v="0"/>
    <s v="n/a"/>
    <s v="n/a"/>
    <s v="n"/>
    <s v="n"/>
    <s v="n"/>
    <n v="9784309221717"/>
    <s v="4309221718"/>
    <n v="23361585"/>
    <s v="Japanese"/>
    <s v="Timeline of World History"/>
    <s v="Sekaishi nenpyō"/>
    <s v="世界史年表"/>
    <s v="Hibino, Takeo"/>
    <s v="日比野丈夫"/>
    <s v="n/a"/>
    <s v="n/a"/>
    <x v="55"/>
    <x v="62"/>
    <x v="12"/>
    <s v="n/a"/>
    <s v="Kaitei Shinpan"/>
    <s v="改訂新版"/>
    <s v="Chronology, Historical ^ Chronologie historique ^ chronicles ^ Chronology, Historical"/>
    <s v="0"/>
    <m/>
    <m/>
  </r>
  <r>
    <n v="168"/>
    <m/>
    <m/>
    <m/>
    <m/>
    <m/>
    <m/>
    <s v="https://www.amazon.co.jp/dp/4790704416"/>
    <x v="2"/>
    <s v="n/a"/>
    <s v="n/a"/>
    <s v="n"/>
    <s v="n"/>
    <s v="n"/>
    <n v="9784790704416"/>
    <s v="4790704416"/>
    <n v="29599729"/>
    <s v="Japanese"/>
    <s v="Portrait of Manyo Poets"/>
    <s v="Man'yō ōzoku kajin gunzō"/>
    <s v="万葉王族歌人群像"/>
    <s v="Kitajima, Tōru"/>
    <s v="北島徹"/>
    <s v="Sekaishiso seminar"/>
    <s v="n/a"/>
    <x v="56"/>
    <x v="63"/>
    <x v="15"/>
    <s v="Heisei 4"/>
    <s v="Shohan"/>
    <s v="初版"/>
    <s v="Japanese poetry -- To 794 -- History and criticism ^ Royal houses -- Japan ^ Emperors -- Tombs -- Japan ^ Emperors -- Tombs ^ Japanese poetry ^ Royal houses ^ Criticism, interpretation, etc ^ To 794 ^ Japan ^ 万葉集 ^ Man'yōshū ^ Man'yōshū"/>
    <s v="0"/>
    <m/>
    <m/>
  </r>
  <r>
    <n v="169"/>
    <m/>
    <m/>
    <m/>
    <m/>
    <m/>
    <m/>
    <s v="https://www.amazon.co.jp/dp/4532093708"/>
    <x v="0"/>
    <s v="n/a"/>
    <s v="n/a"/>
    <s v="n"/>
    <s v="n"/>
    <s v="n"/>
    <n v="9784532093709"/>
    <s v="4532093708"/>
    <n v="15333256"/>
    <s v="Japanese"/>
    <s v="Morning in the Executive Office: The American Corporate Life"/>
    <s v="Eguzekutibu ofisu no asa: kaisha ningen no Amerika"/>
    <s v="エグゼクティブ・オフィスの朝: 会社人間のアメリカ"/>
    <s v="Halloran, Fumiko"/>
    <s v="ハロラン芙美子"/>
    <s v="n/a"/>
    <s v="n/a"/>
    <x v="42"/>
    <x v="64"/>
    <x v="22"/>
    <s v="Shōwa 60"/>
    <s v="n/a"/>
    <s v="n/a"/>
    <s v="Corporations, American -- Employees ^ Executives -- Training of -- United States ^ Corporations, American -- Employees ^ Executives -- Training of ^ United States"/>
    <s v="0"/>
    <m/>
    <m/>
  </r>
  <r>
    <n v="169"/>
    <m/>
    <m/>
    <m/>
    <m/>
    <m/>
    <m/>
    <s v="https://www.amazon.co.jp/dp/4532093708"/>
    <x v="1"/>
    <s v="n/a"/>
    <s v="n/a"/>
    <s v="n"/>
    <s v="n"/>
    <s v="n"/>
    <n v="9784532093709"/>
    <s v="4532093708"/>
    <n v="15333256"/>
    <s v="Japanese"/>
    <s v="Morning in the Executive Office: The American Corporate Life"/>
    <s v="Eguzekutibu ofisu no asa: kaisha ningen no Amerika"/>
    <s v="エグゼクティブ・オフィスの朝: 会社人間のアメリカ"/>
    <s v="Halloran, Fumiko"/>
    <s v="ハロラン芙美子"/>
    <s v="n/a"/>
    <s v="n/a"/>
    <x v="42"/>
    <x v="64"/>
    <x v="22"/>
    <s v="Shōwa 60"/>
    <s v="n/a"/>
    <s v="n/a"/>
    <s v="Corporations, American -- Employees ^ Executives -- Training of -- United States ^ Corporations, American -- Employees ^ Executives -- Training of ^ United States"/>
    <s v="0"/>
    <m/>
    <m/>
  </r>
  <r>
    <n v="170"/>
    <m/>
    <m/>
    <m/>
    <m/>
    <m/>
    <m/>
    <s v="https://www.amazon.co.jp/dp/4884810651"/>
    <x v="0"/>
    <s v="n/a"/>
    <s v="n/a"/>
    <s v="n"/>
    <s v="n"/>
    <s v="n"/>
    <n v="9784884810658"/>
    <s v="4884810651"/>
    <n v="672677364"/>
    <s v="Japanese"/>
    <s v="Life Map: Utilization of Cosmic Biorhythms"/>
    <s v="Raifu mappu"/>
    <s v="ライフ・マップ: 宇宙バイオリズム活用法"/>
    <s v="Lewis, Harve Spencer ^ Bara Jūjikai"/>
    <s v="バラ十字会"/>
    <s v="n/a"/>
    <s v="n/a"/>
    <x v="3"/>
    <x v="65"/>
    <x v="20"/>
    <s v="Shōwa 56"/>
    <s v="n/a"/>
    <s v="n/a"/>
    <s v="心霊研究 ^ Shinreikenkyū"/>
    <s v="0"/>
    <m/>
    <m/>
  </r>
  <r>
    <n v="171"/>
    <m/>
    <m/>
    <m/>
    <m/>
    <m/>
    <m/>
    <s v="https://www.amazon.co.jp/dp/4768469000"/>
    <x v="0"/>
    <s v="n/a"/>
    <s v="n/a"/>
    <s v="n"/>
    <s v="n"/>
    <s v="n"/>
    <n v="9784768469002"/>
    <s v="4768469000"/>
    <n v="63843436"/>
    <s v="Japanese"/>
    <s v="Japan Founded by Travelers from the Silk Road: The Qin Clan, Soga Clan, and Fujiwara Clan from the Western Regions"/>
    <s v="Shiruku Rōdo toraijin ga kenkokushita Nihon: Hata-shi, Soga-shi, Fujiwara-shi wa Seiiki kara kita"/>
    <s v="シルクロード渡来人が建国した日本: 秦氏, 蘇我氏, 藤原氏は西域から来た"/>
    <s v="Kuji, Tsutomu"/>
    <s v="久慈力"/>
    <s v="n/a"/>
    <s v="n/a"/>
    <x v="57"/>
    <x v="66"/>
    <x v="13"/>
    <s v="Heisei 17"/>
    <s v="Dai 1-han"/>
    <s v="第1版"/>
    <s v="日本-歴史-古代.; 日本-対外関係-アジア-歴史.; 渡来人 ^ Civilization ^ Civilization -- Foreign influences ^ Nihon-Rekishi-Kodai ^ Nihon-Taigai kankei-Ajia-Rekishi ^ Toraijin ^ To 794 ^ Japan -- Civilization -- To 794 ^ Japan -- Civilization -- Foreign influences ^ Japan"/>
    <s v="0"/>
    <m/>
    <m/>
  </r>
  <r>
    <n v="172"/>
    <m/>
    <m/>
    <m/>
    <m/>
    <m/>
    <m/>
    <s v="https://www.amazon.co.jp/dp/4479180109"/>
    <x v="0"/>
    <s v="n/a"/>
    <s v="n/a"/>
    <s v="n"/>
    <s v="n"/>
    <s v="n"/>
    <n v="9784479180104"/>
    <s v="4479180109"/>
    <n v="33539884"/>
    <s v="Japanese"/>
    <s v="Famous Poems of Japan: An Anthology for Appreciation"/>
    <s v="Nihon no meishi: kanshō no tameno ansorojī"/>
    <s v="日本の名詩: 鑑賞のためのアンソロジー"/>
    <s v="Kokai, Eiji"/>
    <s v="小海永二"/>
    <s v="Ginga bukkusu"/>
    <s v="銀河ブックス"/>
    <x v="58"/>
    <x v="67"/>
    <x v="8"/>
    <s v="Shōwa 58"/>
    <s v="n/a"/>
    <s v="n/a"/>
    <s v="日本詩; 詩集"/>
    <s v="0"/>
    <m/>
    <m/>
  </r>
  <r>
    <n v="173"/>
    <m/>
    <m/>
    <m/>
    <m/>
    <m/>
    <m/>
    <s v="https://www.amazon.co.jp/dp/4790417182"/>
    <x v="2"/>
    <s v="n/a"/>
    <s v="n/a"/>
    <s v="n"/>
    <s v="n"/>
    <s v="n"/>
    <n v="9784790417187"/>
    <s v="4790417182"/>
    <n v="1113296081"/>
    <s v="Japanese"/>
    <s v="Autobiographical Theory of Tanka"/>
    <s v="Jidenteki tankaron"/>
    <s v="自伝的短歌論"/>
    <s v="Ozaki, Saeko"/>
    <s v="尾崎左永子"/>
    <s v="n/a"/>
    <s v="n/a"/>
    <x v="3"/>
    <x v="68"/>
    <x v="70"/>
    <s v="n/a"/>
    <s v="n/a"/>
    <s v="n/a"/>
    <s v="和歌 ^ Waka -- Karonkawa"/>
    <s v="0"/>
    <m/>
    <m/>
  </r>
  <r>
    <n v="175.03"/>
    <m/>
    <m/>
    <m/>
    <m/>
    <m/>
    <m/>
    <s v="https://www.amazon.co.jp/dp/4906124100"/>
    <x v="2"/>
    <s v="3 下"/>
    <s v="3"/>
    <s v="n"/>
    <s v="n"/>
    <s v="n"/>
    <n v="9784906124107"/>
    <s v="4906124100"/>
    <n v="674692568"/>
    <s v="Japanese"/>
    <s v="Military Navigational History of Ancient Japan - Volume 3: Missions to Sui China, Tang China, and Bohai - ChatGPT translation"/>
    <s v="Military Navigational History of Ancient Japan - Volume 3: Missions to Sui China, Tang China, and Bohai"/>
    <s v="古代日本の軍事航海史. 下卷, 遣隋使・遣唐使・渤海使"/>
    <s v="Matsueda, Masane"/>
    <s v="松枝正根"/>
    <s v="n/a"/>
    <s v="n/a"/>
    <x v="3"/>
    <x v="69"/>
    <x v="25"/>
    <s v="Heisei 6"/>
    <s v="n/a"/>
    <s v="n/a"/>
    <s v="日本; 水運; 海戦 ^ Nihon -- Rekishi -- Kodai ^ Suiun -- Rekishi ^ Kaisen -- Rekishi"/>
    <s v="0"/>
    <m/>
    <m/>
  </r>
  <r>
    <n v="176"/>
    <m/>
    <m/>
    <m/>
    <m/>
    <m/>
    <m/>
    <s v="https://www.amazon.co.jp/dp/479580642X"/>
    <x v="2"/>
    <s v="n/a"/>
    <s v="n/a"/>
    <s v="n"/>
    <s v="n"/>
    <s v="n"/>
    <n v="9784795806429"/>
    <s v="479580642X"/>
    <n v="21781454"/>
    <s v="Japanese"/>
    <s v="Original Records of Japan: Secrets of the Imperial Family and a New Interpretation of the &quot;Nihon Shoki&quot;"/>
    <s v="Nihon genki: Tennō-ke no himitsu to shinkai &quot;Nihon shoki&quot;"/>
    <s v="日本原記: 天皇家の秘密と新解「日本書紀」"/>
    <s v="Pak, Pyŏng-sik"/>
    <s v="朴炳植"/>
    <s v="n/a"/>
    <s v="n/a"/>
    <x v="59"/>
    <x v="70"/>
    <x v="52"/>
    <s v="Shōwa 62"/>
    <s v="n/a"/>
    <s v="n/a"/>
    <s v="History ^ To 794 ^ Japan -- History -- To 794 ^ Japan ^ 日本書紀"/>
    <s v="0"/>
    <m/>
    <m/>
  </r>
  <r>
    <n v="178"/>
    <m/>
    <m/>
    <m/>
    <m/>
    <m/>
    <m/>
    <s v="n/a"/>
    <x v="1"/>
    <s v="203"/>
    <s v="n/a"/>
    <s v="n/a"/>
    <s v="2+ Results"/>
    <s v="n"/>
    <s v="n/a"/>
    <s v="n/a"/>
    <n v="23119870"/>
    <s v="Japanese"/>
    <s v="Selection of Tang Dynasty Poetry"/>
    <s v="Tōshi sen"/>
    <s v="唐詩選"/>
    <s v="Yoshikawa, Kōjirō ^ Ogawa, Tamaki ^ Imataka, Makoto"/>
    <s v="吉川幸次郎 ^ 小川環樹 ^ 今鷹真"/>
    <s v="Chikuma sōsho"/>
    <s v="筑摩叢書"/>
    <x v="15"/>
    <x v="19"/>
    <x v="53"/>
    <s v="Shōwa 48"/>
    <s v="Shohan"/>
    <s v="初版"/>
    <s v="Chinese poetry -- Translations into Japanese ^ Japanese poetry -- Translations from Chinese ^ Chinese poetry -- Tang dynasty, 618-907 -- History and criticism ^ Chinese poetry ^ Tang Dynasty (China) ^ Criticism, interpretation, etc ^ Translations ^ 618-907"/>
    <s v="0"/>
    <m/>
    <m/>
  </r>
  <r>
    <n v="179"/>
    <m/>
    <m/>
    <m/>
    <m/>
    <m/>
    <m/>
    <s v="https://www.amazon.co.jp/dp/4484042150"/>
    <x v="2"/>
    <s v="n/a"/>
    <s v="n/a"/>
    <s v="n"/>
    <s v="n"/>
    <s v="n"/>
    <n v="9784484042152"/>
    <s v="4484042150"/>
    <n v="122818422"/>
    <s v="Japanese"/>
    <s v="Born in Japan: Women's Thoughts on the Japanese Constitution"/>
    <s v="Nihon ni umarete: josei ga kangaeru Nihonkoku kenpō"/>
    <s v="日本に生まれて: 女性が考える日本国憲法"/>
    <s v="Hankyū Komyunikēshonzu.; Shoseki Henshūbu"/>
    <s v="阪急コミュニケーションズ. 書籍編集部"/>
    <s v="n/a"/>
    <s v="n/a"/>
    <x v="60"/>
    <x v="71"/>
    <x v="24"/>
    <s v="Heisei 16"/>
    <s v="Shohan"/>
    <s v="初版"/>
    <s v="憲法-日本 ^ Women -- Japan ^ Women ^ Kenpō-Nihon ^ Japan. Kenpō (1946) ^ Japan ^ Kenpō (Japan : 1946)"/>
    <s v="0"/>
    <m/>
    <m/>
  </r>
  <r>
    <n v="179"/>
    <m/>
    <m/>
    <m/>
    <m/>
    <m/>
    <m/>
    <s v="https://www.amazon.co.jp/dp/4484042150"/>
    <x v="1"/>
    <s v="n/a"/>
    <s v="n/a"/>
    <s v="n"/>
    <s v="n"/>
    <s v="n"/>
    <n v="9784484042152"/>
    <s v="4484042150"/>
    <n v="122818422"/>
    <s v="Japanese"/>
    <s v="Born in Japan: Women's Thoughts on the Japanese Constitution"/>
    <s v="Nihon ni umarete: josei ga kangaeru Nihonkoku kenpō"/>
    <s v="日本に生まれて: 女性が考える日本国憲法"/>
    <s v="Hankyū Komyunikēshonzu.; Shoseki Henshūbu"/>
    <s v="阪急コミュニケーションズ. 書籍編集部"/>
    <s v="n/a"/>
    <s v="n/a"/>
    <x v="60"/>
    <x v="71"/>
    <x v="24"/>
    <s v="Heisei 16"/>
    <s v="Shohan"/>
    <s v="初版"/>
    <s v="憲法-日本 ^ Women -- Japan ^ Women ^ Kenpō-Nihon ^ Japan. Kenpō (1946) ^ Japan ^ Kenpō (Japan : 1946)"/>
    <s v="0"/>
    <m/>
    <m/>
  </r>
  <r>
    <n v="180"/>
    <m/>
    <m/>
    <m/>
    <m/>
    <m/>
    <m/>
    <s v="https://www.amazon.co.jp/dp/4103826010"/>
    <x v="0"/>
    <s v="n/a"/>
    <s v="n/a"/>
    <s v="n"/>
    <s v="n"/>
    <s v="n"/>
    <n v="9784103826019"/>
    <s v="4103826010"/>
    <n v="674715614"/>
    <s v="Japanese"/>
    <s v="Shimabara Gunki: Castle Echoing the Sea"/>
    <s v="Shimabara gunki uminari no shiro"/>
    <s v="島原軍記海鳴りの城"/>
    <s v="Shingū, Masaharu"/>
    <s v="新宮正春"/>
    <s v="n/a"/>
    <s v="n/a"/>
    <x v="3"/>
    <x v="6"/>
    <x v="6"/>
    <s v="Heisei 3"/>
    <s v="n/a"/>
    <s v="n/a"/>
    <s v="n/a"/>
    <s v="0"/>
    <m/>
    <m/>
  </r>
  <r>
    <n v="181"/>
    <m/>
    <m/>
    <m/>
    <m/>
    <m/>
    <m/>
    <s v="https://www.amazon.co.jp/dp/4905606160"/>
    <x v="0"/>
    <s v="n/a"/>
    <s v="n/a"/>
    <s v="n"/>
    <s v="n"/>
    <s v="n"/>
    <n v="9784905606161"/>
    <s v="4905606160"/>
    <n v="674343298"/>
    <s v="Japanese"/>
    <s v="First Giant Killer: Life of Hanshin's Star Pitcher Yukio Nishimura"/>
    <s v="Shodai kyojin kirā"/>
    <s v="初代巨人キラー: 阪神の名投手西村幸生の生涯"/>
    <s v="Nakamura, Hiroo"/>
    <s v="中村博男"/>
    <s v="n/a"/>
    <s v="n/a"/>
    <x v="3"/>
    <x v="72"/>
    <x v="7"/>
    <s v="Heisei 7"/>
    <s v="n/a"/>
    <s v="n/a"/>
    <s v="西村, 幸生, 1910-1945 ^ Nishimura, Yukio"/>
    <s v="0"/>
    <m/>
    <m/>
  </r>
  <r>
    <n v="182"/>
    <m/>
    <m/>
    <m/>
    <m/>
    <m/>
    <m/>
    <s v="https://www.amazon.co.jp/dp/486272468X"/>
    <x v="0"/>
    <s v="n/a"/>
    <s v="n/a"/>
    <s v="n"/>
    <s v="n"/>
    <s v="n"/>
    <n v="9784862724687"/>
    <s v="486272468X"/>
    <n v="946814479"/>
    <s v="Japanese"/>
    <s v="Rose Fragments: Collected Poems by Saneaki Ohsaki"/>
    <s v="Bara danshō: ozaki saeko kashū"/>
    <s v="薔薇断章: 尾崎左永子歌集"/>
    <s v="Ozaki, Saeko"/>
    <s v="尾崎左永子"/>
    <s v="n/a"/>
    <s v="n/a"/>
    <x v="61"/>
    <x v="73"/>
    <x v="71"/>
    <s v="Heisei 27"/>
    <s v="n/a"/>
    <s v="n/a"/>
    <s v="n/a"/>
    <s v="0"/>
    <m/>
    <m/>
  </r>
  <r>
    <n v="183"/>
    <m/>
    <m/>
    <m/>
    <m/>
    <m/>
    <m/>
    <s v="https://www.amazon.co.jp/dp/4163479309"/>
    <x v="0"/>
    <s v="n/a"/>
    <s v="n/a"/>
    <s v="n"/>
    <s v="n"/>
    <s v="n"/>
    <n v="9784163479309"/>
    <s v="4163479309"/>
    <n v="30516157"/>
    <s v="Japanese"/>
    <s v="White Tiger and Blue Dragon: The Century of Conflict between Nakatomi and Oomi"/>
    <s v="Byakko to seiryū: Nakanoōe to Ōama kōbō no seiki"/>
    <s v="白虎と青龍: 中大兄と大海人攻防の世紀"/>
    <s v="Kobayashi, Yasuko"/>
    <s v="小林惠子"/>
    <s v="n/a"/>
    <s v="n/a"/>
    <x v="13"/>
    <x v="16"/>
    <x v="5"/>
    <s v="Heisei 5"/>
    <s v="n/a"/>
    <s v="n/a"/>
    <s v="History ^ To 794 ^ Japan -- History -- To 794 ^ Japan"/>
    <s v="0"/>
    <m/>
    <m/>
  </r>
  <r>
    <n v="184"/>
    <m/>
    <m/>
    <m/>
    <m/>
    <m/>
    <m/>
    <s v="n/a"/>
    <x v="0"/>
    <s v="n/a"/>
    <s v="n/a"/>
    <s v="n/a"/>
    <s v="n"/>
    <s v="n"/>
    <s v="n/a"/>
    <s v="n/a"/>
    <n v="22366696"/>
    <s v="Japanese"/>
    <s v="Asuka: Its Ancient History and Environment"/>
    <s v="Asuka: sono kodaishi to fūdo"/>
    <s v="飛鳥; その古代史と風土"/>
    <s v="Kadowaki, Teiji"/>
    <s v="門脇禎二"/>
    <s v="NHK bukkusu"/>
    <s v="NHK ブックス"/>
    <x v="3"/>
    <x v="41"/>
    <x v="41"/>
    <s v="Shōwa 45"/>
    <s v="n/a"/>
    <s v="n/a"/>
    <s v="明日香市 (Japan) ^ Asuka-shi (Japan) ^ Japan -- Asuka-shi"/>
    <s v="0"/>
    <m/>
    <m/>
  </r>
  <r>
    <n v="185.01"/>
    <m/>
    <m/>
    <m/>
    <m/>
    <m/>
    <s v="old and fragile, should be boxed"/>
    <s v="n/a"/>
    <x v="0"/>
    <s v="1 上"/>
    <s v="2"/>
    <s v="n/a"/>
    <s v="n"/>
    <s v="n"/>
    <s v="n/a"/>
    <s v="n/a"/>
    <n v="21218527"/>
    <s v="Chinese"/>
    <s v="Record of the Twenty-Two Histories: [Volume 36, with Supplementary Material]"/>
    <s v="Nian er shi zha ji: [36 juan, fu bu yi]"/>
    <s v="廿二史箚記: [36卷, 附補遺]"/>
    <s v="Zhao, Yi"/>
    <s v="趙翼"/>
    <s v="n/a"/>
    <s v="n/a"/>
    <x v="62"/>
    <x v="74"/>
    <x v="43"/>
    <s v="n/a"/>
    <s v="Xin 1 ban"/>
    <s v="新1版"/>
    <s v="Historiography ^ History ^ China -- History ^ China -- Historiography ^ China"/>
    <s v="0"/>
    <m/>
    <m/>
  </r>
  <r>
    <n v="185.02"/>
    <m/>
    <m/>
    <m/>
    <m/>
    <m/>
    <s v="old and fragile, should be boxed"/>
    <s v="n/a"/>
    <x v="0"/>
    <s v="2 下"/>
    <s v="2"/>
    <s v="n/a"/>
    <s v="n"/>
    <s v="n"/>
    <s v="n/a"/>
    <s v="n/a"/>
    <n v="21218527"/>
    <s v="Chinese"/>
    <s v="Record of the Twenty-Two Histories: [Volume 36, with Supplementary Material]"/>
    <s v="Nian er shi zha ji: [36 juan, fu bu yi]"/>
    <s v="廿二史箚記: [36卷, 附補遺]"/>
    <s v="Zhao, Yi"/>
    <s v="趙翼"/>
    <s v="n/a"/>
    <s v="n/a"/>
    <x v="62"/>
    <x v="74"/>
    <x v="43"/>
    <s v="n/a"/>
    <s v="Xin 1 ban"/>
    <s v="新1版"/>
    <s v="Historiography ^ History ^ China -- History ^ China -- Historiography ^ China"/>
    <s v="0"/>
    <m/>
    <m/>
  </r>
  <r>
    <n v="186"/>
    <m/>
    <m/>
    <m/>
    <m/>
    <m/>
    <m/>
    <s v="https://www.amazon.co.jp/dp/419384322X"/>
    <x v="3"/>
    <s v="n/a"/>
    <s v="n/a"/>
    <s v="n"/>
    <s v="n"/>
    <s v="n"/>
    <n v="9784193843224"/>
    <s v="419384322X"/>
    <n v="674727510"/>
    <s v="Japanese"/>
    <s v="Money Market Encyclopedia: Social Etiquette. Be Safe with Just This Much!"/>
    <s v="Kinsen sōba jiten"/>
    <s v="金銭相場事典: おつき合い.これだけ包めば安心!"/>
    <s v="Nichijō Seikatsu Jōhō Deta Banku"/>
    <s v="日常生活情報データバンク"/>
    <s v="n/a"/>
    <s v="n/a"/>
    <x v="3"/>
    <x v="75"/>
    <x v="38"/>
    <s v="Heisei 2"/>
    <s v="n/a"/>
    <s v="n/a"/>
    <s v="冠婚葬祭 ^ Kankonsōsai"/>
    <s v="0"/>
    <m/>
    <m/>
  </r>
  <r>
    <n v="187.01"/>
    <m/>
    <m/>
    <m/>
    <m/>
    <m/>
    <m/>
    <s v="https://www.amazon.co.jp/dp/4124003919"/>
    <x v="0"/>
    <s v="1"/>
    <s v="4"/>
    <s v="n"/>
    <s v="n"/>
    <s v="n"/>
    <n v="9784124003918"/>
    <s v="4124003919"/>
    <n v="24533546"/>
    <s v="Japanese"/>
    <s v="Nihon Shoki (Chronicles of Japan)"/>
    <s v="Nihon shoki"/>
    <s v="日本書紀"/>
    <s v="Inoue, Mitsusada"/>
    <s v="井上光貞"/>
    <s v="Nihon no meicho"/>
    <s v="日本の名著"/>
    <x v="0"/>
    <x v="0"/>
    <x v="8"/>
    <s v="Shōwa 58"/>
    <s v="n/a"/>
    <s v="初版"/>
    <s v="History ^ To 794 ^ Japan -- History -- To 794 ^ Japan ^ 日本書紀 ^ Nihon shoki ^ Nihon shoki"/>
    <s v="0"/>
    <m/>
    <m/>
  </r>
  <r>
    <n v="187.02"/>
    <m/>
    <m/>
    <m/>
    <m/>
    <m/>
    <m/>
    <s v="n/a"/>
    <x v="0"/>
    <s v="2"/>
    <s v="n/a"/>
    <s v="n/a"/>
    <s v="n"/>
    <s v="n/a"/>
    <s v="n/a"/>
    <s v="n/a"/>
    <n v="3599800"/>
    <s v="Japanese"/>
    <s v="Prince Shotoku"/>
    <s v="Shōtoku Taishi"/>
    <s v="聖德太子"/>
    <s v="Shōtoku Taishi ^ Nakamura, Hajime"/>
    <s v="聖德太子 ^ 中村元"/>
    <s v="Nihon no meicho"/>
    <s v="日本の名著"/>
    <x v="63"/>
    <x v="0"/>
    <x v="41"/>
    <s v="Shōwa 45"/>
    <s v="Shohan"/>
    <s v="初版"/>
    <s v="Buddhism -- Sacred books -- Early works to 1800 ^ Buddhism -- Japan -- History -- To 794 ^ Buddhism ^ Buddhism -- Sacred books ^ Constitutional history ^ 聖德太子, 574?-622? 聖德太子, approximately 573-approximately 621 ^ Shōtoku Taishi, 574?-622? ^ Shōtoku, Taishi, approximately 573-approximately 621 ^ Shōtoku Taishi, 574?-622? ^ Early works ^ History ^ Sources ^ To 794 ^ Japan -- Constitutional history -- Sources ^ Japan"/>
    <s v="0"/>
    <m/>
    <m/>
  </r>
  <r>
    <n v="187.03"/>
    <m/>
    <m/>
    <m/>
    <m/>
    <m/>
    <m/>
    <s v="n/a"/>
    <x v="0"/>
    <s v="3"/>
    <s v="n/a"/>
    <s v="n/a"/>
    <s v="n"/>
    <s v="n/a"/>
    <s v="n/a"/>
    <s v="n/a"/>
    <n v="1020966099"/>
    <s v="Japanese"/>
    <s v="Saicho; Kukai"/>
    <s v="Saichō ; kuukai"/>
    <s v="最澄 ; 空海"/>
    <s v="Saichō ^ Kuukai ^ Fukunaga, Mitsuji ^ Tamura, Kōyū"/>
    <s v="最澄(767- ^ 空海(774- ^ 福永光司 ^ 田村晃祐"/>
    <s v="Nihon no meicho"/>
    <s v="日本の名著"/>
    <x v="3"/>
    <x v="0"/>
    <x v="26"/>
    <s v="Shōwa 52"/>
    <s v="n/a"/>
    <s v="n/a"/>
    <s v="最澄(767〜822) 空海(774〜835) ^ Saichō(767-822) ^ Kuukai(774-835)"/>
    <s v="0"/>
    <m/>
    <m/>
  </r>
  <r>
    <n v="188"/>
    <m/>
    <m/>
    <m/>
    <m/>
    <m/>
    <s v="NDL record"/>
    <s v="n/a"/>
    <x v="0"/>
    <s v="n/a"/>
    <s v="n/a"/>
    <s v="n/a"/>
    <s v="n"/>
    <s v="n"/>
    <s v="n/a"/>
    <s v="n/a"/>
    <n v="673440581"/>
    <s v="Japanese"/>
    <s v="My Cooking with a Dash of Salt"/>
    <s v="Teshio ni kaketa watakushi no ryōri"/>
    <s v="手しおにかけた私の料理"/>
    <s v="Tatsumi, Hamako"/>
    <s v="辰巳浜子"/>
    <s v="n/a"/>
    <s v="n/a"/>
    <x v="64"/>
    <x v="76"/>
    <x v="47"/>
    <s v="Shōwa 35"/>
    <s v="n/a"/>
    <s v="n/a"/>
    <s v="料理 ^ Ryōri"/>
    <s v="0"/>
    <m/>
    <m/>
  </r>
  <r>
    <n v="189"/>
    <m/>
    <m/>
    <m/>
    <m/>
    <m/>
    <m/>
    <s v="https://www.amazon.co.jp/dp/4385131066"/>
    <x v="3"/>
    <s v="n/a"/>
    <s v="n/a"/>
    <s v="n"/>
    <s v="n"/>
    <s v="n"/>
    <n v="9784385131061"/>
    <s v="4385131066"/>
    <n v="60494964"/>
    <s v="Japanese"/>
    <s v="New Revised Dictionary of Japanese: Sixth Edition"/>
    <s v="Shin meikai kokugo jiten: dai roku han"/>
    <s v="新明解国語辞典: 第六版"/>
    <s v="Yamada, Tadao"/>
    <s v="山田忠雄"/>
    <s v="n/a"/>
    <s v="n/a"/>
    <x v="65"/>
    <x v="77"/>
    <x v="13"/>
    <s v="Heisei 17"/>
    <s v="Dai 6-han"/>
    <s v="第六版"/>
    <s v="日本語-辞典 ^ Japanese language -- Dictionaries ^ Japanese language ^ Nihongo-Jiten ^ Dictionaries"/>
    <s v="0"/>
    <m/>
    <m/>
  </r>
  <r>
    <n v="190"/>
    <m/>
    <m/>
    <m/>
    <m/>
    <m/>
    <m/>
    <s v="https://www.amazon.co.jp/dp/4095102535"/>
    <x v="3"/>
    <s v="n/a"/>
    <s v="n/a"/>
    <s v="n"/>
    <s v="n"/>
    <s v="n"/>
    <n v="9784095102535"/>
    <s v="4095102535"/>
    <n v="48926090"/>
    <s v="Japanese"/>
    <s v="Shogakukan Progressive Japanese-English Dictionary"/>
    <s v="Shogakukan progressive Japanese-English dictionary"/>
    <s v="小学館プログレッシブ和英中辞典"/>
    <s v="Kondō, Ineko ^ Takano, Fumi ^ Althaus, Mary E"/>
    <s v="近藤いね子( ^ ) 高野フミ( ^ )"/>
    <s v="n/a"/>
    <s v="n/a"/>
    <x v="66"/>
    <x v="78"/>
    <x v="42"/>
    <s v="Heisei 14"/>
    <s v="Dai 3-han"/>
    <s v="第3版"/>
    <s v="英語 ^ Japanese language -- Dictionaries -- English ^ English language -- Dictionaries -- Japanese ^ Eigo -- Jiten (waei) ^ English language ^ Japanese language ^ Dictionaries ^ 英語; 辞書"/>
    <s v="0"/>
    <m/>
    <m/>
  </r>
  <r>
    <n v="191"/>
    <m/>
    <m/>
    <m/>
    <m/>
    <m/>
    <m/>
    <s v="https://www.amazon.co.jp/dp/427000455X"/>
    <x v="0"/>
    <s v="n/a"/>
    <s v="n/a"/>
    <s v="n"/>
    <s v="n"/>
    <s v="n"/>
    <n v="9784270004555"/>
    <s v="427000455X"/>
    <n v="675563003"/>
    <s v="Japanese"/>
    <s v="Christianity in the World"/>
    <s v="Sekai no naka no kirisutokyō"/>
    <s v="世界の中のキリスト教"/>
    <s v="Marty, Martin E ^ Murata, Ayako"/>
    <s v="村田綾子"/>
    <s v="Kuronosu Sensho"/>
    <s v="クロノス選書"/>
    <x v="67"/>
    <x v="79"/>
    <x v="72"/>
    <s v="Heisei 20"/>
    <s v="n/a"/>
    <s v="n/a"/>
    <s v="キリスト教 ^ Kirisutokyō -- Rekishi"/>
    <s v="0"/>
    <m/>
    <m/>
  </r>
  <r>
    <n v="192"/>
    <m/>
    <m/>
    <m/>
    <m/>
    <m/>
    <m/>
    <s v="n/a"/>
    <x v="0"/>
    <s v="n/a"/>
    <s v="n/a"/>
    <s v="n/a"/>
    <s v="n"/>
    <s v="n"/>
    <s v="n/a"/>
    <s v="n/a"/>
    <n v="802660180"/>
    <s v="Chinese"/>
    <s v="Annotations on the Four Books"/>
    <s v="Si shu ji zhu"/>
    <s v="四書集注"/>
    <s v="Zhu, Xi"/>
    <s v="朱熹"/>
    <s v="n/a"/>
    <s v="n/a"/>
    <x v="68"/>
    <x v="80"/>
    <x v="32"/>
    <s v="n/a"/>
    <s v="n/a"/>
    <s v="n/a"/>
    <s v="四書 ^ Si shu ^ Si shu"/>
    <s v="0"/>
    <m/>
    <m/>
  </r>
  <r>
    <n v="193"/>
    <m/>
    <m/>
    <m/>
    <m/>
    <m/>
    <s v="spine damaged, no North American copies"/>
    <s v="n/a"/>
    <x v="0"/>
    <s v="n/a"/>
    <s v="n/a"/>
    <s v="n/a"/>
    <s v="n"/>
    <s v="n"/>
    <s v="n/a"/>
    <s v="n/a"/>
    <n v="33844168"/>
    <s v="Japanese"/>
    <s v="Stars of Humanity"/>
    <s v="Ningen no hoshi"/>
    <s v="人間の星"/>
    <s v="Nishikawa, Mitsuru"/>
    <s v="西川満"/>
    <s v="n/a"/>
    <s v="n/a"/>
    <x v="69"/>
    <x v="81"/>
    <x v="73"/>
    <s v="Shōwa 34"/>
    <s v="n/a"/>
    <s v="n/a"/>
    <s v="占星術"/>
    <s v="0"/>
    <m/>
    <m/>
  </r>
  <r>
    <n v="194"/>
    <m/>
    <m/>
    <m/>
    <m/>
    <m/>
    <m/>
    <s v="https://www.amazon.co.jp/dp/4163467807"/>
    <x v="0"/>
    <s v="n/a"/>
    <s v="n/a"/>
    <s v="n"/>
    <s v="n"/>
    <s v="n"/>
    <n v="9784163467801"/>
    <s v="4163467807"/>
    <n v="28217980"/>
    <s v="Japanese"/>
    <s v="Conspiracy: The Engineered Political Upheaval in East Asia during the Taika Reforms"/>
    <s v="Inbō Taika no kaishin: shikumareta Higashi Ajia no seihen"/>
    <s v="陰謀大化改新: 仕組まれた東アジアの政変"/>
    <s v="Kobayashi, Yasuko"/>
    <s v="小林恵子"/>
    <s v="n/a"/>
    <s v="n/a"/>
    <x v="13"/>
    <x v="16"/>
    <x v="15"/>
    <s v="Heisei 4"/>
    <s v="n/a"/>
    <s v="n/a"/>
    <s v="International relations ^ History ^ 645-710 ^ Japan -- History -- Taika Reforms, 645-710 ^ East Asia -- Relations -- Japan ^ Japan -- Relations -- East Asia ^ East Asia ^ Japan"/>
    <s v="0"/>
    <m/>
    <m/>
  </r>
  <r>
    <n v="195"/>
    <m/>
    <m/>
    <m/>
    <m/>
    <m/>
    <s v="serial"/>
    <m/>
    <x v="3"/>
    <s v="n/a"/>
    <s v="n/a"/>
    <s v="n/a"/>
    <s v="n"/>
    <s v="n/a"/>
    <s v="n/a"/>
    <s v="n/a"/>
    <s v="n/a"/>
    <s v="Japanese"/>
    <s v="Reader's Digest"/>
    <s v="Rīdāzu Daijesuto"/>
    <s v="リーダーズダイジェスト"/>
    <s v="n/a"/>
    <s v="n/a"/>
    <s v="n/a"/>
    <s v="n/a"/>
    <x v="3"/>
    <x v="1"/>
    <x v="74"/>
    <s v="Shōwa 55"/>
    <s v="n/a"/>
    <s v="n/a"/>
    <s v="n/a"/>
    <s v="0"/>
    <m/>
    <m/>
  </r>
  <r>
    <n v="196"/>
    <m/>
    <m/>
    <m/>
    <m/>
    <m/>
    <s v="oclc record not exact match"/>
    <s v="n/a"/>
    <x v="0"/>
    <s v="n/a"/>
    <s v="n/a"/>
    <s v="n/a"/>
    <s v="n"/>
    <s v="n"/>
    <s v="n/a"/>
    <s v="n/a"/>
    <n v="1183120434"/>
    <s v="Chinese"/>
    <s v="Commentary on the Analects of Confucius and the Works of Mencius"/>
    <s v="n/a"/>
    <s v="論語正義 . 孟子正義"/>
    <s v="liu, bao nan ^ jiao, xun"/>
    <s v="劉, 寶楠  ^ 焦, 循 (1763-1820)"/>
    <s v="zhu zi ji cheng"/>
    <s v="諸子集成"/>
    <x v="3"/>
    <x v="82"/>
    <x v="43"/>
    <s v="n/a"/>
    <s v="n/a"/>
    <s v="n/a"/>
    <s v="n/a"/>
    <s v="0"/>
    <m/>
    <m/>
  </r>
  <r>
    <n v="197"/>
    <m/>
    <m/>
    <m/>
    <m/>
    <m/>
    <m/>
    <s v="n/a"/>
    <x v="2"/>
    <s v="n/a"/>
    <s v="n/a"/>
    <s v="n/a"/>
    <s v="n"/>
    <s v="n"/>
    <s v="n/a"/>
    <s v="n/a"/>
    <n v="23878539"/>
    <s v="Japanese"/>
    <s v="Woguo from the Korean Peninsula: The Ancient Kaya Tribe Established the Kyushu Dynasty"/>
    <s v="Kan Hantō kara kita Wakoku: kodai kanazoku ga tateta Kyūshū ōchō"/>
    <s v="韓半島からきた倭国: 古代加耶族が建てた九州王朝"/>
    <s v="Yi, Chong-hang ^ Kanekawa, Susumu"/>
    <s v="李鍾恒 ^ 兼川晋"/>
    <s v="n/a"/>
    <s v="n/a"/>
    <x v="3"/>
    <x v="83"/>
    <x v="38"/>
    <s v="Heisei 2"/>
    <s v="n/a"/>
    <s v="n/a"/>
    <s v="History ^ Kyūshū Region (Japan) -- History ^ Yamatai (Japan) ^ Kaya (Confederation) ^ Asia -- Kaya (Confederation) ^ Japan -- Kyūshū Region ^ Japan -- Yamatai"/>
    <s v="0"/>
    <m/>
    <m/>
  </r>
  <r>
    <n v="198"/>
    <m/>
    <m/>
    <m/>
    <m/>
    <m/>
    <m/>
    <s v="https://www.amazon.co.jp/dp/4818403458"/>
    <x v="0"/>
    <s v="n/a"/>
    <s v="n/a"/>
    <s v="n"/>
    <s v="n"/>
    <s v="n"/>
    <n v="9784818403451"/>
    <s v="4818403458"/>
    <n v="674867285"/>
    <s v="Japanese"/>
    <s v="Invitation to Hymns: Musical Essays"/>
    <s v="Sanbika eno shōtai: Ongaku zuisō"/>
    <s v="讃美歌への招待: 音楽随想"/>
    <s v="Shirai, Kensaku"/>
    <s v="白井健策"/>
    <s v="n/a"/>
    <s v="n/a"/>
    <x v="3"/>
    <x v="84"/>
    <x v="21"/>
    <s v="Heisei 11"/>
    <s v="n/a"/>
    <s v="n/a"/>
    <s v="讃美歌 ^ Sanbika ^ 賛美歌"/>
    <s v="0"/>
    <m/>
    <m/>
  </r>
  <r>
    <n v="199"/>
    <m/>
    <m/>
    <m/>
    <m/>
    <m/>
    <m/>
    <s v="https://www.amazon.co.jp/dp/4642051155"/>
    <x v="1"/>
    <s v="n/a"/>
    <s v="n/a"/>
    <s v="n"/>
    <s v="https://libcat.colorado.edu/Record/b1848203"/>
    <s v="y"/>
    <n v="9784642051156"/>
    <s v="4642051155"/>
    <n v="22796157"/>
    <s v="Japanese"/>
    <s v="Xavier"/>
    <s v="Zavieru"/>
    <s v="ザヴィエル"/>
    <s v="Yoshida, Kogorō ^ Nihon Rekishi Gakkai"/>
    <s v="吉田小五郎 ^ 日本歴史学会"/>
    <s v="Jinbutsu sōsho (Shinsōban)"/>
    <s v="人物叢書. 新装版. 人物叢書 (Shinsōban)"/>
    <x v="38"/>
    <x v="39"/>
    <x v="11"/>
    <s v="Shōwa 63"/>
    <s v="Shinsōban"/>
    <s v="新装版"/>
    <s v="Christian saints -- Biography ^ Christian saints ^ Missions ^ Francis Xavier, Saint, 1506-1552 ^ Francis Xavier, Saint, 1506-1552 ^ Catholic Church -- Missions -- Japan ^ Catholic Church ^ Biographies ^ Biographies ^ Biographies ^ Japan"/>
    <s v="0"/>
    <m/>
    <m/>
  </r>
  <r>
    <n v="200.01"/>
    <m/>
    <m/>
    <m/>
    <m/>
    <m/>
    <m/>
    <s v="n/a"/>
    <x v="0"/>
    <s v="1 上"/>
    <s v="2"/>
    <s v="n/a"/>
    <s v="n"/>
    <s v="n"/>
    <s v="n/a"/>
    <s v="n/a"/>
    <n v="32126079"/>
    <s v="Japanese"/>
    <s v="Analects of Confucius"/>
    <s v="Rongo"/>
    <s v="論語"/>
    <s v="Yoshikawa, Kōjirō ^ Confucius"/>
    <s v="吉川幸次郎 ^ Confucius ^ 論語 ^ Japanese &amp; Chinese"/>
    <s v="Chūgoku kotensen"/>
    <s v="中国古典選"/>
    <x v="25"/>
    <x v="85"/>
    <x v="75"/>
    <s v="n/a"/>
    <s v="n/a"/>
    <s v="n/a"/>
    <s v="Confucius. 論語. Confucius. 論語 ^ Confucius. Lun yu ^ Confucius. Lun yu ^ Lun yu (Confucius)"/>
    <s v="0"/>
    <m/>
    <m/>
  </r>
  <r>
    <n v="200.02"/>
    <m/>
    <m/>
    <m/>
    <m/>
    <m/>
    <m/>
    <s v="n/a"/>
    <x v="0"/>
    <s v="2 下"/>
    <s v="2"/>
    <s v="n/a"/>
    <s v="n"/>
    <s v="n"/>
    <s v="n/a"/>
    <s v="n/a"/>
    <n v="32126079"/>
    <s v="Japanese"/>
    <s v="Analects of Confucius"/>
    <s v="Rongo"/>
    <s v="論語"/>
    <s v="Yoshikawa, Kōjirō ^ Confucius"/>
    <s v="吉川幸次郎 ^ Confucius ^ 論語 ^ Japanese &amp; Chinese"/>
    <s v="Chūgoku kotensen"/>
    <s v="中国古典選"/>
    <x v="25"/>
    <x v="85"/>
    <x v="75"/>
    <s v="n/a"/>
    <s v="n/a"/>
    <s v="n/a"/>
    <s v="Confucius. 論語. Confucius. 論語 ^ Confucius. Lun yu ^ Confucius. Lun yu ^ Lun yu (Confucius)"/>
    <s v="0"/>
    <m/>
    <m/>
  </r>
  <r>
    <n v="201"/>
    <m/>
    <m/>
    <m/>
    <m/>
    <m/>
    <m/>
    <s v="https://www.amazon.co.jp/dp/4163119000"/>
    <x v="0"/>
    <s v="n/a"/>
    <s v="n/a"/>
    <s v="n"/>
    <s v="n"/>
    <s v="n"/>
    <n v="9784163119007"/>
    <s v="4163119000"/>
    <n v="24981154"/>
    <s v="Japanese"/>
    <s v="Black Wall"/>
    <s v="Kuroi kabe"/>
    <s v="黒い壁"/>
    <s v="Halloran, Fumiko"/>
    <s v="n/a"/>
    <s v="n/a"/>
    <s v="n/a"/>
    <x v="13"/>
    <x v="16"/>
    <x v="38"/>
    <s v="Heisei 2"/>
    <s v="n/a"/>
    <s v="n/a"/>
    <s v="n/a"/>
    <s v="0"/>
    <m/>
    <m/>
  </r>
  <r>
    <n v="201"/>
    <m/>
    <m/>
    <m/>
    <m/>
    <m/>
    <m/>
    <s v="https://www.amazon.co.jp/dp/4163119000"/>
    <x v="0"/>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1"/>
    <m/>
    <m/>
    <m/>
    <m/>
    <m/>
    <m/>
    <s v="https://www.amazon.co.jp/dp/4163119000"/>
    <x v="1"/>
    <s v="n/a"/>
    <s v="n/a"/>
    <s v="n"/>
    <s v="n"/>
    <s v="n"/>
    <n v="9784163119007"/>
    <s v="4163119000"/>
    <n v="24981154"/>
    <s v="Japanese"/>
    <s v="Black Wall"/>
    <s v="Kuroi kabe"/>
    <s v="黒い壁"/>
    <s v="Halloran, Fumiko"/>
    <s v="n/a"/>
    <s v="n/a"/>
    <s v="n/a"/>
    <x v="13"/>
    <x v="16"/>
    <x v="38"/>
    <s v="Heisei 2"/>
    <s v="n/a"/>
    <s v="n/a"/>
    <s v="n/a"/>
    <s v="0"/>
    <m/>
    <m/>
  </r>
  <r>
    <n v="202"/>
    <m/>
    <m/>
    <m/>
    <m/>
    <m/>
    <m/>
    <s v="https://www.amazon.co.jp/dp/4061210548"/>
    <x v="2"/>
    <s v="n/a"/>
    <s v="n/a"/>
    <s v="n"/>
    <s v="n"/>
    <s v="n"/>
    <n v="9784061210547"/>
    <s v="4061210548"/>
    <n v="10300013"/>
    <s v="Japanese"/>
    <s v="Dictionary of Correct Japanese Spelling and Terminology"/>
    <s v="Nihongo no tadashii hyōki to yōgo no jiten"/>
    <s v="日本語の正しい表記と用語の辞典"/>
    <s v="Kōdansha.; Kōetsukyoku"/>
    <s v="講談社. 校閱局"/>
    <s v="n/a"/>
    <s v="n/a"/>
    <x v="4"/>
    <x v="5"/>
    <x v="8"/>
    <s v="Shōwa 58"/>
    <s v="n/a"/>
    <s v="n/a"/>
    <s v="Japanese language -- Orthography and spelling -- Dictionaries ^ Japanese language -- Glossaries, vocabularies, etc ^ Japanese language ^ Japanese language -- Orthography and spelling ^ Dictionaries ^ Glossaries, vocabularies, etc"/>
    <s v="0"/>
    <m/>
    <m/>
  </r>
  <r>
    <n v="204"/>
    <m/>
    <m/>
    <m/>
    <m/>
    <m/>
    <m/>
    <s v="n/a"/>
    <x v="0"/>
    <s v="n/a"/>
    <s v="n/a"/>
    <s v="n/a"/>
    <s v="n"/>
    <s v="n/a"/>
    <s v="n/a"/>
    <s v="n/a"/>
    <n v="1183185376"/>
    <s v="Chinese"/>
    <s v="Chinese Text: Reproduction of the Character Reform Publishing House Edition"/>
    <s v="Chugokugo tekisuto: Moji kaikaku shuppansyaban fukusei"/>
    <s v="中国語テキスト: 文字改革出版社版複製"/>
    <s v="Koseikan henshubu ^ zhang, tian yi ^ lu xun ^ zhou, en lai"/>
    <s v="光生館編集部 张, 天翼( 19 ^ 魯迅( 1881-1 ^ 周, 恩来( ^ )"/>
    <s v="n/a"/>
    <s v="n/a"/>
    <x v="3"/>
    <x v="86"/>
    <x v="47"/>
    <s v="n/a"/>
    <s v="n/a"/>
    <s v="n/a"/>
    <s v="n/a"/>
    <s v="0"/>
    <m/>
    <m/>
  </r>
  <r>
    <n v="205"/>
    <m/>
    <m/>
    <m/>
    <m/>
    <m/>
    <m/>
    <s v="https://www.amazon.co.jp/dp/4490203055"/>
    <x v="0"/>
    <s v="n/a"/>
    <s v="n/a"/>
    <s v="n"/>
    <s v="n"/>
    <s v="n"/>
    <n v="9784490203059"/>
    <s v="4490203055"/>
    <n v="39332694"/>
    <s v="Japanese"/>
    <s v="Heijo-kyo: Streets and Life"/>
    <s v="Heijō-kyō: machi to kurashi"/>
    <s v="平城京: 街とくらし"/>
    <s v="Tanabe, Ikuo"/>
    <s v="田辺征夫"/>
    <s v="Kyōyō no Nihon shi"/>
    <s v="教養の日本史"/>
    <x v="70"/>
    <x v="87"/>
    <x v="49"/>
    <s v="Heisei 9"/>
    <s v="Shohan"/>
    <s v="初版"/>
    <s v="平城京 ^ Antiquities ^ Civilization ^ Heijōkyō ^ 平城宮 (Nara-shi, Japan) ^ History ^ 710-794 ^ 平城京 (Extinct city); 奈良市 (Japan); History.; 奈良市 (Japan); Antiquities.; 奈良市 (Japan); Civilization.; 平城京 (Extinct city); 奈良市 (Japan); History.; 奈良市 (Japan); Antiquities.; 奈良市 (Japan); Civilization ^ Heijō-kyō (Extinct city) ^ Japan -- History -- Nara period, 710-794 ^ Nara-shi (Japan) -- History ^ Nara-shi (Japan) -- Antiquities ^ Nara-shi (Japan) -- Civilization ^ Heijō-kyō (Extinct city) ^ Nara-shi (Japan) -- History ^ Nara-shi (Japan) -- Antiquities ^ Nara-shi (Japan) -- Civilization ^ Japan ^ Japan -- Heijō-kyō (Extinct city) ^ Japan -- Nara-shi"/>
    <s v="0"/>
    <m/>
    <m/>
  </r>
  <r>
    <n v="206"/>
    <m/>
    <m/>
    <m/>
    <m/>
    <m/>
    <m/>
    <s v="https://www.amazon.co.jp/dp/4642050760"/>
    <x v="1"/>
    <s v="n/a"/>
    <s v="n/a"/>
    <s v="n"/>
    <s v="https://libcat.colorado.edu/Record/b1883955"/>
    <s v="y"/>
    <n v="9784642050760"/>
    <s v="4642050760"/>
    <n v="25159260"/>
    <s v="Japanese"/>
    <s v="Amakusa Shiro"/>
    <s v="Amakusa Tokisada"/>
    <s v="天草時貞"/>
    <s v="Okada, Akio ^ Nihon Rekishi Gakkai"/>
    <s v="岡田章雄 ^ 日本歴史学会"/>
    <s v="Jinbutsu sōsho (Shinsōban)"/>
    <s v="人物叢書 (Shinsōban)"/>
    <x v="38"/>
    <x v="39"/>
    <x v="52"/>
    <s v="Shōwa 62"/>
    <s v="Shinsōban"/>
    <s v="新装版"/>
    <s v="天草四郎, 1621 or 1622-1638. 天草 四郎, 1621 or 1622-1638 ^ Amakusa, Shirō, 1621 or 1622-1638 ^ Amakusa, Shirō, 1621 or 1622-1638 ^ Amakusa, Shirō, 1621 or 1622-1638 ^ History ^ 1637-1638 ^ Japan -- History -- Shimabara Uprising, 1637-1638 ^ Japan"/>
    <s v="0"/>
    <m/>
    <m/>
  </r>
  <r>
    <n v="207"/>
    <m/>
    <m/>
    <m/>
    <m/>
    <m/>
    <s v="OCLC is 4th edition, this is 5th edition"/>
    <s v="n/a"/>
    <x v="0"/>
    <s v="n/a"/>
    <s v="n/a"/>
    <s v="n/a"/>
    <s v="https://libcat.colorado.edu/Record/b5444991"/>
    <s v="n/a"/>
    <s v="n/a"/>
    <s v="n/a"/>
    <n v="33766255"/>
    <s v="Japanese"/>
    <s v="Model Latest World Chronology"/>
    <s v="Mohan saishin sekai nenpyō"/>
    <s v="模範最新世界年表"/>
    <s v="Morita, Kanesaburō ^ Tsumaki, Chūta ^ Sanseidō Shoten.; Henshūjo"/>
    <s v="森田銕三郎 ^ 妻木忠太 ^ 三省堂. 編輯所"/>
    <s v="n/a"/>
    <s v="n/a"/>
    <x v="65"/>
    <x v="77"/>
    <x v="76"/>
    <s v="Shōwa 13"/>
    <s v="4-teiban"/>
    <s v="4 訂版"/>
    <s v="Chronology, Historical ^ History -- Outlines, syllabi, etc ^ Chronologie historique ^ chronicles ^ Chronology, Historical ^ History ^ Outlines and syllabi ^ 世界史; 年表"/>
    <s v="0"/>
    <m/>
    <m/>
  </r>
  <r>
    <n v="208"/>
    <m/>
    <m/>
    <m/>
    <m/>
    <m/>
    <m/>
    <s v="n/a"/>
    <x v="0"/>
    <s v="1"/>
    <s v="n/a"/>
    <s v="n/a"/>
    <s v="2+ Results"/>
    <s v="n/a"/>
    <s v="n/a"/>
    <s v="n/a"/>
    <n v="17813901"/>
    <s v="Japanese"/>
    <s v="Shimazaki Toson"/>
    <s v="Shimazaki Tōson"/>
    <s v="島崎藤村"/>
    <s v="Shimazaki, Tōson"/>
    <s v="島崎藤村 ^ 伊滕整"/>
    <s v="Nihon shijin zenshū"/>
    <s v="日本詩人全集1"/>
    <x v="5"/>
    <x v="6"/>
    <x v="65"/>
    <s v="Shōwa 42"/>
    <s v="n/a"/>
    <s v="n/a"/>
    <s v="Japanese poetry -- 20th century ^ Poets, Japanese -- Biography ^ Japanese poetry ^ Poets, Japanese ^ 島崎藤村, 1872-1942 ^ Shimazaki, Tōson, 1872-1942 ^ Biographies ^ 1900-1999"/>
    <s v="0"/>
    <m/>
    <m/>
  </r>
  <r>
    <n v="209"/>
    <m/>
    <m/>
    <m/>
    <m/>
    <m/>
    <m/>
    <s v="https://www.amazon.co.jp/dp/4269720131"/>
    <x v="3"/>
    <s v="n/a"/>
    <s v="n/a"/>
    <s v="n"/>
    <s v="n"/>
    <s v="n"/>
    <n v="9784269720138"/>
    <s v="4269720131"/>
    <n v="54596673"/>
    <s v="Japanese"/>
    <s v="Reading Classical Gothic Novels: From Walpole to Hoffmann"/>
    <s v="Koten goshikku shōsetsu o yomu: worupōru kara hoggu made"/>
    <s v="古典ゴシック小說を読む: ウォルポールからホッグまで"/>
    <s v="Sugiyama, Yōko"/>
    <s v="杉山洋子"/>
    <s v="n/a"/>
    <s v="n/a"/>
    <x v="71"/>
    <x v="88"/>
    <x v="35"/>
    <s v="Heisei 12"/>
    <s v="n/a"/>
    <s v="n/a"/>
    <s v="イギリス小說; 歴史.; アメリカ小說; 歴史.; 怪奇文学"/>
    <s v="0"/>
    <m/>
    <m/>
  </r>
  <r>
    <n v="210"/>
    <m/>
    <m/>
    <m/>
    <m/>
    <m/>
    <s v="serial"/>
    <m/>
    <x v="3"/>
    <s v="n/a"/>
    <s v="n/a"/>
    <s v="n/a"/>
    <s v="2+ Results"/>
    <s v="n/a"/>
    <s v="n/a"/>
    <s v="n/a"/>
    <s v="n/a"/>
    <s v="Japanese"/>
    <s v="Literary Society"/>
    <s v="Bungakkai"/>
    <s v="文学会"/>
    <s v="n/a"/>
    <s v="n/a"/>
    <s v="n/a"/>
    <s v="n/a"/>
    <x v="3"/>
    <x v="1"/>
    <x v="18"/>
    <s v="n/a"/>
    <s v="n/a"/>
    <s v="n/a"/>
    <s v="n/a"/>
    <s v="0"/>
    <m/>
    <m/>
  </r>
  <r>
    <n v="211.07"/>
    <m/>
    <m/>
    <m/>
    <m/>
    <m/>
    <s v="serial"/>
    <m/>
    <x v="3"/>
    <s v="7"/>
    <s v="n/a"/>
    <s v="n/a"/>
    <s v="n"/>
    <s v="n/a"/>
    <s v="n/a"/>
    <s v="n/a"/>
    <s v="n/a"/>
    <s v="n/a"/>
    <s v="Studies on Inazo Nitobe"/>
    <s v="n/a"/>
    <s v="新渡戸 稲造研究"/>
    <s v="n/a"/>
    <s v="n/a"/>
    <s v="n/a"/>
    <s v="n/a"/>
    <x v="3"/>
    <x v="1"/>
    <x v="18"/>
    <s v="n/a"/>
    <s v="n/a"/>
    <s v="n/a"/>
    <s v="n/a"/>
    <s v="0"/>
    <m/>
    <m/>
  </r>
  <r>
    <n v="211.12"/>
    <m/>
    <m/>
    <m/>
    <m/>
    <m/>
    <s v="serial? Has ISBN, not in WorldCat"/>
    <m/>
    <x v="3"/>
    <s v="12"/>
    <s v="n/a"/>
    <s v="n/a"/>
    <s v="n"/>
    <s v="n/a"/>
    <s v="n/a"/>
    <s v="n/a"/>
    <s v="n/a"/>
    <s v="n/a"/>
    <s v="Building Bridges"/>
    <s v="n/a"/>
    <s v="新渡戸 稲造研究"/>
    <s v="n/a"/>
    <s v="n/a"/>
    <s v="n/a"/>
    <s v="n/a"/>
    <x v="3"/>
    <x v="1"/>
    <x v="18"/>
    <s v="n/a"/>
    <s v="n/a"/>
    <s v="n/a"/>
    <s v="n/a"/>
    <s v="0"/>
    <m/>
    <m/>
  </r>
  <r>
    <n v="212"/>
    <m/>
    <m/>
    <m/>
    <m/>
    <m/>
    <m/>
    <s v="https://www.amazon.co.jp/dp/4915777227"/>
    <x v="0"/>
    <s v="n/a"/>
    <s v="n/a"/>
    <s v="n"/>
    <s v="n"/>
    <s v="n"/>
    <n v="9784915777226"/>
    <s v="4915777227"/>
    <n v="40807486"/>
    <s v="Japanese"/>
    <s v="Constellations"/>
    <s v="Hashi o kakeru"/>
    <s v="橋をかける"/>
    <s v="Michiko, Empress Emerita, consort of Akihito, Emperor Emeritus of Japan ^ International Board on Books for Young People.; Congress"/>
    <s v="美智子Empressconsort of AkihitoEmperor of Japan"/>
    <s v="n/a"/>
    <s v="n/a"/>
    <x v="72"/>
    <x v="89"/>
    <x v="0"/>
    <s v="Heisei 10"/>
    <s v="Shohan"/>
    <s v="初版"/>
    <s v="読書.; 児童図書.; 読書.; 児童図書.; 読書.; 児童図書 ^ Dokusho ^ Jidotosho ^ Books and reading ^ Dokusho ^ Jidotosho ^ Dokusho ^ Jidō tosho ^ 美智子, Empress, consort of Akihito, Emperor of Japan, 1934- Books and reading ^ Michiko, Empress Emerita, consort of Akihito, Emperor Emeritus of Japan, 1934- -- Books and reading ^ Michiko, Empress Emerita, consort of Akihito, Emperor Emeritus of Japan, 1934- ^ autobiographies (literary works) ^ Autobiographies ^ Autobiographies ^ Autobiographies"/>
    <s v="0"/>
    <m/>
    <m/>
  </r>
  <r>
    <n v="213.67"/>
    <m/>
    <m/>
    <m/>
    <m/>
    <m/>
    <m/>
    <m/>
    <x v="3"/>
    <s v="67"/>
    <s v="n/a"/>
    <s v="n"/>
    <s v="n"/>
    <s v="n/a"/>
    <n v="9784774006109"/>
    <s v="n/a"/>
    <s v="n/a"/>
    <s v="Japanese"/>
    <s v="Constellations"/>
    <s v="n/a"/>
    <s v="星座"/>
    <s v="n/a"/>
    <s v="n/a"/>
    <s v="n/a"/>
    <s v="n/a"/>
    <x v="3"/>
    <x v="1"/>
    <x v="18"/>
    <s v="n/a"/>
    <s v="n/a"/>
    <s v="n/a"/>
    <s v="n/a"/>
    <s v="0"/>
    <m/>
    <m/>
  </r>
  <r>
    <n v="213.69"/>
    <m/>
    <m/>
    <m/>
    <m/>
    <m/>
    <m/>
    <m/>
    <x v="3"/>
    <s v="69"/>
    <s v="n/a"/>
    <s v="n"/>
    <s v="n"/>
    <s v="n/a"/>
    <n v="9784774006239"/>
    <s v="n/a"/>
    <s v="n/a"/>
    <s v="Japanese"/>
    <s v="Constellations"/>
    <s v="n/a"/>
    <s v="星座"/>
    <s v="n/a"/>
    <s v="n/a"/>
    <s v="n/a"/>
    <s v="n/a"/>
    <x v="3"/>
    <x v="1"/>
    <x v="18"/>
    <s v="n/a"/>
    <s v="n/a"/>
    <s v="n/a"/>
    <s v="n/a"/>
    <s v="0"/>
    <m/>
    <m/>
  </r>
  <r>
    <n v="213.75"/>
    <m/>
    <m/>
    <m/>
    <m/>
    <m/>
    <m/>
    <m/>
    <x v="3"/>
    <s v="75"/>
    <s v="n/a"/>
    <s v="n"/>
    <s v="n"/>
    <s v="n/a"/>
    <n v="9784774006673"/>
    <s v="n/a"/>
    <s v="n/a"/>
    <s v="Japanese"/>
    <s v="Constellations"/>
    <s v="n/a"/>
    <s v="星座"/>
    <s v="n/a"/>
    <s v="n/a"/>
    <s v="n/a"/>
    <s v="n/a"/>
    <x v="3"/>
    <x v="1"/>
    <x v="18"/>
    <s v="n/a"/>
    <s v="n/a"/>
    <s v="n/a"/>
    <s v="n/a"/>
    <s v="0"/>
    <m/>
    <m/>
  </r>
  <r>
    <n v="213.83"/>
    <m/>
    <m/>
    <m/>
    <m/>
    <m/>
    <m/>
    <m/>
    <x v="3"/>
    <s v="83"/>
    <s v="n/a"/>
    <s v="n"/>
    <s v="n"/>
    <s v="n/a"/>
    <n v="9784774007366"/>
    <s v="n/a"/>
    <s v="n/a"/>
    <s v="Japanese"/>
    <s v="Constellations"/>
    <s v="n/a"/>
    <s v="星座"/>
    <s v="n/a"/>
    <s v="n/a"/>
    <s v="n/a"/>
    <s v="n/a"/>
    <x v="3"/>
    <x v="1"/>
    <x v="18"/>
    <s v="n/a"/>
    <s v="n/a"/>
    <s v="n/a"/>
    <s v="n/a"/>
    <s v="0"/>
    <m/>
    <m/>
  </r>
  <r>
    <n v="213.87"/>
    <m/>
    <m/>
    <m/>
    <m/>
    <m/>
    <m/>
    <m/>
    <x v="3"/>
    <s v="87"/>
    <s v="n/a"/>
    <s v="n"/>
    <s v="n"/>
    <s v="n/a"/>
    <n v="9784774007694"/>
    <s v="n/a"/>
    <s v="n/a"/>
    <s v="Japanese"/>
    <s v="Constellations"/>
    <s v="n/a"/>
    <s v="星座"/>
    <s v="n/a"/>
    <s v="n/a"/>
    <s v="n/a"/>
    <s v="n/a"/>
    <x v="3"/>
    <x v="1"/>
    <x v="18"/>
    <s v="n/a"/>
    <s v="n/a"/>
    <s v="n/a"/>
    <s v="n/a"/>
    <s v="0"/>
    <m/>
    <m/>
  </r>
  <r>
    <n v="213.9"/>
    <m/>
    <m/>
    <m/>
    <m/>
    <m/>
    <m/>
    <m/>
    <x v="3"/>
    <s v="90"/>
    <s v="n/a"/>
    <s v="n"/>
    <s v="n"/>
    <s v="n/a"/>
    <n v="9784774007878"/>
    <s v="n/a"/>
    <s v="n/a"/>
    <s v="Japanese"/>
    <s v="Constellations"/>
    <s v="n/a"/>
    <s v="星座"/>
    <s v="n/a"/>
    <s v="n/a"/>
    <s v="n/a"/>
    <s v="n/a"/>
    <x v="3"/>
    <x v="1"/>
    <x v="18"/>
    <s v="n/a"/>
    <s v="n/a"/>
    <s v="n/a"/>
    <s v="n/a"/>
    <s v="0"/>
    <m/>
    <m/>
  </r>
  <r>
    <n v="214"/>
    <m/>
    <m/>
    <m/>
    <m/>
    <m/>
    <m/>
    <s v="https://www.amazon.co.jp/dp/4885531438"/>
    <x v="0"/>
    <s v="n/a"/>
    <s v="n/a"/>
    <s v="n"/>
    <s v="n"/>
    <s v="n"/>
    <n v="9784885531439"/>
    <s v="4885531438"/>
    <n v="51503838"/>
    <s v="Japanese"/>
    <s v="20th Century Journalists: Bourne and Ueda Award 50th Anniversary Publication"/>
    <s v="Jānarisuto no 20-seiki: Bōn Ueda-shō 50-shūnen kinen shuppan"/>
    <s v="ジャーナリストの 20世紀: ボーン・上田賞 50周年記念出版"/>
    <s v="Bōn Ueda Kinen Kokusai Kishashō Iinkai"/>
    <s v="ボーン・上田記念国際記者賞委員会"/>
    <s v="n/a"/>
    <s v="n/a"/>
    <x v="73"/>
    <x v="90"/>
    <x v="35"/>
    <s v="Heisei 12"/>
    <s v="Shohan"/>
    <s v="初版"/>
    <s v="World politics -- 20th century ^ Twentieth century ^ Journalism ^ Journalists ^ Journalism ^ Politique mondiale -- 20e siècle ^ Vingtième siècle ^ Journalisme ^ Journalistes ^ journalism ^ journalists ^ Journalism ^ Journalists ^ Twentieth century ^ World politics ^ 1900-1999"/>
    <s v="0"/>
    <m/>
    <m/>
  </r>
  <r>
    <n v="215"/>
    <m/>
    <m/>
    <m/>
    <m/>
    <m/>
    <m/>
    <s v="n/a"/>
    <x v="0"/>
    <s v="n/a"/>
    <s v="n/a"/>
    <s v="n/a"/>
    <s v="n"/>
    <s v="n"/>
    <s v="n/a"/>
    <s v="n/a"/>
    <n v="25278187"/>
    <s v="Japanese"/>
    <s v="Research on Shingikai: Origins of the Japanese Student Movement"/>
    <s v="Shinjinkai no kenkyū: Nihon gakusei undō no genryū"/>
    <s v="新人会の研究: 日本学生運動の源流"/>
    <s v="Smith, Henry DeWitt ^ Matsuo, Takayoshi ^ Halloran, Fumiko"/>
    <s v="松尾尊 ^ 森史子"/>
    <s v="n/a"/>
    <s v="n/a"/>
    <x v="33"/>
    <x v="33"/>
    <x v="31"/>
    <s v="Shōwa 53"/>
    <s v="n/a"/>
    <s v="n/a"/>
    <s v="College students -- Political activity -- Japan ^ College students -- Political activity ^ 新人会 ^ Shinjinkai ^ Shinjinkai ^ Japan ^ 新人会.; 学生運動; 歴史"/>
    <s v="0"/>
    <m/>
    <m/>
  </r>
  <r>
    <n v="215"/>
    <m/>
    <m/>
    <m/>
    <m/>
    <m/>
    <m/>
    <s v="n/a"/>
    <x v="1"/>
    <s v="n/a"/>
    <s v="n/a"/>
    <s v="n/a"/>
    <s v="n"/>
    <s v="n"/>
    <s v="n/a"/>
    <s v="n/a"/>
    <n v="25278187"/>
    <s v="Japanese"/>
    <s v="Research on Shingikai: Origins of the Japanese Student Movement"/>
    <s v="Shinjinkai no kenkyū: Nihon gakusei undō no genryū"/>
    <s v="新人会の研究: 日本学生運動の源流"/>
    <s v="Smith, Henry DeWitt ^ Matsuo, Takayoshi ^ Halloran, Fumiko"/>
    <s v="松尾尊 ^ 森史子"/>
    <s v="n/a"/>
    <s v="n/a"/>
    <x v="33"/>
    <x v="33"/>
    <x v="31"/>
    <s v="Shōwa 53"/>
    <s v="n/a"/>
    <s v="n/a"/>
    <s v="College students -- Political activity -- Japan ^ College students -- Political activity ^ 新人会 ^ Shinjinkai ^ Shinjinkai ^ Japan ^ 新人会.; 学生運動; 歴史"/>
    <s v="0"/>
    <m/>
    <m/>
  </r>
  <r>
    <n v="216"/>
    <m/>
    <m/>
    <m/>
    <m/>
    <m/>
    <s v="no worldcat record"/>
    <m/>
    <x v="0"/>
    <s v="n/a"/>
    <s v="n/a"/>
    <s v="n/a"/>
    <s v="n"/>
    <s v="n/a"/>
    <s v="n/a"/>
    <s v="n/a"/>
    <s v="n/a"/>
    <s v="Japanese"/>
    <s v="Yin Shiatsu"/>
    <s v="Inshiatsu"/>
    <s v="陰指圧"/>
    <s v="Nihon Inshiatsu Kyōkai"/>
    <s v="日本陰指圧協会"/>
    <s v="n/a"/>
    <s v="n/a"/>
    <x v="74"/>
    <x v="91"/>
    <x v="12"/>
    <s v="n/a"/>
    <s v="n/a"/>
    <s v="n/a"/>
    <s v="n/a"/>
    <s v="0"/>
    <m/>
    <m/>
  </r>
  <r>
    <n v="217"/>
    <m/>
    <m/>
    <m/>
    <m/>
    <m/>
    <m/>
    <s v="https://www.amazon.co.jp/dp/4426621100"/>
    <x v="0"/>
    <s v="n/a"/>
    <s v="n/a"/>
    <s v="n"/>
    <s v="n"/>
    <s v="n"/>
    <n v="9784426621100"/>
    <s v="4426621100"/>
    <n v="47489160"/>
    <s v="Japanese"/>
    <s v="World of the Bible: Comprehensive Commentary"/>
    <s v="Seisho no sekai: sōkaisetsu"/>
    <s v="聖書の世界: 総解說"/>
    <s v="n/a"/>
    <s v="n/a"/>
    <s v="Sōkaisetsu shirīzu"/>
    <s v="総解說シリーズ"/>
    <x v="75"/>
    <x v="92"/>
    <x v="25"/>
    <s v="Heisei 6"/>
    <s v="n/a"/>
    <s v="改訂版"/>
    <s v="聖書"/>
    <s v="0"/>
    <m/>
    <m/>
  </r>
  <r>
    <n v="218"/>
    <m/>
    <m/>
    <m/>
    <m/>
    <m/>
    <s v="serial"/>
    <m/>
    <x v="3"/>
    <s v="n/a"/>
    <s v="n/a"/>
    <s v="n/a"/>
    <s v="2+ Results"/>
    <s v="n/a"/>
    <s v="n/a"/>
    <s v="n/a"/>
    <s v="n/a"/>
    <s v="Japanese"/>
    <s v="n/a"/>
    <s v="Chūō Kōron"/>
    <s v="中央公論"/>
    <s v="n/a"/>
    <s v="n/a"/>
    <s v="n/a"/>
    <s v="n/a"/>
    <x v="3"/>
    <x v="1"/>
    <x v="18"/>
    <s v="n/a"/>
    <s v="n/a"/>
    <s v="n/a"/>
    <s v="n/a"/>
    <s v="0"/>
    <m/>
    <m/>
  </r>
  <r>
    <n v="219"/>
    <m/>
    <m/>
    <m/>
    <m/>
    <m/>
    <s v="serial"/>
    <m/>
    <x v="3"/>
    <s v="n/a"/>
    <s v="n/a"/>
    <s v="n/a"/>
    <s v="2+ Results"/>
    <s v="n/a"/>
    <s v="n/a"/>
    <s v="n/a"/>
    <s v="n/a"/>
    <s v="Japanese"/>
    <s v="n/a"/>
    <s v="Chūō Kōron"/>
    <s v="中央公論"/>
    <s v="n/a"/>
    <s v="n/a"/>
    <s v="n/a"/>
    <s v="n/a"/>
    <x v="3"/>
    <x v="1"/>
    <x v="18"/>
    <s v="n/a"/>
    <s v="n/a"/>
    <s v="n/a"/>
    <s v="n/a"/>
    <s v="0"/>
    <m/>
    <m/>
  </r>
  <r>
    <n v="220"/>
    <m/>
    <m/>
    <m/>
    <m/>
    <m/>
    <m/>
    <s v="https://www.amazon.co.jp/dp/4163442103"/>
    <x v="0"/>
    <s v="n/a"/>
    <s v="n/a"/>
    <s v="n"/>
    <s v="n"/>
    <s v="n"/>
    <n v="9784163442105"/>
    <s v="4163442103"/>
    <n v="22844928"/>
    <s v="Japanese"/>
    <s v="Confidant Diary"/>
    <s v="Sokkin nisshi"/>
    <s v="側近日誌"/>
    <s v="Kinoshita, Michio ^ Takahashi, Hiroshi"/>
    <s v="木下道雄 ^ 高橋紘"/>
    <s v="n/a"/>
    <s v="n/a"/>
    <x v="13"/>
    <x v="16"/>
    <x v="38"/>
    <s v="Heisei 2"/>
    <s v="n/a"/>
    <s v="n/a"/>
    <s v="Courts and courtiers ^ Employees ^ 木下道雄, 1887-1974 Diaries. 木下道雄, 1887-1974 Diaries ^ Kinoshita, Michio, 1887-1974 -- Diaries ^ Kinoshita, Michio, 1887-1974 -- Diaries ^ Kinoshita, Michio, 1887-1974 ^ diaries ^ Diaries ^ History ^ Diaries ^ Journaux intimes ^ 1945-1952 ^ Japan -- Officials and employees -- Diaries ^ Japan -- Court and courtiers -- Diaries ^ Japan -- History -- Allied occupation, 1945-1952 ^ Japan"/>
    <s v="0"/>
    <m/>
    <m/>
  </r>
  <r>
    <n v="221"/>
    <m/>
    <m/>
    <m/>
    <m/>
    <m/>
    <m/>
    <s v="n/a"/>
    <x v="3"/>
    <s v="n/a"/>
    <s v="n/a"/>
    <s v="n/a"/>
    <s v="n"/>
    <s v="y"/>
    <s v="n/a"/>
    <s v="n/a"/>
    <n v="4145258"/>
    <s v="English"/>
    <s v="Commonly Used Kanji Collection: An Easy Method to Learn the 1850 Chinese-Japanese Characters Prescribed by the Ministry of Education of Japan"/>
    <s v="Standard Kanji: an easy method to learn the 1850 Chinese-Japanese characters prescribed by the Ministry of Education of Japan"/>
    <s v="当用漢字集: an easy method to learn the 1850 Chinese-Japanese characters prescribed by the Ministry of Education of Japan"/>
    <s v="Vaccari, Oreste ^ Vaccari, Enko Elisa"/>
    <s v="n/a"/>
    <s v="n/a"/>
    <s v="n/a"/>
    <x v="76"/>
    <x v="1"/>
    <x v="77"/>
    <s v="n/a"/>
    <s v="3rd rev. and enl. ed"/>
    <s v="n/a"/>
    <s v="Chinese characters -- Dictionaries -- Japanese ^ Japanese language -- Dictionaries -- English ^ Chinese characters ^ Japanese language ^ dictionaries ^ polyglot dictionaries ^ Multilingual dictionaries ^ Dictionaries ^ Dictionaries ^ Multilingual dictionaries"/>
    <s v="0"/>
    <m/>
    <m/>
  </r>
  <r>
    <n v="222"/>
    <m/>
    <m/>
    <m/>
    <m/>
    <m/>
    <m/>
    <s v="https://www.amazon.co.jp/dp/4163708405"/>
    <x v="0"/>
    <s v="n/a"/>
    <s v="n/a"/>
    <s v="n"/>
    <s v="n"/>
    <s v="n"/>
    <n v="9784163708409"/>
    <s v="4163708405"/>
    <n v="291122921"/>
    <s v="Japanese"/>
    <s v="My Taste Passed on to My Daughter"/>
    <s v="Musume ni tsutaeru watakushi no aji"/>
    <s v="娘につたえる私の味"/>
    <s v="Tatsumi, Hamako ^ Tatsumi, Yoshiko"/>
    <s v="辰巳浜子 ^ 辰巳芳子"/>
    <s v="n/a"/>
    <s v="n/a"/>
    <x v="13"/>
    <x v="1"/>
    <x v="72"/>
    <s v="Heisei 20"/>
    <s v="Shinpan"/>
    <s v="新版"/>
    <s v="Cooking, Japanese ^ Cooking, Japanese ^ Ryōri ^ 辰巳浜子, 1904-1977 ^ Tatsumi, Hamako, 1904-1977 ^ Tatsumi, Hamako, 1904-1977"/>
    <s v="0"/>
    <m/>
    <m/>
  </r>
  <r>
    <n v="223"/>
    <m/>
    <m/>
    <m/>
    <m/>
    <m/>
    <m/>
    <s v="n/a"/>
    <x v="0"/>
    <s v="n/a"/>
    <s v="n/a"/>
    <s v="n/a"/>
    <s v="n"/>
    <s v="n"/>
    <s v="n/a"/>
    <s v="n/a"/>
    <n v="673897295"/>
    <s v="Japanese"/>
    <s v="Fighting at Watatsumi"/>
    <s v="Watatsumi ni tatakau"/>
    <s v="わたつみに戦う"/>
    <s v="Ōikai"/>
    <s v="桜医会"/>
    <s v="n/a"/>
    <s v="n/a"/>
    <x v="3"/>
    <x v="93"/>
    <x v="31"/>
    <s v="Shōwa 53"/>
    <s v="n/a"/>
    <s v="n/a"/>
    <s v="太平洋戦争(1941-1945) ^ Taiheiyōsensō(19411945) -- Igakueisei ^ ōikai"/>
    <s v="0"/>
    <m/>
    <m/>
  </r>
  <r>
    <n v="224.06"/>
    <m/>
    <m/>
    <m/>
    <m/>
    <m/>
    <m/>
    <s v="n/a"/>
    <x v="3"/>
    <s v="6"/>
    <s v="15"/>
    <s v="n"/>
    <s v="n"/>
    <s v="n"/>
    <n v="9784103096153"/>
    <s v="4103096152"/>
    <n v="31290917"/>
    <s v="Japanese"/>
    <s v="Story of the Romans"/>
    <s v="Rōmajin no monogatari"/>
    <s v="ローマ人の物語"/>
    <s v="Shiono, Nanami"/>
    <s v="塩野七生"/>
    <s v="n/a"/>
    <s v="n/a"/>
    <x v="5"/>
    <x v="6"/>
    <x v="78"/>
    <s v="n/a"/>
    <s v="n/a"/>
    <s v="n/a"/>
    <s v="Rome ^ Rome (Empire)"/>
    <s v="0"/>
    <m/>
    <m/>
  </r>
  <r>
    <n v="224.15"/>
    <m/>
    <m/>
    <m/>
    <m/>
    <m/>
    <m/>
    <s v="n/a"/>
    <x v="3"/>
    <s v="15"/>
    <s v="15"/>
    <s v="n"/>
    <s v="n"/>
    <s v="n"/>
    <n v="9784103096153"/>
    <s v="4103096152"/>
    <n v="31290917"/>
    <s v="Japanese"/>
    <s v="Story of the Romans"/>
    <s v="Rōmajin no monogatari"/>
    <s v="ローマ人の物語"/>
    <s v="Shiono, Nanami"/>
    <s v="塩野七生"/>
    <s v="n/a"/>
    <s v="n/a"/>
    <x v="5"/>
    <x v="6"/>
    <x v="78"/>
    <s v="n/a"/>
    <s v="n/a"/>
    <s v="n/a"/>
    <s v="Rome ^ Rome (Empire)"/>
    <s v="0"/>
    <m/>
    <m/>
  </r>
  <r>
    <n v="225"/>
    <m/>
    <m/>
    <m/>
    <m/>
    <m/>
    <s v="no worldcat record"/>
    <m/>
    <x v="0"/>
    <s v="n/a"/>
    <s v="n/a"/>
    <s v="n/a"/>
    <s v="2+ Results"/>
    <s v="n/a"/>
    <s v="n/a"/>
    <s v="n/a"/>
    <s v="n/a"/>
    <s v="Japanese"/>
    <s v="Bonds"/>
    <s v="Kizuna"/>
    <s v="絆"/>
    <s v="n/a"/>
    <s v="n/a"/>
    <s v="n/a"/>
    <s v="n/a"/>
    <x v="3"/>
    <x v="1"/>
    <x v="18"/>
    <s v="n/a"/>
    <s v="n/a"/>
    <s v="n/a"/>
    <s v="n/a"/>
    <s v="0"/>
    <m/>
    <m/>
  </r>
  <r>
    <n v="226"/>
    <m/>
    <m/>
    <m/>
    <m/>
    <m/>
    <s v="serial"/>
    <m/>
    <x v="3"/>
    <s v="n/a"/>
    <s v="n/a"/>
    <s v="n/a"/>
    <s v="2+ Results"/>
    <s v="n/a"/>
    <s v="n/a"/>
    <s v="n/a"/>
    <s v="n/a"/>
    <s v="Japanese"/>
    <s v="n/a"/>
    <s v="Gendai"/>
    <s v="現代"/>
    <s v="n/a"/>
    <s v="n/a"/>
    <s v="n/a"/>
    <s v="n/a"/>
    <x v="3"/>
    <x v="1"/>
    <x v="18"/>
    <s v="n/a"/>
    <s v="n/a"/>
    <s v="n/a"/>
    <s v="n/a"/>
    <s v="0"/>
    <m/>
    <m/>
  </r>
  <r>
    <n v="227"/>
    <m/>
    <m/>
    <m/>
    <m/>
    <m/>
    <m/>
    <s v="https://www.amazon.co.jp/dp/4763086103"/>
    <x v="0"/>
    <s v="n/a"/>
    <s v="n/a"/>
    <s v="n"/>
    <s v="n"/>
    <s v="n"/>
    <n v="9784763086105"/>
    <s v="4763086103"/>
    <n v="16717416"/>
    <s v="Japanese"/>
    <s v="Fragrance of Genji"/>
    <s v="Genji no kaori"/>
    <s v="源氏の薰り"/>
    <s v="Ozaki, Saeko"/>
    <s v="尾崎左永子"/>
    <s v="n/a"/>
    <s v="n/a"/>
    <x v="77"/>
    <x v="94"/>
    <x v="9"/>
    <s v="Shōwa 61"/>
    <s v="n/a"/>
    <s v="再版"/>
    <s v="Perfumes in literature ^ Incense in literature ^ Odors in literature ^ Odors in literature ^ Perfumes in literature ^ 紫式部, 978?- 源氏物語 ^ Murasaki Shikibu, 978?- Genji monogatari ^ Genji monogatari (Murasaki Shikibu)"/>
    <s v="0"/>
    <m/>
    <m/>
  </r>
  <r>
    <n v="228"/>
    <m/>
    <m/>
    <m/>
    <m/>
    <m/>
    <m/>
    <s v="https://www.amazon.co.jp/dp/4763084046"/>
    <x v="0"/>
    <s v="n/a"/>
    <s v="n/a"/>
    <s v="n"/>
    <s v="n"/>
    <s v="n"/>
    <n v="9784763084040"/>
    <s v="4763084046"/>
    <n v="14969798"/>
    <s v="Japanese"/>
    <s v="Love Letters of Genji"/>
    <s v="Genji no koibumi"/>
    <s v="源氏の恋文"/>
    <s v="Ozaki, Saeko"/>
    <s v="尾崎左永子"/>
    <s v="n/a"/>
    <s v="n/a"/>
    <x v="77"/>
    <x v="94"/>
    <x v="27"/>
    <s v="Shōwa 59"/>
    <s v="n/a"/>
    <s v="n/a"/>
    <s v="Love-letters in literature ^ Love-letters in literature ^ 紫式部, 978?- 源氏物語 ^ Murasaki Shikibu, 978?- Genji monogatari ^ Genji monogatari (Murasaki Shikibu)"/>
    <s v="0"/>
    <m/>
    <m/>
  </r>
  <r>
    <n v="229"/>
    <m/>
    <m/>
    <m/>
    <m/>
    <m/>
    <m/>
    <s v="n/a"/>
    <x v="0"/>
    <s v="n/a"/>
    <s v="n/a"/>
    <s v="n/a"/>
    <s v="n"/>
    <s v="n"/>
    <s v="n/a"/>
    <s v="n/a"/>
    <n v="41048028"/>
    <s v="Japanese"/>
    <s v="Japanese Medals - ChatGPT translation"/>
    <s v="Nihon no kunshō"/>
    <s v="日本の勲章"/>
    <s v="Japan.; Sōrifu.; Shōkunkyoku"/>
    <s v="Japan. 総理府. 賞勳局"/>
    <s v="n/a"/>
    <s v="n/a"/>
    <x v="78"/>
    <x v="95"/>
    <x v="36"/>
    <s v="Shōwa 40"/>
    <s v="n/a"/>
    <s v="n/a"/>
    <s v="Decorations of honor -- Japan -- Pictorial works ^ Decorations of honor ^ Pictorial works ^ Japan"/>
    <m/>
    <m/>
    <m/>
  </r>
  <r>
    <n v="230"/>
    <m/>
    <m/>
    <m/>
    <m/>
    <m/>
    <m/>
    <s v="n/a"/>
    <x v="1"/>
    <s v="n/a"/>
    <s v="n/a"/>
    <s v="n"/>
    <s v="https://libcat.colorado.edu/Record/b1679650"/>
    <s v="y"/>
    <n v="9780060390549"/>
    <s v="0060390549"/>
    <n v="13114344"/>
    <s v="English"/>
    <s v="n/a"/>
    <s v="My life between Japan and America"/>
    <s v="n/a"/>
    <s v="Reischauer, Edwin O. 1910-1990"/>
    <s v="n/a"/>
    <s v="n/a"/>
    <s v="n/a"/>
    <x v="79"/>
    <x v="1"/>
    <x v="9"/>
    <s v="n/a"/>
    <s v="1st ed"/>
    <s v="n/a"/>
    <s v="Ambassadors -- United States -- Biography ^ Ambassadors -- Japan -- Biography ^ Ambassadeurs -- États-Unis -- Biographies ^ 15.85 history of America ^ Ambassadors ^ Diplomatic relations ^ Autobiografie ^ Reischauer, Edwin O. (Edwin Oldfather), 1910-1990 ^ Reischauer, Edwin O. (Edwin Oldfather), 1910-1990 ^ Reischauer, Edwin O., 1910-1990 ^ Reischauer, Edwin O ^ Autobiographies ^ Biographies ^ Memoirs (form) ^ Autobiographies ^ Autobiographies ^ 1900-2000 ^ United States -- Foreign relations -- Japan ^ Japan -- Foreign relations -- United States ^ Japan ^ United States"/>
    <s v="0"/>
    <m/>
    <m/>
  </r>
  <r>
    <n v="231"/>
    <m/>
    <m/>
    <m/>
    <m/>
    <m/>
    <m/>
    <s v="n/a"/>
    <x v="1"/>
    <s v="n/a"/>
    <s v="n/a"/>
    <s v="n"/>
    <s v="2+ Results"/>
    <s v="y"/>
    <n v="9780195117653"/>
    <s v="0195117654"/>
    <n v="38478421"/>
    <s v="English"/>
    <s v="n/a"/>
    <s v="Kimono in the boardroom: the invisible evolution of Japanese women managers"/>
    <s v="n/a"/>
    <s v="Renshaw, Jean R"/>
    <s v="n/a"/>
    <s v="n/a"/>
    <s v="n/a"/>
    <x v="80"/>
    <x v="1"/>
    <x v="21"/>
    <s v="n/a"/>
    <s v="n/a"/>
    <s v="n/a"/>
    <s v="Women executives -- Japan ^ Businesswomen -- Japan ^ Women -- Japan -- Social conditions ^ 85.05 management and organization: general ^ Businesswomen ^ Women executives ^ Women -- Social conditions ^ Weibliche Führungskraft ^ Werkende vrouwen ^ Managers ^ Women -- Japan -- Social conditions ^ Women executives -- Japan ^ Businesswomen -- Japan ^ Japan ^ Japan"/>
    <s v="0"/>
    <m/>
    <m/>
  </r>
  <r>
    <n v="232"/>
    <m/>
    <m/>
    <m/>
    <m/>
    <m/>
    <m/>
    <s v="n/a"/>
    <x v="1"/>
    <s v="n/a"/>
    <s v="n/a"/>
    <s v="https://libcat.colorado.edu/Record/b6030666"/>
    <s v="https://libcat.colorado.edu/Record/b6030666"/>
    <s v="y"/>
    <n v="9780700617098"/>
    <s v="0700617094"/>
    <n v="471787817"/>
    <s v="English"/>
    <s v="n/a"/>
    <s v="The war for Korea, 1950-1951: they came from the north"/>
    <s v="n/a"/>
    <s v="Millett, Allan Reed ^ Millett, Allan Reed"/>
    <s v="n/a"/>
    <s v="Modern war studies"/>
    <s v="n/a"/>
    <x v="81"/>
    <x v="1"/>
    <x v="23"/>
    <s v="n/a"/>
    <s v="n/a"/>
    <s v="n/a"/>
    <s v="Korean War, 1950-1953 ^ Korean War, 1950-1953 -- Campaigns ^ Military campaigns ^ Military policy ^ Koreakrieg ^ 1950-1953 ^ United States -- Military policy ^ United States"/>
    <s v="0"/>
    <m/>
    <m/>
  </r>
  <r>
    <n v="234"/>
    <m/>
    <m/>
    <m/>
    <m/>
    <m/>
    <m/>
    <s v="n/a"/>
    <x v="1"/>
    <s v="n/a"/>
    <s v="n/a"/>
    <s v="n"/>
    <s v="https://libcat.colorado.edu/Record/b3028090"/>
    <s v="y"/>
    <n v="9780415194990"/>
    <s v="0415194997"/>
    <n v="39464887"/>
    <s v="English"/>
    <s v="n/a"/>
    <s v="Japanese-Soviet/Russian relations since 1945: difficult peace"/>
    <s v="n/a"/>
    <s v="Hara, Kimie"/>
    <s v="n/a"/>
    <s v="Nissan Institute/Routledge Japanese studies series"/>
    <s v="n/a"/>
    <x v="82"/>
    <x v="1"/>
    <x v="0"/>
    <s v="n/a"/>
    <s v="n/a"/>
    <s v="n/a"/>
    <s v="89.90 foreign policy ^ Diplomatic relations ^ Buitenlandse betrekkingen ^ Territoire national -- URSS ^ Géopolitique -- URSS ^ Since 1945 ^ Soviet Union -- Foreign relations -- Japan ^ Japan -- Foreign relations -- Soviet Union ^ Russia (Federation) -- Foreign relations -- Japan ^ Japan -- Foreign relations -- Russia (Federation) ^ Soviet Union -- Foreign relations -- 1945-1991 ^ Japan -- Foreign relations -- 1945-1989 ^ Japan -- Foreign relations -- 1989- ^ Soviet Union -- Foreign relations -- Japan ^ Japan -- Foreign relations -- Soviet Union ^ Russia (Federation) -- Foreign relations -- Japan ^ Japan -- Foreign relations -- Russia (Federation) ^ Soviet Union -- Foreign relations -- 1945-1991 ^ Japan -- Foreign relations -- 1945-1989 ^ Japan -- Foreign relations -- 1989- ^ URSS -- Relations extérieures -- 1945-1991 ^ Japan ^ Russia (Federation) ^ Soviet Union"/>
    <s v="0"/>
    <m/>
    <m/>
  </r>
  <r>
    <n v="235"/>
    <m/>
    <m/>
    <m/>
    <m/>
    <m/>
    <m/>
    <s v="n/a"/>
    <x v="0"/>
    <s v="n/a"/>
    <s v="n/a"/>
    <s v="n"/>
    <s v="n"/>
    <s v="n"/>
    <n v="9781879176171"/>
    <s v="1879176173"/>
    <n v="29855769"/>
    <s v="English"/>
    <s v="n/a"/>
    <s v="Covering China: the story of an American reporter from revolutionary days to the Deng era"/>
    <s v="n/a"/>
    <s v="Roderick, John"/>
    <s v="n/a"/>
    <s v="n/a"/>
    <s v="n/a"/>
    <x v="3"/>
    <x v="1"/>
    <x v="5"/>
    <s v="n/a"/>
    <s v="n/a"/>
    <s v="n/a"/>
    <s v="Foreign correspondents -- China -- Biography ^ Foreign correspondents -- United States -- Biography ^ Foreign correspondents ^ Auslandskorrespondent ^ Erlebnisbericht ^ Geschichte 1945-1976 ^ Roderick, John ^ Roderick, John ^ Biographies ^ History ^ 1945-2002 ^ China -- History -- Civil War, 1945-1949 ^ China -- History -- 1949-1976 ^ China -- History -- 1976-2002 ^ China ^ United States ^ USA ^ China"/>
    <s v="0"/>
    <m/>
    <m/>
  </r>
  <r>
    <n v="236"/>
    <m/>
    <m/>
    <m/>
    <m/>
    <m/>
    <m/>
    <s v="n/a"/>
    <x v="1"/>
    <s v="n/a"/>
    <s v="n/a"/>
    <s v="n"/>
    <s v="https://libcat.colorado.edu/Record/b1898227"/>
    <s v="y"/>
    <n v="9780824814328"/>
    <s v="0824814320"/>
    <n v="26153441"/>
    <s v="English"/>
    <s v="n/a"/>
    <s v="Parker Ranch paniolo: Yutaka Kimura"/>
    <s v="n/a"/>
    <s v="Nakano, Jiro"/>
    <s v="n/a"/>
    <s v="n/a"/>
    <s v="n/a"/>
    <x v="83"/>
    <x v="1"/>
    <x v="15"/>
    <s v="n/a"/>
    <s v="n/a"/>
    <s v="n/a"/>
    <s v="Japanese Americans -- Hawaii -- Biography ^ Cowboys -- Hawaii -- Biography ^ Cowboys -- Hawaii -- Biographies ^ Cowboys ^ Japanese Americans ^ Kimura, Yutaka, 1905- ^ Kimura, Yutaka, 1905- ^ Mitsuda ^ Kimura ^ Biographies ^ Biographies ^ Biographies ^ Parker Ranch (Hawaii) ^ Hawaii ^ Hawaii -- Parker Ranch"/>
    <s v="0"/>
    <m/>
    <m/>
  </r>
  <r>
    <n v="237"/>
    <m/>
    <m/>
    <m/>
    <m/>
    <m/>
    <m/>
    <s v="n/a"/>
    <x v="1"/>
    <s v="70"/>
    <s v="n/a"/>
    <s v="n"/>
    <s v="2+ Results"/>
    <s v="y"/>
    <n v="9780674471856"/>
    <s v="0674471857"/>
    <n v="548288"/>
    <s v="English"/>
    <s v="n/a"/>
    <s v="Japan's first student radical"/>
    <s v="n/a"/>
    <s v="Smith, Henry D., II 1940-"/>
    <s v="n/a"/>
    <s v="Harvard East Asian series"/>
    <s v="n/a"/>
    <x v="3"/>
    <x v="1"/>
    <x v="17"/>
    <s v="n/a"/>
    <s v="n/a"/>
    <s v="n/a"/>
    <s v="College students -- Political activity -- Japan ^ College students -- Political activity ^ Studentenbeweging ^ Étudiants -- Activité politique ^ Shinjinkai (Tōkyō Teikoku Daigaku) ^ Shinjinkai ^ Shinjinkai (Tōkyō Daigaku) ^ Shinjinkai (Tōkyō Teikoku Daigaku) ^ University of Tokyo ^ Japan"/>
    <s v="0"/>
    <m/>
    <m/>
  </r>
  <r>
    <n v="238"/>
    <m/>
    <m/>
    <m/>
    <m/>
    <m/>
    <m/>
    <s v="n/a"/>
    <x v="0"/>
    <s v="n/a"/>
    <s v="n/a"/>
    <s v="n"/>
    <s v="https://libcat.colorado.edu/Record/b2849840"/>
    <s v="n"/>
    <n v="9781579060114"/>
    <s v="1579060110"/>
    <n v="39780340"/>
    <s v="English"/>
    <s v="n/a"/>
    <s v="Strategic trends in China"/>
    <s v="n/a"/>
    <s v="Binnendijk, Hans ^ Montaperto, Ronald N ^ National Defense University.; Institute for National Strategic Studies"/>
    <s v="n/a"/>
    <s v="n/a"/>
    <s v="n/a"/>
    <x v="84"/>
    <x v="1"/>
    <x v="0"/>
    <s v="n/a"/>
    <s v="n/a"/>
    <s v="n/a"/>
    <s v="Military readiness ^ Military relations ^ Militär ^ Strategie ^ Aufsatzsammlung ^ Militärpolitik ^ Computer network resources ^ China -- Defenses ^ China -- Military relations -- United States ^ United States -- Military relations -- China ^ États-Unis -- Relations militaires -- Chine ^ China ^ United States ^ China"/>
    <s v="0"/>
    <m/>
    <m/>
  </r>
  <r>
    <n v="239"/>
    <m/>
    <m/>
    <m/>
    <m/>
    <m/>
    <m/>
    <s v="n/a"/>
    <x v="0"/>
    <s v="n/a"/>
    <s v="n/a"/>
    <s v="n"/>
    <s v="n"/>
    <s v="n"/>
    <n v="9780945636441"/>
    <s v="094563644X"/>
    <n v="25026235"/>
    <s v="English"/>
    <s v="n/a"/>
    <s v="The Hawaiian Republic (1894-98): and its struggle to win annexation"/>
    <s v="n/a"/>
    <s v="Russ, William Adam, Jr"/>
    <s v="n/a"/>
    <s v="n/a"/>
    <s v="n/a"/>
    <x v="85"/>
    <x v="1"/>
    <x v="15"/>
    <s v="n/a"/>
    <s v="n/a"/>
    <s v="n/a"/>
    <s v="15.90 history of Australia and Oceania ^ 15.85 history of America ^ Politics and government ^ Annexaties ^ 1893-1900 ^ Hawaii -- Politics and government -- 1893-1900 ^ Hawaii -- Politique et gouvernement -- 1893-1900 ^ Hawaii"/>
    <s v="0"/>
    <m/>
    <m/>
  </r>
  <r>
    <n v="240"/>
    <m/>
    <m/>
    <m/>
    <m/>
    <m/>
    <m/>
    <s v="n/a"/>
    <x v="0"/>
    <s v="n/a"/>
    <s v="n/a"/>
    <s v="n"/>
    <s v="n"/>
    <s v="n"/>
    <n v="9788956601557"/>
    <s v="8956601550"/>
    <n v="166254859"/>
    <s v="English"/>
    <s v="n/a"/>
    <s v="Korea witness: 135 years of war, crisis and news in the land of the morning calm"/>
    <s v="n/a"/>
    <s v="Kirk, Donald ^ Choe, Sang-Hun"/>
    <s v="n/a"/>
    <s v="n/a"/>
    <s v="n/a"/>
    <x v="86"/>
    <x v="1"/>
    <x v="40"/>
    <s v="n/a"/>
    <s v="n/a"/>
    <s v="n/a"/>
    <s v="Foreign correspondents -- Korea -- Anecdotes ^ Foreign correspondents ^ Foreign correspondents -- Korea -- Anecdotes ^ Anecdotes ^ History ^ Sources ^ Anecdotes ^ Anecdotes ^ 1900-1999 ^ Korea (South) -- History -- Sources ^ Korea -- History -- 20th century -- Sources ^ Korea ^ Korea (South) ^ Korea (South) -- History -- Sources ^ Korea -- History -- 20th century -- Sources"/>
    <s v="0"/>
    <m/>
    <m/>
  </r>
  <r>
    <n v="241"/>
    <m/>
    <m/>
    <m/>
    <m/>
    <m/>
    <m/>
    <s v="n/a"/>
    <x v="3"/>
    <s v="n/a"/>
    <s v="n/a"/>
    <s v="n"/>
    <s v="n"/>
    <s v="n"/>
    <n v="9780679780014"/>
    <s v="0679780017"/>
    <n v="32390880"/>
    <s v="English; Text in English and Japanese"/>
    <s v="n/a"/>
    <s v="Random House Japanese-English English-Japanese dictionary"/>
    <s v="n/a"/>
    <s v="Nakao, Seigo"/>
    <s v="n/a"/>
    <s v="n/a"/>
    <s v="n/a"/>
    <x v="87"/>
    <x v="1"/>
    <x v="7"/>
    <s v="n/a"/>
    <s v="First edition"/>
    <s v="n/a"/>
    <s v="Japanese language -- Dictionaries -- English ^ English language -- Dictionaries -- Japanese ^ English language ^ Japanese language ^ Wörterbuch ^ Japanisch ^ language ^ Japanese language -- Dictionaries -- English ^ English language -- Dictionaries -- Japanese ^ langage ^ lengua ^ Englisch, .. ^ Dictionary ^ Nonfiction ^ dictionaries ^ Dictionaries ^ dictionary ^ Dictionaries ^ dictionnaire ^ diccionario ^ Japanisch ^ Englisch"/>
    <s v="0"/>
    <m/>
    <m/>
  </r>
  <r>
    <n v="242"/>
    <m/>
    <m/>
    <m/>
    <m/>
    <m/>
    <m/>
    <s v="n/a"/>
    <x v="0"/>
    <s v="n/a"/>
    <s v="n/a"/>
    <s v="n"/>
    <s v="n"/>
    <s v="n"/>
    <n v="9780896330399"/>
    <s v="0896330397"/>
    <n v="6917374"/>
    <s v="English"/>
    <s v="n/a"/>
    <s v="The prestige press and the Christmas bombing, 1972: images and reality in Vietnam"/>
    <s v="n/a"/>
    <s v="Herz, Martin F. 1917-1983 ^ Rider, Leslie"/>
    <s v="n/a"/>
    <s v="Ethics and public policy studies"/>
    <s v="n/a"/>
    <x v="88"/>
    <x v="1"/>
    <x v="74"/>
    <s v="n/a"/>
    <s v="n/a"/>
    <s v="n/a"/>
    <s v="Vietnam War, 1961-1975 -- Press coverage ^ Vietnam War, 1961-1975 -- Aerial operations, American ^ Journalism -- United States ^ Press -- United States ^ Guerre du Viêt-nam, 1961-1975 -- Journalistes ^ Guerre du Viêt-nam, 1961-1975 -- Opérations aériennes américaines ^ Presse -- États-Unis ^ Guerre du Viêt-nam, 1961-1975 -- Couverture de presse ^ 15.75 history of Asia ^ 05.33 journalism ^ Press ^ Journalism ^ Military operations, Aerial -- American ^ Press coverage ^ Massenmedien ^ Vietnamkrieg ^ Vietnam-oorlog ^ Bombardementen ^ Berichtgeving ^ Objectiviteit ^ History ^ 1961-1975 ^ Hanoi (Vietnam) -- History -- Bombardment, 1972 ^ Hanoi (Vietnam) -- History -- Bombardment, 1972 ^ United States ^ Vietnam -- Hanoi ^ USA"/>
    <s v="0"/>
    <m/>
    <m/>
  </r>
  <r>
    <n v="243"/>
    <m/>
    <m/>
    <m/>
    <m/>
    <m/>
    <s v="serial, journal"/>
    <m/>
    <x v="3"/>
    <m/>
    <m/>
    <s v="n/a"/>
    <s v="2+ Results"/>
    <s v="n"/>
    <s v="n/a"/>
    <s v="n/a"/>
    <s v="n/a"/>
    <s v="English"/>
    <s v="n/a"/>
    <s v="Foreign Policy"/>
    <m/>
    <s v="n/a"/>
    <s v="n/a"/>
    <s v="n/a"/>
    <s v="n/a"/>
    <x v="3"/>
    <x v="1"/>
    <x v="18"/>
    <s v="n/a"/>
    <s v="n/a"/>
    <s v="n/a"/>
    <s v="n/a"/>
    <s v="0"/>
    <m/>
    <m/>
  </r>
  <r>
    <n v="244"/>
    <m/>
    <m/>
    <m/>
    <m/>
    <m/>
    <m/>
    <s v="n/a"/>
    <x v="1"/>
    <s v="6?"/>
    <s v="n/a"/>
    <s v="n/a"/>
    <s v="2+ Results"/>
    <s v="y"/>
    <s v="n/a"/>
    <s v="n/a"/>
    <n v="5776003"/>
    <s v="English"/>
    <s v="n/a"/>
    <s v="Linebacker II: a view from the rock"/>
    <s v="n/a"/>
    <s v="McCarthy, James R ^ Allison, George B. ^ Rayfield, Robert E ^ Air University (U.S.).; Airpower Research Institute"/>
    <s v="n/a"/>
    <s v="USAF Southeast Asia monograph series"/>
    <s v="n/a"/>
    <x v="89"/>
    <x v="1"/>
    <x v="19"/>
    <s v="n/a"/>
    <s v="n/a"/>
    <s v="n/a"/>
    <s v="Vietnam War, 1961-1975 -- Aerial operations, American ^ Operation Linebacker II, 1972 ^ Guerre du Viêt-nam, 1961-1975 -- Opérations aériennes américaines ^ Military operations, Aerial -- American ^ United States. Air Force -- History -- Vietnam War, 1961-1975 ^ United States. Air Force ^ Government publications ^ History ^ 1961-1975 ^ Hanoi (Vietnam) -- History -- Bombardment, 1972 ^ Vietnam -- Hanoi"/>
    <s v="0"/>
    <m/>
    <m/>
  </r>
  <r>
    <n v="245"/>
    <m/>
    <m/>
    <m/>
    <m/>
    <m/>
    <m/>
    <s v="n/a"/>
    <x v="0"/>
    <s v="n/a"/>
    <s v="n/a"/>
    <s v="n"/>
    <s v="2+ Results"/>
    <s v="y"/>
    <n v="9780824821449"/>
    <s v="0824821440"/>
    <n v="40649065"/>
    <s v="English"/>
    <s v="n/a"/>
    <s v="Japanese eyes, American heart: personal reflections of Hawaii's World War II Nisei soldiers"/>
    <s v="n/a"/>
    <s v="Hawaii Nikkei History Editorial Board"/>
    <s v="n/a"/>
    <s v="n/a"/>
    <s v="n/a"/>
    <x v="90"/>
    <x v="1"/>
    <x v="0"/>
    <s v="n/a"/>
    <s v="n/a"/>
    <s v="n/a"/>
    <s v="World War, 1939-1945 -- Participation, Japanese American ^ Japanese American veterans -- Personal narratives ^ World War, 1939-1945 -- Japanese Americans -- Personal narratives ^ World War, 1939-1945 -- Hawaii ^ Japanese Americans -- Hawaii -- History -- 20th century ^ Guerre mondiale, 1939-1945 -- Hawaii ^ Japanese American veterans ^ Japanese Americans ^ World War, 1939-1945 -- Participation, Japanese American ^ World War, 1939-1945 -- Personal narratives ^ Japanese Americans -- Hawaii ^ World War, 1939-1945 -- Hawaii ^ United States. Army. Infantry Battalion, 100th -- History ^ United States. Army. Regimental Combat Team, 442nd -- History ^ United States. Army. Infantry Battalion, 100th ^ United States. Army. Regimental Combat Team, 442nd ^ United States. Army. Infantry Battalion, 100th ^ United States. Army. Regimental Combat Team, 442nd ^ History ^ Personal narratives ^ Personal narratives ^ Récits personnels ^ 1900-1999 ^ Hawaii -- History -- 1900-1959 ^ Hawaii ^ Hawaii -- History -- 1900-1959"/>
    <s v="0"/>
    <m/>
    <m/>
  </r>
  <r>
    <n v="246.01"/>
    <m/>
    <m/>
    <m/>
    <m/>
    <m/>
    <m/>
    <s v="n/a"/>
    <x v="1"/>
    <s v="1"/>
    <s v="2"/>
    <s v="n/a"/>
    <s v="2+ Results"/>
    <s v="y"/>
    <s v="n/a"/>
    <s v="n/a"/>
    <n v="644425"/>
    <s v="English"/>
    <s v="n/a"/>
    <s v="Sources of Japanese tradition"/>
    <s v="n/a"/>
    <s v="Tsunoda, Ryūsaku ^ De Bary, Wm. Theodore ^ Keene, Donald"/>
    <s v="n/a"/>
    <s v="Introduction to Oriental civilizations"/>
    <s v="n/a"/>
    <x v="91"/>
    <x v="1"/>
    <x v="57"/>
    <s v="n/a"/>
    <s v="Text edition"/>
    <s v="n/a"/>
    <s v="15.75 history of Asia ^ Civilization ^ Cultuur ^ Geestesgeschiedenis ^ Sources ^ History ^ Sources ^ History (form) ^ Sources (form) ^ Japan -- Civilization ^ Japan -- History -- Sources ^ Japan ^ Japan -- Civilization -- Sources ^ Japan -- History -- Sources ^ Japan -- Religion -- Sources"/>
    <s v="0"/>
    <m/>
    <m/>
  </r>
  <r>
    <n v="246.02"/>
    <m/>
    <m/>
    <m/>
    <m/>
    <m/>
    <m/>
    <s v="n/a"/>
    <x v="1"/>
    <s v="2"/>
    <s v="2"/>
    <s v="n/a"/>
    <s v="2+ Results"/>
    <s v="y"/>
    <s v="n/a"/>
    <s v="n/a"/>
    <n v="644425"/>
    <s v="English"/>
    <s v="n/a"/>
    <s v="Sources of Japanese tradition"/>
    <s v="n/a"/>
    <s v="Tsunoda, Ryūsaku ^ De Bary, Wm. Theodore ^ Keene, Donald"/>
    <s v="n/a"/>
    <s v="Introduction to Oriental civilizations"/>
    <s v="n/a"/>
    <x v="91"/>
    <x v="1"/>
    <x v="57"/>
    <s v="n/a"/>
    <s v="Text edition"/>
    <s v="n/a"/>
    <s v="15.75 history of Asia ^ Civilization ^ Cultuur ^ Geestesgeschiedenis ^ Sources ^ History ^ Sources ^ History (form) ^ Sources (form) ^ Japan -- Civilization ^ Japan -- History -- Sources ^ Japan ^ Japan -- Civilization -- Sources ^ Japan -- History -- Sources ^ Japan -- Religion -- Sources"/>
    <s v="0"/>
    <m/>
    <m/>
  </r>
  <r>
    <n v="247"/>
    <m/>
    <m/>
    <m/>
    <m/>
    <m/>
    <s v="serial, journal"/>
    <m/>
    <x v="3"/>
    <m/>
    <m/>
    <s v="n/a"/>
    <s v="n"/>
    <m/>
    <s v="n/a"/>
    <s v="n/a"/>
    <s v="n/a"/>
    <s v="English"/>
    <s v="n/a"/>
    <s v="East Asian Strategic Review"/>
    <s v="n/a"/>
    <s v="n/a"/>
    <s v="n/a"/>
    <s v="n/a"/>
    <s v="n/a"/>
    <x v="3"/>
    <x v="1"/>
    <x v="18"/>
    <s v="n/a"/>
    <s v="n/a"/>
    <s v="n/a"/>
    <s v="n/a"/>
    <s v="0"/>
    <m/>
    <m/>
  </r>
  <r>
    <n v="248"/>
    <m/>
    <m/>
    <m/>
    <m/>
    <m/>
    <m/>
    <s v="n/a"/>
    <x v="1"/>
    <s v="n/a"/>
    <s v="n/a"/>
    <s v="n"/>
    <s v="2+ Results"/>
    <s v="y"/>
    <n v="9780231035125"/>
    <s v="0231035128"/>
    <n v="155422"/>
    <s v="English"/>
    <s v="n/a"/>
    <s v="Election campaigning, Japanese style"/>
    <s v="n/a"/>
    <s v="Curtis, Gerald L."/>
    <s v="n/a"/>
    <s v="Studies of the East Asian Institute"/>
    <s v="n/a"/>
    <x v="91"/>
    <x v="1"/>
    <x v="10"/>
    <s v="n/a"/>
    <s v="n/a"/>
    <s v="n/a"/>
    <s v="Political campaigns -- Japan ^ Elections -- Japan ^ Elections ^ Political campaigns ^ Wahlkampf ^ Verkiezingen ^ Political campaigns -- Japan ^ Elections -- Japan ^ Book ^ Japan ^ Japan"/>
    <s v="0"/>
    <m/>
    <m/>
  </r>
  <r>
    <n v="249"/>
    <m/>
    <m/>
    <m/>
    <m/>
    <m/>
    <m/>
    <s v="n/a"/>
    <x v="1"/>
    <s v="n/a"/>
    <s v="n/a"/>
    <s v="n"/>
    <s v="2+ Results"/>
    <s v="y"/>
    <n v="9780679762645"/>
    <s v="0679762647"/>
    <n v="192938"/>
    <s v="English; Text in English translated from the Japanese."/>
    <s v="n/a"/>
    <s v="The sound of the mountain"/>
    <s v="n/a"/>
    <s v="Kawabata, Yasunari ^ Seidensticker, Edward"/>
    <s v="n/a"/>
    <s v="&lt;td&gt;&lt;font size=2 face=&quot;Arial,Helvetica,sans-serif&quot;&gt;Borzoi book"/>
    <s v="n/a"/>
    <x v="92"/>
    <x v="1"/>
    <x v="41"/>
    <s v="n/a"/>
    <s v="n/a"/>
    <s v="n/a"/>
    <s v="Japan -- Fiction ^ Japanese fiction -- Translations into English ^ novels ^ Novels ^ Fiction ^ Novels ^ Fiction ^ Romans ^ Japan -- Fiction ^ Japan -- Fiction ^ Japan"/>
    <s v="0"/>
    <m/>
    <m/>
  </r>
  <r>
    <n v="250"/>
    <m/>
    <m/>
    <m/>
    <m/>
    <m/>
    <m/>
    <s v="n/a"/>
    <x v="1"/>
    <s v="n/a"/>
    <s v="n/a"/>
    <s v="https://libcat.colorado.edu/Record/b1010410"/>
    <s v="2+ Results"/>
    <s v="y"/>
    <n v="9780231022552"/>
    <s v="0231022557"/>
    <n v="249276"/>
    <s v="English"/>
    <s v="n/a"/>
    <s v="Sources of Chinese tradition"/>
    <s v="n/a"/>
    <s v="De Bary, Wm. Theodore ^ Chan, Wing-tsit ^ Watson, Burton ^ Mei, Yibao"/>
    <s v="n/a"/>
    <s v="Introduction to Oriental civilizations"/>
    <s v="n/a"/>
    <x v="3"/>
    <x v="1"/>
    <x v="47"/>
    <s v="n/a"/>
    <s v="n/a"/>
    <s v="n/a"/>
    <s v="Civilization ^ Sources ^ China -- Civilization -- Sources ^ China -- Historia -- Fuentes ^ China ^ China -- Civilization"/>
    <s v="0"/>
    <m/>
    <m/>
  </r>
  <r>
    <n v="251"/>
    <m/>
    <m/>
    <m/>
    <m/>
    <m/>
    <m/>
    <s v="n/a"/>
    <x v="1"/>
    <s v="n/a"/>
    <s v="n/a"/>
    <s v="n"/>
    <s v="https://libcat.colorado.edu/Record/b3721412"/>
    <s v="y"/>
    <n v="9789749575543"/>
    <s v="9749575547"/>
    <n v="57968396"/>
    <s v="English"/>
    <s v="n/a"/>
    <s v="Buddhist art: an illustrated introduction"/>
    <s v="n/a"/>
    <s v="Chicarelli, Charles F"/>
    <s v="n/a"/>
    <s v="n/a"/>
    <s v="n/a"/>
    <x v="93"/>
    <x v="1"/>
    <x v="24"/>
    <s v="n/a"/>
    <s v="n/a"/>
    <s v="n/a"/>
    <s v="Buddhist art ^ Buddhist art and symbolism ^ Buddhist art ^ Buddhist art and symbolism"/>
    <s v="0"/>
    <m/>
    <m/>
  </r>
  <r>
    <n v="252"/>
    <m/>
    <m/>
    <m/>
    <m/>
    <m/>
    <m/>
    <s v="n/a"/>
    <x v="1"/>
    <s v="n/a"/>
    <s v="n/a"/>
    <s v="n/a"/>
    <s v="2+ Results"/>
    <s v="y"/>
    <s v="n/a"/>
    <s v="n/a"/>
    <n v="412547"/>
    <s v="English"/>
    <s v="n/a"/>
    <s v="The Koreans and their culture"/>
    <s v="n/a"/>
    <s v="Osgood, Cornelius"/>
    <s v="n/a"/>
    <s v="n/a"/>
    <s v="n/a"/>
    <x v="94"/>
    <x v="1"/>
    <x v="79"/>
    <s v="n/a"/>
    <s v="n/a"/>
    <s v="n/a"/>
    <s v="Civilization ^ History ^ Korea -- Civilization ^ Korea -- History ^ Korea -- Civilization ^ Korea"/>
    <s v="0"/>
    <m/>
    <m/>
  </r>
  <r>
    <n v="253"/>
    <m/>
    <m/>
    <m/>
    <m/>
    <m/>
    <m/>
    <s v="n/a"/>
    <x v="1"/>
    <s v="n/a"/>
    <s v="n/a"/>
    <s v="n"/>
    <s v="2+ Results"/>
    <s v="n"/>
    <n v="9780374521202"/>
    <s v="0374521204"/>
    <n v="19718067"/>
    <s v="English"/>
    <s v="n/a"/>
    <s v="The nobility of failure: tragic heroes in the history of Japan"/>
    <s v="n/a"/>
    <s v="Morris, Ivan I"/>
    <s v="n/a"/>
    <s v="n/a"/>
    <s v="n/a"/>
    <x v="95"/>
    <x v="1"/>
    <x v="11"/>
    <s v="n/a"/>
    <s v="n/a"/>
    <s v="n/a"/>
    <s v="Heroes -- Japan ^ Heroes ^ Biographies ^ Japan -- Biography ^ Japan"/>
    <s v="0"/>
    <m/>
    <m/>
  </r>
  <r>
    <n v="254"/>
    <m/>
    <m/>
    <m/>
    <m/>
    <m/>
    <m/>
    <s v="n/a"/>
    <x v="1"/>
    <s v="31"/>
    <s v="n/a"/>
    <s v="n"/>
    <s v="https://libcat.colorado.edu/Record/b1803308"/>
    <s v="y"/>
    <n v="9789518915167"/>
    <s v="9518915164"/>
    <n v="20007503"/>
    <s v="English"/>
    <s v="n/a"/>
    <s v="Rakka ryūsui: Colonel Akashi's report on his secret cooperation with the Russian revolutionary parties during the Russo-Japanese War"/>
    <s v="n/a"/>
    <s v="Akashi, Motojirō ^ Inaba, Chiharu ^ Fält, Olavi K ^ Kujala, Antti"/>
    <s v="n/a"/>
    <s v="Studia historica (Helsinki, Finland)"/>
    <s v="n/a"/>
    <x v="96"/>
    <x v="1"/>
    <x v="11"/>
    <s v="n/a"/>
    <s v="n/a"/>
    <s v="n/a"/>
    <s v="Russo-Japanese War, 1904-1905 ^ Russo-Japanese War, 1904-1905 -- Secret service -- Japan ^ Secret service ^ Russo-Japanese War, 1904-1905 -- Secret service -- Japan ^ Russo-Japanese War, 1904-1905 ^ Akashi, Motojirō, 1864-1919 ^ Akashi, Motojirō, 1864-1919 ^ 1904-1905 ^ Japan"/>
    <s v="0"/>
    <m/>
    <m/>
  </r>
  <r>
    <n v="255"/>
    <m/>
    <m/>
    <m/>
    <m/>
    <m/>
    <s v="pre-publication copy"/>
    <s v="n/a"/>
    <x v="1"/>
    <s v="n/a"/>
    <s v="n/a"/>
    <s v="https://libcat.colorado.edu/Record/b8049381"/>
    <s v="2+ Results"/>
    <s v="y"/>
    <n v="9784886952615"/>
    <s v="4886952615"/>
    <n v="881605347"/>
    <s v="English"/>
    <s v="n/a"/>
    <s v="Visas of life and the epic journey: how the Sugihara survivors reached Japan"/>
    <s v="Visas of Life and the Epic Journey: How the Sugihara Survivors Reached Japan"/>
    <s v="Kitade, Akira"/>
    <s v="北出明"/>
    <s v="n/a"/>
    <s v="n/a"/>
    <x v="97"/>
    <x v="96"/>
    <x v="80"/>
    <s v="n/a"/>
    <s v="n/a"/>
    <s v="n/a"/>
    <s v="World War, 1939-1945 -- Jews -- Rescue -- Japan ^ World War, 1939-1945 -- Jews -- Rescue -- Lithuania ^ Righteous Gentiles in the Holocaust -- Japan ^ Guerre mondiale, 1939-1945 -- Juifs -- Sauvetage -- Lituanie ^ Righteous Gentiles in the Holocaust ^ World War, 1939-1945 -- Jews -- Rescue -- Japan ^ World War, 1939-1945 -- Jews -- Rescue -- Lithuania ^ Righteous Gentiles in the Holocaust -- Japan ^ Righteous Gentiles in the Holocaust ^ Drittes Reich ^ Juden ^ Flucht ^ Yudayajin ^ Sekai taisen(Dainiji) ^ Holocaust, Jewish (1939-1945) -- Rescue -- Japan ^ Holocaust, Jewish (1939-1945) -- Rescue -- Lithuania ^ Righteous Gentiles in the Holocaust -- Japan ^ 杉原千畝. 杉原千畝 ^ Sugihara, Chiune, 1900-1986 ^ Sugihara, Chiune ^ Sugihara, Chiune, 1900-1986 ^ Sugihara, Chiune 1900-1986 ^ Sugihara, Chiune, 1900-1986 ^ Japan Tsūrisuto Byūrō ^ Nihon Yūsen Kabushiki Kaisha ^ Japan Tsūrisuto Byūrō ^ Nihon Yūsen Kabushiki Kaisha ^ Chōsen Kōgei Kenkyūkai ^ Japan Tsūrisuto Byūrō ^ Nihon Yūsen Kabushiki Kaisha ^ 1939-1945 ^ Japan ^ Lithuania ^ United States -- Jewish history ^ Japan -- Jewish history"/>
    <s v="0"/>
    <m/>
    <m/>
  </r>
  <r>
    <n v="256"/>
    <m/>
    <m/>
    <m/>
    <m/>
    <m/>
    <m/>
    <s v="n/a"/>
    <x v="0"/>
    <s v="n/a"/>
    <s v="n/a"/>
    <s v="n"/>
    <s v="2+ Results"/>
    <s v="n"/>
    <n v="9780679729532"/>
    <s v="0679729534"/>
    <n v="21893067"/>
    <s v="English"/>
    <s v="n/a"/>
    <s v="The tale of Genji"/>
    <s v="n/a"/>
    <s v="Murasaki Shikibu"/>
    <s v="n/a"/>
    <s v="n/a"/>
    <s v="n/a"/>
    <x v="98"/>
    <x v="1"/>
    <x v="38"/>
    <s v="n/a"/>
    <s v="Vintage classics ed"/>
    <s v="n/a"/>
    <s v="Manners and customs ^ Fictional Work ^ Romances ^ Parables ^ Fiction ^ Fiction ^ Romans ^ To 1600 ^ Japan -- Social life and customs -- To 1600 -- Fiction ^ Japan -- Fiction ^ Japan"/>
    <s v="0"/>
    <m/>
    <m/>
  </r>
  <r>
    <n v="257"/>
    <m/>
    <m/>
    <m/>
    <m/>
    <m/>
    <m/>
    <s v="n/a"/>
    <x v="1"/>
    <s v="n/a"/>
    <s v="n/a"/>
    <s v="n"/>
    <s v="2+ Results"/>
    <s v="y"/>
    <n v="9781887178945"/>
    <s v="1887178945"/>
    <n v="37211335"/>
    <s v="English"/>
    <s v="n/a"/>
    <s v="The dancing girl of Izu, and other stories"/>
    <s v="n/a"/>
    <s v="Kawabata, Yasunari ^ Holman, J. Martin"/>
    <s v="n/a"/>
    <s v="n/a"/>
    <s v="n/a"/>
    <x v="99"/>
    <x v="1"/>
    <x v="0"/>
    <s v="n/a"/>
    <s v="First paperback edition 1998"/>
    <s v="n/a"/>
    <s v="Kawabata, Yasunari, 1899-1972 -- Translations into English ^ Kawabata, Yasunari, 1899-1972 ^ Translations into English ^ Fiction ^ Translations ^ Short stories ^ Fiction ^ Romans"/>
    <s v="0"/>
    <m/>
    <m/>
  </r>
  <r>
    <n v="258"/>
    <m/>
    <m/>
    <m/>
    <m/>
    <m/>
    <m/>
    <s v="n/a"/>
    <x v="1"/>
    <s v="n/a"/>
    <s v="n/a"/>
    <s v="n"/>
    <s v="2+ Results"/>
    <s v="n"/>
    <n v="9780307739742"/>
    <s v="0307739740"/>
    <n v="863596251"/>
    <s v="English"/>
    <s v="n/a"/>
    <s v="Japan 1941: countdown to infamy"/>
    <s v="n/a"/>
    <s v="Hotta, Eri"/>
    <s v="n/a"/>
    <s v="n/a"/>
    <s v="n/a"/>
    <x v="98"/>
    <x v="1"/>
    <x v="80"/>
    <s v="n/a"/>
    <s v="First Vintage books edition"/>
    <s v="n/a"/>
    <s v="World War, 1939-1945 -- Japan ^ Military planning -- Japan -- History -- 20th century ^ War -- Decision making ^ Pearl Harbor (Hawaii), Attack on, 1941 ^ War -- Decision making ^ Guerre -- Prise de décision ^ Pearl Harbor, Attaque sur, 1941 ^ Military planning ^ Military policy ^ War -- Decision making ^ World War, 1939-1945 -- Japan ^ Military planning -- Japan -- History -- 20th century ^ War -- Decision making ^ Pearl Harbor (Hawaii), Attack on, 1941 ^ History ^ 1900-1999 ^ Japan -- Military policy -- 20th century ^ Hawaii ^ Japan ^ Japan -- Military policy -- 20th century"/>
    <s v="0"/>
    <m/>
    <m/>
  </r>
  <r>
    <n v="259"/>
    <m/>
    <m/>
    <m/>
    <m/>
    <m/>
    <m/>
    <s v="n/a"/>
    <x v="1"/>
    <s v="n/a"/>
    <s v="n/a"/>
    <s v="n/a"/>
    <s v="2+ Results"/>
    <s v="y"/>
    <s v="n/a"/>
    <s v="n/a"/>
    <n v="410952"/>
    <s v="English"/>
    <s v="n/a"/>
    <s v="The Chinese looking glass"/>
    <s v="n/a"/>
    <s v="Bloodworth, Dennis"/>
    <s v="n/a"/>
    <s v="n/a"/>
    <s v="n/a"/>
    <x v="100"/>
    <x v="1"/>
    <x v="65"/>
    <s v="n/a"/>
    <s v="n/a"/>
    <s v="n/a"/>
    <s v="China (People's Republic of China, 1949- ) ^ China ^ Chine ^ China ^ 5.310 ^ China"/>
    <s v="0"/>
    <m/>
    <m/>
  </r>
  <r>
    <n v="260"/>
    <m/>
    <m/>
    <m/>
    <m/>
    <m/>
    <m/>
    <s v="n/a"/>
    <x v="1"/>
    <s v="V-67"/>
    <s v="n/a"/>
    <s v="https://libcat.colorado.edu/Record/b9161980"/>
    <s v="2+ Results"/>
    <s v="y"/>
    <n v="9780394740676"/>
    <s v="039474067X"/>
    <n v="4831769"/>
    <s v="English"/>
    <s v="n/a"/>
    <s v="Orientalism"/>
    <s v="n/a"/>
    <s v="Said, Edward W."/>
    <s v="n/a"/>
    <s v="&lt;td&gt;&lt;font size=2 face=&quot;Arial,Helvetica,sans-serif&quot;&gt;Vintage books"/>
    <s v="n/a"/>
    <x v="98"/>
    <x v="1"/>
    <x v="19"/>
    <s v="n/a"/>
    <s v="First Vintage books edition"/>
    <s v="n/a"/>
    <s v="Orientalism ^ Imperialism ^ East and West ^ Imperialism ^ East and West ^ Orientalisme ^ Impérialisme ^ Orientalism ^ SOCIAL SCIENCE / Ethnic Studies ^ POLITICAL SCIENCE / Colonialism &amp; Post-Colonialism ^ SOCIAL SCIENCE / Regional Studies ^ Public opinion, Western ^ East and West ^ Imperialism ^ Orientalism ^ Education ^ Kultur ^ Orientalistik ^ Oriëntalisme ^ East and West ^ Orientalism ^ Imperialism ^ Orientalisme ^ Impérialisme ^ Nonfiction ^ Books ^ Asia -- Foreign public opinion, Western ^ Middle East -- Foreign public opinion, Western ^ Asia -- Study and teaching ^ Middle East -- Study and teaching ^ Asia -- Foreign public opinion, Occidental ^ Middle East -- Foreign public opinion, Occidental ^ Asia -- Study and teaching ^ Middle East -- Study and teaching ^ Asie -- Opinion publique occidentale ^ Moyen-Orient -- Opinion publique occidentale ^ Asie -- Étude et enseignement ^ Moyen-Orient -- Étude et enseignement ^ Asia ^ Middle East ^ Orient ^ Europa ^ Middle East -- Foreign public opinion, Western ^ Asia -- Foreign public opinion, Western ^ Asia -- Study and teaching ^ Middle East -- Study and teaching ^ Orient et Occident ^ Asie -- Opinion publique étrangère ^ Proche-Orient -- Opinion publique étrangère ^ Asie -- Étude et enseignement ^ Proche-Orient -- Étude et enseignement"/>
    <s v="0"/>
    <m/>
    <m/>
  </r>
  <r>
    <n v="261"/>
    <m/>
    <m/>
    <m/>
    <m/>
    <m/>
    <m/>
    <s v="n/a"/>
    <x v="3"/>
    <s v="n/a"/>
    <s v="n/a"/>
    <s v="n"/>
    <s v="n"/>
    <s v="n"/>
    <n v="9781566910026"/>
    <s v="1566910021"/>
    <n v="36876428"/>
    <s v="English"/>
    <s v="n/a"/>
    <s v="South Korea handbook"/>
    <s v="n/a"/>
    <s v="Nilsen, Robert"/>
    <s v="n/a"/>
    <s v="Moon travel handbooks"/>
    <s v="n/a"/>
    <x v="3"/>
    <x v="1"/>
    <x v="49"/>
    <s v="n/a"/>
    <s v="2nd ed"/>
    <s v="n/a"/>
    <s v="Guidebooks ^ Korea (South) -- Guidebooks ^ Korea (South)"/>
    <s v="0"/>
    <m/>
    <m/>
  </r>
  <r>
    <n v="262"/>
    <m/>
    <m/>
    <m/>
    <m/>
    <m/>
    <m/>
    <s v="n/a"/>
    <x v="0"/>
    <s v="n/a"/>
    <s v="n/a"/>
    <s v="n"/>
    <s v="n"/>
    <s v="n"/>
    <n v="9780891418474"/>
    <s v="0891418474"/>
    <n v="56332533"/>
    <s v="English"/>
    <s v="n/a"/>
    <s v="Down south: one tour in Vietnam"/>
    <s v="n/a"/>
    <s v="Hardwick, William H"/>
    <s v="n/a"/>
    <s v="n/a"/>
    <s v="n/a"/>
    <x v="101"/>
    <x v="1"/>
    <x v="24"/>
    <s v="n/a"/>
    <s v="n/a"/>
    <s v="n/a"/>
    <s v="Vietnam War, 1961-1975 -- Personal narratives, American ^ Soldat ^ Vietnamkrieg ^ Hardwick, William H ^ Hardwick, William H ^ Personal narratives -- American ^ 1961 - 1975 ^ USA"/>
    <s v="0"/>
    <m/>
    <m/>
  </r>
  <r>
    <n v="263"/>
    <m/>
    <m/>
    <m/>
    <m/>
    <m/>
    <m/>
    <s v="n/a"/>
    <x v="0"/>
    <s v="n/a"/>
    <s v="n/a"/>
    <s v="n"/>
    <s v="n"/>
    <s v="n"/>
    <n v="9780870114601"/>
    <s v="0870114603"/>
    <n v="7696524"/>
    <s v="English"/>
    <s v="n/a"/>
    <s v="Mirror, sword and jewel: the geometry of Japanese life"/>
    <s v="n/a"/>
    <s v="Singer, Kurt ^ Storry, Richard"/>
    <s v="n/a"/>
    <s v="n/a"/>
    <s v="n/a"/>
    <x v="102"/>
    <x v="1"/>
    <x v="20"/>
    <s v="n/a"/>
    <s v="1st pbk. ed"/>
    <s v="n/a"/>
    <s v="National characteristics, Japanese ^ Japanese ^ Japanese ^ Civilization ^ National characteristics, Japanese ^ Japan -- Civilization ^ Japan"/>
    <s v="0"/>
    <m/>
    <m/>
  </r>
  <r>
    <n v="264"/>
    <m/>
    <m/>
    <m/>
    <m/>
    <m/>
    <m/>
    <s v="n/a"/>
    <x v="3"/>
    <s v="n/a"/>
    <s v="n/a"/>
    <s v="n"/>
    <s v="n"/>
    <s v="n"/>
    <n v="9780976149309"/>
    <s v="0976149303"/>
    <n v="57721290"/>
    <s v="English"/>
    <s v="n/a"/>
    <s v="Washington Place: a first lady's story"/>
    <s v="n/a"/>
    <s v="Ariyoshi, Jean Hayashi ^ Japanese Cultural Center of Hawaii"/>
    <s v="n/a"/>
    <s v="n/a"/>
    <s v="n/a"/>
    <x v="103"/>
    <x v="1"/>
    <x v="24"/>
    <s v="n/a"/>
    <s v="n/a"/>
    <s v="n/a"/>
    <s v="Governors' spouses -- Hawaii -- Biography ^ Governors' spouses -- Hawaii -- Pictorial works ^ Japanese American women -- Hawaii -- Biography ^ Gouverneurs -- Conjoints -- Hawaii -- Biographies ^ Gouverneurs -- Conjoints -- Hawaii -- Ouvrages illustrés ^ Buildings ^ Governors' spouses ^ Japanese American women ^ Politics and government ^ Ariyoshi, Jean Hayashi ^ Ariyoshi, George R., 1926- ^ Ariyoshi, George R., 1926- ^ Ariyoshi, Jean Hayashi ^ Washington Place (Honolulu, Hawaii) -- History ^ Washington Place (Honolulu, Hawaii) -- Pictorial works ^ Washington Place (Honolulu, Hawaii) ^ Biographies ^ History ^ Pictorial works ^ Since 1959 ^ Honolulu (Hawaii) -- Buildings, structures, etc ^ Honolulu (Hawaii) -- Buildings, structures, etc. -- Pictorial works ^ Hawaii -- Politics and government -- 1959- ^ Honolulu (Hawaii) -- Constructions ^ Honolulu (Hawaii) -- Constructions -- Ouvrages illustrés ^ Hawaii -- Politique et gouvernement -- 1959- ^ Hawaii ^ Hawaii -- Honolulu"/>
    <s v="0"/>
    <m/>
    <m/>
  </r>
  <r>
    <n v="265"/>
    <m/>
    <m/>
    <m/>
    <m/>
    <m/>
    <m/>
    <s v="n/a"/>
    <x v="0"/>
    <s v="n/a"/>
    <s v="n/a"/>
    <s v="n"/>
    <s v="n"/>
    <s v="n"/>
    <n v="9780870111952"/>
    <s v="0870111957"/>
    <n v="1258214"/>
    <s v="English"/>
    <s v="n/a"/>
    <s v="Takamiyama: the world of Sumo"/>
    <s v="n/a"/>
    <s v="Takamiyama, Daigorō ^ Wheeler, John Krepps"/>
    <s v="高見山, 大五郎"/>
    <s v="n/a"/>
    <s v="n/a"/>
    <x v="3"/>
    <x v="1"/>
    <x v="53"/>
    <s v="n/a"/>
    <s v="n/a"/>
    <s v="n/a"/>
    <s v="Sumo ^ Sumō ^ Sumo ^ Takamiyama, Daigorō, 1944- ^ Kuhaulua, Jesse, 1944- ^ Takamiyama, Daigorō, 1944- ^ Autobiography ^ Autobiographies ^ Autobiographies ^ Autobiographies"/>
    <s v="0"/>
    <m/>
    <m/>
  </r>
  <r>
    <n v="266"/>
    <m/>
    <m/>
    <m/>
    <m/>
    <m/>
    <m/>
    <s v="n/a"/>
    <x v="0"/>
    <s v="n/a"/>
    <s v="n/a"/>
    <s v="n/a"/>
    <s v="n"/>
    <s v="n"/>
    <s v="n/a"/>
    <s v="n/a"/>
    <n v="36778750"/>
    <s v="English"/>
    <s v="n/a"/>
    <s v="Reminiscences: history of Japan from the 1930's to the outbreak of the Greater East Asia War"/>
    <s v="n/a"/>
    <s v="Sejima, Ryuzo"/>
    <s v="n/a"/>
    <s v="n/a"/>
    <s v="n/a"/>
    <x v="104"/>
    <x v="1"/>
    <x v="17"/>
    <s v="n/a"/>
    <s v="n/a"/>
    <s v="n/a"/>
    <s v="History ^ 1926-1945 ^ Japan -- History -- 1926-1945 ^ Japan"/>
    <s v="0"/>
    <m/>
    <m/>
  </r>
  <r>
    <n v="267"/>
    <m/>
    <m/>
    <m/>
    <m/>
    <m/>
    <m/>
    <s v="n/a"/>
    <x v="0"/>
    <s v="n/a"/>
    <s v="n/a"/>
    <s v="n"/>
    <s v="https://libcat.colorado.edu/Record/b3618167"/>
    <s v="y"/>
    <n v="9780809433773"/>
    <s v="080943377X"/>
    <n v="6195057"/>
    <s v="English"/>
    <s v="n/a"/>
    <s v="War under the Pacific"/>
    <s v="n/a"/>
    <s v="Wheeler, Keith ^ Time-Life Books"/>
    <s v="n/a"/>
    <s v="World War II"/>
    <s v="n/a"/>
    <x v="105"/>
    <x v="1"/>
    <x v="74"/>
    <s v="n/a"/>
    <s v="n/a"/>
    <s v="n/a"/>
    <s v="World War, 1939-1945 -- Pacific Ocean ^ World War, 1939-1945 -- Naval operations -- Submarine ^ Submarines (Ships) ^ World War, 1939-1945 -- Pacific Ocean ^ World War, 1939-1945 -- Naval operations -- Submarine ^ World War, 1939-1945 -- Naval operations ^ Guerre mondiale, 1939-1945 -- Pacifique, Océan ^ Guerre mondiale, 1939-1945 -- Opérations sous-marines ^ Sous-marins ^ submarines ^ Military operations, Naval -- Submarine ^ Submarines (Ships) ^ Guerre mondiale (1939-1945) -- Campagnes et batailles -- Pacifique (océan) ^ Guerre mondiale (1939-1945) -- Opérations navales ^ Sous-marins ^ Marines de guerre ^ World War, 1939-1945 -- Pacific Ocean ^ World War, 1939-1945 -- Naval operations ^ Submarines ^ 1939-1945 ^ Pacific Ocean"/>
    <s v="0"/>
    <m/>
    <m/>
  </r>
  <r>
    <n v="268"/>
    <m/>
    <m/>
    <m/>
    <m/>
    <m/>
    <m/>
    <s v="n/a"/>
    <x v="0"/>
    <s v="n/a"/>
    <s v="n/a"/>
    <s v="n"/>
    <s v="2+ Results"/>
    <s v="y"/>
    <n v="9780809425280"/>
    <s v="0809425289"/>
    <n v="6813519"/>
    <s v="English"/>
    <s v="n/a"/>
    <s v="Japan at war"/>
    <s v="n/a"/>
    <s v="Time-Life Books"/>
    <s v="n/a"/>
    <s v="World War II"/>
    <s v="n/a"/>
    <x v="106"/>
    <x v="1"/>
    <x v="74"/>
    <s v="n/a"/>
    <s v="n/a"/>
    <s v="n/a"/>
    <s v="World War, 1939-1945 -- Japan ^ World War, 1939-1945 -- Japan ^ WW II ^ Japan ^ World War, 1939-1945 -- Japan ^ illustrated books ^ Illustrated works ^ History ^ Illustrated works ^ Ouvrages illustrés ^ 1912-1945 ^ Japan -- History -- 1912-1945 ^ Japan -- History -- 1912-1945 ^ Japan -- History -- 1868-1945 ^ Japan ^ Japan -- History -- 1912-1945"/>
    <s v="0"/>
    <m/>
    <m/>
  </r>
  <r>
    <n v="269"/>
    <m/>
    <m/>
    <m/>
    <m/>
    <m/>
    <m/>
    <s v="n/a"/>
    <x v="0"/>
    <s v="n/a"/>
    <s v="n/a"/>
    <s v="n"/>
    <s v="2+ Results"/>
    <s v="y"/>
    <n v="9780275944490"/>
    <s v="0275944492"/>
    <n v="25964079"/>
    <s v="English"/>
    <s v="n/a"/>
    <s v="Japanese policymaking: the politics behind politics: informal mechanisms and the making of China policy"/>
    <s v="n/a"/>
    <s v="Zhao, Quansheng"/>
    <s v="n/a"/>
    <s v="n/a"/>
    <s v="n/a"/>
    <x v="107"/>
    <x v="1"/>
    <x v="5"/>
    <s v="n/a"/>
    <s v="n/a"/>
    <s v="n/a"/>
    <s v="Political culture -- Japan ^ Cultural pluralism -- Japan ^ Pluralismo (Ciencias sociales) -- Japón ^ 89.55 political decision-making ^ Cultural pluralism ^ Economic policy ^ Political culture ^ Politics and government ^ Wirtschaftspolitik ^ Außenpolitik ^ Politieke besluitvorming ^ Buitenlandse betrekkingen ^ Geschichte (1945-1991) ^ POLITICAL CONDITIONS ^ CULTURAL ASPECTS ^ PLURALISM ^ ECONOMIC POLICY ^ JAPAN ^ Since 1945 ^ Japan -- Politics and government -- 1945- ^ Japan -- Economic policy -- 1945- ^ Japón -- Política económica -- 1945 1989 ^ Japón -- Política económica -- 1989 ^ Japón -- Política y gobierno -- 1945 ^ Japan ^ Japan ^ China"/>
    <s v="0"/>
    <m/>
    <m/>
  </r>
  <r>
    <n v="270"/>
    <m/>
    <m/>
    <m/>
    <m/>
    <m/>
    <m/>
    <s v="n/a"/>
    <x v="1"/>
    <s v="n/a"/>
    <s v="n/a"/>
    <s v="n"/>
    <s v="https://libcat.colorado.edu/Record/b1907063"/>
    <s v="y"/>
    <n v="9780313287183"/>
    <s v="031328718X"/>
    <n v="26853360"/>
    <s v="English"/>
    <s v="n/a"/>
    <s v="United States-Japan trade in telecommunications: conflict and compromise"/>
    <s v="n/a"/>
    <s v="Jussawalla, Meheroo"/>
    <s v="n/a"/>
    <s v="Contributions in economics and economic history"/>
    <s v="n/a"/>
    <x v="108"/>
    <x v="1"/>
    <x v="5"/>
    <s v="n/a"/>
    <s v="n/a"/>
    <s v="n/a"/>
    <s v="Telecommunication policy -- United States ^ Telecommunication policy -- Japan ^ Telecommunication equipment industry -- Government policy -- United States ^ Telecommunication equipment industry -- Government policy -- Japan ^ Foreign trade regulation -- United States ^ Foreign trade regulation -- Japan ^ Foreign trade promotion -- United States ^ Foreign trade promotion -- Japan ^ Télécommunications -- Politique gouvernementale -- États-Unis ^ Télécommunications -- Équipement -- Industrie -- Politique gouvernementale -- États-Unis ^ Commerce international -- Réglementation -- États-Unis ^ Commerce international -- Promotion -- États-Unis ^ 83.42 international trade ^ Foreign trade promotion ^ Foreign trade regulation ^ Telecommunication equipment industry -- Government policy ^ Telecommunication policy ^ Telekommunikation ^ Außenhandel ^ Aufsatzsammlung ^ Handelspolitiek ^ Telecommunicatiesector ^ Télécommunications -- Équipement -- Industrie et commerce -- Politique publique -- États-Unis ^ Commerce extérieur -- Promotion -- États-Unis ^ Commerce extérieur -- Droit -- États-Unis ^ Politique des télécommunications -- États-Unis ^ Commerce -- Réglementation -- États-Unis ^ Japan ^ United States ^ Japan ^ USA"/>
    <s v="0"/>
    <m/>
    <m/>
  </r>
  <r>
    <n v="271"/>
    <m/>
    <m/>
    <m/>
    <m/>
    <m/>
    <m/>
    <s v="n/a"/>
    <x v="1"/>
    <s v="n/a"/>
    <s v="n/a"/>
    <s v="n"/>
    <s v="2+ Results"/>
    <s v="y"/>
    <n v="9780201409277"/>
    <s v="0201409275"/>
    <n v="36776530"/>
    <s v="English"/>
    <s v="n/a"/>
    <s v="The two Koreas: a contemporary history"/>
    <s v="n/a"/>
    <s v="Oberdorfer, Don"/>
    <s v="n/a"/>
    <s v="n/a"/>
    <s v="n/a"/>
    <x v="109"/>
    <x v="1"/>
    <x v="49"/>
    <s v="n/a"/>
    <s v="n/a"/>
    <s v="n/a"/>
    <s v="Politieke geschiedenis ^ History ^ 1960-2002 ^ Korea (South) -- History -- 1960-1988 ^ Korea (South) -- History -- 1988-2002 ^ Korea (North) -- History ^ Korea (South) -- History -- 1960-1988 ^ Korea (South) -- History -- 1988-2002 ^ Korea (North) -- History ^ Korea (North) ^ Korea (South)"/>
    <s v="0"/>
    <m/>
    <m/>
  </r>
  <r>
    <n v="272"/>
    <m/>
    <m/>
    <m/>
    <m/>
    <m/>
    <m/>
    <s v="n/a"/>
    <x v="1"/>
    <s v="n/a"/>
    <s v="n/a"/>
    <s v="n"/>
    <s v="https://libcat.colorado.edu/Record/b2021706"/>
    <s v="y"/>
    <n v="9780060645861"/>
    <s v="0060645865"/>
    <n v="28067600"/>
    <s v="English; Translations from Iranian and Turkish texts."/>
    <s v="n/a"/>
    <s v="Gnosis on the Silk Road: Gnostic texts from Central Asia"/>
    <s v="n/a"/>
    <s v="Klimkeit, Hans-Joachim"/>
    <s v="n/a"/>
    <s v="n/a"/>
    <s v="n/a"/>
    <x v="110"/>
    <x v="1"/>
    <x v="5"/>
    <s v="n/a"/>
    <s v="1st ed"/>
    <s v="n/a"/>
    <s v="Manichaeism -- Asia, Central ^ Manichéisme -- Asie centrale ^ Manichaeism ^ Religion ^ Geschichte ^ Gnosis ^ Manichäismus ^ Quelle ^ Gnosticisme ^ Manichaeism -- Asia, Central -- Sources ^ Mani, active 3rd century ^ Asia, Central -- Religion ^ Asia Central -- Religión ^ Asie centrale -- Religion ^ Central Asia ^ Seidenstraße ^ Zentralasien ^ Silk Road ^ Asia, Central -- Religion -- Sources"/>
    <s v="0"/>
    <m/>
    <m/>
  </r>
  <r>
    <n v="273"/>
    <m/>
    <m/>
    <m/>
    <m/>
    <m/>
    <m/>
    <s v="n/a"/>
    <x v="1"/>
    <s v="n/a"/>
    <s v="n/a"/>
    <s v="n"/>
    <s v="2+ Results"/>
    <s v="y"/>
    <n v="9784770017031"/>
    <s v="4770017030"/>
    <n v="25873772"/>
    <s v="English"/>
    <s v="n/a"/>
    <s v="The great game: the struggle for empire in Central Asia"/>
    <s v="n/a"/>
    <s v="Hopkirk, Peter"/>
    <s v="n/a"/>
    <s v="n/a"/>
    <s v="n/a"/>
    <x v="102"/>
    <x v="1"/>
    <x v="15"/>
    <s v="n/a"/>
    <s v="n/a"/>
    <s v="n/a"/>
    <s v="Eastern question (Central Asia) ^ Afghan Wars ^ Question d'Orient (Asie centrale) ^ Guerres anglo-afghanes ^ Afghan Wars ^ Eastern question (Central Asia) ^ International relations ^ Politics and government ^ Imperialismus ^ Geschichte 1800-1900 ^ Geschichte 1800-1900 ^ Asia, Central -- Politics and government ^ Asia, Central -- Relations -- Soviet Union ^ Soviet Union -- Relations -- Asia, Central ^ Asia, Central -- Relations -- Great Britain ^ Great Britain -- Relations -- Asia, Central ^ Asie centrale -- Politique et gouvernement ^ Asie centrale -- Relations -- URSS ^ Asie centrale -- Relations -- Grande-Bretagne ^ Central Asia ^ Great Britain ^ Soviet Union ^ Zentralasien ^ Russland ^ Großbritannien"/>
    <s v="0"/>
    <m/>
    <m/>
  </r>
  <r>
    <n v="274"/>
    <m/>
    <m/>
    <m/>
    <m/>
    <m/>
    <m/>
    <s v="n/a"/>
    <x v="0"/>
    <s v="n/a"/>
    <s v="n/a"/>
    <s v="n"/>
    <s v="https://libcat.colorado.edu/Record/b9737248"/>
    <s v="n"/>
    <n v="9781498224932"/>
    <s v="1498224938"/>
    <n v="935191808"/>
    <s v="English"/>
    <s v="n/a"/>
    <s v="A Christian in the land of the gods: journey of faith in Japan"/>
    <s v="n/a"/>
    <s v="Shelton, Joanna R."/>
    <s v="n/a"/>
    <s v="n/a"/>
    <s v="n/a"/>
    <x v="111"/>
    <x v="1"/>
    <x v="81"/>
    <s v="n/a"/>
    <s v="n/a"/>
    <s v="n/a"/>
    <s v="Presbyterian Church -- Missions -- Japan ^ Christianity -- Japan -- 20th century ^ Protestantism -- Japan ^ Christianity ^ Missions ^ Presbyterian Church -- Missions ^ Protestantism ^ Presbyterian Church (U.S.A.) -- Missions -- History ^ Presbyterian Church (U.S.A.) ^ History ^ 1900-1999 ^ Japan"/>
    <s v="0"/>
    <m/>
    <m/>
  </r>
  <r>
    <n v="275"/>
    <m/>
    <m/>
    <m/>
    <m/>
    <m/>
    <m/>
    <s v="n/a"/>
    <x v="1"/>
    <s v="n/a"/>
    <s v="n/a"/>
    <s v="n"/>
    <s v="2+ Results"/>
    <s v="y"/>
    <n v="9780520234420"/>
    <s v="0520234421"/>
    <n v="47823136"/>
    <s v="English"/>
    <s v="n/a"/>
    <s v="The civilization of Angkor"/>
    <s v="n/a"/>
    <s v="Higham, Charles"/>
    <s v="n/a"/>
    <s v="n/a"/>
    <s v="n/a"/>
    <x v="112"/>
    <x v="1"/>
    <x v="39"/>
    <s v="n/a"/>
    <s v="n/a"/>
    <s v="n/a"/>
    <s v="15.75 history of Asia ^ Kultur ^ Khmer (volk) ^ Koninkrijken ^ History ^ History (form) ^ Geschichte 2300 v. Chr.-1430 ^ To 1444 ^ Geschichte 2300 v. Chr.-1430 ^ Cambodia -- History -- To 800 ^ Cambodia -- History -- 800-1444 ^ Angkor (Extinct city) ^ Angkor (Ville ancienne) ^ Cambodia ^ Cambodia -- Angkor (Extinct city) ^ Angkor ^ Kambodscha ^ Angkor (Extinct city) -- Civilization ^ Angkor (Extinct city) -- Antiquities ^ Kambodscha"/>
    <s v="0"/>
    <m/>
    <m/>
  </r>
  <r>
    <n v="276"/>
    <m/>
    <m/>
    <m/>
    <m/>
    <m/>
    <m/>
    <s v="n/a"/>
    <x v="1"/>
    <s v="n/a"/>
    <s v="n/a"/>
    <s v="n"/>
    <s v="2+ Results"/>
    <s v="y"/>
    <n v="9780801488054"/>
    <s v="0801488052"/>
    <n v="50285149"/>
    <s v="English"/>
    <s v="n/a"/>
    <s v="Taiwan: a political history"/>
    <s v="n/a"/>
    <s v="Roy, Denny"/>
    <s v="n/a"/>
    <s v="Cornell paperbacks"/>
    <s v="n/a"/>
    <x v="113"/>
    <x v="1"/>
    <x v="68"/>
    <s v="n/a"/>
    <s v="n/a"/>
    <s v="n/a"/>
    <s v="15.75 history of Asia ^ Politics and government ^ Geschichte ^ Politiek ^ History (form) ^ Since 1945 ^ Taiwan -- Politics and government -- 1945- ^ Taiwan -- Politique et gouvernement -- 1945- ^ Taiwan ^ Taiwan ^ Taiwan -- Politics and government -- 1945-"/>
    <s v="0"/>
    <m/>
    <m/>
  </r>
  <r>
    <n v="277"/>
    <m/>
    <m/>
    <m/>
    <m/>
    <m/>
    <m/>
    <s v="n/a"/>
    <x v="0"/>
    <s v="n/a"/>
    <s v="n/a"/>
    <s v="https://libcat.colorado.edu/Record/b11540355"/>
    <s v="https://libcat.colorado.edu/Record/b11540355"/>
    <s v="y"/>
    <n v="9780415412087"/>
    <s v="0415412080"/>
    <n v="85350443"/>
    <s v="English"/>
    <s v="n/a"/>
    <s v="Cold War frontiers in the Asia-Pacific: divided territories in the San Francisco system"/>
    <s v="n/a"/>
    <s v="Hara, Kimie"/>
    <s v="n/a"/>
    <s v="Nissan Institute/Routledge Japanese studies series"/>
    <s v="n/a"/>
    <x v="82"/>
    <x v="1"/>
    <x v="67"/>
    <s v="n/a"/>
    <s v="n/a"/>
    <s v="n/a"/>
    <s v="HISTORY -- Historical Geography ^ Boundaries ^ East Asia -- Boundaries ^ Pacific Area -- Boundaries ^ East Asia ^ Pacific Area ^ Master and use copy. Digital master created according to Benchmark for Faithful Digital Reproductions of Monographs and Serials, Version 1. Digital Library Federation, December 2002 ^ http://purl.oclc.org.colorado.idm.oclc.org/DLF/benchrepro0212"/>
    <s v="0"/>
    <m/>
    <m/>
  </r>
  <r>
    <n v="278"/>
    <m/>
    <m/>
    <m/>
    <m/>
    <m/>
    <m/>
    <s v="n/a"/>
    <x v="1"/>
    <s v="n/a"/>
    <s v="n/a"/>
    <s v="2+ Results"/>
    <s v="2+ Results"/>
    <s v="y"/>
    <n v="9780415484091"/>
    <s v="041548409X"/>
    <n v="237880734"/>
    <s v="English"/>
    <s v="n/a"/>
    <s v="Northern territories, Asia-Pacific regional conflicts and the Åland experience: untying the Kurillian knot"/>
    <s v="n/a"/>
    <s v="Hara, Kimie ^ Jukes, Geoffrey"/>
    <s v="n/a"/>
    <s v="Routledge studies in Asia's transformations"/>
    <s v="n/a"/>
    <x v="82"/>
    <x v="1"/>
    <x v="4"/>
    <s v="n/a"/>
    <s v="n/a"/>
    <s v="n/a"/>
    <s v="Pacific settlement of international disputes -- Case studies ^ World War, 1939-1945 -- Territorial questions -- Japan ^ World War, 1939-1945 -- Territorial questions ^ Territory, National -- Japan -- History ^ Territory, National -- Russia -- History ^ Åland question ^ Neutrality -- Finland -- Åland ^ Règlement pacifique des conflits internationaux -- Études de cas ^ Guerre mondiale, 1939-1945 -- Questions territoriales ^ Question d'Åland ^ Neutralité -- Finlande -- Åland ^ War -- Territorial questions ^ Åland question ^ International law ^ Neutrality ^ Pacific settlement of international disputes ^ Territory, National ^ Konflikt ^ Autonomie ^ Japan ^ Russian Federation ^ Kuril Islands ^ Åland Islands ^ International status ^ International relations ^ Territorial sovereignty ^ Pacific settlement of international disputes ^ World War II ^ Andra världskriget 1939-1945 -- territoriella frågor ^ Ålandsfrågan ^ Case studies ^ History ^ Case studies ^ Études de cas ^ 1939-1945 ^ Geschichte 1939-2005 ^ Geschichte 1919-1993 ^ Kuril Islands (Russia) -- International status ^ Åland (Finland) -- International status ^ Kouriles (Russie) -- Statut international ^ Åland (Finlande) -- Statut international ^ Finland -- Åland ^ Japan ^ Russia ^ Russia (Federation) -- Kuril Islands ^ Kurilen ^ Ålandinseln ^ Japan ^ Russland"/>
    <s v="0"/>
    <m/>
    <m/>
  </r>
  <r>
    <n v="279"/>
    <m/>
    <m/>
    <m/>
    <m/>
    <m/>
    <m/>
    <s v="n/a"/>
    <x v="5"/>
    <s v="n/a"/>
    <s v="n/a"/>
    <s v="n/a"/>
    <s v="n"/>
    <s v="n"/>
    <s v="n/a"/>
    <s v="n/a"/>
    <n v="498821"/>
    <s v="English"/>
    <s v="n/a"/>
    <s v="Amerika Samoa: a history of American Samoa and its United States Naval Administration"/>
    <s v="n/a"/>
    <s v="Gray, J. A. C"/>
    <s v="n/a"/>
    <s v="n/a"/>
    <s v="n/a"/>
    <x v="3"/>
    <x v="1"/>
    <x v="47"/>
    <s v="n/a"/>
    <s v="n/a"/>
    <s v="n/a"/>
    <s v="History ^ American Samoa -- History ^ American Samoa ^ American Samoa -- History"/>
    <s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r>
  <r>
    <x v="0"/>
  </r>
  <r>
    <x v="0"/>
  </r>
  <r>
    <x v="0"/>
  </r>
  <r>
    <x v="0"/>
  </r>
  <r>
    <x v="0"/>
  </r>
  <r>
    <x v="0"/>
  </r>
  <r>
    <x v="0"/>
  </r>
  <r>
    <x v="0"/>
  </r>
  <r>
    <x v="0"/>
  </r>
  <r>
    <x v="0"/>
  </r>
  <r>
    <x v="0"/>
  </r>
  <r>
    <x v="0"/>
  </r>
  <r>
    <x v="0"/>
  </r>
  <r>
    <x v="0"/>
  </r>
  <r>
    <x v="0"/>
  </r>
  <r>
    <x v="0"/>
  </r>
  <r>
    <x v="1"/>
  </r>
  <r>
    <x v="2"/>
  </r>
  <r>
    <x v="3"/>
  </r>
  <r>
    <x v="4"/>
  </r>
  <r>
    <x v="3"/>
  </r>
  <r>
    <x v="5"/>
  </r>
  <r>
    <x v="6"/>
  </r>
  <r>
    <x v="7"/>
  </r>
  <r>
    <x v="7"/>
  </r>
  <r>
    <x v="7"/>
  </r>
  <r>
    <x v="7"/>
  </r>
  <r>
    <x v="7"/>
  </r>
  <r>
    <x v="7"/>
  </r>
  <r>
    <x v="8"/>
  </r>
  <r>
    <x v="9"/>
  </r>
  <r>
    <x v="10"/>
  </r>
  <r>
    <x v="11"/>
  </r>
  <r>
    <x v="12"/>
  </r>
  <r>
    <x v="13"/>
  </r>
  <r>
    <x v="14"/>
  </r>
  <r>
    <x v="15"/>
  </r>
  <r>
    <x v="3"/>
  </r>
  <r>
    <x v="16"/>
  </r>
  <r>
    <x v="7"/>
  </r>
  <r>
    <x v="12"/>
  </r>
  <r>
    <x v="17"/>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r>
    <x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793BBD-9B58-42E1-959F-BE14B043479B}" name="Collection"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Collection">
  <location ref="A1:B7" firstHeaderRow="1" firstDataRow="1" firstDataCol="1"/>
  <pivotFields count="35">
    <pivotField showAll="0"/>
    <pivotField showAll="0"/>
    <pivotField showAll="0"/>
    <pivotField showAll="0"/>
    <pivotField showAll="0"/>
    <pivotField showAll="0"/>
    <pivotField showAll="0"/>
    <pivotField showAll="0"/>
    <pivotField axis="axisRow" dataField="1" showAll="0" sortType="ascending">
      <items count="18">
        <item m="1" x="8"/>
        <item x="2"/>
        <item x="1"/>
        <item x="5"/>
        <item x="0"/>
        <item x="3"/>
        <item m="1" x="9"/>
        <item h="1" m="1" x="6"/>
        <item h="1" m="1" x="10"/>
        <item h="1" m="1" x="11"/>
        <item h="1" m="1" x="12"/>
        <item h="1" m="1" x="7"/>
        <item h="1" m="1" x="13"/>
        <item h="1" x="4"/>
        <item h="1" m="1" x="14"/>
        <item h="1" m="1" x="15"/>
        <item h="1" m="1" x="1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6">
    <i>
      <x v="3"/>
    </i>
    <i>
      <x v="1"/>
    </i>
    <i>
      <x v="5"/>
    </i>
    <i>
      <x v="2"/>
    </i>
    <i>
      <x v="4"/>
    </i>
    <i t="grand">
      <x/>
    </i>
  </rowItems>
  <colItems count="1">
    <i/>
  </colItems>
  <dataFields count="1">
    <dataField name="Counts" fld="8" subtotal="count" baseField="0" baseItem="0"/>
  </dataFields>
  <chartFormats count="8">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8" count="1" selected="0">
            <x v="0"/>
          </reference>
        </references>
      </pivotArea>
    </chartFormat>
    <chartFormat chart="2" format="2">
      <pivotArea type="data" outline="0" fieldPosition="0">
        <references count="2">
          <reference field="4294967294" count="1" selected="0">
            <x v="0"/>
          </reference>
          <reference field="8" count="1" selected="0">
            <x v="1"/>
          </reference>
        </references>
      </pivotArea>
    </chartFormat>
    <chartFormat chart="2" format="3">
      <pivotArea type="data" outline="0" fieldPosition="0">
        <references count="2">
          <reference field="4294967294" count="1" selected="0">
            <x v="0"/>
          </reference>
          <reference field="8" count="1" selected="0">
            <x v="2"/>
          </reference>
        </references>
      </pivotArea>
    </chartFormat>
    <chartFormat chart="2" format="4">
      <pivotArea type="data" outline="0" fieldPosition="0">
        <references count="2">
          <reference field="4294967294" count="1" selected="0">
            <x v="0"/>
          </reference>
          <reference field="8" count="1" selected="0">
            <x v="3"/>
          </reference>
        </references>
      </pivotArea>
    </chartFormat>
    <chartFormat chart="2" format="5">
      <pivotArea type="data" outline="0" fieldPosition="0">
        <references count="2">
          <reference field="4294967294" count="1" selected="0">
            <x v="0"/>
          </reference>
          <reference field="8" count="1" selected="0">
            <x v="4"/>
          </reference>
        </references>
      </pivotArea>
    </chartFormat>
    <chartFormat chart="2" format="6">
      <pivotArea type="data" outline="0" fieldPosition="0">
        <references count="2">
          <reference field="4294967294" count="1" selected="0">
            <x v="0"/>
          </reference>
          <reference field="8" count="1" selected="0">
            <x v="5"/>
          </reference>
        </references>
      </pivotArea>
    </chartFormat>
    <chartFormat chart="2" format="7">
      <pivotArea type="data" outline="0" fieldPosition="0">
        <references count="2">
          <reference field="4294967294" count="1" selected="0">
            <x v="0"/>
          </reference>
          <reference field="8" count="1" selected="0">
            <x v="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D8781B-1E9D-4BC6-A149-7726B95B630F}" name="SeriesN"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eries Title (N)">
  <location ref="T1:U1" firstHeaderRow="1" firstDataRow="1" firstDataCol="1"/>
  <pivotFields count="1">
    <pivotField axis="axisRow" dataField="1" showAll="0" sortType="ascending">
      <items count="62">
        <item m="1" x="60"/>
        <item h="1" x="5"/>
        <item h="1" x="59"/>
        <item h="1" x="0"/>
        <item h="1" x="1"/>
        <item h="1" x="2"/>
        <item h="1" x="3"/>
        <item h="1" x="4"/>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t="default"/>
      </items>
      <autoSortScope>
        <pivotArea dataOnly="0" outline="0" fieldPosition="0">
          <references count="1">
            <reference field="4294967294" count="1" selected="0">
              <x v="0"/>
            </reference>
          </references>
        </pivotArea>
      </autoSortScope>
    </pivotField>
  </pivotFields>
  <rowFields count="1">
    <field x="0"/>
  </rowFields>
  <colItems count="1">
    <i/>
  </colItems>
  <dataFields count="1">
    <dataField name="Counts"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B3DC4C-8064-434C-90EE-E6D6362B76A9}" name="SeriesRE"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eries Title (RE)">
  <location ref="D1:E73" firstHeaderRow="1" firstDataRow="1" firstDataCol="1"/>
  <pivotFields count="1">
    <pivotField axis="axisRow" dataField="1" showAll="0" sortType="ascending">
      <items count="76">
        <item h="1" m="1" x="74"/>
        <item h="1" x="6"/>
        <item h="1" x="73"/>
        <item x="0"/>
        <item x="1"/>
        <item x="2"/>
        <item x="3"/>
        <item x="4"/>
        <item x="5"/>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autoSortScope>
        <pivotArea dataOnly="0" outline="0" fieldPosition="0">
          <references count="1">
            <reference field="4294967294" count="1" selected="0">
              <x v="0"/>
            </reference>
          </references>
        </pivotArea>
      </autoSortScope>
    </pivotField>
  </pivotFields>
  <rowFields count="1">
    <field x="0"/>
  </rowFields>
  <rowItems count="72">
    <i>
      <x v="40"/>
    </i>
    <i>
      <x v="73"/>
    </i>
    <i>
      <x v="41"/>
    </i>
    <i>
      <x v="6"/>
    </i>
    <i>
      <x v="74"/>
    </i>
    <i>
      <x v="10"/>
    </i>
    <i>
      <x v="45"/>
    </i>
    <i>
      <x v="12"/>
    </i>
    <i>
      <x v="47"/>
    </i>
    <i>
      <x v="14"/>
    </i>
    <i>
      <x v="48"/>
    </i>
    <i>
      <x v="16"/>
    </i>
    <i>
      <x v="49"/>
    </i>
    <i>
      <x v="23"/>
    </i>
    <i>
      <x v="50"/>
    </i>
    <i>
      <x v="25"/>
    </i>
    <i>
      <x v="51"/>
    </i>
    <i>
      <x v="28"/>
    </i>
    <i>
      <x v="53"/>
    </i>
    <i>
      <x v="34"/>
    </i>
    <i>
      <x v="54"/>
    </i>
    <i>
      <x v="36"/>
    </i>
    <i>
      <x v="57"/>
    </i>
    <i>
      <x v="39"/>
    </i>
    <i>
      <x v="58"/>
    </i>
    <i>
      <x v="8"/>
    </i>
    <i>
      <x v="59"/>
    </i>
    <i>
      <x v="13"/>
    </i>
    <i>
      <x v="60"/>
    </i>
    <i>
      <x v="17"/>
    </i>
    <i>
      <x v="62"/>
    </i>
    <i>
      <x v="27"/>
    </i>
    <i>
      <x v="63"/>
    </i>
    <i>
      <x v="35"/>
    </i>
    <i>
      <x v="64"/>
    </i>
    <i>
      <x v="5"/>
    </i>
    <i>
      <x v="66"/>
    </i>
    <i>
      <x v="15"/>
    </i>
    <i>
      <x v="67"/>
    </i>
    <i>
      <x v="29"/>
    </i>
    <i>
      <x v="68"/>
    </i>
    <i>
      <x v="11"/>
    </i>
    <i>
      <x v="69"/>
    </i>
    <i>
      <x v="37"/>
    </i>
    <i>
      <x v="70"/>
    </i>
    <i>
      <x v="24"/>
    </i>
    <i>
      <x v="72"/>
    </i>
    <i>
      <x v="42"/>
    </i>
    <i>
      <x v="55"/>
    </i>
    <i>
      <x v="61"/>
    </i>
    <i>
      <x v="56"/>
    </i>
    <i>
      <x v="30"/>
    </i>
    <i>
      <x v="19"/>
    </i>
    <i>
      <x v="33"/>
    </i>
    <i>
      <x v="43"/>
    </i>
    <i>
      <x v="7"/>
    </i>
    <i>
      <x v="46"/>
    </i>
    <i>
      <x v="71"/>
    </i>
    <i>
      <x v="52"/>
    </i>
    <i>
      <x v="9"/>
    </i>
    <i>
      <x v="65"/>
    </i>
    <i>
      <x v="38"/>
    </i>
    <i>
      <x v="18"/>
    </i>
    <i>
      <x v="44"/>
    </i>
    <i>
      <x v="20"/>
    </i>
    <i>
      <x v="31"/>
    </i>
    <i>
      <x v="21"/>
    </i>
    <i>
      <x v="22"/>
    </i>
    <i>
      <x v="32"/>
    </i>
    <i>
      <x v="4"/>
    </i>
    <i>
      <x v="26"/>
    </i>
    <i>
      <x v="3"/>
    </i>
  </rowItems>
  <colItems count="1">
    <i/>
  </colItems>
  <dataFields count="1">
    <dataField name="Counts"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682A80-344F-4A28-94D9-D308E8F14126}" name="PubRE"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lishers (RE)">
  <location ref="A1:B114"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205">
        <item m="1" x="175"/>
        <item m="1" x="173"/>
        <item x="109"/>
        <item x="92"/>
        <item m="1" x="152"/>
        <item x="25"/>
        <item m="1" x="196"/>
        <item x="85"/>
        <item x="13"/>
        <item x="37"/>
        <item x="76"/>
        <item x="111"/>
        <item m="1" x="149"/>
        <item m="1" x="168"/>
        <item m="1" x="169"/>
        <item m="1" x="192"/>
        <item x="15"/>
        <item x="50"/>
        <item x="97"/>
        <item m="1" x="190"/>
        <item m="1" x="193"/>
        <item m="1" x="131"/>
        <item m="1" x="135"/>
        <item x="1"/>
        <item x="63"/>
        <item x="0"/>
        <item x="21"/>
        <item m="1" x="180"/>
        <item x="26"/>
        <item x="91"/>
        <item x="113"/>
        <item x="99"/>
        <item x="58"/>
        <item x="73"/>
        <item m="1" x="187"/>
        <item x="83"/>
        <item x="90"/>
        <item x="34"/>
        <item m="1" x="114"/>
        <item x="71"/>
        <item x="47"/>
        <item x="88"/>
        <item x="86"/>
        <item m="1" x="172"/>
        <item x="100"/>
        <item x="89"/>
        <item x="64"/>
        <item x="45"/>
        <item x="53"/>
        <item x="57"/>
        <item m="1" x="118"/>
        <item x="108"/>
        <item m="1" x="200"/>
        <item m="1" x="198"/>
        <item m="1" x="199"/>
        <item x="11"/>
        <item m="1" x="185"/>
        <item m="1" x="145"/>
        <item m="1" x="144"/>
        <item x="60"/>
        <item x="79"/>
        <item x="110"/>
        <item x="52"/>
        <item x="40"/>
        <item x="31"/>
        <item m="1" x="164"/>
        <item m="1" x="179"/>
        <item m="1" x="186"/>
        <item m="1" x="129"/>
        <item m="1" x="171"/>
        <item m="1" x="122"/>
        <item x="84"/>
        <item x="7"/>
        <item x="103"/>
        <item x="51"/>
        <item x="36"/>
        <item x="75"/>
        <item x="59"/>
        <item x="19"/>
        <item x="2"/>
        <item x="43"/>
        <item x="55"/>
        <item x="39"/>
        <item x="78"/>
        <item m="1" x="125"/>
        <item x="4"/>
        <item x="102"/>
        <item m="1" x="123"/>
        <item m="1" x="195"/>
        <item m="1" x="124"/>
        <item m="1" x="194"/>
        <item x="44"/>
        <item m="1" x="140"/>
        <item m="1" x="150"/>
        <item m="1" x="163"/>
        <item m="1" x="155"/>
        <item m="1" x="138"/>
        <item m="1" x="184"/>
        <item m="1" x="143"/>
        <item m="1" x="142"/>
        <item x="30"/>
        <item x="17"/>
        <item x="77"/>
        <item m="1" x="176"/>
        <item m="1" x="137"/>
        <item x="8"/>
        <item x="24"/>
        <item m="1" x="128"/>
        <item m="1" x="201"/>
        <item m="1" x="157"/>
        <item m="1" x="181"/>
        <item m="1" x="121"/>
        <item m="1" x="119"/>
        <item m="1" x="159"/>
        <item m="1" x="158"/>
        <item h="1" x="3"/>
        <item m="1" x="202"/>
        <item m="1" x="177"/>
        <item m="1" x="151"/>
        <item m="1" x="141"/>
        <item m="1" x="188"/>
        <item m="1" x="197"/>
        <item x="22"/>
        <item x="41"/>
        <item x="12"/>
        <item x="42"/>
        <item x="32"/>
        <item x="95"/>
        <item m="1" x="117"/>
        <item m="1" x="182"/>
        <item m="1" x="132"/>
        <item x="80"/>
        <item m="1" x="134"/>
        <item m="1" x="165"/>
        <item m="1" x="120"/>
        <item x="49"/>
        <item x="18"/>
        <item x="107"/>
        <item x="101"/>
        <item m="1" x="170"/>
        <item m="1" x="183"/>
        <item m="1" x="148"/>
        <item m="1" x="126"/>
        <item x="104"/>
        <item x="67"/>
        <item x="87"/>
        <item x="48"/>
        <item x="69"/>
        <item x="94"/>
        <item x="82"/>
        <item m="1" x="127"/>
        <item x="20"/>
        <item x="65"/>
        <item m="1" x="189"/>
        <item x="105"/>
        <item x="106"/>
        <item m="1" x="160"/>
        <item m="1" x="166"/>
        <item x="56"/>
        <item m="1" x="153"/>
        <item m="1" x="136"/>
        <item m="1" x="139"/>
        <item x="29"/>
        <item x="46"/>
        <item x="14"/>
        <item x="5"/>
        <item x="10"/>
        <item x="66"/>
        <item x="96"/>
        <item x="16"/>
        <item x="23"/>
        <item x="93"/>
        <item x="28"/>
        <item m="1" x="116"/>
        <item m="1" x="146"/>
        <item m="1" x="191"/>
        <item x="72"/>
        <item m="1" x="162"/>
        <item x="54"/>
        <item x="61"/>
        <item m="1" x="174"/>
        <item x="33"/>
        <item x="70"/>
        <item m="1" x="178"/>
        <item m="1" x="115"/>
        <item m="1" x="154"/>
        <item m="1" x="156"/>
        <item m="1" x="161"/>
        <item m="1" x="133"/>
        <item x="112"/>
        <item x="81"/>
        <item x="35"/>
        <item x="98"/>
        <item x="6"/>
        <item x="68"/>
        <item x="62"/>
        <item x="27"/>
        <item x="9"/>
        <item m="1" x="167"/>
        <item m="1" x="130"/>
        <item x="38"/>
        <item m="1" x="147"/>
        <item x="74"/>
        <item m="1" x="20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s>
  <rowFields count="1">
    <field x="25"/>
  </rowFields>
  <rowItems count="113">
    <i>
      <x v="82"/>
    </i>
    <i>
      <x v="83"/>
    </i>
    <i>
      <x v="3"/>
    </i>
    <i>
      <x v="2"/>
    </i>
    <i>
      <x v="10"/>
    </i>
    <i>
      <x v="100"/>
    </i>
    <i>
      <x v="17"/>
    </i>
    <i>
      <x v="101"/>
    </i>
    <i>
      <x v="24"/>
    </i>
    <i>
      <x v="105"/>
    </i>
    <i>
      <x v="28"/>
    </i>
    <i>
      <x v="122"/>
    </i>
    <i>
      <x v="31"/>
    </i>
    <i>
      <x v="123"/>
    </i>
    <i>
      <x v="33"/>
    </i>
    <i>
      <x v="124"/>
    </i>
    <i>
      <x v="36"/>
    </i>
    <i>
      <x v="127"/>
    </i>
    <i>
      <x v="40"/>
    </i>
    <i>
      <x v="131"/>
    </i>
    <i>
      <x v="42"/>
    </i>
    <i>
      <x v="135"/>
    </i>
    <i>
      <x v="45"/>
    </i>
    <i>
      <x v="137"/>
    </i>
    <i>
      <x v="47"/>
    </i>
    <i>
      <x v="138"/>
    </i>
    <i>
      <x v="51"/>
    </i>
    <i>
      <x v="143"/>
    </i>
    <i>
      <x v="60"/>
    </i>
    <i>
      <x v="144"/>
    </i>
    <i>
      <x v="62"/>
    </i>
    <i>
      <x v="145"/>
    </i>
    <i>
      <x v="64"/>
    </i>
    <i>
      <x v="146"/>
    </i>
    <i>
      <x v="73"/>
    </i>
    <i>
      <x v="147"/>
    </i>
    <i>
      <x v="76"/>
    </i>
    <i>
      <x v="148"/>
    </i>
    <i>
      <x v="78"/>
    </i>
    <i>
      <x v="151"/>
    </i>
    <i>
      <x v="81"/>
    </i>
    <i>
      <x v="154"/>
    </i>
    <i>
      <x v="7"/>
    </i>
    <i>
      <x v="155"/>
    </i>
    <i>
      <x v="18"/>
    </i>
    <i>
      <x v="158"/>
    </i>
    <i>
      <x v="30"/>
    </i>
    <i>
      <x v="163"/>
    </i>
    <i>
      <x v="35"/>
    </i>
    <i>
      <x v="164"/>
    </i>
    <i>
      <x v="41"/>
    </i>
    <i>
      <x v="167"/>
    </i>
    <i>
      <x v="46"/>
    </i>
    <i>
      <x v="168"/>
    </i>
    <i>
      <x v="55"/>
    </i>
    <i>
      <x v="169"/>
    </i>
    <i>
      <x v="63"/>
    </i>
    <i>
      <x v="170"/>
    </i>
    <i>
      <x v="74"/>
    </i>
    <i>
      <x v="171"/>
    </i>
    <i>
      <x v="80"/>
    </i>
    <i>
      <x v="176"/>
    </i>
    <i>
      <x v="11"/>
    </i>
    <i>
      <x v="178"/>
    </i>
    <i>
      <x v="32"/>
    </i>
    <i>
      <x v="179"/>
    </i>
    <i>
      <x v="44"/>
    </i>
    <i>
      <x v="182"/>
    </i>
    <i>
      <x v="61"/>
    </i>
    <i>
      <x v="189"/>
    </i>
    <i>
      <x v="77"/>
    </i>
    <i>
      <x v="190"/>
    </i>
    <i>
      <x v="26"/>
    </i>
    <i>
      <x v="191"/>
    </i>
    <i>
      <x v="49"/>
    </i>
    <i>
      <x v="193"/>
    </i>
    <i>
      <x v="202"/>
    </i>
    <i>
      <x v="194"/>
    </i>
    <i>
      <x v="71"/>
    </i>
    <i>
      <x v="196"/>
    </i>
    <i>
      <x v="39"/>
    </i>
    <i>
      <x v="197"/>
    </i>
    <i>
      <x v="86"/>
    </i>
    <i>
      <x v="136"/>
    </i>
    <i>
      <x v="16"/>
    </i>
    <i>
      <x v="75"/>
    </i>
    <i>
      <x v="9"/>
    </i>
    <i>
      <x v="162"/>
    </i>
    <i>
      <x v="48"/>
    </i>
    <i>
      <x v="152"/>
    </i>
    <i>
      <x v="195"/>
    </i>
    <i>
      <x v="59"/>
    </i>
    <i>
      <x v="102"/>
    </i>
    <i>
      <x v="106"/>
    </i>
    <i>
      <x v="181"/>
    </i>
    <i>
      <x v="126"/>
    </i>
    <i>
      <x v="23"/>
    </i>
    <i>
      <x v="192"/>
    </i>
    <i>
      <x v="149"/>
    </i>
    <i>
      <x v="29"/>
    </i>
    <i>
      <x v="200"/>
    </i>
    <i>
      <x v="172"/>
    </i>
    <i>
      <x v="125"/>
    </i>
    <i>
      <x v="37"/>
    </i>
    <i>
      <x v="91"/>
    </i>
    <i>
      <x v="79"/>
    </i>
    <i>
      <x v="166"/>
    </i>
    <i>
      <x v="5"/>
    </i>
    <i>
      <x v="165"/>
    </i>
    <i>
      <x v="72"/>
    </i>
    <i>
      <x v="85"/>
    </i>
    <i>
      <x v="8"/>
    </i>
    <i>
      <x v="25"/>
    </i>
  </rowItems>
  <colItems count="1">
    <i/>
  </colItems>
  <dataFields count="1">
    <dataField name="Counts" fld="2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8608010-D283-4937-96CE-28DAF74C4BE2}" name="PubN"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Publishers (N)">
  <location ref="M1:N97"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108">
        <item h="1" x="1"/>
        <item m="1" x="97"/>
        <item m="1" x="106"/>
        <item m="1" x="98"/>
        <item m="1" x="99"/>
        <item m="1" x="100"/>
        <item m="1" x="101"/>
        <item m="1" x="102"/>
        <item m="1" x="103"/>
        <item m="1" x="104"/>
        <item m="1" x="105"/>
        <item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s>
  <rowFields count="1">
    <field x="26"/>
  </rowFields>
  <rowItems count="96">
    <i>
      <x v="58"/>
    </i>
    <i>
      <x v="64"/>
    </i>
    <i>
      <x v="65"/>
    </i>
    <i>
      <x v="14"/>
    </i>
    <i>
      <x v="66"/>
    </i>
    <i>
      <x v="67"/>
    </i>
    <i>
      <x v="68"/>
    </i>
    <i>
      <x v="21"/>
    </i>
    <i>
      <x v="69"/>
    </i>
    <i>
      <x v="23"/>
    </i>
    <i>
      <x v="24"/>
    </i>
    <i>
      <x v="103"/>
    </i>
    <i>
      <x v="25"/>
    </i>
    <i>
      <x v="30"/>
    </i>
    <i>
      <x v="71"/>
    </i>
    <i>
      <x v="32"/>
    </i>
    <i>
      <x v="72"/>
    </i>
    <i>
      <x v="34"/>
    </i>
    <i>
      <x v="73"/>
    </i>
    <i>
      <x v="36"/>
    </i>
    <i>
      <x v="75"/>
    </i>
    <i>
      <x v="41"/>
    </i>
    <i>
      <x v="76"/>
    </i>
    <i>
      <x v="45"/>
    </i>
    <i>
      <x v="77"/>
    </i>
    <i>
      <x v="48"/>
    </i>
    <i>
      <x v="78"/>
    </i>
    <i>
      <x v="52"/>
    </i>
    <i>
      <x v="79"/>
    </i>
    <i>
      <x v="56"/>
    </i>
    <i>
      <x v="80"/>
    </i>
    <i>
      <x v="61"/>
    </i>
    <i>
      <x v="82"/>
    </i>
    <i>
      <x v="63"/>
    </i>
    <i>
      <x v="83"/>
    </i>
    <i>
      <x v="17"/>
    </i>
    <i>
      <x v="85"/>
    </i>
    <i>
      <x v="105"/>
    </i>
    <i>
      <x v="86"/>
    </i>
    <i>
      <x v="28"/>
    </i>
    <i>
      <x v="88"/>
    </i>
    <i>
      <x v="33"/>
    </i>
    <i>
      <x v="89"/>
    </i>
    <i>
      <x v="38"/>
    </i>
    <i>
      <x v="90"/>
    </i>
    <i>
      <x v="46"/>
    </i>
    <i>
      <x v="91"/>
    </i>
    <i>
      <x v="55"/>
    </i>
    <i>
      <x v="92"/>
    </i>
    <i>
      <x v="62"/>
    </i>
    <i>
      <x v="93"/>
    </i>
    <i>
      <x v="20"/>
    </i>
    <i>
      <x v="94"/>
    </i>
    <i>
      <x v="31"/>
    </i>
    <i>
      <x v="96"/>
    </i>
    <i>
      <x v="42"/>
    </i>
    <i>
      <x v="97"/>
    </i>
    <i>
      <x v="60"/>
    </i>
    <i>
      <x v="98"/>
    </i>
    <i>
      <x v="22"/>
    </i>
    <i>
      <x v="99"/>
    </i>
    <i>
      <x v="50"/>
    </i>
    <i>
      <x v="100"/>
    </i>
    <i>
      <x v="35"/>
    </i>
    <i>
      <x v="101"/>
    </i>
    <i>
      <x v="106"/>
    </i>
    <i>
      <x v="102"/>
    </i>
    <i>
      <x v="70"/>
    </i>
    <i>
      <x v="74"/>
    </i>
    <i>
      <x v="27"/>
    </i>
    <i>
      <x v="81"/>
    </i>
    <i>
      <x v="47"/>
    </i>
    <i>
      <x v="57"/>
    </i>
    <i>
      <x v="29"/>
    </i>
    <i>
      <x v="40"/>
    </i>
    <i>
      <x v="87"/>
    </i>
    <i>
      <x v="84"/>
    </i>
    <i>
      <x v="95"/>
    </i>
    <i>
      <x v="104"/>
    </i>
    <i>
      <x v="19"/>
    </i>
    <i>
      <x v="12"/>
    </i>
    <i>
      <x v="37"/>
    </i>
    <i>
      <x v="43"/>
    </i>
    <i>
      <x v="59"/>
    </i>
    <i>
      <x v="51"/>
    </i>
    <i>
      <x v="49"/>
    </i>
    <i>
      <x v="39"/>
    </i>
    <i>
      <x v="44"/>
    </i>
    <i>
      <x v="54"/>
    </i>
    <i>
      <x v="53"/>
    </i>
    <i>
      <x v="13"/>
    </i>
    <i>
      <x v="15"/>
    </i>
    <i>
      <x v="18"/>
    </i>
    <i>
      <x v="16"/>
    </i>
    <i>
      <x v="26"/>
    </i>
    <i>
      <x v="11"/>
    </i>
  </rowItems>
  <colItems count="1">
    <i/>
  </colItems>
  <dataFields count="1">
    <dataField name="Counts" fld="26"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AE1FA9-CAD1-4BB3-A5E1-657111C2B819}" name="dates"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Pub Dates">
  <location ref="A1:B82" firstHeaderRow="1" firstDataRow="1" firstDataCol="1"/>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ascending">
      <items count="93">
        <item m="1" x="88"/>
        <item m="1" x="91"/>
        <item m="1" x="85"/>
        <item m="1" x="86"/>
        <item m="1" x="87"/>
        <item m="1" x="82"/>
        <item m="1" x="83"/>
        <item m="1" x="84"/>
        <item m="1" x="89"/>
        <item m="1" x="90"/>
        <item x="58"/>
        <item x="70"/>
        <item h="1" x="18"/>
        <item x="81"/>
        <item x="14"/>
        <item x="71"/>
        <item x="4"/>
        <item x="16"/>
        <item x="46"/>
        <item x="23"/>
        <item x="0"/>
        <item x="1"/>
        <item x="2"/>
        <item x="3"/>
        <item x="5"/>
        <item x="6"/>
        <item x="7"/>
        <item x="8"/>
        <item x="9"/>
        <item x="10"/>
        <item x="11"/>
        <item x="12"/>
        <item x="13"/>
        <item x="15"/>
        <item x="17"/>
        <item x="19"/>
        <item x="20"/>
        <item x="21"/>
        <item x="22"/>
        <item x="24"/>
        <item x="25"/>
        <item x="26"/>
        <item x="27"/>
        <item x="28"/>
        <item x="29"/>
        <item x="30"/>
        <item x="31"/>
        <item x="32"/>
        <item x="33"/>
        <item x="34"/>
        <item x="35"/>
        <item x="36"/>
        <item x="37"/>
        <item x="38"/>
        <item x="39"/>
        <item x="40"/>
        <item x="41"/>
        <item x="42"/>
        <item x="43"/>
        <item x="44"/>
        <item x="45"/>
        <item x="47"/>
        <item x="48"/>
        <item x="49"/>
        <item x="50"/>
        <item x="51"/>
        <item x="52"/>
        <item x="53"/>
        <item x="54"/>
        <item x="55"/>
        <item x="56"/>
        <item x="57"/>
        <item x="59"/>
        <item x="60"/>
        <item x="61"/>
        <item x="62"/>
        <item x="63"/>
        <item x="64"/>
        <item x="65"/>
        <item x="66"/>
        <item x="67"/>
        <item x="68"/>
        <item x="69"/>
        <item x="72"/>
        <item x="73"/>
        <item x="74"/>
        <item x="75"/>
        <item x="76"/>
        <item x="77"/>
        <item x="78"/>
        <item x="79"/>
        <item x="8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27"/>
  </rowFields>
  <rowItems count="81">
    <i>
      <x v="10"/>
    </i>
    <i>
      <x v="90"/>
    </i>
    <i>
      <x v="62"/>
    </i>
    <i>
      <x v="13"/>
    </i>
    <i>
      <x v="64"/>
    </i>
    <i>
      <x v="17"/>
    </i>
    <i>
      <x v="68"/>
    </i>
    <i>
      <x v="44"/>
    </i>
    <i>
      <x v="70"/>
    </i>
    <i>
      <x v="11"/>
    </i>
    <i>
      <x v="72"/>
    </i>
    <i>
      <x v="43"/>
    </i>
    <i>
      <x v="84"/>
    </i>
    <i>
      <x v="15"/>
    </i>
    <i>
      <x v="87"/>
    </i>
    <i>
      <x v="45"/>
    </i>
    <i>
      <x v="88"/>
    </i>
    <i>
      <x v="57"/>
    </i>
    <i>
      <x v="82"/>
    </i>
    <i>
      <x v="83"/>
    </i>
    <i>
      <x v="49"/>
    </i>
    <i>
      <x v="55"/>
    </i>
    <i>
      <x v="74"/>
    </i>
    <i>
      <x v="86"/>
    </i>
    <i>
      <x v="81"/>
    </i>
    <i>
      <x v="91"/>
    </i>
    <i>
      <x v="14"/>
    </i>
    <i>
      <x v="16"/>
    </i>
    <i>
      <x v="48"/>
    </i>
    <i>
      <x v="89"/>
    </i>
    <i>
      <x v="80"/>
    </i>
    <i>
      <x v="47"/>
    </i>
    <i>
      <x v="51"/>
    </i>
    <i>
      <x v="67"/>
    </i>
    <i>
      <x v="59"/>
    </i>
    <i>
      <x v="73"/>
    </i>
    <i>
      <x v="18"/>
    </i>
    <i>
      <x v="54"/>
    </i>
    <i>
      <x v="42"/>
    </i>
    <i>
      <x v="52"/>
    </i>
    <i>
      <x v="69"/>
    </i>
    <i>
      <x v="19"/>
    </i>
    <i>
      <x v="75"/>
    </i>
    <i>
      <x v="79"/>
    </i>
    <i>
      <x v="46"/>
    </i>
    <i>
      <x v="85"/>
    </i>
    <i>
      <x v="71"/>
    </i>
    <i>
      <x v="41"/>
    </i>
    <i>
      <x v="66"/>
    </i>
    <i>
      <x v="63"/>
    </i>
    <i>
      <x v="25"/>
    </i>
    <i>
      <x v="60"/>
    </i>
    <i>
      <x v="65"/>
    </i>
    <i>
      <x v="22"/>
    </i>
    <i>
      <x v="78"/>
    </i>
    <i>
      <x v="50"/>
    </i>
    <i>
      <x v="58"/>
    </i>
    <i>
      <x v="61"/>
    </i>
    <i>
      <x v="36"/>
    </i>
    <i>
      <x v="38"/>
    </i>
    <i>
      <x v="34"/>
    </i>
    <i>
      <x v="21"/>
    </i>
    <i>
      <x v="56"/>
    </i>
    <i>
      <x v="23"/>
    </i>
    <i>
      <x v="31"/>
    </i>
    <i>
      <x v="24"/>
    </i>
    <i>
      <x v="39"/>
    </i>
    <i>
      <x v="35"/>
    </i>
    <i>
      <x v="28"/>
    </i>
    <i>
      <x v="37"/>
    </i>
    <i>
      <x v="32"/>
    </i>
    <i>
      <x v="29"/>
    </i>
    <i>
      <x v="27"/>
    </i>
    <i>
      <x v="40"/>
    </i>
    <i>
      <x v="77"/>
    </i>
    <i>
      <x v="33"/>
    </i>
    <i>
      <x v="30"/>
    </i>
    <i>
      <x v="76"/>
    </i>
    <i>
      <x v="26"/>
    </i>
    <i>
      <x v="53"/>
    </i>
    <i>
      <x v="20"/>
    </i>
  </rowItems>
  <colItems count="1">
    <i/>
  </colItems>
  <dataFields count="1">
    <dataField name="Counts" fld="27" subtotal="count" baseField="0" baseItem="0"/>
  </dataFields>
  <formats count="2">
    <format dxfId="92">
      <pivotArea field="27" type="button" dataOnly="0" labelOnly="1" outline="0" axis="axisRow" fieldPosition="0"/>
    </format>
    <format dxfId="9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C9E3378-3151-4CCD-83A4-4882936DFF8A}" name="decades"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Q1:R7" firstHeaderRow="1" firstDataRow="1" firstDataCol="1"/>
  <pivotFields count="1">
    <pivotField axis="axisRow" dataField="1" showAll="0">
      <items count="303">
        <item h="1" x="0"/>
        <item h="1"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t="default"/>
      </items>
    </pivotField>
  </pivotFields>
  <rowFields count="1">
    <field x="0"/>
  </rowFields>
  <rowItems count="6">
    <i>
      <x v="197"/>
    </i>
    <i>
      <x v="198"/>
    </i>
    <i>
      <x v="199"/>
    </i>
    <i>
      <x v="200"/>
    </i>
    <i>
      <x v="201"/>
    </i>
    <i>
      <x v="202"/>
    </i>
  </rowItems>
  <colItems count="1">
    <i/>
  </colItems>
  <dataFields count="1">
    <dataField name="Counts" fld="0" subtotal="count" baseField="0" baseItem="0"/>
  </dataFields>
  <formats count="2">
    <format dxfId="94">
      <pivotArea field="0" type="button" dataOnly="0" labelOnly="1" outline="0" axis="axisRow" fieldPosition="0"/>
    </format>
    <format dxfId="93">
      <pivotArea field="0" type="button" dataOnly="0" labelOnly="1" outline="0" axis="axisRow"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extLst>
        <x:ext xmlns:xlrvr="http://schemas.microsoft.com/office/spreadsheetml/2020/richvaluerefresh" uri="{6D21E516-79A1-49C6-A8DF-7D825B72F6C7}">
          <xlrvr:refreshIntervals>
            <xlrvr:refreshInterval resourceIdInt="268435456" interval="-1"/>
          </xlrvr:refreshIntervals>
        </x:ext>
      </extLst>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6">
  <rv s="0">
    <v>en-US</v>
    <v>av554c</v>
    <v>268435456</v>
    <v>1</v>
    <v>Powered by Refinitiv</v>
    <v>0</v>
    <v>CNY/USD</v>
    <v>2</v>
    <v>3</v>
    <v>Finance</v>
    <v>4</v>
    <v>0.1467</v>
    <v>0.13600000000000001</v>
    <v>-1.5300000000000001E-4</v>
    <v>-1.1000000000000001E-3</v>
    <v>USD</v>
    <v>CNY</v>
    <v>0.13900000000000001</v>
    <v>Currency Pair</v>
    <v>45352.773287037038</v>
    <v>0.1389</v>
    <v>Chinese Renminbi/US Dollar FX Cross Rate</v>
    <v>0.13900000000000001</v>
    <v>0.1391</v>
    <v>0.1389</v>
    <v>CNYUSD</v>
    <v>CNY/USD</v>
  </rv>
  <rv s="1">
    <v>0</v>
  </rv>
  <rv s="0">
    <v>en-US</v>
    <v>ave8h7</v>
    <v>268435456</v>
    <v>1</v>
    <v>Powered by Refinitiv</v>
    <v>0</v>
    <v>JPY/USD</v>
    <v>2</v>
    <v>3</v>
    <v>Finance</v>
    <v>4</v>
    <v>7.7120000000000001E-3</v>
    <v>6.5799999999999999E-3</v>
    <v>-6.0000000000000002E-6</v>
    <v>-8.9999999999999998E-4</v>
    <v>USD</v>
    <v>JPY</v>
    <v>6.6680000000000003E-3</v>
    <v>Currency Pair</v>
    <v>45352.822569444441</v>
    <v>6.6350000000000003E-3</v>
    <v>Japanese Yen/US Dollar FX Cross Rate</v>
    <v>6.6670000000000002E-3</v>
    <v>6.6670000000000002E-3</v>
    <v>6.6610000000000003E-3</v>
    <v>JPYUSD</v>
    <v>JPY/USD</v>
  </rv>
  <rv s="1">
    <v>2</v>
  </rv>
  <rv s="0">
    <v>en-US</v>
    <v>avffww</v>
    <v>268435456</v>
    <v>1</v>
    <v>Powered by Refinitiv</v>
    <v>0</v>
    <v>KRW/USD</v>
    <v>2</v>
    <v>3</v>
    <v>Finance</v>
    <v>4</v>
    <v>7.9540000000000003E-4</v>
    <v>7.3289999999999998E-4</v>
    <v>2.3599999999999999E-6</v>
    <v>3.1549999999999998E-3</v>
    <v>USD</v>
    <v>KRW</v>
    <v>7.5049999999999997E-4</v>
    <v>Currency Pair</v>
    <v>45352.822476851848</v>
    <v>7.4819999999999997E-4</v>
    <v>Korean Won/US Dollar FX Cross Rate</v>
    <v>7.4799999999999997E-4</v>
    <v>7.4799999999999997E-4</v>
    <v>7.5040000000000003E-4</v>
    <v>KRWUSD</v>
    <v>KRW/USD</v>
  </rv>
  <rv s="1">
    <v>4</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14" formatCode="0.00%"/>
    </x:dxf>
    <x:dxf>
      <x:numFmt numFmtId="27" formatCode="m/d/yyyy\ h:mm"/>
    </x:dxf>
    <x:dxf>
      <x:numFmt numFmtId="2" formatCode="0.00"/>
    </x:dxf>
    <x:dxf>
      <x:numFmt numFmtId="0" formatCode="General"/>
    </x:dxf>
  </dxfs>
  <richProperties>
    <rPr n="NumberFormat" t="s"/>
    <rPr n="IsTitleField" t="b"/>
  </richProperties>
  <richStyles>
    <rSty dxfid="3">
      <rpv i="0">_([$$-en-US]* #,##0.00_);_([$$-en-US]* (#,##0.00);_([$$-en-US]* "-"??_);_(@_)</rpv>
    </rSty>
    <rSty>
      <rpv i="1">1</rpv>
    </rSty>
    <rSty dxfid="0"/>
    <rSty dxfid="1"/>
    <rSty dxfid="2">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CBC0E3-DBE3-410C-AE35-D79B57EB35CC}" name="Donation" displayName="Donation" ref="A6:AI21" totalsRowShown="0" headerRowDxfId="4" dataDxfId="54" totalsRowDxfId="129" tableBorderDxfId="130">
  <autoFilter ref="A6:AI21" xr:uid="{52CBC0E3-DBE3-410C-AE35-D79B57EB35CC}"/>
  <sortState xmlns:xlrd2="http://schemas.microsoft.com/office/spreadsheetml/2017/richdata2" ref="A7:AI338">
    <sortCondition ref="A6:A338"/>
  </sortState>
  <tableColumns count="35">
    <tableColumn id="1" xr3:uid="{D81E40CE-D985-4517-BB0C-6065A464FD57}" name="Key" dataDxfId="53" totalsRowDxfId="128"/>
    <tableColumn id="3" xr3:uid="{207A4FB8-E769-4452-BA8D-8980550BD4CA}" name="b" dataDxfId="52" totalsRowDxfId="127"/>
    <tableColumn id="4" xr3:uid="{398898F3-A048-426B-AE2A-CDF1B456BFB8}" name="c" dataDxfId="51" totalsRowDxfId="126"/>
    <tableColumn id="5" xr3:uid="{2E4933B4-1F76-4EEA-BFBB-A3987053C1B2}" name="d" dataDxfId="50" totalsRowDxfId="125"/>
    <tableColumn id="6" xr3:uid="{4C3EEF23-3CD5-409E-98EC-952B149AE3EF}" name="e" dataDxfId="49" totalsRowDxfId="124"/>
    <tableColumn id="2" xr3:uid="{F9D229F3-CFA6-489F-A45F-0AE2D33A3D7C}" name="f" dataDxfId="48"/>
    <tableColumn id="7" xr3:uid="{15AF4CA7-AA8A-41B8-8426-498DC9166F51}" name="Note" dataDxfId="47" totalsRowDxfId="123"/>
    <tableColumn id="8" xr3:uid="{C8117656-131C-491A-B09F-D3ACFDCC5CD7}" name="URL for Price Check" dataDxfId="46" totalsRowDxfId="122" dataCellStyle="Hyperlink"/>
    <tableColumn id="9" xr3:uid="{9934EBF9-63E9-49B9-9BCF-CE727E48B33F}" name="Collection" dataDxfId="45" totalsRowDxfId="121"/>
    <tableColumn id="29" xr3:uid="{725EBDF7-AB0E-435C-9514-7D4B0CA9A4C3}" name="Volume / Issue" dataDxfId="44" totalsRowDxfId="120"/>
    <tableColumn id="32" xr3:uid="{9BEF1969-6BCF-482E-A264-CD595C291315}" name="Total_x000a_Vols" dataDxfId="43" totalsRowDxfId="119"/>
    <tableColumn id="11" xr3:uid="{82C39321-9B8F-4983-84A2-75C629EBDC71}" name="Dupe ISBN Check" dataDxfId="42" totalsRowDxfId="118" dataCellStyle="Hyperlink"/>
    <tableColumn id="12" xr3:uid="{0C7ADA8E-FCA2-489D-BC5C-CE31E6124C4E}" name="Dupe_x000a_Title_x000a_Check" dataDxfId="41" totalsRowDxfId="117" dataCellStyle="Hyperlink"/>
    <tableColumn id="13" xr3:uid="{A896DC71-0A7D-4568-9EB7-5F5256815B19}" name="Dupe Check in FS" dataDxfId="40" totalsRowDxfId="116"/>
    <tableColumn id="14" xr3:uid="{1366D349-A031-4F45-A417-3AD905F1494E}" name="ISBN13#/_x000a_ISSN#" dataDxfId="39" totalsRowDxfId="115"/>
    <tableColumn id="15" xr3:uid="{D16A51C9-5934-4CF4-9D39-C61F6BE68445}" name="ISBN10#/_x000a_ISSN#" dataDxfId="38" totalsRowDxfId="114"/>
    <tableColumn id="16" xr3:uid="{90F130C0-7993-4534-A8CB-0EB3DE3B9BAE}" name="OCLC#" dataDxfId="37" totalsRowDxfId="113"/>
    <tableColumn id="26" xr3:uid="{877032F6-F961-42D3-A781-3F6A8E705222}" name="Langauge" dataDxfId="36" totalsRowDxfId="112"/>
    <tableColumn id="10" xr3:uid="{C1880AEC-B3D2-44CA-B4AD-6E99AB08135A}" name="Translated Title (Unofficial)" dataDxfId="35" totalsRowDxfId="111"/>
    <tableColumn id="17" xr3:uid="{2E7B0064-BBB3-48F0-8E10-31F0F854831C}" name="Title (R/E)" dataDxfId="34" totalsRowDxfId="110"/>
    <tableColumn id="18" xr3:uid="{22F24C81-9CBB-47F5-9C0A-FCB5C26470FF}" name="Title (N)" dataDxfId="33" totalsRowDxfId="109"/>
    <tableColumn id="19" xr3:uid="{68D91129-9076-42DE-98EA-0899BFA79FE4}" name="Creator (R/E)" dataDxfId="32" totalsRowDxfId="108"/>
    <tableColumn id="20" xr3:uid="{8DA1683F-F3BE-4BC0-BC16-A425EA4F9D4C}" name="Creator (N)" dataDxfId="31" totalsRowDxfId="107"/>
    <tableColumn id="21" xr3:uid="{15B92BA3-A3D3-41B9-8977-B8DDF4CC0865}" name="Series (R/E)" dataDxfId="30" totalsRowDxfId="106"/>
    <tableColumn id="31" xr3:uid="{DCD6400C-178C-43D6-B3B0-4473A95AAD9A}" name="Series (N)" dataDxfId="29" totalsRowDxfId="105"/>
    <tableColumn id="22" xr3:uid="{12EAC821-F7E7-4155-99EE-CDD7A7109A09}" name="Publisher (R/E)" dataDxfId="28" totalsRowDxfId="104"/>
    <tableColumn id="23" xr3:uid="{DBD4EA94-FAC5-4364-865C-F41975F554AC}" name="Publisher (N)" dataDxfId="27" totalsRowDxfId="103"/>
    <tableColumn id="24" xr3:uid="{D85F4E25-7BB4-4E43-9C6C-CA85EA1892FB}" name="Pub Date (RE)" dataDxfId="26" totalsRowDxfId="102"/>
    <tableColumn id="33" xr3:uid="{44418A63-7973-45C2-859A-BBB35B753A49}" name="Pub Date (N)" dataDxfId="25" totalsRowDxfId="101"/>
    <tableColumn id="35" xr3:uid="{E721FFEB-981F-4FCA-A732-CB60A547E3BC}" name="Edition (RE)" dataDxfId="24" totalsRowDxfId="100"/>
    <tableColumn id="34" xr3:uid="{5706995F-8296-4524-A39A-78847C8775B4}" name="Edition (N)" dataDxfId="23" totalsRowDxfId="99"/>
    <tableColumn id="30" xr3:uid="{3C9E2392-8EB4-441F-92A7-19E605F64542}" name="Subject Headings" dataDxfId="22" totalsRowDxfId="98"/>
    <tableColumn id="25" xr3:uid="{2C8043B3-3DEF-4DC4-915C-88BBA411C889}" name="USD Estimate" dataDxfId="0" totalsRowDxfId="97">
      <calculatedColumnFormula array="1">_xlfn.IFS(AH7="cny",AI7*$AL$2,AH7="jpy",AI7*$AN$2,AH7="krw",AI7*$AP$2,AH7="usd",AI7,AH7="","0")</calculatedColumnFormula>
    </tableColumn>
    <tableColumn id="27" xr3:uid="{DE2559B4-6485-4927-9E60-ED86038A6C1C}" name="Currency" dataDxfId="21" totalsRowDxfId="96"/>
    <tableColumn id="28" xr3:uid="{BC838B1E-7DE1-4931-9ACA-C1B143781380}" name="Local Value Estimate" dataDxfId="20" totalsRowDxfId="95"/>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pivotTable" Target="../pivotTables/pivotTable1.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printerSettings" Target="../printerSettings/printerSettings7.bin"/><Relationship Id="rId7" Type="http://schemas.openxmlformats.org/officeDocument/2006/relationships/ctrlProp" Target="../ctrlProps/ctrlProp6.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vmlDrawing" Target="../drawings/vmlDrawing3.vml"/><Relationship Id="rId10" Type="http://schemas.openxmlformats.org/officeDocument/2006/relationships/ctrlProp" Target="../ctrlProps/ctrlProp9.xml"/><Relationship Id="rId4" Type="http://schemas.openxmlformats.org/officeDocument/2006/relationships/drawing" Target="../drawings/drawing3.xml"/><Relationship Id="rId9"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 Id="rId9"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printerSettings" Target="../printerSettings/printerSettings8.bin"/><Relationship Id="rId7" Type="http://schemas.openxmlformats.org/officeDocument/2006/relationships/ctrlProp" Target="../ctrlProps/ctrlProp16.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ctrlProp" Target="../ctrlProps/ctrlProp15.xml"/><Relationship Id="rId5" Type="http://schemas.openxmlformats.org/officeDocument/2006/relationships/vmlDrawing" Target="../drawings/vmlDrawing5.vml"/><Relationship Id="rId10" Type="http://schemas.openxmlformats.org/officeDocument/2006/relationships/ctrlProp" Target="../ctrlProps/ctrlProp19.xml"/><Relationship Id="rId4" Type="http://schemas.openxmlformats.org/officeDocument/2006/relationships/drawing" Target="../drawings/drawing5.xml"/><Relationship Id="rId9" Type="http://schemas.openxmlformats.org/officeDocument/2006/relationships/ctrlProp" Target="../ctrlProps/ctrlProp1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hyperlink" Target="https://experts.colorado.edu/display/fisid_152869" TargetMode="External"/><Relationship Id="rId2" Type="http://schemas.openxmlformats.org/officeDocument/2006/relationships/hyperlink" Target="mailto:adam.lisbon@colorado.edu" TargetMode="External"/><Relationship Id="rId1" Type="http://schemas.openxmlformats.org/officeDocument/2006/relationships/hyperlink" Target="https://creativecommons.org/licenses/by-nc/4.0/" TargetMode="External"/><Relationship Id="rId6" Type="http://schemas.openxmlformats.org/officeDocument/2006/relationships/drawing" Target="../drawings/drawing6.xml"/><Relationship Id="rId5" Type="http://schemas.openxmlformats.org/officeDocument/2006/relationships/hyperlink" Target="https://github.com/ahlisbon/CJKmaterialProcessing" TargetMode="External"/><Relationship Id="rId4" Type="http://schemas.openxmlformats.org/officeDocument/2006/relationships/hyperlink" Target="https://www.linkedin.com/in/adam-lisbon-90a7b310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pageSetUpPr autoPageBreaks="0"/>
  </sheetPr>
  <dimension ref="A1:AP2017"/>
  <sheetViews>
    <sheetView tabSelected="1" zoomScaleNormal="100" workbookViewId="0">
      <pane ySplit="6" topLeftCell="A7" activePane="bottomLeft" state="frozen"/>
      <selection pane="bottomLeft" activeCell="A6" sqref="A6"/>
    </sheetView>
  </sheetViews>
  <sheetFormatPr defaultColWidth="9.140625" defaultRowHeight="17.100000000000001" customHeight="1" x14ac:dyDescent="0.25"/>
  <cols>
    <col min="1" max="1" width="7.7109375" style="219" customWidth="1"/>
    <col min="2" max="2" width="2.7109375" style="126" customWidth="1"/>
    <col min="3" max="6" width="2.7109375" style="220" customWidth="1"/>
    <col min="7" max="7" width="20.7109375" style="221" customWidth="1"/>
    <col min="8" max="8" width="7.7109375" style="235" customWidth="1"/>
    <col min="9" max="9" width="8.7109375" style="222" customWidth="1"/>
    <col min="10" max="10" width="7.7109375" style="42" customWidth="1"/>
    <col min="11" max="11" width="7.7109375" style="222" customWidth="1"/>
    <col min="12" max="12" width="7.7109375" style="247" customWidth="1"/>
    <col min="13" max="13" width="7.7109375" style="135" customWidth="1"/>
    <col min="14" max="14" width="7.7109375" style="222" customWidth="1"/>
    <col min="15" max="15" width="16.7109375" style="39" customWidth="1"/>
    <col min="16" max="16" width="14.7109375" style="222" customWidth="1"/>
    <col min="17" max="17" width="14.7109375" style="224" customWidth="1"/>
    <col min="18" max="18" width="10.7109375" style="34" customWidth="1"/>
    <col min="19" max="19" width="15.7109375" style="226" customWidth="1"/>
    <col min="20" max="20" width="15.7109375" style="145" customWidth="1"/>
    <col min="21" max="27" width="15.7109375" style="226" customWidth="1"/>
    <col min="28" max="29" width="9.7109375" style="222" customWidth="1"/>
    <col min="30" max="31" width="12.7109375" style="226" customWidth="1"/>
    <col min="32" max="32" width="15.7109375" style="226" customWidth="1"/>
    <col min="33" max="33" width="10.7109375" style="70" customWidth="1"/>
    <col min="34" max="34" width="3.7109375" style="233" customWidth="1"/>
    <col min="35" max="35" width="10.7109375" style="236" customWidth="1"/>
    <col min="36" max="36" width="3.7109375" style="251" customWidth="1"/>
    <col min="37" max="37" width="12.7109375" style="234" customWidth="1"/>
    <col min="38" max="38" width="12.7109375" style="232" customWidth="1"/>
    <col min="39" max="42" width="12.7109375" style="184" customWidth="1"/>
    <col min="43" max="16384" width="9.140625" style="184"/>
  </cols>
  <sheetData>
    <row r="1" spans="1:42" s="5" customFormat="1" ht="20.100000000000001" customHeight="1" x14ac:dyDescent="0.25">
      <c r="A1" s="79" t="s">
        <v>523</v>
      </c>
      <c r="B1" s="80"/>
      <c r="C1" s="80"/>
      <c r="D1" s="80"/>
      <c r="E1" s="80"/>
      <c r="F1" s="80"/>
      <c r="G1" s="80"/>
      <c r="H1" s="101"/>
      <c r="I1" s="114" t="s">
        <v>0</v>
      </c>
      <c r="J1" s="80"/>
      <c r="K1" s="80"/>
      <c r="L1" s="102"/>
      <c r="M1" s="102"/>
      <c r="N1" s="80"/>
      <c r="O1" s="115"/>
      <c r="P1" s="80"/>
      <c r="Q1" s="115"/>
      <c r="R1" s="80"/>
      <c r="S1" s="80"/>
      <c r="T1" s="80"/>
      <c r="U1" s="80"/>
      <c r="V1" s="80"/>
      <c r="W1" s="80"/>
      <c r="X1" s="80"/>
      <c r="Y1" s="80"/>
      <c r="Z1" s="80"/>
      <c r="AA1" s="80"/>
      <c r="AB1" s="80"/>
      <c r="AC1" s="80"/>
      <c r="AD1" s="80"/>
      <c r="AE1" s="80"/>
      <c r="AF1" s="81"/>
      <c r="AG1" s="151" t="s">
        <v>1</v>
      </c>
      <c r="AH1" s="152"/>
      <c r="AI1" s="153"/>
      <c r="AJ1" s="69"/>
      <c r="AK1" s="149" t="s">
        <v>2</v>
      </c>
      <c r="AL1" s="150"/>
      <c r="AM1" s="149" t="s">
        <v>3</v>
      </c>
      <c r="AN1" s="150"/>
      <c r="AO1" s="149" t="s">
        <v>4</v>
      </c>
      <c r="AP1" s="150"/>
    </row>
    <row r="2" spans="1:42" s="5" customFormat="1" ht="20.100000000000001" customHeight="1" x14ac:dyDescent="0.25">
      <c r="A2" s="82"/>
      <c r="B2" s="84"/>
      <c r="C2" s="84"/>
      <c r="D2" s="84"/>
      <c r="E2" s="84"/>
      <c r="F2" s="84"/>
      <c r="G2" s="84"/>
      <c r="H2" s="103"/>
      <c r="I2" s="116" t="s">
        <v>0</v>
      </c>
      <c r="J2" s="83"/>
      <c r="K2" s="83"/>
      <c r="L2" s="104"/>
      <c r="M2" s="104"/>
      <c r="N2" s="83"/>
      <c r="O2" s="117"/>
      <c r="P2" s="83"/>
      <c r="Q2" s="117"/>
      <c r="R2" s="84"/>
      <c r="S2" s="84"/>
      <c r="T2" s="83"/>
      <c r="U2" s="83"/>
      <c r="V2" s="83"/>
      <c r="W2" s="83"/>
      <c r="X2" s="83"/>
      <c r="Y2" s="83"/>
      <c r="Z2" s="83"/>
      <c r="AA2" s="83"/>
      <c r="AB2" s="83"/>
      <c r="AC2" s="83"/>
      <c r="AD2" s="83"/>
      <c r="AE2" s="83"/>
      <c r="AF2" s="85"/>
      <c r="AG2" s="147">
        <f>SUM(AG7:AG21)</f>
        <v>0</v>
      </c>
      <c r="AH2" s="118"/>
      <c r="AI2" s="72"/>
      <c r="AJ2" s="69"/>
      <c r="AK2" s="76" t="e" vm="1">
        <v>#VALUE!</v>
      </c>
      <c r="AL2" s="77" cm="1">
        <f t="array" ref="AL2">_FV(AK2,"Price",TRUE)</f>
        <v>0.1389</v>
      </c>
      <c r="AM2" s="76" t="e" vm="2">
        <v>#VALUE!</v>
      </c>
      <c r="AN2" s="77" cm="1">
        <f t="array" ref="AN2">_FV(AM2,"Price",TRUE)</f>
        <v>6.6610000000000003E-3</v>
      </c>
      <c r="AO2" s="76" t="e" vm="3">
        <v>#VALUE!</v>
      </c>
      <c r="AP2" s="77" cm="1">
        <f t="array" ref="AP2">_FV(AO2,"Price",TRUE)</f>
        <v>7.5040000000000003E-4</v>
      </c>
    </row>
    <row r="3" spans="1:42" s="40" customFormat="1" ht="20.100000000000001" customHeight="1" x14ac:dyDescent="0.25">
      <c r="A3" s="60"/>
      <c r="B3" s="64" t="s">
        <v>5</v>
      </c>
      <c r="C3" s="64"/>
      <c r="D3" s="64"/>
      <c r="E3" s="64"/>
      <c r="F3" s="64"/>
      <c r="G3" s="64"/>
      <c r="H3" s="105"/>
      <c r="I3" s="119" t="s">
        <v>0</v>
      </c>
      <c r="J3" s="63" t="s">
        <v>6</v>
      </c>
      <c r="K3" s="66"/>
      <c r="L3" s="63" t="s">
        <v>7</v>
      </c>
      <c r="M3" s="106"/>
      <c r="N3" s="120"/>
      <c r="O3" s="61" t="s">
        <v>8</v>
      </c>
      <c r="P3" s="62"/>
      <c r="Q3" s="62"/>
      <c r="R3" s="63" t="s">
        <v>9</v>
      </c>
      <c r="S3" s="64"/>
      <c r="T3" s="64"/>
      <c r="U3" s="64"/>
      <c r="V3" s="64"/>
      <c r="W3" s="64"/>
      <c r="X3" s="64"/>
      <c r="Y3" s="64"/>
      <c r="Z3" s="64"/>
      <c r="AA3" s="64"/>
      <c r="AB3" s="64"/>
      <c r="AC3" s="64"/>
      <c r="AD3" s="64"/>
      <c r="AE3" s="64"/>
      <c r="AF3" s="66"/>
      <c r="AG3" s="63" t="s">
        <v>10</v>
      </c>
      <c r="AH3" s="64"/>
      <c r="AI3" s="68"/>
      <c r="AJ3" s="73"/>
      <c r="AK3" s="78"/>
      <c r="AL3" s="78"/>
    </row>
    <row r="4" spans="1:42" s="38" customFormat="1" ht="14.1" customHeight="1" x14ac:dyDescent="0.25">
      <c r="A4" s="108" t="s">
        <v>209</v>
      </c>
      <c r="B4" s="108" t="s">
        <v>11</v>
      </c>
      <c r="C4" s="108" t="s">
        <v>12</v>
      </c>
      <c r="D4" s="108" t="s">
        <v>13</v>
      </c>
      <c r="E4" s="108" t="s">
        <v>14</v>
      </c>
      <c r="F4" s="108" t="s">
        <v>15</v>
      </c>
      <c r="G4" s="108" t="s">
        <v>16</v>
      </c>
      <c r="H4" s="108">
        <v>8</v>
      </c>
      <c r="I4" s="108">
        <v>9</v>
      </c>
      <c r="J4" s="109" t="s">
        <v>17</v>
      </c>
      <c r="K4" s="108" t="s">
        <v>18</v>
      </c>
      <c r="L4" s="109" t="s">
        <v>19</v>
      </c>
      <c r="M4" s="108" t="s">
        <v>20</v>
      </c>
      <c r="N4" s="108" t="s">
        <v>21</v>
      </c>
      <c r="O4" s="109" t="s">
        <v>22</v>
      </c>
      <c r="P4" s="108" t="s">
        <v>23</v>
      </c>
      <c r="Q4" s="108" t="s">
        <v>24</v>
      </c>
      <c r="R4" s="109" t="s">
        <v>25</v>
      </c>
      <c r="S4" s="108" t="s">
        <v>26</v>
      </c>
      <c r="T4" s="108" t="s">
        <v>27</v>
      </c>
      <c r="U4" s="108" t="s">
        <v>28</v>
      </c>
      <c r="V4" s="108" t="s">
        <v>29</v>
      </c>
      <c r="W4" s="108" t="s">
        <v>30</v>
      </c>
      <c r="X4" s="108" t="s">
        <v>31</v>
      </c>
      <c r="Y4" s="108" t="s">
        <v>32</v>
      </c>
      <c r="Z4" s="108" t="s">
        <v>33</v>
      </c>
      <c r="AA4" s="108" t="s">
        <v>34</v>
      </c>
      <c r="AB4" s="108" t="s">
        <v>35</v>
      </c>
      <c r="AC4" s="108" t="s">
        <v>36</v>
      </c>
      <c r="AD4" s="108" t="s">
        <v>37</v>
      </c>
      <c r="AE4" s="108" t="s">
        <v>38</v>
      </c>
      <c r="AF4" s="121" t="s">
        <v>39</v>
      </c>
      <c r="AG4" s="108">
        <v>33</v>
      </c>
      <c r="AH4" s="108" t="s">
        <v>40</v>
      </c>
      <c r="AI4" s="122">
        <v>35</v>
      </c>
      <c r="AJ4" s="74"/>
    </row>
    <row r="5" spans="1:42" s="38" customFormat="1" ht="14.1" customHeight="1" x14ac:dyDescent="0.25">
      <c r="A5" s="108" t="s">
        <v>41</v>
      </c>
      <c r="B5" s="108" t="s">
        <v>41</v>
      </c>
      <c r="C5" s="108" t="s">
        <v>41</v>
      </c>
      <c r="D5" s="108" t="s">
        <v>41</v>
      </c>
      <c r="E5" s="108" t="s">
        <v>41</v>
      </c>
      <c r="F5" s="108" t="s">
        <v>41</v>
      </c>
      <c r="G5" s="108" t="s">
        <v>42</v>
      </c>
      <c r="H5" s="108" t="s">
        <v>43</v>
      </c>
      <c r="I5" s="108" t="s">
        <v>42</v>
      </c>
      <c r="J5" s="109" t="s">
        <v>43</v>
      </c>
      <c r="K5" s="108" t="s">
        <v>43</v>
      </c>
      <c r="L5" s="109" t="s">
        <v>43</v>
      </c>
      <c r="M5" s="108" t="s">
        <v>43</v>
      </c>
      <c r="N5" s="108" t="s">
        <v>43</v>
      </c>
      <c r="O5" s="109" t="s">
        <v>43</v>
      </c>
      <c r="P5" s="108" t="s">
        <v>43</v>
      </c>
      <c r="Q5" s="108" t="s">
        <v>43</v>
      </c>
      <c r="R5" s="109" t="s">
        <v>43</v>
      </c>
      <c r="S5" s="108" t="s">
        <v>43</v>
      </c>
      <c r="T5" s="108" t="s">
        <v>44</v>
      </c>
      <c r="U5" s="108" t="s">
        <v>43</v>
      </c>
      <c r="V5" s="108" t="s">
        <v>43</v>
      </c>
      <c r="W5" s="108" t="s">
        <v>43</v>
      </c>
      <c r="X5" s="108" t="s">
        <v>43</v>
      </c>
      <c r="Y5" s="108" t="s">
        <v>43</v>
      </c>
      <c r="Z5" s="108" t="s">
        <v>43</v>
      </c>
      <c r="AA5" s="108" t="s">
        <v>43</v>
      </c>
      <c r="AB5" s="108" t="s">
        <v>43</v>
      </c>
      <c r="AC5" s="108" t="s">
        <v>43</v>
      </c>
      <c r="AD5" s="108" t="s">
        <v>43</v>
      </c>
      <c r="AE5" s="108" t="s">
        <v>43</v>
      </c>
      <c r="AF5" s="121" t="s">
        <v>43</v>
      </c>
      <c r="AG5" s="108" t="s">
        <v>43</v>
      </c>
      <c r="AH5" s="108" t="s">
        <v>43</v>
      </c>
      <c r="AI5" s="122" t="s">
        <v>43</v>
      </c>
      <c r="AJ5" s="74"/>
    </row>
    <row r="6" spans="1:42" s="38" customFormat="1" ht="39.950000000000003" customHeight="1" x14ac:dyDescent="0.25">
      <c r="A6" s="59" t="s">
        <v>45</v>
      </c>
      <c r="B6" s="130" t="s">
        <v>46</v>
      </c>
      <c r="C6" s="130" t="s">
        <v>47</v>
      </c>
      <c r="D6" s="130" t="s">
        <v>48</v>
      </c>
      <c r="E6" s="130" t="s">
        <v>49</v>
      </c>
      <c r="F6" s="130" t="s">
        <v>50</v>
      </c>
      <c r="G6" s="56" t="s">
        <v>51</v>
      </c>
      <c r="H6" s="3" t="s">
        <v>52</v>
      </c>
      <c r="I6" s="56" t="s">
        <v>53</v>
      </c>
      <c r="J6" s="107" t="s">
        <v>54</v>
      </c>
      <c r="K6" s="59" t="s">
        <v>55</v>
      </c>
      <c r="L6" s="107" t="s">
        <v>56</v>
      </c>
      <c r="M6" s="58" t="s">
        <v>57</v>
      </c>
      <c r="N6" s="35" t="s">
        <v>58</v>
      </c>
      <c r="O6" s="57" t="s">
        <v>59</v>
      </c>
      <c r="P6" s="3" t="s">
        <v>60</v>
      </c>
      <c r="Q6" s="58" t="s">
        <v>61</v>
      </c>
      <c r="R6" s="107" t="s">
        <v>62</v>
      </c>
      <c r="S6" s="56" t="s">
        <v>63</v>
      </c>
      <c r="T6" s="131" t="s">
        <v>64</v>
      </c>
      <c r="U6" s="56" t="s">
        <v>65</v>
      </c>
      <c r="V6" s="3" t="s">
        <v>66</v>
      </c>
      <c r="W6" s="58" t="s">
        <v>67</v>
      </c>
      <c r="X6" s="3" t="s">
        <v>68</v>
      </c>
      <c r="Y6" s="58" t="s">
        <v>69</v>
      </c>
      <c r="Z6" s="3" t="s">
        <v>70</v>
      </c>
      <c r="AA6" s="58" t="s">
        <v>71</v>
      </c>
      <c r="AB6" s="35" t="s">
        <v>72</v>
      </c>
      <c r="AC6" s="56" t="s">
        <v>73</v>
      </c>
      <c r="AD6" s="35" t="s">
        <v>74</v>
      </c>
      <c r="AE6" s="56" t="s">
        <v>75</v>
      </c>
      <c r="AF6" s="123" t="s">
        <v>76</v>
      </c>
      <c r="AG6" s="56" t="s">
        <v>77</v>
      </c>
      <c r="AH6" s="124" t="s">
        <v>78</v>
      </c>
      <c r="AI6" s="125" t="s">
        <v>79</v>
      </c>
      <c r="AJ6" s="74"/>
    </row>
    <row r="7" spans="1:42" s="1" customFormat="1" ht="17.100000000000001" customHeight="1" x14ac:dyDescent="0.25">
      <c r="A7" s="128"/>
      <c r="B7" s="126"/>
      <c r="C7" s="78"/>
      <c r="D7" s="78"/>
      <c r="E7" s="78"/>
      <c r="F7" s="78"/>
      <c r="G7" s="133"/>
      <c r="H7" s="112"/>
      <c r="I7" s="38"/>
      <c r="J7" s="42"/>
      <c r="K7" s="222"/>
      <c r="L7" s="247"/>
      <c r="M7" s="113"/>
      <c r="N7" s="65"/>
      <c r="O7" s="39"/>
      <c r="P7" s="65"/>
      <c r="Q7" s="127"/>
      <c r="R7" s="34"/>
      <c r="S7" s="40"/>
      <c r="T7" s="132"/>
      <c r="U7" s="36"/>
      <c r="V7" s="36"/>
      <c r="W7" s="36"/>
      <c r="X7" s="36"/>
      <c r="Y7" s="36"/>
      <c r="Z7" s="36"/>
      <c r="AA7" s="36"/>
      <c r="AB7" s="65"/>
      <c r="AC7" s="38"/>
      <c r="AD7" s="40"/>
      <c r="AE7" s="40"/>
      <c r="AF7" s="227"/>
      <c r="AG7" s="71" t="str" cm="1">
        <f t="array" ref="AG7">_xlfn.IFS(AH7="cny",AI7*$AL$2,AH7="jpy",AI7*$AN$2,AH7="krw",AI7*$AP$2,AH7="usd",AI7,AH7="","0")</f>
        <v>0</v>
      </c>
      <c r="AH7" s="75"/>
      <c r="AI7" s="186"/>
      <c r="AJ7" s="250"/>
      <c r="AK7" s="41"/>
      <c r="AL7" s="41"/>
    </row>
    <row r="8" spans="1:42" s="1" customFormat="1" ht="17.100000000000001" customHeight="1" x14ac:dyDescent="0.25">
      <c r="A8" s="128"/>
      <c r="B8" s="126"/>
      <c r="C8" s="78"/>
      <c r="D8" s="78"/>
      <c r="E8" s="78"/>
      <c r="F8" s="78"/>
      <c r="G8" s="133"/>
      <c r="H8" s="112"/>
      <c r="I8" s="38"/>
      <c r="J8" s="42"/>
      <c r="K8" s="222"/>
      <c r="L8" s="247"/>
      <c r="M8" s="113"/>
      <c r="N8" s="65"/>
      <c r="O8" s="39"/>
      <c r="P8" s="65"/>
      <c r="Q8" s="127"/>
      <c r="R8" s="34"/>
      <c r="S8" s="40"/>
      <c r="T8" s="132"/>
      <c r="U8" s="36"/>
      <c r="V8" s="36"/>
      <c r="W8" s="36"/>
      <c r="X8" s="36"/>
      <c r="Y8" s="36"/>
      <c r="Z8" s="36"/>
      <c r="AA8" s="36"/>
      <c r="AB8" s="65"/>
      <c r="AC8" s="38"/>
      <c r="AD8" s="40"/>
      <c r="AE8" s="40"/>
      <c r="AF8" s="227"/>
      <c r="AG8" s="71" t="str" cm="1">
        <f t="array" ref="AG8">_xlfn.IFS(AH8="cny",AI8*$AL$2,AH8="jpy",AI8*$AN$2,AH8="krw",AI8*$AP$2,AH8="usd",AI8,AH8="","0")</f>
        <v>0</v>
      </c>
      <c r="AH8" s="75"/>
      <c r="AI8" s="186"/>
      <c r="AJ8" s="250"/>
      <c r="AK8" s="41"/>
      <c r="AL8" s="41"/>
    </row>
    <row r="9" spans="1:42" s="1" customFormat="1" ht="17.100000000000001" customHeight="1" x14ac:dyDescent="0.25">
      <c r="A9" s="128"/>
      <c r="B9" s="126"/>
      <c r="C9" s="78"/>
      <c r="D9" s="78"/>
      <c r="E9" s="78"/>
      <c r="F9" s="78"/>
      <c r="G9" s="133"/>
      <c r="H9" s="112"/>
      <c r="I9" s="38"/>
      <c r="J9" s="42"/>
      <c r="K9" s="222"/>
      <c r="L9" s="247"/>
      <c r="M9" s="113"/>
      <c r="N9" s="65"/>
      <c r="O9" s="39"/>
      <c r="P9" s="65"/>
      <c r="Q9" s="127"/>
      <c r="R9" s="34"/>
      <c r="S9" s="40"/>
      <c r="T9" s="254"/>
      <c r="U9" s="36"/>
      <c r="V9" s="36"/>
      <c r="W9" s="36"/>
      <c r="X9" s="36"/>
      <c r="Y9" s="36"/>
      <c r="Z9" s="36"/>
      <c r="AA9" s="36"/>
      <c r="AB9" s="65"/>
      <c r="AC9" s="38"/>
      <c r="AD9" s="40"/>
      <c r="AE9" s="40"/>
      <c r="AF9" s="227"/>
      <c r="AG9" s="71" t="str" cm="1">
        <f t="array" ref="AG9">_xlfn.IFS(AH9="cny",AI9*$AL$2,AH9="jpy",AI9*$AN$2,AH9="krw",AI9*$AP$2,AH9="usd",AI9,AH9="","0")</f>
        <v>0</v>
      </c>
      <c r="AH9" s="75"/>
      <c r="AI9" s="186"/>
      <c r="AJ9" s="250"/>
      <c r="AK9" s="41"/>
      <c r="AL9" s="41"/>
    </row>
    <row r="10" spans="1:42" s="1" customFormat="1" ht="17.100000000000001" customHeight="1" x14ac:dyDescent="0.25">
      <c r="A10" s="128"/>
      <c r="B10" s="126"/>
      <c r="C10" s="78"/>
      <c r="D10" s="78"/>
      <c r="E10" s="78"/>
      <c r="F10" s="78"/>
      <c r="G10" s="133"/>
      <c r="H10" s="112"/>
      <c r="I10" s="38"/>
      <c r="J10" s="42"/>
      <c r="K10" s="222"/>
      <c r="L10" s="247"/>
      <c r="M10" s="113"/>
      <c r="N10" s="65"/>
      <c r="O10" s="39"/>
      <c r="P10" s="65"/>
      <c r="Q10" s="127"/>
      <c r="R10" s="34"/>
      <c r="S10" s="40"/>
      <c r="T10" s="254"/>
      <c r="U10" s="36"/>
      <c r="V10" s="36"/>
      <c r="W10" s="36"/>
      <c r="X10" s="36"/>
      <c r="Y10" s="36"/>
      <c r="Z10" s="36"/>
      <c r="AA10" s="36"/>
      <c r="AB10" s="65"/>
      <c r="AC10" s="38"/>
      <c r="AD10" s="40"/>
      <c r="AE10" s="40"/>
      <c r="AF10" s="227"/>
      <c r="AG10" s="71" t="str" cm="1">
        <f t="array" ref="AG10">_xlfn.IFS(AH10="cny",AI10*$AL$2,AH10="jpy",AI10*$AN$2,AH10="krw",AI10*$AP$2,AH10="usd",AI10,AH10="","0")</f>
        <v>0</v>
      </c>
      <c r="AH10" s="75"/>
      <c r="AI10" s="186"/>
      <c r="AJ10" s="250"/>
      <c r="AK10" s="41"/>
      <c r="AL10" s="41"/>
    </row>
    <row r="11" spans="1:42" s="1" customFormat="1" ht="17.100000000000001" customHeight="1" x14ac:dyDescent="0.25">
      <c r="A11" s="128"/>
      <c r="B11" s="126"/>
      <c r="C11" s="78"/>
      <c r="D11" s="78"/>
      <c r="E11" s="78"/>
      <c r="F11" s="78"/>
      <c r="G11" s="133"/>
      <c r="H11" s="112"/>
      <c r="I11" s="38"/>
      <c r="J11" s="42"/>
      <c r="K11" s="222"/>
      <c r="L11" s="247"/>
      <c r="M11" s="113"/>
      <c r="N11" s="65"/>
      <c r="O11" s="39"/>
      <c r="P11" s="65"/>
      <c r="Q11" s="127"/>
      <c r="R11" s="34"/>
      <c r="S11" s="40"/>
      <c r="T11" s="254"/>
      <c r="U11" s="36"/>
      <c r="V11" s="36"/>
      <c r="W11" s="36"/>
      <c r="X11" s="36"/>
      <c r="Y11" s="36"/>
      <c r="Z11" s="36"/>
      <c r="AA11" s="36"/>
      <c r="AB11" s="65"/>
      <c r="AC11" s="38"/>
      <c r="AD11" s="40"/>
      <c r="AE11" s="40"/>
      <c r="AF11" s="227"/>
      <c r="AG11" s="71" t="str" cm="1">
        <f t="array" ref="AG11">_xlfn.IFS(AH11="cny",AI11*$AL$2,AH11="jpy",AI11*$AN$2,AH11="krw",AI11*$AP$2,AH11="usd",AI11,AH11="","0")</f>
        <v>0</v>
      </c>
      <c r="AH11" s="75"/>
      <c r="AI11" s="186"/>
      <c r="AJ11" s="250"/>
      <c r="AK11" s="41"/>
      <c r="AL11" s="41"/>
    </row>
    <row r="12" spans="1:42" s="1" customFormat="1" ht="17.100000000000001" customHeight="1" x14ac:dyDescent="0.25">
      <c r="A12" s="128"/>
      <c r="B12" s="126"/>
      <c r="C12" s="78"/>
      <c r="D12" s="78"/>
      <c r="E12" s="78"/>
      <c r="F12" s="78"/>
      <c r="G12" s="133"/>
      <c r="H12" s="112"/>
      <c r="I12" s="38"/>
      <c r="J12" s="42"/>
      <c r="K12" s="222"/>
      <c r="L12" s="247"/>
      <c r="M12" s="113"/>
      <c r="N12" s="65"/>
      <c r="O12" s="39"/>
      <c r="P12" s="65"/>
      <c r="Q12" s="127"/>
      <c r="R12" s="34"/>
      <c r="S12" s="40"/>
      <c r="T12" s="254"/>
      <c r="U12" s="36"/>
      <c r="V12" s="36"/>
      <c r="W12" s="36"/>
      <c r="X12" s="36"/>
      <c r="Y12" s="36"/>
      <c r="Z12" s="36"/>
      <c r="AA12" s="36"/>
      <c r="AB12" s="65"/>
      <c r="AC12" s="38"/>
      <c r="AD12" s="40"/>
      <c r="AE12" s="40"/>
      <c r="AF12" s="227"/>
      <c r="AG12" s="71" t="str" cm="1">
        <f t="array" ref="AG12">_xlfn.IFS(AH12="cny",AI12*$AL$2,AH12="jpy",AI12*$AN$2,AH12="krw",AI12*$AP$2,AH12="usd",AI12,AH12="","0")</f>
        <v>0</v>
      </c>
      <c r="AH12" s="75"/>
      <c r="AI12" s="186"/>
      <c r="AJ12" s="250"/>
      <c r="AK12" s="41"/>
      <c r="AL12" s="41"/>
    </row>
    <row r="13" spans="1:42" s="1" customFormat="1" ht="17.100000000000001" customHeight="1" x14ac:dyDescent="0.25">
      <c r="A13" s="128"/>
      <c r="B13" s="126"/>
      <c r="C13" s="78"/>
      <c r="D13" s="78"/>
      <c r="E13" s="78"/>
      <c r="F13" s="78"/>
      <c r="G13" s="133"/>
      <c r="H13" s="112"/>
      <c r="I13" s="38"/>
      <c r="J13" s="42"/>
      <c r="K13" s="222"/>
      <c r="L13" s="247"/>
      <c r="M13" s="113"/>
      <c r="N13" s="65"/>
      <c r="O13" s="39"/>
      <c r="P13" s="65"/>
      <c r="Q13" s="127"/>
      <c r="R13" s="34"/>
      <c r="S13" s="40"/>
      <c r="T13" s="254"/>
      <c r="U13" s="36"/>
      <c r="V13" s="36"/>
      <c r="W13" s="36"/>
      <c r="X13" s="36"/>
      <c r="Y13" s="36"/>
      <c r="Z13" s="36"/>
      <c r="AA13" s="36"/>
      <c r="AB13" s="65"/>
      <c r="AC13" s="38"/>
      <c r="AD13" s="40"/>
      <c r="AE13" s="40"/>
      <c r="AF13" s="227"/>
      <c r="AG13" s="71" t="str" cm="1">
        <f t="array" ref="AG13">_xlfn.IFS(AH13="cny",AI13*$AL$2,AH13="jpy",AI13*$AN$2,AH13="krw",AI13*$AP$2,AH13="usd",AI13,AH13="","0")</f>
        <v>0</v>
      </c>
      <c r="AH13" s="75"/>
      <c r="AI13" s="186"/>
      <c r="AJ13" s="250"/>
      <c r="AK13" s="41"/>
      <c r="AL13" s="41"/>
    </row>
    <row r="14" spans="1:42" s="1" customFormat="1" ht="17.100000000000001" customHeight="1" x14ac:dyDescent="0.25">
      <c r="A14" s="128"/>
      <c r="B14" s="126"/>
      <c r="C14" s="78"/>
      <c r="D14" s="78"/>
      <c r="E14" s="78"/>
      <c r="F14" s="78"/>
      <c r="G14" s="133"/>
      <c r="H14" s="112"/>
      <c r="I14" s="38"/>
      <c r="J14" s="42"/>
      <c r="K14" s="222"/>
      <c r="L14" s="247"/>
      <c r="M14" s="113"/>
      <c r="N14" s="65"/>
      <c r="O14" s="39"/>
      <c r="P14" s="65"/>
      <c r="Q14" s="127"/>
      <c r="R14" s="34"/>
      <c r="S14" s="40"/>
      <c r="T14" s="254"/>
      <c r="U14" s="36"/>
      <c r="V14" s="36"/>
      <c r="W14" s="36"/>
      <c r="X14" s="36"/>
      <c r="Y14" s="36"/>
      <c r="Z14" s="36"/>
      <c r="AA14" s="36"/>
      <c r="AB14" s="65"/>
      <c r="AC14" s="38"/>
      <c r="AD14" s="40"/>
      <c r="AE14" s="40"/>
      <c r="AF14" s="227"/>
      <c r="AG14" s="71" t="str" cm="1">
        <f t="array" ref="AG14">_xlfn.IFS(AH14="cny",AI14*$AL$2,AH14="jpy",AI14*$AN$2,AH14="krw",AI14*$AP$2,AH14="usd",AI14,AH14="","0")</f>
        <v>0</v>
      </c>
      <c r="AH14" s="75"/>
      <c r="AI14" s="186"/>
      <c r="AJ14" s="250"/>
      <c r="AK14" s="41"/>
      <c r="AL14" s="41"/>
    </row>
    <row r="15" spans="1:42" s="1" customFormat="1" ht="17.100000000000001" customHeight="1" x14ac:dyDescent="0.25">
      <c r="A15" s="128"/>
      <c r="B15" s="126"/>
      <c r="C15" s="78"/>
      <c r="D15" s="78"/>
      <c r="E15" s="78"/>
      <c r="F15" s="78"/>
      <c r="G15" s="133"/>
      <c r="H15" s="112"/>
      <c r="I15" s="38"/>
      <c r="J15" s="42"/>
      <c r="K15" s="222"/>
      <c r="L15" s="247"/>
      <c r="M15" s="113"/>
      <c r="N15" s="65"/>
      <c r="O15" s="39"/>
      <c r="P15" s="65"/>
      <c r="Q15" s="127"/>
      <c r="R15" s="34"/>
      <c r="S15" s="40"/>
      <c r="T15" s="254"/>
      <c r="U15" s="36"/>
      <c r="V15" s="36"/>
      <c r="W15" s="36"/>
      <c r="X15" s="36"/>
      <c r="Y15" s="36"/>
      <c r="Z15" s="36"/>
      <c r="AA15" s="36"/>
      <c r="AB15" s="65"/>
      <c r="AC15" s="38"/>
      <c r="AD15" s="40"/>
      <c r="AE15" s="40"/>
      <c r="AF15" s="227"/>
      <c r="AG15" s="71" t="str" cm="1">
        <f t="array" ref="AG15">_xlfn.IFS(AH15="cny",AI15*$AL$2,AH15="jpy",AI15*$AN$2,AH15="krw",AI15*$AP$2,AH15="usd",AI15,AH15="","0")</f>
        <v>0</v>
      </c>
      <c r="AH15" s="75"/>
      <c r="AI15" s="186"/>
      <c r="AJ15" s="250"/>
      <c r="AK15" s="41"/>
      <c r="AL15" s="41"/>
    </row>
    <row r="16" spans="1:42" s="1" customFormat="1" ht="17.100000000000001" customHeight="1" x14ac:dyDescent="0.25">
      <c r="A16" s="128"/>
      <c r="B16" s="126"/>
      <c r="C16" s="78"/>
      <c r="D16" s="78"/>
      <c r="E16" s="78"/>
      <c r="F16" s="78"/>
      <c r="G16" s="133"/>
      <c r="H16" s="112"/>
      <c r="I16" s="38"/>
      <c r="J16" s="42"/>
      <c r="K16" s="222"/>
      <c r="L16" s="247"/>
      <c r="M16" s="113"/>
      <c r="N16" s="65"/>
      <c r="O16" s="39"/>
      <c r="P16" s="65"/>
      <c r="Q16" s="127"/>
      <c r="R16" s="34"/>
      <c r="S16" s="40"/>
      <c r="T16" s="254"/>
      <c r="U16" s="36"/>
      <c r="V16" s="36"/>
      <c r="W16" s="36"/>
      <c r="X16" s="36"/>
      <c r="Y16" s="36"/>
      <c r="Z16" s="36"/>
      <c r="AA16" s="36"/>
      <c r="AB16" s="65"/>
      <c r="AC16" s="38"/>
      <c r="AD16" s="40"/>
      <c r="AE16" s="40"/>
      <c r="AF16" s="227"/>
      <c r="AG16" s="71" t="str" cm="1">
        <f t="array" ref="AG16">_xlfn.IFS(AH16="cny",AI16*$AL$2,AH16="jpy",AI16*$AN$2,AH16="krw",AI16*$AP$2,AH16="usd",AI16,AH16="","0")</f>
        <v>0</v>
      </c>
      <c r="AH16" s="75"/>
      <c r="AI16" s="186"/>
      <c r="AJ16" s="250"/>
      <c r="AK16" s="41"/>
      <c r="AL16" s="41"/>
    </row>
    <row r="17" spans="1:38" s="1" customFormat="1" ht="17.100000000000001" customHeight="1" x14ac:dyDescent="0.25">
      <c r="A17" s="128"/>
      <c r="B17" s="126"/>
      <c r="C17" s="78"/>
      <c r="D17" s="78"/>
      <c r="E17" s="78"/>
      <c r="F17" s="78"/>
      <c r="G17" s="133"/>
      <c r="H17" s="112"/>
      <c r="I17" s="38"/>
      <c r="J17" s="42"/>
      <c r="K17" s="222"/>
      <c r="L17" s="247"/>
      <c r="M17" s="113"/>
      <c r="N17" s="65"/>
      <c r="O17" s="39"/>
      <c r="P17" s="65"/>
      <c r="Q17" s="127"/>
      <c r="R17" s="34"/>
      <c r="S17" s="40"/>
      <c r="T17" s="254"/>
      <c r="U17" s="36"/>
      <c r="V17" s="36"/>
      <c r="W17" s="36"/>
      <c r="X17" s="36"/>
      <c r="Y17" s="36"/>
      <c r="Z17" s="36"/>
      <c r="AA17" s="36"/>
      <c r="AB17" s="65"/>
      <c r="AC17" s="38"/>
      <c r="AD17" s="40"/>
      <c r="AE17" s="40"/>
      <c r="AF17" s="227"/>
      <c r="AG17" s="71" t="str" cm="1">
        <f t="array" ref="AG17">_xlfn.IFS(AH17="cny",AI17*$AL$2,AH17="jpy",AI17*$AN$2,AH17="krw",AI17*$AP$2,AH17="usd",AI17,AH17="","0")</f>
        <v>0</v>
      </c>
      <c r="AH17" s="75"/>
      <c r="AI17" s="186"/>
      <c r="AJ17" s="250"/>
      <c r="AK17" s="41"/>
      <c r="AL17" s="41"/>
    </row>
    <row r="18" spans="1:38" s="1" customFormat="1" ht="17.100000000000001" customHeight="1" x14ac:dyDescent="0.25">
      <c r="A18" s="128"/>
      <c r="B18" s="126"/>
      <c r="C18" s="78"/>
      <c r="D18" s="78"/>
      <c r="E18" s="78"/>
      <c r="F18" s="78"/>
      <c r="G18" s="133"/>
      <c r="H18" s="112"/>
      <c r="I18" s="38"/>
      <c r="J18" s="42"/>
      <c r="K18" s="222"/>
      <c r="L18" s="247"/>
      <c r="M18" s="113"/>
      <c r="N18" s="65"/>
      <c r="O18" s="39"/>
      <c r="P18" s="65"/>
      <c r="Q18" s="127"/>
      <c r="R18" s="34"/>
      <c r="S18" s="40"/>
      <c r="T18" s="254"/>
      <c r="U18" s="36"/>
      <c r="V18" s="36"/>
      <c r="W18" s="36"/>
      <c r="X18" s="36"/>
      <c r="Y18" s="36"/>
      <c r="Z18" s="36"/>
      <c r="AA18" s="36"/>
      <c r="AB18" s="65"/>
      <c r="AC18" s="38"/>
      <c r="AD18" s="40"/>
      <c r="AE18" s="40"/>
      <c r="AF18" s="227"/>
      <c r="AG18" s="71" t="str" cm="1">
        <f t="array" ref="AG18">_xlfn.IFS(AH18="cny",AI18*$AL$2,AH18="jpy",AI18*$AN$2,AH18="krw",AI18*$AP$2,AH18="usd",AI18,AH18="","0")</f>
        <v>0</v>
      </c>
      <c r="AH18" s="75"/>
      <c r="AI18" s="186"/>
      <c r="AJ18" s="250"/>
      <c r="AK18" s="41"/>
      <c r="AL18" s="41"/>
    </row>
    <row r="19" spans="1:38" s="1" customFormat="1" ht="17.100000000000001" customHeight="1" x14ac:dyDescent="0.25">
      <c r="A19" s="128"/>
      <c r="B19" s="126"/>
      <c r="C19" s="78"/>
      <c r="D19" s="78"/>
      <c r="E19" s="78"/>
      <c r="F19" s="78"/>
      <c r="G19" s="133"/>
      <c r="H19" s="112"/>
      <c r="I19" s="38"/>
      <c r="J19" s="42"/>
      <c r="K19" s="222"/>
      <c r="L19" s="247"/>
      <c r="M19" s="113"/>
      <c r="N19" s="65"/>
      <c r="O19" s="39"/>
      <c r="P19" s="65"/>
      <c r="Q19" s="127"/>
      <c r="R19" s="34"/>
      <c r="S19" s="40"/>
      <c r="T19" s="254"/>
      <c r="U19" s="36"/>
      <c r="V19" s="36"/>
      <c r="W19" s="36"/>
      <c r="X19" s="36"/>
      <c r="Y19" s="36"/>
      <c r="Z19" s="36"/>
      <c r="AA19" s="36"/>
      <c r="AB19" s="65"/>
      <c r="AC19" s="38"/>
      <c r="AD19" s="40"/>
      <c r="AE19" s="40"/>
      <c r="AF19" s="227"/>
      <c r="AG19" s="71" t="str" cm="1">
        <f t="array" ref="AG19">_xlfn.IFS(AH19="cny",AI19*$AL$2,AH19="jpy",AI19*$AN$2,AH19="krw",AI19*$AP$2,AH19="usd",AI19,AH19="","0")</f>
        <v>0</v>
      </c>
      <c r="AH19" s="75"/>
      <c r="AI19" s="186"/>
      <c r="AJ19" s="250"/>
      <c r="AK19" s="41"/>
      <c r="AL19" s="41"/>
    </row>
    <row r="20" spans="1:38" ht="17.100000000000001" customHeight="1" x14ac:dyDescent="0.25">
      <c r="G20" s="237"/>
      <c r="H20" s="112"/>
      <c r="I20" s="238"/>
      <c r="J20" s="246"/>
      <c r="K20" s="238"/>
      <c r="L20" s="144"/>
      <c r="M20" s="143"/>
      <c r="N20" s="238"/>
      <c r="O20" s="240"/>
      <c r="P20" s="238"/>
      <c r="Q20" s="248"/>
      <c r="S20" s="242"/>
      <c r="T20" s="255"/>
      <c r="U20" s="242"/>
      <c r="V20" s="242"/>
      <c r="W20" s="242"/>
      <c r="X20" s="242"/>
      <c r="Y20" s="242"/>
      <c r="Z20" s="242"/>
      <c r="AA20" s="242"/>
      <c r="AB20" s="238"/>
      <c r="AF20" s="242"/>
      <c r="AG20" s="71" t="str" cm="1">
        <f t="array" ref="AG20">_xlfn.IFS(AH20="cny",AI20*$AL$2,AH20="jpy",AI20*$AN$2,AH20="krw",AI20*$AP$2,AH20="usd",AI20,AH20="","0")</f>
        <v>0</v>
      </c>
      <c r="AH20" s="244"/>
      <c r="AI20" s="249"/>
      <c r="AJ20" s="250"/>
      <c r="AK20" s="183"/>
      <c r="AL20" s="183"/>
    </row>
    <row r="21" spans="1:38" ht="17.100000000000001" customHeight="1" x14ac:dyDescent="0.25">
      <c r="A21" s="129"/>
      <c r="G21" s="237"/>
      <c r="H21" s="112"/>
      <c r="I21" s="238"/>
      <c r="J21" s="246"/>
      <c r="K21" s="238"/>
      <c r="L21" s="144"/>
      <c r="M21" s="143"/>
      <c r="N21" s="239"/>
      <c r="O21" s="240"/>
      <c r="P21" s="238"/>
      <c r="Q21" s="241"/>
      <c r="S21" s="242"/>
      <c r="T21" s="255"/>
      <c r="U21" s="242"/>
      <c r="V21" s="242"/>
      <c r="W21" s="242"/>
      <c r="X21" s="242"/>
      <c r="Y21" s="242"/>
      <c r="Z21" s="242"/>
      <c r="AA21" s="242"/>
      <c r="AB21" s="238"/>
      <c r="AF21" s="243"/>
      <c r="AG21" s="71" t="str" cm="1">
        <f t="array" ref="AG21">_xlfn.IFS(AH21="cny",AI21*$AL$2,AH21="jpy",AI21*$AN$2,AH21="krw",AI21*$AP$2,AH21="usd",AI21,AH21="","0")</f>
        <v>0</v>
      </c>
      <c r="AH21" s="244"/>
      <c r="AI21" s="245"/>
      <c r="AJ21" s="250"/>
      <c r="AK21" s="183"/>
      <c r="AL21" s="183"/>
    </row>
    <row r="22" spans="1:38" ht="17.100000000000001" customHeight="1" x14ac:dyDescent="0.25">
      <c r="H22" s="112"/>
      <c r="N22" s="223"/>
      <c r="T22" s="254"/>
      <c r="U22" s="228"/>
      <c r="V22" s="227"/>
      <c r="W22" s="227"/>
      <c r="X22" s="227"/>
      <c r="Y22" s="227"/>
      <c r="Z22" s="227"/>
      <c r="AA22" s="227"/>
      <c r="AB22" s="223"/>
      <c r="AF22" s="227"/>
      <c r="AG22" s="71"/>
      <c r="AH22" s="185"/>
      <c r="AI22" s="186"/>
      <c r="AJ22" s="250"/>
      <c r="AK22" s="183"/>
      <c r="AL22" s="183"/>
    </row>
    <row r="23" spans="1:38" ht="17.100000000000001" customHeight="1" x14ac:dyDescent="0.25">
      <c r="H23" s="112"/>
      <c r="N23" s="223"/>
      <c r="O23" s="37"/>
      <c r="P23" s="223"/>
      <c r="Q23" s="225"/>
      <c r="T23" s="254"/>
      <c r="U23" s="227"/>
      <c r="V23" s="227"/>
      <c r="W23" s="227"/>
      <c r="X23" s="227"/>
      <c r="Y23" s="227"/>
      <c r="Z23" s="227"/>
      <c r="AA23" s="227"/>
      <c r="AB23" s="223"/>
      <c r="AF23" s="227"/>
      <c r="AG23" s="71"/>
      <c r="AH23" s="185"/>
      <c r="AI23" s="186"/>
      <c r="AJ23" s="250"/>
      <c r="AK23" s="183"/>
      <c r="AL23" s="229"/>
    </row>
    <row r="24" spans="1:38" ht="17.100000000000001" customHeight="1" x14ac:dyDescent="0.25">
      <c r="H24" s="112"/>
      <c r="N24" s="223"/>
      <c r="AG24" s="71"/>
      <c r="AH24" s="187"/>
      <c r="AI24" s="181"/>
      <c r="AJ24" s="250"/>
      <c r="AK24" s="183"/>
      <c r="AL24" s="183"/>
    </row>
    <row r="25" spans="1:38" ht="17.100000000000001" customHeight="1" x14ac:dyDescent="0.25">
      <c r="H25" s="112"/>
      <c r="N25" s="223"/>
      <c r="AG25" s="71"/>
      <c r="AH25" s="187"/>
      <c r="AI25" s="181"/>
      <c r="AJ25" s="250"/>
      <c r="AK25" s="183"/>
      <c r="AL25" s="183"/>
    </row>
    <row r="26" spans="1:38" ht="17.100000000000001" customHeight="1" x14ac:dyDescent="0.25">
      <c r="H26" s="112"/>
      <c r="N26" s="223"/>
      <c r="AG26" s="71"/>
      <c r="AH26" s="187"/>
      <c r="AI26" s="181"/>
      <c r="AJ26" s="250"/>
      <c r="AK26" s="183"/>
      <c r="AL26" s="183"/>
    </row>
    <row r="27" spans="1:38" ht="17.100000000000001" customHeight="1" x14ac:dyDescent="0.25">
      <c r="H27" s="112"/>
      <c r="N27" s="223"/>
      <c r="AG27" s="71"/>
      <c r="AH27" s="187"/>
      <c r="AI27" s="181"/>
      <c r="AJ27" s="250"/>
      <c r="AK27" s="183"/>
      <c r="AL27" s="183"/>
    </row>
    <row r="28" spans="1:38" ht="17.100000000000001" customHeight="1" x14ac:dyDescent="0.25">
      <c r="H28" s="112"/>
      <c r="N28" s="223"/>
      <c r="AG28" s="71"/>
      <c r="AH28" s="187"/>
      <c r="AI28" s="181"/>
      <c r="AJ28" s="250"/>
      <c r="AK28" s="183"/>
      <c r="AL28" s="183"/>
    </row>
    <row r="29" spans="1:38" ht="17.100000000000001" customHeight="1" x14ac:dyDescent="0.25">
      <c r="H29" s="112"/>
      <c r="N29" s="223"/>
      <c r="AG29" s="71"/>
      <c r="AH29" s="187"/>
      <c r="AI29" s="181"/>
      <c r="AJ29" s="250"/>
      <c r="AK29" s="183"/>
      <c r="AL29" s="183"/>
    </row>
    <row r="30" spans="1:38" ht="17.100000000000001" customHeight="1" x14ac:dyDescent="0.25">
      <c r="H30" s="112"/>
      <c r="N30" s="223"/>
      <c r="AG30" s="71"/>
      <c r="AH30" s="187"/>
      <c r="AI30" s="181"/>
      <c r="AJ30" s="250"/>
      <c r="AK30" s="183"/>
      <c r="AL30" s="183"/>
    </row>
    <row r="31" spans="1:38" ht="17.100000000000001" customHeight="1" x14ac:dyDescent="0.25">
      <c r="H31" s="112"/>
      <c r="N31" s="223"/>
      <c r="AG31" s="71"/>
      <c r="AH31" s="187"/>
      <c r="AI31" s="181"/>
      <c r="AJ31" s="250"/>
      <c r="AK31" s="183"/>
      <c r="AL31" s="183"/>
    </row>
    <row r="32" spans="1:38" ht="17.100000000000001" customHeight="1" x14ac:dyDescent="0.25">
      <c r="H32" s="112"/>
      <c r="N32" s="223"/>
      <c r="AG32" s="71"/>
      <c r="AH32" s="187"/>
      <c r="AI32" s="181"/>
      <c r="AJ32" s="250"/>
      <c r="AK32" s="183"/>
      <c r="AL32" s="183"/>
    </row>
    <row r="33" spans="7:38" ht="17.100000000000001" customHeight="1" x14ac:dyDescent="0.25">
      <c r="H33" s="112"/>
      <c r="N33" s="223"/>
      <c r="AG33" s="71"/>
      <c r="AH33" s="187"/>
      <c r="AI33" s="181"/>
      <c r="AJ33" s="250"/>
      <c r="AK33" s="183"/>
      <c r="AL33" s="183"/>
    </row>
    <row r="34" spans="7:38" ht="17.100000000000001" customHeight="1" x14ac:dyDescent="0.25">
      <c r="H34" s="112"/>
      <c r="N34" s="223"/>
      <c r="AG34" s="71"/>
      <c r="AH34" s="187"/>
      <c r="AI34" s="181"/>
      <c r="AJ34" s="250"/>
      <c r="AK34" s="183"/>
      <c r="AL34" s="183"/>
    </row>
    <row r="35" spans="7:38" ht="17.100000000000001" customHeight="1" x14ac:dyDescent="0.25">
      <c r="H35" s="112"/>
      <c r="N35" s="223"/>
      <c r="AG35" s="71"/>
      <c r="AH35" s="187"/>
      <c r="AI35" s="181"/>
      <c r="AJ35" s="250"/>
      <c r="AK35" s="183"/>
      <c r="AL35" s="183"/>
    </row>
    <row r="36" spans="7:38" ht="17.100000000000001" customHeight="1" x14ac:dyDescent="0.25">
      <c r="H36" s="112"/>
      <c r="N36" s="223"/>
      <c r="AG36" s="71"/>
      <c r="AH36" s="187"/>
      <c r="AI36" s="181"/>
      <c r="AJ36" s="250"/>
      <c r="AK36" s="183"/>
      <c r="AL36" s="183"/>
    </row>
    <row r="37" spans="7:38" ht="17.100000000000001" customHeight="1" x14ac:dyDescent="0.25">
      <c r="H37" s="112"/>
      <c r="N37" s="223"/>
      <c r="AG37" s="71"/>
      <c r="AH37" s="187"/>
      <c r="AI37" s="181"/>
      <c r="AJ37" s="250"/>
      <c r="AK37" s="183"/>
      <c r="AL37" s="183"/>
    </row>
    <row r="38" spans="7:38" ht="17.100000000000001" customHeight="1" x14ac:dyDescent="0.25">
      <c r="H38" s="112"/>
      <c r="N38" s="223"/>
      <c r="AG38" s="71"/>
      <c r="AH38" s="187"/>
      <c r="AI38" s="181"/>
      <c r="AJ38" s="250"/>
      <c r="AK38" s="183"/>
      <c r="AL38" s="183"/>
    </row>
    <row r="39" spans="7:38" ht="17.100000000000001" customHeight="1" x14ac:dyDescent="0.25">
      <c r="H39" s="112"/>
      <c r="N39" s="223"/>
      <c r="O39" s="37"/>
      <c r="P39" s="223"/>
      <c r="Q39" s="225"/>
      <c r="R39" s="67"/>
      <c r="T39" s="254"/>
      <c r="U39" s="227"/>
      <c r="V39" s="227"/>
      <c r="W39" s="227"/>
      <c r="X39" s="227"/>
      <c r="Y39" s="227"/>
      <c r="Z39" s="227"/>
      <c r="AA39" s="227"/>
      <c r="AB39" s="223"/>
      <c r="AC39" s="223"/>
      <c r="AD39" s="227"/>
      <c r="AE39" s="227"/>
      <c r="AF39" s="227"/>
      <c r="AG39" s="71"/>
      <c r="AH39" s="185"/>
      <c r="AI39" s="186"/>
      <c r="AJ39" s="250"/>
      <c r="AK39" s="183"/>
      <c r="AL39" s="183"/>
    </row>
    <row r="40" spans="7:38" ht="17.100000000000001" customHeight="1" x14ac:dyDescent="0.25">
      <c r="H40" s="112"/>
      <c r="N40" s="223"/>
      <c r="AG40" s="71"/>
      <c r="AH40" s="187"/>
      <c r="AI40" s="181"/>
      <c r="AJ40" s="250"/>
      <c r="AK40" s="183"/>
      <c r="AL40" s="183"/>
    </row>
    <row r="41" spans="7:38" ht="17.100000000000001" customHeight="1" x14ac:dyDescent="0.25">
      <c r="G41" s="230"/>
      <c r="H41" s="112"/>
      <c r="AG41" s="71"/>
      <c r="AH41" s="187"/>
      <c r="AI41" s="181"/>
      <c r="AJ41" s="250"/>
      <c r="AK41" s="183"/>
      <c r="AL41" s="183"/>
    </row>
    <row r="42" spans="7:38" ht="17.100000000000001" customHeight="1" x14ac:dyDescent="0.25">
      <c r="G42" s="230"/>
      <c r="H42" s="112"/>
      <c r="AG42" s="71"/>
      <c r="AH42" s="187"/>
      <c r="AI42" s="181"/>
      <c r="AJ42" s="250"/>
      <c r="AK42" s="183"/>
      <c r="AL42" s="183"/>
    </row>
    <row r="43" spans="7:38" ht="17.100000000000001" customHeight="1" x14ac:dyDescent="0.25">
      <c r="H43" s="112"/>
      <c r="N43" s="223"/>
      <c r="O43" s="37"/>
      <c r="P43" s="223"/>
      <c r="Q43" s="225"/>
      <c r="T43" s="254"/>
      <c r="V43" s="227"/>
      <c r="W43" s="227"/>
      <c r="X43" s="227"/>
      <c r="Y43" s="227"/>
      <c r="Z43" s="227"/>
      <c r="AA43" s="227"/>
      <c r="AB43" s="223"/>
      <c r="AF43" s="227"/>
      <c r="AG43" s="71"/>
      <c r="AH43" s="185"/>
      <c r="AI43" s="186"/>
      <c r="AJ43" s="250"/>
      <c r="AK43" s="183"/>
      <c r="AL43" s="183"/>
    </row>
    <row r="44" spans="7:38" ht="17.100000000000001" customHeight="1" x14ac:dyDescent="0.25">
      <c r="G44" s="230"/>
      <c r="H44" s="112"/>
      <c r="AG44" s="71"/>
      <c r="AH44" s="187"/>
      <c r="AI44" s="181"/>
      <c r="AJ44" s="250"/>
      <c r="AK44" s="183"/>
      <c r="AL44" s="183"/>
    </row>
    <row r="45" spans="7:38" ht="17.100000000000001" customHeight="1" x14ac:dyDescent="0.25">
      <c r="H45" s="112"/>
      <c r="N45" s="223"/>
      <c r="O45" s="37"/>
      <c r="P45" s="223"/>
      <c r="Q45" s="225"/>
      <c r="T45" s="254"/>
      <c r="V45" s="227"/>
      <c r="W45" s="227"/>
      <c r="X45" s="227"/>
      <c r="Y45" s="227"/>
      <c r="Z45" s="227"/>
      <c r="AA45" s="227"/>
      <c r="AB45" s="223"/>
      <c r="AF45" s="227"/>
      <c r="AG45" s="71"/>
      <c r="AH45" s="185"/>
      <c r="AI45" s="186"/>
      <c r="AJ45" s="250"/>
      <c r="AK45" s="183"/>
      <c r="AL45" s="183"/>
    </row>
    <row r="46" spans="7:38" ht="17.100000000000001" customHeight="1" x14ac:dyDescent="0.25">
      <c r="H46" s="112"/>
      <c r="N46" s="223"/>
      <c r="O46" s="37"/>
      <c r="P46" s="223"/>
      <c r="Q46" s="225"/>
      <c r="T46" s="254"/>
      <c r="V46" s="227"/>
      <c r="W46" s="227"/>
      <c r="X46" s="227"/>
      <c r="Y46" s="227"/>
      <c r="Z46" s="227"/>
      <c r="AA46" s="227"/>
      <c r="AB46" s="223"/>
      <c r="AF46" s="227"/>
      <c r="AG46" s="71"/>
      <c r="AH46" s="185"/>
      <c r="AI46" s="186"/>
      <c r="AJ46" s="250"/>
      <c r="AK46" s="183"/>
      <c r="AL46" s="183"/>
    </row>
    <row r="47" spans="7:38" ht="17.100000000000001" customHeight="1" x14ac:dyDescent="0.25">
      <c r="G47" s="230"/>
      <c r="H47" s="112"/>
      <c r="AG47" s="71"/>
      <c r="AH47" s="187"/>
      <c r="AI47" s="181"/>
      <c r="AJ47" s="250"/>
      <c r="AK47" s="183"/>
      <c r="AL47" s="183"/>
    </row>
    <row r="48" spans="7:38" ht="17.100000000000001" customHeight="1" x14ac:dyDescent="0.25">
      <c r="H48" s="112"/>
      <c r="N48" s="223"/>
      <c r="O48" s="37"/>
      <c r="P48" s="223"/>
      <c r="Q48" s="225"/>
      <c r="T48" s="254"/>
      <c r="V48" s="227"/>
      <c r="W48" s="227"/>
      <c r="X48" s="227"/>
      <c r="Y48" s="227"/>
      <c r="Z48" s="227"/>
      <c r="AA48" s="227"/>
      <c r="AB48" s="223"/>
      <c r="AF48" s="227"/>
      <c r="AG48" s="71"/>
      <c r="AH48" s="185"/>
      <c r="AI48" s="186"/>
      <c r="AJ48" s="250"/>
      <c r="AK48" s="183"/>
      <c r="AL48" s="183"/>
    </row>
    <row r="49" spans="1:38" ht="17.100000000000001" customHeight="1" x14ac:dyDescent="0.25">
      <c r="H49" s="112"/>
      <c r="N49" s="223"/>
      <c r="O49" s="37"/>
      <c r="P49" s="223"/>
      <c r="Q49" s="225"/>
      <c r="T49" s="254"/>
      <c r="U49" s="228"/>
      <c r="V49" s="227"/>
      <c r="W49" s="227"/>
      <c r="X49" s="227"/>
      <c r="Y49" s="227"/>
      <c r="Z49" s="227"/>
      <c r="AA49" s="227"/>
      <c r="AB49" s="223"/>
      <c r="AF49" s="227"/>
      <c r="AG49" s="71"/>
      <c r="AH49" s="185"/>
      <c r="AI49" s="186"/>
      <c r="AJ49" s="250"/>
      <c r="AK49" s="183"/>
      <c r="AL49" s="183"/>
    </row>
    <row r="50" spans="1:38" ht="17.100000000000001" customHeight="1" x14ac:dyDescent="0.25">
      <c r="G50" s="230"/>
      <c r="H50" s="112"/>
      <c r="L50" s="144"/>
      <c r="M50" s="143"/>
      <c r="AG50" s="71"/>
      <c r="AH50" s="187"/>
      <c r="AI50" s="181"/>
      <c r="AJ50" s="250"/>
      <c r="AK50" s="183"/>
      <c r="AL50" s="183"/>
    </row>
    <row r="51" spans="1:38" ht="17.100000000000001" customHeight="1" x14ac:dyDescent="0.25">
      <c r="A51" s="231"/>
      <c r="H51" s="112"/>
      <c r="N51" s="223"/>
      <c r="O51" s="37"/>
      <c r="P51" s="223"/>
      <c r="Q51" s="225"/>
      <c r="T51" s="254"/>
      <c r="U51" s="228"/>
      <c r="V51" s="227"/>
      <c r="W51" s="227"/>
      <c r="X51" s="227"/>
      <c r="Y51" s="227"/>
      <c r="Z51" s="227"/>
      <c r="AA51" s="227"/>
      <c r="AB51" s="223"/>
      <c r="AF51" s="227"/>
      <c r="AG51" s="71"/>
      <c r="AH51" s="185"/>
      <c r="AI51" s="186"/>
      <c r="AJ51" s="250"/>
      <c r="AK51" s="183"/>
      <c r="AL51" s="183"/>
    </row>
    <row r="52" spans="1:38" ht="17.100000000000001" customHeight="1" x14ac:dyDescent="0.25">
      <c r="H52" s="112"/>
      <c r="N52" s="223"/>
      <c r="AG52" s="71"/>
      <c r="AH52" s="187"/>
      <c r="AI52" s="181"/>
      <c r="AJ52" s="250"/>
      <c r="AK52" s="183"/>
      <c r="AL52" s="183"/>
    </row>
    <row r="53" spans="1:38" ht="17.100000000000001" customHeight="1" x14ac:dyDescent="0.25">
      <c r="H53" s="112"/>
      <c r="N53" s="223"/>
      <c r="AG53" s="71"/>
      <c r="AH53" s="187"/>
      <c r="AI53" s="181"/>
      <c r="AJ53" s="250"/>
      <c r="AK53" s="183"/>
      <c r="AL53" s="183"/>
    </row>
    <row r="54" spans="1:38" ht="17.100000000000001" customHeight="1" x14ac:dyDescent="0.25">
      <c r="H54" s="112"/>
      <c r="N54" s="223"/>
      <c r="AG54" s="71"/>
      <c r="AH54" s="187"/>
      <c r="AI54" s="181"/>
      <c r="AJ54" s="250"/>
      <c r="AK54" s="183"/>
      <c r="AL54" s="183"/>
    </row>
    <row r="55" spans="1:38" ht="17.100000000000001" customHeight="1" x14ac:dyDescent="0.25">
      <c r="H55" s="112"/>
      <c r="N55" s="223"/>
      <c r="AG55" s="71"/>
      <c r="AH55" s="187"/>
      <c r="AI55" s="181"/>
      <c r="AJ55" s="250"/>
      <c r="AK55" s="183"/>
      <c r="AL55" s="183"/>
    </row>
    <row r="56" spans="1:38" ht="17.100000000000001" customHeight="1" x14ac:dyDescent="0.25">
      <c r="H56" s="112"/>
      <c r="N56" s="223"/>
      <c r="AG56" s="71"/>
      <c r="AH56" s="187"/>
      <c r="AI56" s="181"/>
      <c r="AJ56" s="250"/>
      <c r="AK56" s="183"/>
      <c r="AL56" s="183"/>
    </row>
    <row r="57" spans="1:38" ht="17.100000000000001" customHeight="1" x14ac:dyDescent="0.25">
      <c r="H57" s="112"/>
      <c r="N57" s="223"/>
      <c r="AG57" s="71"/>
      <c r="AH57" s="187"/>
      <c r="AI57" s="181"/>
      <c r="AJ57" s="250"/>
      <c r="AK57" s="183"/>
      <c r="AL57" s="183"/>
    </row>
    <row r="58" spans="1:38" ht="17.100000000000001" customHeight="1" x14ac:dyDescent="0.25">
      <c r="H58" s="112"/>
      <c r="N58" s="223"/>
      <c r="AG58" s="71"/>
      <c r="AH58" s="187"/>
      <c r="AI58" s="181"/>
      <c r="AJ58" s="250"/>
      <c r="AK58" s="183"/>
      <c r="AL58" s="183"/>
    </row>
    <row r="59" spans="1:38" ht="17.100000000000001" customHeight="1" x14ac:dyDescent="0.25">
      <c r="H59" s="112"/>
      <c r="AG59" s="71"/>
      <c r="AH59" s="187"/>
      <c r="AI59" s="181"/>
      <c r="AJ59" s="250"/>
      <c r="AK59" s="183"/>
      <c r="AL59" s="183"/>
    </row>
    <row r="60" spans="1:38" ht="17.100000000000001" customHeight="1" x14ac:dyDescent="0.25">
      <c r="H60" s="112"/>
      <c r="AG60" s="71"/>
      <c r="AH60" s="187"/>
      <c r="AI60" s="181"/>
      <c r="AJ60" s="250"/>
      <c r="AK60" s="183"/>
      <c r="AL60" s="183"/>
    </row>
    <row r="61" spans="1:38" ht="17.100000000000001" customHeight="1" x14ac:dyDescent="0.25">
      <c r="H61" s="112"/>
      <c r="N61" s="223"/>
      <c r="AG61" s="71"/>
      <c r="AH61" s="187"/>
      <c r="AI61" s="181"/>
      <c r="AJ61" s="250"/>
      <c r="AK61" s="183"/>
      <c r="AL61" s="183"/>
    </row>
    <row r="62" spans="1:38" ht="17.100000000000001" customHeight="1" x14ac:dyDescent="0.25">
      <c r="H62" s="112"/>
      <c r="N62" s="223"/>
      <c r="AG62" s="71"/>
      <c r="AH62" s="187"/>
      <c r="AI62" s="181"/>
      <c r="AJ62" s="250"/>
      <c r="AK62" s="183"/>
      <c r="AL62" s="183"/>
    </row>
    <row r="63" spans="1:38" ht="17.100000000000001" customHeight="1" x14ac:dyDescent="0.25">
      <c r="H63" s="112"/>
      <c r="N63" s="223"/>
      <c r="AG63" s="71"/>
      <c r="AH63" s="187"/>
      <c r="AI63" s="181"/>
      <c r="AJ63" s="250"/>
      <c r="AK63" s="183"/>
      <c r="AL63" s="183"/>
    </row>
    <row r="64" spans="1:38" ht="17.100000000000001" customHeight="1" x14ac:dyDescent="0.25">
      <c r="H64" s="112"/>
      <c r="N64" s="223"/>
      <c r="AG64" s="71"/>
      <c r="AH64" s="187"/>
      <c r="AI64" s="181"/>
      <c r="AJ64" s="250"/>
      <c r="AK64" s="183"/>
      <c r="AL64" s="183"/>
    </row>
    <row r="65" spans="8:38" ht="17.100000000000001" customHeight="1" x14ac:dyDescent="0.25">
      <c r="H65" s="112"/>
      <c r="N65" s="223"/>
      <c r="AG65" s="71"/>
      <c r="AH65" s="187"/>
      <c r="AI65" s="181"/>
      <c r="AJ65" s="250"/>
      <c r="AK65" s="183"/>
      <c r="AL65" s="183"/>
    </row>
    <row r="66" spans="8:38" ht="17.100000000000001" customHeight="1" x14ac:dyDescent="0.25">
      <c r="H66" s="112"/>
      <c r="N66" s="223"/>
      <c r="AG66" s="71"/>
      <c r="AH66" s="187"/>
      <c r="AI66" s="181"/>
      <c r="AJ66" s="250"/>
      <c r="AK66" s="183"/>
      <c r="AL66" s="183"/>
    </row>
    <row r="67" spans="8:38" ht="17.100000000000001" customHeight="1" x14ac:dyDescent="0.25">
      <c r="H67" s="112"/>
      <c r="N67" s="223"/>
      <c r="AG67" s="71"/>
      <c r="AH67" s="187"/>
      <c r="AI67" s="181"/>
      <c r="AJ67" s="250"/>
      <c r="AK67" s="183"/>
      <c r="AL67" s="183"/>
    </row>
    <row r="68" spans="8:38" ht="17.100000000000001" customHeight="1" x14ac:dyDescent="0.25">
      <c r="H68" s="112"/>
      <c r="N68" s="223"/>
      <c r="AG68" s="71"/>
      <c r="AH68" s="187"/>
      <c r="AI68" s="181"/>
      <c r="AJ68" s="250"/>
      <c r="AK68" s="183"/>
      <c r="AL68" s="183"/>
    </row>
    <row r="69" spans="8:38" ht="17.100000000000001" customHeight="1" x14ac:dyDescent="0.25">
      <c r="H69" s="112"/>
      <c r="N69" s="223"/>
      <c r="AG69" s="71"/>
      <c r="AH69" s="187"/>
      <c r="AI69" s="181"/>
      <c r="AJ69" s="250"/>
      <c r="AK69" s="183"/>
      <c r="AL69" s="183"/>
    </row>
    <row r="70" spans="8:38" ht="17.100000000000001" customHeight="1" x14ac:dyDescent="0.25">
      <c r="H70" s="112"/>
      <c r="N70" s="223"/>
      <c r="AG70" s="71"/>
      <c r="AH70" s="187"/>
      <c r="AI70" s="181"/>
      <c r="AJ70" s="250"/>
      <c r="AK70" s="183"/>
      <c r="AL70" s="183"/>
    </row>
    <row r="71" spans="8:38" ht="17.100000000000001" customHeight="1" x14ac:dyDescent="0.25">
      <c r="H71" s="112"/>
      <c r="N71" s="223"/>
      <c r="AG71" s="71"/>
      <c r="AH71" s="187"/>
      <c r="AI71" s="181"/>
      <c r="AJ71" s="250"/>
      <c r="AK71" s="183"/>
      <c r="AL71" s="183"/>
    </row>
    <row r="72" spans="8:38" ht="17.100000000000001" customHeight="1" x14ac:dyDescent="0.25">
      <c r="H72" s="112"/>
      <c r="N72" s="223"/>
      <c r="AG72" s="71"/>
      <c r="AH72" s="187"/>
      <c r="AI72" s="181"/>
      <c r="AJ72" s="250"/>
      <c r="AK72" s="183"/>
      <c r="AL72" s="183"/>
    </row>
    <row r="73" spans="8:38" ht="17.100000000000001" customHeight="1" x14ac:dyDescent="0.25">
      <c r="H73" s="112"/>
      <c r="N73" s="223"/>
      <c r="AG73" s="71"/>
      <c r="AH73" s="187"/>
      <c r="AI73" s="181"/>
      <c r="AJ73" s="250"/>
      <c r="AK73" s="183"/>
      <c r="AL73" s="183"/>
    </row>
    <row r="74" spans="8:38" ht="17.100000000000001" customHeight="1" x14ac:dyDescent="0.25">
      <c r="H74" s="112"/>
      <c r="N74" s="223"/>
      <c r="AG74" s="71"/>
      <c r="AH74" s="187"/>
      <c r="AI74" s="181"/>
      <c r="AJ74" s="250"/>
      <c r="AK74" s="183"/>
      <c r="AL74" s="183"/>
    </row>
    <row r="75" spans="8:38" ht="17.100000000000001" customHeight="1" x14ac:dyDescent="0.25">
      <c r="H75" s="112"/>
      <c r="N75" s="223"/>
      <c r="AG75" s="71"/>
      <c r="AH75" s="187"/>
      <c r="AI75" s="181"/>
      <c r="AJ75" s="250"/>
      <c r="AK75" s="183"/>
      <c r="AL75" s="183"/>
    </row>
    <row r="76" spans="8:38" ht="17.100000000000001" customHeight="1" x14ac:dyDescent="0.25">
      <c r="H76" s="112"/>
      <c r="N76" s="223"/>
      <c r="AG76" s="71"/>
      <c r="AH76" s="187"/>
      <c r="AI76" s="181"/>
      <c r="AJ76" s="250"/>
      <c r="AK76" s="183"/>
      <c r="AL76" s="183"/>
    </row>
    <row r="77" spans="8:38" ht="17.100000000000001" customHeight="1" x14ac:dyDescent="0.25">
      <c r="H77" s="112"/>
      <c r="N77" s="223"/>
      <c r="AG77" s="71"/>
      <c r="AH77" s="187"/>
      <c r="AI77" s="181"/>
      <c r="AJ77" s="250"/>
      <c r="AK77" s="183"/>
      <c r="AL77" s="183"/>
    </row>
    <row r="78" spans="8:38" ht="17.100000000000001" customHeight="1" x14ac:dyDescent="0.25">
      <c r="H78" s="112"/>
      <c r="N78" s="223"/>
      <c r="O78" s="37"/>
      <c r="P78" s="223"/>
      <c r="Q78" s="225"/>
      <c r="T78" s="254"/>
      <c r="U78" s="227"/>
      <c r="V78" s="227"/>
      <c r="W78" s="227"/>
      <c r="X78" s="227"/>
      <c r="Y78" s="227"/>
      <c r="Z78" s="227"/>
      <c r="AA78" s="227"/>
      <c r="AB78" s="223"/>
      <c r="AF78" s="227"/>
      <c r="AG78" s="71"/>
      <c r="AH78" s="185"/>
      <c r="AI78" s="186"/>
      <c r="AJ78" s="250"/>
      <c r="AK78" s="183"/>
      <c r="AL78" s="183"/>
    </row>
    <row r="79" spans="8:38" ht="17.100000000000001" customHeight="1" x14ac:dyDescent="0.25">
      <c r="H79" s="112"/>
      <c r="N79" s="223"/>
      <c r="AG79" s="71"/>
      <c r="AH79" s="187"/>
      <c r="AI79" s="181"/>
      <c r="AJ79" s="250"/>
      <c r="AK79" s="183"/>
      <c r="AL79" s="183"/>
    </row>
    <row r="80" spans="8:38" ht="17.100000000000001" customHeight="1" x14ac:dyDescent="0.25">
      <c r="H80" s="112"/>
      <c r="N80" s="223"/>
      <c r="O80" s="37"/>
      <c r="AG80" s="71"/>
      <c r="AH80" s="187"/>
      <c r="AI80" s="181"/>
      <c r="AJ80" s="250"/>
      <c r="AK80" s="183"/>
      <c r="AL80" s="183"/>
    </row>
    <row r="81" spans="8:38" ht="17.100000000000001" customHeight="1" x14ac:dyDescent="0.25">
      <c r="H81" s="112"/>
      <c r="N81" s="223"/>
      <c r="O81" s="37"/>
      <c r="AG81" s="71"/>
      <c r="AH81" s="187"/>
      <c r="AI81" s="181"/>
      <c r="AJ81" s="250"/>
      <c r="AK81" s="183"/>
      <c r="AL81" s="183"/>
    </row>
    <row r="82" spans="8:38" ht="17.100000000000001" customHeight="1" x14ac:dyDescent="0.25">
      <c r="H82" s="112"/>
      <c r="N82" s="223"/>
      <c r="AG82" s="71"/>
      <c r="AH82" s="187"/>
      <c r="AI82" s="181"/>
      <c r="AJ82" s="250"/>
      <c r="AK82" s="183"/>
      <c r="AL82" s="183"/>
    </row>
    <row r="83" spans="8:38" ht="17.100000000000001" customHeight="1" x14ac:dyDescent="0.25">
      <c r="H83" s="112"/>
      <c r="N83" s="223"/>
      <c r="AG83" s="71"/>
      <c r="AH83" s="187"/>
      <c r="AI83" s="181"/>
      <c r="AJ83" s="250"/>
      <c r="AK83" s="183"/>
      <c r="AL83" s="183"/>
    </row>
    <row r="84" spans="8:38" ht="17.100000000000001" customHeight="1" x14ac:dyDescent="0.25">
      <c r="H84" s="112"/>
      <c r="N84" s="223"/>
      <c r="AG84" s="71"/>
      <c r="AH84" s="187"/>
      <c r="AI84" s="181"/>
      <c r="AJ84" s="250"/>
      <c r="AK84" s="183"/>
      <c r="AL84" s="183"/>
    </row>
    <row r="85" spans="8:38" ht="17.100000000000001" customHeight="1" x14ac:dyDescent="0.25">
      <c r="H85" s="112"/>
      <c r="N85" s="223"/>
      <c r="AG85" s="71"/>
      <c r="AH85" s="187"/>
      <c r="AI85" s="181"/>
      <c r="AJ85" s="250"/>
      <c r="AK85" s="183"/>
      <c r="AL85" s="183"/>
    </row>
    <row r="86" spans="8:38" ht="17.100000000000001" customHeight="1" x14ac:dyDescent="0.25">
      <c r="H86" s="112"/>
      <c r="N86" s="223"/>
      <c r="AG86" s="71"/>
      <c r="AH86" s="187"/>
      <c r="AI86" s="181"/>
      <c r="AJ86" s="250"/>
      <c r="AK86" s="183"/>
      <c r="AL86" s="183"/>
    </row>
    <row r="87" spans="8:38" ht="17.100000000000001" customHeight="1" x14ac:dyDescent="0.25">
      <c r="H87" s="112"/>
      <c r="N87" s="223"/>
      <c r="T87" s="254"/>
      <c r="AG87" s="71"/>
      <c r="AH87" s="187"/>
      <c r="AI87" s="181"/>
      <c r="AJ87" s="250"/>
      <c r="AK87" s="183"/>
      <c r="AL87" s="183"/>
    </row>
    <row r="88" spans="8:38" ht="17.100000000000001" customHeight="1" x14ac:dyDescent="0.25">
      <c r="H88" s="112"/>
      <c r="N88" s="223"/>
      <c r="T88" s="254"/>
      <c r="AG88" s="71"/>
      <c r="AH88" s="187"/>
      <c r="AI88" s="181"/>
      <c r="AJ88" s="250"/>
      <c r="AK88" s="183"/>
      <c r="AL88" s="183"/>
    </row>
    <row r="89" spans="8:38" ht="17.100000000000001" customHeight="1" x14ac:dyDescent="0.25">
      <c r="H89" s="112"/>
      <c r="N89" s="223"/>
      <c r="T89" s="254"/>
      <c r="AG89" s="71"/>
      <c r="AH89" s="187"/>
      <c r="AI89" s="181"/>
      <c r="AJ89" s="250"/>
      <c r="AK89" s="183"/>
      <c r="AL89" s="183"/>
    </row>
    <row r="90" spans="8:38" ht="17.100000000000001" customHeight="1" x14ac:dyDescent="0.25">
      <c r="H90" s="112"/>
      <c r="N90" s="223"/>
      <c r="AG90" s="71"/>
      <c r="AH90" s="187"/>
      <c r="AI90" s="181"/>
      <c r="AJ90" s="250"/>
      <c r="AK90" s="232"/>
      <c r="AL90" s="184"/>
    </row>
    <row r="91" spans="8:38" ht="17.100000000000001" customHeight="1" x14ac:dyDescent="0.25">
      <c r="H91" s="112"/>
      <c r="N91" s="223"/>
      <c r="AG91" s="71"/>
      <c r="AH91" s="185"/>
      <c r="AI91" s="181"/>
      <c r="AJ91" s="250"/>
      <c r="AK91" s="232"/>
      <c r="AL91" s="184"/>
    </row>
    <row r="92" spans="8:38" ht="17.100000000000001" customHeight="1" x14ac:dyDescent="0.25">
      <c r="H92" s="112"/>
      <c r="N92" s="223"/>
      <c r="O92" s="37"/>
      <c r="P92" s="223"/>
      <c r="Q92" s="225"/>
      <c r="T92" s="254"/>
      <c r="U92" s="228"/>
      <c r="V92" s="227"/>
      <c r="W92" s="227"/>
      <c r="X92" s="227"/>
      <c r="Y92" s="227"/>
      <c r="Z92" s="227"/>
      <c r="AA92" s="227"/>
      <c r="AB92" s="223"/>
      <c r="AF92" s="227"/>
      <c r="AG92" s="71"/>
      <c r="AH92" s="185"/>
      <c r="AI92" s="186"/>
      <c r="AJ92" s="250"/>
      <c r="AK92" s="232"/>
      <c r="AL92" s="184"/>
    </row>
    <row r="93" spans="8:38" ht="17.100000000000001" customHeight="1" x14ac:dyDescent="0.25">
      <c r="H93" s="112"/>
      <c r="N93" s="223"/>
      <c r="O93" s="37"/>
      <c r="P93" s="223"/>
      <c r="Q93" s="225"/>
      <c r="T93" s="254"/>
      <c r="U93" s="228"/>
      <c r="V93" s="227"/>
      <c r="W93" s="227"/>
      <c r="X93" s="227"/>
      <c r="Y93" s="227"/>
      <c r="Z93" s="227"/>
      <c r="AA93" s="227"/>
      <c r="AB93" s="223"/>
      <c r="AF93" s="227"/>
      <c r="AG93" s="71"/>
      <c r="AH93" s="185"/>
      <c r="AI93" s="186"/>
      <c r="AJ93" s="250"/>
      <c r="AK93" s="232"/>
      <c r="AL93" s="184"/>
    </row>
    <row r="94" spans="8:38" ht="17.100000000000001" customHeight="1" x14ac:dyDescent="0.25">
      <c r="H94" s="112"/>
      <c r="N94" s="223"/>
      <c r="AG94" s="71"/>
      <c r="AH94" s="187"/>
      <c r="AI94" s="181"/>
      <c r="AJ94" s="250"/>
      <c r="AK94" s="232"/>
      <c r="AL94" s="184"/>
    </row>
    <row r="95" spans="8:38" ht="17.100000000000001" customHeight="1" x14ac:dyDescent="0.25">
      <c r="H95" s="112"/>
      <c r="N95" s="223"/>
      <c r="AG95" s="71"/>
      <c r="AH95" s="187"/>
      <c r="AI95" s="181"/>
      <c r="AJ95" s="250"/>
      <c r="AK95" s="232"/>
      <c r="AL95" s="184"/>
    </row>
    <row r="96" spans="8:38" ht="17.100000000000001" customHeight="1" x14ac:dyDescent="0.25">
      <c r="H96" s="112"/>
      <c r="N96" s="223"/>
      <c r="AG96" s="71"/>
      <c r="AH96" s="187"/>
      <c r="AI96" s="181"/>
      <c r="AJ96" s="250"/>
      <c r="AK96" s="232"/>
      <c r="AL96" s="184"/>
    </row>
    <row r="97" spans="1:38" ht="17.100000000000001" customHeight="1" x14ac:dyDescent="0.25">
      <c r="H97" s="112"/>
      <c r="N97" s="223"/>
      <c r="AG97" s="71"/>
      <c r="AH97" s="187"/>
      <c r="AI97" s="181"/>
      <c r="AJ97" s="250"/>
      <c r="AK97" s="232"/>
      <c r="AL97" s="184"/>
    </row>
    <row r="98" spans="1:38" ht="17.100000000000001" customHeight="1" x14ac:dyDescent="0.25">
      <c r="G98" s="230"/>
      <c r="H98" s="112"/>
      <c r="L98" s="144"/>
      <c r="M98" s="143"/>
      <c r="AG98" s="71"/>
      <c r="AH98" s="187"/>
      <c r="AI98" s="181"/>
      <c r="AJ98" s="250"/>
      <c r="AK98" s="232"/>
      <c r="AL98" s="184"/>
    </row>
    <row r="99" spans="1:38" ht="17.100000000000001" customHeight="1" x14ac:dyDescent="0.25">
      <c r="G99" s="230"/>
      <c r="H99" s="112"/>
      <c r="L99" s="144"/>
      <c r="M99" s="143"/>
      <c r="AG99" s="71"/>
      <c r="AH99" s="187"/>
      <c r="AI99" s="181"/>
      <c r="AJ99" s="250"/>
      <c r="AK99" s="232"/>
      <c r="AL99" s="184"/>
    </row>
    <row r="100" spans="1:38" ht="17.100000000000001" customHeight="1" x14ac:dyDescent="0.25">
      <c r="G100" s="230"/>
      <c r="H100" s="112"/>
      <c r="L100" s="144"/>
      <c r="M100" s="143"/>
      <c r="AG100" s="71"/>
      <c r="AH100" s="187"/>
      <c r="AI100" s="181"/>
      <c r="AJ100" s="250"/>
      <c r="AK100" s="183"/>
      <c r="AL100" s="183"/>
    </row>
    <row r="101" spans="1:38" ht="17.100000000000001" customHeight="1" x14ac:dyDescent="0.25">
      <c r="G101" s="230"/>
      <c r="H101" s="112"/>
      <c r="L101" s="144"/>
      <c r="M101" s="143"/>
      <c r="AG101" s="71"/>
      <c r="AH101" s="187"/>
      <c r="AI101" s="181"/>
      <c r="AJ101" s="250"/>
      <c r="AK101" s="232"/>
      <c r="AL101" s="184"/>
    </row>
    <row r="102" spans="1:38" ht="17.100000000000001" customHeight="1" x14ac:dyDescent="0.25">
      <c r="G102" s="230"/>
      <c r="H102" s="112"/>
      <c r="L102" s="144"/>
      <c r="M102" s="143"/>
      <c r="AG102" s="71"/>
      <c r="AH102" s="187"/>
      <c r="AI102" s="181"/>
      <c r="AJ102" s="250"/>
      <c r="AK102" s="232"/>
      <c r="AL102" s="184"/>
    </row>
    <row r="103" spans="1:38" ht="17.100000000000001" customHeight="1" x14ac:dyDescent="0.25">
      <c r="G103" s="230"/>
      <c r="H103" s="112"/>
      <c r="L103" s="144"/>
      <c r="M103" s="143"/>
      <c r="AG103" s="71"/>
      <c r="AH103" s="187"/>
      <c r="AI103" s="181"/>
      <c r="AJ103" s="250"/>
      <c r="AK103" s="232"/>
      <c r="AL103" s="184"/>
    </row>
    <row r="104" spans="1:38" ht="17.100000000000001" customHeight="1" x14ac:dyDescent="0.25">
      <c r="G104" s="230"/>
      <c r="H104" s="112"/>
      <c r="L104" s="144"/>
      <c r="M104" s="143"/>
      <c r="AG104" s="71"/>
      <c r="AH104" s="187"/>
      <c r="AI104" s="181"/>
      <c r="AJ104" s="250"/>
      <c r="AK104" s="232"/>
      <c r="AL104" s="184"/>
    </row>
    <row r="105" spans="1:38" ht="17.100000000000001" customHeight="1" x14ac:dyDescent="0.25">
      <c r="G105" s="230"/>
      <c r="H105" s="112"/>
      <c r="L105" s="144"/>
      <c r="M105" s="143"/>
      <c r="AG105" s="71"/>
      <c r="AH105" s="187"/>
      <c r="AI105" s="181"/>
      <c r="AJ105" s="250"/>
      <c r="AK105" s="232"/>
      <c r="AL105" s="184"/>
    </row>
    <row r="106" spans="1:38" ht="17.100000000000001" customHeight="1" x14ac:dyDescent="0.25">
      <c r="G106" s="230"/>
      <c r="H106" s="112"/>
      <c r="L106" s="144"/>
      <c r="M106" s="143"/>
      <c r="AG106" s="71"/>
      <c r="AH106" s="187"/>
      <c r="AI106" s="181"/>
      <c r="AJ106" s="250"/>
      <c r="AK106" s="232"/>
      <c r="AL106" s="184"/>
    </row>
    <row r="107" spans="1:38" ht="17.100000000000001" customHeight="1" x14ac:dyDescent="0.25">
      <c r="G107" s="230"/>
      <c r="H107" s="112"/>
      <c r="L107" s="144"/>
      <c r="M107" s="143"/>
      <c r="AG107" s="71"/>
      <c r="AH107" s="187"/>
      <c r="AI107" s="181"/>
      <c r="AJ107" s="250"/>
      <c r="AK107" s="232"/>
      <c r="AL107" s="184"/>
    </row>
    <row r="108" spans="1:38" ht="17.100000000000001" customHeight="1" x14ac:dyDescent="0.25">
      <c r="G108" s="230"/>
      <c r="H108" s="112"/>
      <c r="L108" s="144"/>
      <c r="M108" s="143"/>
      <c r="AG108" s="71"/>
      <c r="AH108" s="187"/>
      <c r="AI108" s="181"/>
      <c r="AJ108" s="250"/>
      <c r="AK108" s="232"/>
      <c r="AL108" s="184"/>
    </row>
    <row r="109" spans="1:38" ht="17.100000000000001" customHeight="1" x14ac:dyDescent="0.25">
      <c r="G109" s="230"/>
      <c r="H109" s="112"/>
      <c r="L109" s="144"/>
      <c r="M109" s="143"/>
      <c r="AG109" s="71"/>
      <c r="AH109" s="187"/>
      <c r="AI109" s="181"/>
      <c r="AJ109" s="250"/>
      <c r="AK109" s="232"/>
      <c r="AL109" s="184"/>
    </row>
    <row r="110" spans="1:38" ht="17.100000000000001" customHeight="1" x14ac:dyDescent="0.25">
      <c r="A110" s="231"/>
      <c r="G110" s="230"/>
      <c r="H110" s="112"/>
      <c r="L110" s="144"/>
      <c r="M110" s="143"/>
      <c r="AG110" s="71"/>
      <c r="AH110" s="187"/>
      <c r="AI110" s="181"/>
      <c r="AJ110" s="250"/>
      <c r="AK110" s="232"/>
      <c r="AL110" s="184"/>
    </row>
    <row r="111" spans="1:38" ht="17.100000000000001" customHeight="1" x14ac:dyDescent="0.25">
      <c r="G111" s="230"/>
      <c r="H111" s="112"/>
      <c r="L111" s="144"/>
      <c r="M111" s="143"/>
      <c r="AG111" s="71"/>
      <c r="AH111" s="187"/>
      <c r="AI111" s="181"/>
      <c r="AJ111" s="250"/>
      <c r="AK111" s="232"/>
      <c r="AL111" s="184"/>
    </row>
    <row r="112" spans="1:38" ht="17.100000000000001" customHeight="1" x14ac:dyDescent="0.25">
      <c r="G112" s="230"/>
      <c r="H112" s="112"/>
      <c r="L112" s="144"/>
      <c r="M112" s="143"/>
      <c r="AG112" s="71"/>
      <c r="AH112" s="187"/>
      <c r="AI112" s="181"/>
      <c r="AJ112" s="250"/>
      <c r="AK112" s="232"/>
      <c r="AL112" s="184"/>
    </row>
    <row r="113" spans="7:38" ht="17.100000000000001" customHeight="1" x14ac:dyDescent="0.25">
      <c r="G113" s="230"/>
      <c r="H113" s="112"/>
      <c r="L113" s="144"/>
      <c r="M113" s="143"/>
      <c r="AG113" s="71"/>
      <c r="AH113" s="187"/>
      <c r="AI113" s="181"/>
      <c r="AJ113" s="250"/>
      <c r="AK113" s="232"/>
      <c r="AL113" s="184"/>
    </row>
    <row r="114" spans="7:38" ht="17.100000000000001" customHeight="1" x14ac:dyDescent="0.25">
      <c r="G114" s="230"/>
      <c r="H114" s="112"/>
      <c r="L114" s="144"/>
      <c r="M114" s="143"/>
      <c r="AG114" s="71"/>
      <c r="AH114" s="187"/>
      <c r="AI114" s="181"/>
      <c r="AJ114" s="250"/>
      <c r="AK114" s="232"/>
      <c r="AL114" s="184"/>
    </row>
    <row r="115" spans="7:38" ht="17.100000000000001" customHeight="1" x14ac:dyDescent="0.25">
      <c r="G115" s="230"/>
      <c r="H115" s="112"/>
      <c r="L115" s="144"/>
      <c r="M115" s="143"/>
      <c r="AG115" s="71"/>
      <c r="AH115" s="187"/>
      <c r="AI115" s="181"/>
    </row>
    <row r="116" spans="7:38" ht="17.100000000000001" customHeight="1" x14ac:dyDescent="0.25">
      <c r="G116" s="230"/>
      <c r="H116" s="112"/>
      <c r="L116" s="144"/>
      <c r="M116" s="143"/>
      <c r="AG116" s="71"/>
      <c r="AH116" s="187"/>
      <c r="AI116" s="181"/>
      <c r="AJ116" s="250"/>
      <c r="AK116" s="232"/>
      <c r="AL116" s="184"/>
    </row>
    <row r="117" spans="7:38" ht="17.100000000000001" customHeight="1" x14ac:dyDescent="0.25">
      <c r="G117" s="230"/>
      <c r="H117" s="112"/>
      <c r="L117" s="144"/>
      <c r="M117" s="143"/>
      <c r="AG117" s="71"/>
      <c r="AH117" s="187"/>
      <c r="AI117" s="181"/>
      <c r="AJ117" s="250"/>
      <c r="AK117" s="232"/>
      <c r="AL117" s="184"/>
    </row>
    <row r="118" spans="7:38" ht="17.100000000000001" customHeight="1" x14ac:dyDescent="0.25">
      <c r="G118" s="230"/>
      <c r="H118" s="112"/>
      <c r="L118" s="144"/>
      <c r="M118" s="143"/>
      <c r="AG118" s="71"/>
      <c r="AH118" s="187"/>
      <c r="AI118" s="181"/>
      <c r="AJ118" s="250"/>
      <c r="AK118" s="232"/>
      <c r="AL118" s="184"/>
    </row>
    <row r="119" spans="7:38" ht="17.100000000000001" customHeight="1" x14ac:dyDescent="0.25">
      <c r="G119" s="230"/>
      <c r="H119" s="112"/>
      <c r="L119" s="144"/>
      <c r="M119" s="143"/>
      <c r="AG119" s="71"/>
      <c r="AH119" s="187"/>
      <c r="AI119" s="181"/>
      <c r="AJ119" s="250"/>
      <c r="AK119" s="232"/>
      <c r="AL119" s="184"/>
    </row>
    <row r="120" spans="7:38" ht="17.100000000000001" customHeight="1" x14ac:dyDescent="0.25">
      <c r="G120" s="230"/>
      <c r="H120" s="112"/>
      <c r="L120" s="144"/>
      <c r="M120" s="143"/>
      <c r="AG120" s="71"/>
      <c r="AH120" s="187"/>
      <c r="AI120" s="181"/>
      <c r="AJ120" s="250"/>
      <c r="AK120" s="232"/>
      <c r="AL120" s="184"/>
    </row>
    <row r="121" spans="7:38" ht="17.100000000000001" customHeight="1" x14ac:dyDescent="0.25">
      <c r="G121" s="230"/>
      <c r="H121" s="112"/>
      <c r="L121" s="144"/>
      <c r="M121" s="143"/>
      <c r="AG121" s="71"/>
      <c r="AH121" s="187"/>
      <c r="AI121" s="181"/>
      <c r="AJ121" s="250"/>
      <c r="AK121" s="232"/>
      <c r="AL121" s="184"/>
    </row>
    <row r="122" spans="7:38" ht="17.100000000000001" customHeight="1" x14ac:dyDescent="0.25">
      <c r="G122" s="230"/>
      <c r="H122" s="112"/>
      <c r="L122" s="144"/>
      <c r="M122" s="143"/>
      <c r="AG122" s="71"/>
      <c r="AH122" s="187"/>
      <c r="AI122" s="181"/>
      <c r="AJ122" s="250"/>
      <c r="AK122" s="232"/>
      <c r="AL122" s="184"/>
    </row>
    <row r="123" spans="7:38" ht="17.100000000000001" customHeight="1" x14ac:dyDescent="0.25">
      <c r="G123" s="230"/>
      <c r="H123" s="112"/>
      <c r="L123" s="144"/>
      <c r="M123" s="143"/>
      <c r="AG123" s="71"/>
      <c r="AH123" s="187"/>
      <c r="AI123" s="181"/>
      <c r="AJ123" s="250"/>
      <c r="AK123" s="232"/>
      <c r="AL123" s="184"/>
    </row>
    <row r="124" spans="7:38" ht="17.100000000000001" customHeight="1" x14ac:dyDescent="0.25">
      <c r="G124" s="230"/>
      <c r="H124" s="112"/>
      <c r="L124" s="144"/>
      <c r="M124" s="143"/>
      <c r="AG124" s="71"/>
      <c r="AH124" s="187"/>
      <c r="AI124" s="181"/>
      <c r="AJ124" s="250"/>
      <c r="AK124" s="232"/>
      <c r="AL124" s="184"/>
    </row>
    <row r="125" spans="7:38" ht="17.100000000000001" customHeight="1" x14ac:dyDescent="0.25">
      <c r="G125" s="230"/>
      <c r="H125" s="112"/>
      <c r="L125" s="144"/>
      <c r="M125" s="143"/>
      <c r="AG125" s="71"/>
      <c r="AH125" s="187"/>
      <c r="AI125" s="181"/>
      <c r="AJ125" s="250"/>
      <c r="AK125" s="232"/>
      <c r="AL125" s="184"/>
    </row>
    <row r="126" spans="7:38" ht="17.100000000000001" customHeight="1" x14ac:dyDescent="0.25">
      <c r="G126" s="230"/>
      <c r="H126" s="112"/>
      <c r="L126" s="144"/>
      <c r="M126" s="143"/>
      <c r="AG126" s="71"/>
      <c r="AH126" s="187"/>
      <c r="AI126" s="181"/>
      <c r="AJ126" s="250"/>
      <c r="AK126" s="232"/>
      <c r="AL126" s="184"/>
    </row>
    <row r="127" spans="7:38" ht="17.100000000000001" customHeight="1" x14ac:dyDescent="0.25">
      <c r="G127" s="230"/>
      <c r="H127" s="112"/>
      <c r="L127" s="144"/>
      <c r="M127" s="143"/>
      <c r="AG127" s="71"/>
      <c r="AH127" s="187"/>
      <c r="AI127" s="181"/>
      <c r="AJ127" s="250"/>
      <c r="AK127" s="232"/>
      <c r="AL127" s="184"/>
    </row>
    <row r="128" spans="7:38" ht="17.100000000000001" customHeight="1" x14ac:dyDescent="0.25">
      <c r="G128" s="230"/>
      <c r="H128" s="112"/>
      <c r="L128" s="144"/>
      <c r="M128" s="143"/>
      <c r="AG128" s="71"/>
      <c r="AH128" s="187"/>
      <c r="AI128" s="181"/>
      <c r="AJ128" s="250"/>
      <c r="AK128" s="232"/>
      <c r="AL128" s="184"/>
    </row>
    <row r="129" spans="1:38" ht="17.100000000000001" customHeight="1" x14ac:dyDescent="0.25">
      <c r="G129" s="230"/>
      <c r="H129" s="112"/>
      <c r="L129" s="144"/>
      <c r="M129" s="143"/>
      <c r="AG129" s="71"/>
      <c r="AH129" s="187"/>
      <c r="AI129" s="181"/>
      <c r="AJ129" s="250"/>
      <c r="AK129" s="232"/>
      <c r="AL129" s="184"/>
    </row>
    <row r="130" spans="1:38" ht="17.100000000000001" customHeight="1" x14ac:dyDescent="0.25">
      <c r="A130" s="231"/>
      <c r="G130" s="230"/>
      <c r="H130" s="112"/>
      <c r="L130" s="144"/>
      <c r="M130" s="143"/>
      <c r="AG130" s="71"/>
      <c r="AH130" s="187"/>
      <c r="AI130" s="181"/>
      <c r="AJ130" s="250"/>
      <c r="AK130" s="232"/>
      <c r="AL130" s="184"/>
    </row>
    <row r="131" spans="1:38" ht="17.100000000000001" customHeight="1" x14ac:dyDescent="0.25">
      <c r="G131" s="230"/>
      <c r="H131" s="112"/>
      <c r="L131" s="144"/>
      <c r="M131" s="143"/>
      <c r="AG131" s="71"/>
      <c r="AH131" s="187"/>
      <c r="AI131" s="181"/>
      <c r="AJ131" s="250"/>
      <c r="AK131" s="232"/>
      <c r="AL131" s="184"/>
    </row>
    <row r="132" spans="1:38" ht="17.100000000000001" customHeight="1" x14ac:dyDescent="0.25">
      <c r="G132" s="230"/>
      <c r="H132" s="112"/>
      <c r="L132" s="144"/>
      <c r="M132" s="143"/>
      <c r="AG132" s="71"/>
      <c r="AH132" s="187"/>
      <c r="AI132" s="181"/>
      <c r="AJ132" s="250"/>
      <c r="AK132" s="232"/>
      <c r="AL132" s="184"/>
    </row>
    <row r="133" spans="1:38" ht="17.100000000000001" customHeight="1" x14ac:dyDescent="0.25">
      <c r="G133" s="230"/>
      <c r="H133" s="112"/>
      <c r="L133" s="144"/>
      <c r="M133" s="143"/>
      <c r="AG133" s="71"/>
      <c r="AH133" s="187"/>
      <c r="AI133" s="181"/>
      <c r="AJ133" s="250"/>
      <c r="AK133" s="232"/>
      <c r="AL133" s="184"/>
    </row>
    <row r="134" spans="1:38" ht="17.100000000000001" customHeight="1" x14ac:dyDescent="0.25">
      <c r="G134" s="230"/>
      <c r="H134" s="112"/>
      <c r="L134" s="144"/>
      <c r="M134" s="143"/>
      <c r="AG134" s="71"/>
      <c r="AH134" s="187"/>
      <c r="AI134" s="181"/>
      <c r="AJ134" s="250"/>
      <c r="AK134" s="232"/>
      <c r="AL134" s="184"/>
    </row>
    <row r="135" spans="1:38" ht="17.100000000000001" customHeight="1" x14ac:dyDescent="0.25">
      <c r="G135" s="230"/>
      <c r="H135" s="112"/>
      <c r="L135" s="144"/>
      <c r="M135" s="143"/>
      <c r="AG135" s="71"/>
      <c r="AH135" s="187"/>
      <c r="AI135" s="181"/>
      <c r="AJ135" s="250"/>
      <c r="AK135" s="232"/>
      <c r="AL135" s="184"/>
    </row>
    <row r="136" spans="1:38" ht="17.100000000000001" customHeight="1" x14ac:dyDescent="0.25">
      <c r="G136" s="230"/>
      <c r="H136" s="112"/>
      <c r="L136" s="144"/>
      <c r="M136" s="143"/>
      <c r="AG136" s="71"/>
      <c r="AH136" s="187"/>
      <c r="AI136" s="181"/>
      <c r="AJ136" s="250"/>
      <c r="AK136" s="232"/>
      <c r="AL136" s="184"/>
    </row>
    <row r="137" spans="1:38" ht="17.100000000000001" customHeight="1" x14ac:dyDescent="0.25">
      <c r="G137" s="230"/>
      <c r="H137" s="112"/>
      <c r="L137" s="144"/>
      <c r="M137" s="143"/>
      <c r="AG137" s="71"/>
      <c r="AH137" s="187"/>
      <c r="AI137" s="181"/>
      <c r="AJ137" s="250"/>
      <c r="AK137" s="232"/>
      <c r="AL137" s="184"/>
    </row>
    <row r="138" spans="1:38" ht="17.100000000000001" customHeight="1" x14ac:dyDescent="0.25">
      <c r="G138" s="230"/>
      <c r="H138" s="112"/>
      <c r="L138" s="144"/>
      <c r="M138" s="143"/>
      <c r="AG138" s="71"/>
      <c r="AH138" s="187"/>
      <c r="AI138" s="181"/>
      <c r="AJ138" s="250"/>
      <c r="AK138" s="232"/>
      <c r="AL138" s="184"/>
    </row>
    <row r="139" spans="1:38" ht="17.100000000000001" customHeight="1" x14ac:dyDescent="0.25">
      <c r="G139" s="230"/>
      <c r="H139" s="112"/>
      <c r="L139" s="144"/>
      <c r="M139" s="143"/>
      <c r="AG139" s="71"/>
      <c r="AH139" s="187"/>
      <c r="AI139" s="181"/>
      <c r="AJ139" s="250"/>
      <c r="AK139" s="232"/>
      <c r="AL139" s="184"/>
    </row>
    <row r="140" spans="1:38" ht="17.100000000000001" customHeight="1" x14ac:dyDescent="0.25">
      <c r="G140" s="230"/>
      <c r="H140" s="112"/>
      <c r="L140" s="144"/>
      <c r="M140" s="143"/>
      <c r="AG140" s="71"/>
      <c r="AH140" s="187"/>
      <c r="AI140" s="181"/>
      <c r="AJ140" s="250"/>
      <c r="AK140" s="232"/>
      <c r="AL140" s="184"/>
    </row>
    <row r="141" spans="1:38" ht="17.100000000000001" customHeight="1" x14ac:dyDescent="0.25">
      <c r="G141" s="230"/>
      <c r="H141" s="112"/>
      <c r="L141" s="144"/>
      <c r="M141" s="143"/>
      <c r="AG141" s="71"/>
      <c r="AH141" s="187"/>
      <c r="AI141" s="181"/>
      <c r="AJ141" s="250"/>
      <c r="AK141" s="232"/>
      <c r="AL141" s="184"/>
    </row>
    <row r="142" spans="1:38" ht="17.100000000000001" customHeight="1" x14ac:dyDescent="0.25">
      <c r="G142" s="230"/>
      <c r="H142" s="112"/>
      <c r="L142" s="144"/>
      <c r="M142" s="143"/>
      <c r="AG142" s="71"/>
      <c r="AH142" s="187"/>
      <c r="AI142" s="181"/>
      <c r="AJ142" s="250"/>
      <c r="AK142" s="232"/>
      <c r="AL142" s="184"/>
    </row>
    <row r="143" spans="1:38" ht="17.100000000000001" customHeight="1" x14ac:dyDescent="0.25">
      <c r="G143" s="230"/>
      <c r="H143" s="112"/>
      <c r="L143" s="144"/>
      <c r="M143" s="143"/>
      <c r="AG143" s="71"/>
      <c r="AH143" s="187"/>
      <c r="AI143" s="181"/>
      <c r="AJ143" s="250"/>
      <c r="AK143" s="232"/>
      <c r="AL143" s="184"/>
    </row>
    <row r="144" spans="1:38" ht="17.100000000000001" customHeight="1" x14ac:dyDescent="0.25">
      <c r="G144" s="230"/>
      <c r="H144" s="112"/>
      <c r="L144" s="144"/>
      <c r="M144" s="143"/>
      <c r="AG144" s="71"/>
      <c r="AH144" s="187"/>
      <c r="AI144" s="181"/>
      <c r="AJ144" s="250"/>
      <c r="AK144" s="232"/>
      <c r="AL144" s="184"/>
    </row>
    <row r="145" spans="1:38" ht="17.100000000000001" customHeight="1" x14ac:dyDescent="0.25">
      <c r="G145" s="230"/>
      <c r="H145" s="112"/>
      <c r="L145" s="144"/>
      <c r="M145" s="143"/>
      <c r="AG145" s="71"/>
      <c r="AH145" s="187"/>
      <c r="AI145" s="181"/>
      <c r="AJ145" s="250"/>
      <c r="AK145" s="232"/>
      <c r="AL145" s="184"/>
    </row>
    <row r="146" spans="1:38" ht="17.100000000000001" customHeight="1" x14ac:dyDescent="0.25">
      <c r="G146" s="230"/>
      <c r="H146" s="112"/>
      <c r="L146" s="144"/>
      <c r="M146" s="143"/>
      <c r="AG146" s="71"/>
      <c r="AH146" s="187"/>
      <c r="AI146" s="181"/>
      <c r="AJ146" s="250"/>
      <c r="AK146" s="232"/>
      <c r="AL146" s="184"/>
    </row>
    <row r="147" spans="1:38" ht="17.100000000000001" customHeight="1" x14ac:dyDescent="0.25">
      <c r="G147" s="230"/>
      <c r="H147" s="112"/>
      <c r="L147" s="144"/>
      <c r="M147" s="143"/>
      <c r="AG147" s="71"/>
      <c r="AH147" s="187"/>
      <c r="AI147" s="181"/>
      <c r="AJ147" s="250"/>
      <c r="AK147" s="232"/>
      <c r="AL147" s="184"/>
    </row>
    <row r="148" spans="1:38" ht="17.100000000000001" customHeight="1" x14ac:dyDescent="0.25">
      <c r="G148" s="230"/>
      <c r="H148" s="112"/>
      <c r="L148" s="144"/>
      <c r="M148" s="143"/>
      <c r="AG148" s="71"/>
      <c r="AH148" s="187"/>
      <c r="AI148" s="181"/>
      <c r="AJ148" s="250"/>
      <c r="AK148" s="232"/>
      <c r="AL148" s="184"/>
    </row>
    <row r="149" spans="1:38" ht="17.100000000000001" customHeight="1" x14ac:dyDescent="0.25">
      <c r="G149" s="230"/>
      <c r="H149" s="112"/>
      <c r="L149" s="144"/>
      <c r="M149" s="143"/>
      <c r="AG149" s="71"/>
      <c r="AH149" s="187"/>
      <c r="AI149" s="181"/>
      <c r="AJ149" s="250"/>
      <c r="AK149" s="232"/>
      <c r="AL149" s="184"/>
    </row>
    <row r="150" spans="1:38" ht="17.100000000000001" customHeight="1" x14ac:dyDescent="0.25">
      <c r="G150" s="230"/>
      <c r="H150" s="112"/>
      <c r="L150" s="144"/>
      <c r="M150" s="143"/>
      <c r="AG150" s="71"/>
      <c r="AH150" s="187"/>
      <c r="AI150" s="181"/>
      <c r="AJ150" s="250"/>
      <c r="AK150" s="232"/>
      <c r="AL150" s="184"/>
    </row>
    <row r="151" spans="1:38" ht="17.100000000000001" customHeight="1" x14ac:dyDescent="0.25">
      <c r="G151" s="230"/>
      <c r="H151" s="112"/>
      <c r="L151" s="144"/>
      <c r="M151" s="143"/>
      <c r="AG151" s="71"/>
      <c r="AH151" s="187"/>
      <c r="AI151" s="181"/>
      <c r="AJ151" s="250"/>
      <c r="AK151" s="232"/>
      <c r="AL151" s="184"/>
    </row>
    <row r="152" spans="1:38" ht="17.100000000000001" customHeight="1" x14ac:dyDescent="0.25">
      <c r="G152" s="230"/>
      <c r="H152" s="112"/>
      <c r="L152" s="144"/>
      <c r="M152" s="143"/>
      <c r="AG152" s="71"/>
      <c r="AH152" s="187"/>
      <c r="AI152" s="181"/>
      <c r="AJ152" s="250"/>
      <c r="AK152" s="232"/>
      <c r="AL152" s="184"/>
    </row>
    <row r="153" spans="1:38" ht="17.100000000000001" customHeight="1" x14ac:dyDescent="0.25">
      <c r="A153" s="231"/>
      <c r="G153" s="230"/>
      <c r="H153" s="112"/>
      <c r="L153" s="144"/>
      <c r="M153" s="143"/>
      <c r="AG153" s="71"/>
      <c r="AH153" s="187"/>
      <c r="AI153" s="181"/>
      <c r="AJ153" s="250"/>
      <c r="AK153" s="232"/>
      <c r="AL153" s="184"/>
    </row>
    <row r="154" spans="1:38" ht="17.100000000000001" customHeight="1" x14ac:dyDescent="0.25">
      <c r="G154" s="230"/>
      <c r="H154" s="112"/>
      <c r="L154" s="144"/>
      <c r="M154" s="143"/>
      <c r="AG154" s="71"/>
      <c r="AH154" s="187"/>
      <c r="AI154" s="181"/>
      <c r="AJ154" s="250"/>
      <c r="AK154" s="232"/>
      <c r="AL154" s="184"/>
    </row>
    <row r="155" spans="1:38" ht="17.100000000000001" customHeight="1" x14ac:dyDescent="0.25">
      <c r="G155" s="230"/>
      <c r="H155" s="112"/>
      <c r="L155" s="144"/>
      <c r="M155" s="143"/>
      <c r="AG155" s="71"/>
      <c r="AH155" s="187"/>
      <c r="AI155" s="181"/>
      <c r="AJ155" s="250"/>
      <c r="AK155" s="232"/>
      <c r="AL155" s="184"/>
    </row>
    <row r="156" spans="1:38" ht="17.100000000000001" customHeight="1" x14ac:dyDescent="0.25">
      <c r="G156" s="230"/>
      <c r="H156" s="112"/>
      <c r="L156" s="144"/>
      <c r="M156" s="143"/>
      <c r="AG156" s="71"/>
      <c r="AH156" s="187"/>
      <c r="AI156" s="181"/>
      <c r="AJ156" s="250"/>
      <c r="AK156" s="232"/>
      <c r="AL156" s="184"/>
    </row>
    <row r="157" spans="1:38" ht="17.100000000000001" customHeight="1" x14ac:dyDescent="0.25">
      <c r="G157" s="230"/>
      <c r="H157" s="112"/>
      <c r="L157" s="144"/>
      <c r="M157" s="143"/>
      <c r="AG157" s="71"/>
      <c r="AH157" s="187"/>
      <c r="AI157" s="181"/>
      <c r="AJ157" s="250"/>
      <c r="AK157" s="232"/>
      <c r="AL157" s="184"/>
    </row>
    <row r="158" spans="1:38" ht="17.100000000000001" customHeight="1" x14ac:dyDescent="0.25">
      <c r="G158" s="230"/>
      <c r="H158" s="112"/>
      <c r="L158" s="144"/>
      <c r="M158" s="143"/>
      <c r="AG158" s="71"/>
      <c r="AH158" s="187"/>
      <c r="AI158" s="181"/>
      <c r="AJ158" s="250"/>
      <c r="AK158" s="232"/>
      <c r="AL158" s="184"/>
    </row>
    <row r="159" spans="1:38" ht="17.100000000000001" customHeight="1" x14ac:dyDescent="0.25">
      <c r="G159" s="230"/>
      <c r="H159" s="112"/>
      <c r="L159" s="144"/>
      <c r="M159" s="143"/>
      <c r="AG159" s="71"/>
      <c r="AH159" s="187"/>
      <c r="AI159" s="181"/>
      <c r="AJ159" s="250"/>
      <c r="AK159" s="232"/>
      <c r="AL159" s="184"/>
    </row>
    <row r="160" spans="1:38" ht="17.100000000000001" customHeight="1" x14ac:dyDescent="0.25">
      <c r="G160" s="230"/>
      <c r="H160" s="112"/>
      <c r="L160" s="144"/>
      <c r="M160" s="143"/>
      <c r="AG160" s="71"/>
      <c r="AH160" s="187"/>
      <c r="AI160" s="181"/>
      <c r="AJ160" s="250"/>
      <c r="AK160" s="232"/>
      <c r="AL160" s="184"/>
    </row>
    <row r="161" spans="7:38" ht="17.100000000000001" customHeight="1" x14ac:dyDescent="0.25">
      <c r="G161" s="230"/>
      <c r="H161" s="112"/>
      <c r="L161" s="144"/>
      <c r="M161" s="143"/>
      <c r="AG161" s="71"/>
      <c r="AH161" s="187"/>
      <c r="AI161" s="181"/>
      <c r="AJ161" s="250"/>
      <c r="AK161" s="232"/>
      <c r="AL161" s="184"/>
    </row>
    <row r="162" spans="7:38" ht="17.100000000000001" customHeight="1" x14ac:dyDescent="0.25">
      <c r="G162" s="230"/>
      <c r="H162" s="112"/>
      <c r="L162" s="144"/>
      <c r="M162" s="143"/>
      <c r="AG162" s="71"/>
      <c r="AH162" s="187"/>
      <c r="AI162" s="181"/>
      <c r="AJ162" s="250"/>
      <c r="AK162" s="232"/>
      <c r="AL162" s="184"/>
    </row>
    <row r="163" spans="7:38" ht="17.100000000000001" customHeight="1" x14ac:dyDescent="0.25">
      <c r="G163" s="230"/>
      <c r="H163" s="112"/>
      <c r="L163" s="144"/>
      <c r="M163" s="143"/>
      <c r="AG163" s="71"/>
      <c r="AH163" s="187"/>
      <c r="AI163" s="181"/>
      <c r="AJ163" s="250"/>
      <c r="AK163" s="232"/>
      <c r="AL163" s="184"/>
    </row>
    <row r="164" spans="7:38" ht="17.100000000000001" customHeight="1" x14ac:dyDescent="0.25">
      <c r="G164" s="230"/>
      <c r="H164" s="112"/>
      <c r="L164" s="144"/>
      <c r="M164" s="143"/>
      <c r="AG164" s="71"/>
      <c r="AH164" s="187"/>
      <c r="AI164" s="181"/>
      <c r="AJ164" s="250"/>
      <c r="AK164" s="232"/>
      <c r="AL164" s="184"/>
    </row>
    <row r="165" spans="7:38" ht="17.100000000000001" customHeight="1" x14ac:dyDescent="0.25">
      <c r="G165" s="230"/>
      <c r="H165" s="112"/>
      <c r="L165" s="144"/>
      <c r="M165" s="143"/>
      <c r="AG165" s="71"/>
      <c r="AH165" s="187"/>
      <c r="AI165" s="181"/>
      <c r="AJ165" s="250"/>
      <c r="AK165" s="232"/>
      <c r="AL165" s="184"/>
    </row>
    <row r="166" spans="7:38" ht="17.100000000000001" customHeight="1" x14ac:dyDescent="0.25">
      <c r="G166" s="230"/>
      <c r="H166" s="112"/>
      <c r="L166" s="144"/>
      <c r="M166" s="143"/>
      <c r="AG166" s="71"/>
      <c r="AH166" s="187"/>
      <c r="AI166" s="181"/>
      <c r="AJ166" s="250"/>
      <c r="AK166" s="232"/>
      <c r="AL166" s="184"/>
    </row>
    <row r="167" spans="7:38" ht="17.100000000000001" customHeight="1" x14ac:dyDescent="0.25">
      <c r="G167" s="230"/>
      <c r="H167" s="112"/>
      <c r="L167" s="144"/>
      <c r="M167" s="143"/>
      <c r="AG167" s="71"/>
      <c r="AH167" s="187"/>
      <c r="AI167" s="181"/>
      <c r="AJ167" s="250"/>
      <c r="AK167" s="232"/>
      <c r="AL167" s="184"/>
    </row>
    <row r="168" spans="7:38" ht="17.100000000000001" customHeight="1" x14ac:dyDescent="0.25">
      <c r="G168" s="230"/>
      <c r="H168" s="112"/>
      <c r="L168" s="144"/>
      <c r="M168" s="143"/>
      <c r="AG168" s="71"/>
      <c r="AH168" s="187"/>
      <c r="AI168" s="181"/>
      <c r="AJ168" s="250"/>
      <c r="AK168" s="232"/>
      <c r="AL168" s="184"/>
    </row>
    <row r="169" spans="7:38" ht="17.100000000000001" customHeight="1" x14ac:dyDescent="0.25">
      <c r="G169" s="230"/>
      <c r="H169" s="112"/>
      <c r="L169" s="144"/>
      <c r="M169" s="143"/>
      <c r="AG169" s="71"/>
      <c r="AH169" s="187"/>
      <c r="AI169" s="181"/>
      <c r="AJ169" s="250"/>
      <c r="AK169" s="232"/>
      <c r="AL169" s="184"/>
    </row>
    <row r="170" spans="7:38" ht="17.100000000000001" customHeight="1" x14ac:dyDescent="0.25">
      <c r="G170" s="230"/>
      <c r="H170" s="112"/>
      <c r="L170" s="144"/>
      <c r="M170" s="143"/>
      <c r="AG170" s="71"/>
      <c r="AH170" s="187"/>
      <c r="AI170" s="181"/>
      <c r="AJ170" s="250"/>
      <c r="AK170" s="232"/>
      <c r="AL170" s="184"/>
    </row>
    <row r="171" spans="7:38" ht="17.100000000000001" customHeight="1" x14ac:dyDescent="0.25">
      <c r="G171" s="230"/>
      <c r="H171" s="112"/>
      <c r="L171" s="144"/>
      <c r="M171" s="143"/>
      <c r="AG171" s="71"/>
      <c r="AH171" s="187"/>
      <c r="AI171" s="181"/>
      <c r="AJ171" s="250"/>
      <c r="AK171" s="232"/>
      <c r="AL171" s="184"/>
    </row>
    <row r="172" spans="7:38" ht="17.100000000000001" customHeight="1" x14ac:dyDescent="0.25">
      <c r="G172" s="230"/>
      <c r="H172" s="112"/>
      <c r="L172" s="144"/>
      <c r="M172" s="143"/>
      <c r="AG172" s="71"/>
      <c r="AH172" s="187"/>
      <c r="AI172" s="181"/>
      <c r="AJ172" s="250"/>
      <c r="AK172" s="232"/>
      <c r="AL172" s="184"/>
    </row>
    <row r="173" spans="7:38" ht="17.100000000000001" customHeight="1" x14ac:dyDescent="0.25">
      <c r="G173" s="230"/>
      <c r="H173" s="112"/>
      <c r="L173" s="144"/>
      <c r="M173" s="143"/>
      <c r="AG173" s="71"/>
      <c r="AH173" s="187"/>
      <c r="AI173" s="181"/>
      <c r="AJ173" s="250"/>
      <c r="AK173" s="232"/>
      <c r="AL173" s="184"/>
    </row>
    <row r="174" spans="7:38" ht="17.100000000000001" customHeight="1" x14ac:dyDescent="0.25">
      <c r="G174" s="230"/>
      <c r="H174" s="112"/>
      <c r="L174" s="144"/>
      <c r="M174" s="143"/>
      <c r="AG174" s="71"/>
      <c r="AH174" s="187"/>
      <c r="AI174" s="181"/>
      <c r="AJ174" s="250"/>
      <c r="AK174" s="232"/>
      <c r="AL174" s="184"/>
    </row>
    <row r="175" spans="7:38" ht="17.100000000000001" customHeight="1" x14ac:dyDescent="0.25">
      <c r="G175" s="230"/>
      <c r="H175" s="112"/>
      <c r="L175" s="144"/>
      <c r="M175" s="143"/>
      <c r="AG175" s="71"/>
      <c r="AH175" s="187"/>
      <c r="AI175" s="181"/>
      <c r="AJ175" s="250"/>
      <c r="AK175" s="232"/>
      <c r="AL175" s="184"/>
    </row>
    <row r="176" spans="7:38" ht="17.100000000000001" customHeight="1" x14ac:dyDescent="0.25">
      <c r="G176" s="230"/>
      <c r="H176" s="112"/>
      <c r="L176" s="144"/>
      <c r="M176" s="143"/>
      <c r="AG176" s="71"/>
      <c r="AH176" s="187"/>
      <c r="AI176" s="181"/>
      <c r="AJ176" s="250"/>
      <c r="AK176" s="232"/>
      <c r="AL176" s="184"/>
    </row>
    <row r="177" spans="1:38" ht="17.100000000000001" customHeight="1" x14ac:dyDescent="0.25">
      <c r="G177" s="230"/>
      <c r="H177" s="112"/>
      <c r="L177" s="144"/>
      <c r="M177" s="143"/>
      <c r="AG177" s="71"/>
      <c r="AH177" s="187"/>
      <c r="AI177" s="181"/>
      <c r="AJ177" s="250"/>
      <c r="AK177" s="232"/>
      <c r="AL177" s="184"/>
    </row>
    <row r="178" spans="1:38" ht="17.100000000000001" customHeight="1" x14ac:dyDescent="0.25">
      <c r="G178" s="230"/>
      <c r="H178" s="112"/>
      <c r="L178" s="144"/>
      <c r="M178" s="143"/>
      <c r="AG178" s="71"/>
      <c r="AH178" s="187"/>
      <c r="AI178" s="181"/>
      <c r="AJ178" s="250"/>
      <c r="AK178" s="232"/>
      <c r="AL178" s="184"/>
    </row>
    <row r="179" spans="1:38" ht="17.100000000000001" customHeight="1" x14ac:dyDescent="0.25">
      <c r="G179" s="230"/>
      <c r="H179" s="112"/>
      <c r="L179" s="144"/>
      <c r="M179" s="143"/>
      <c r="AG179" s="71"/>
      <c r="AH179" s="187"/>
      <c r="AI179" s="181"/>
      <c r="AJ179" s="250"/>
      <c r="AK179" s="232"/>
      <c r="AL179" s="184"/>
    </row>
    <row r="180" spans="1:38" ht="17.100000000000001" customHeight="1" x14ac:dyDescent="0.25">
      <c r="G180" s="230"/>
      <c r="H180" s="112"/>
      <c r="L180" s="144"/>
      <c r="M180" s="143"/>
      <c r="AG180" s="71"/>
      <c r="AH180" s="187"/>
      <c r="AI180" s="181"/>
      <c r="AJ180" s="250"/>
      <c r="AK180" s="232"/>
      <c r="AL180" s="184"/>
    </row>
    <row r="181" spans="1:38" ht="17.100000000000001" customHeight="1" x14ac:dyDescent="0.25">
      <c r="G181" s="230"/>
      <c r="H181" s="112"/>
      <c r="L181" s="144"/>
      <c r="M181" s="143"/>
      <c r="AG181" s="71"/>
      <c r="AH181" s="187"/>
      <c r="AI181" s="181"/>
      <c r="AJ181" s="250"/>
      <c r="AK181" s="232"/>
      <c r="AL181" s="184"/>
    </row>
    <row r="182" spans="1:38" ht="17.100000000000001" customHeight="1" x14ac:dyDescent="0.25">
      <c r="G182" s="230"/>
      <c r="H182" s="112"/>
      <c r="L182" s="144"/>
      <c r="M182" s="143"/>
      <c r="AG182" s="71"/>
      <c r="AH182" s="187"/>
      <c r="AI182" s="181"/>
      <c r="AJ182" s="250"/>
      <c r="AK182" s="232"/>
      <c r="AL182" s="184"/>
    </row>
    <row r="183" spans="1:38" ht="17.100000000000001" customHeight="1" x14ac:dyDescent="0.25">
      <c r="G183" s="230"/>
      <c r="H183" s="112"/>
      <c r="L183" s="144"/>
      <c r="M183" s="143"/>
      <c r="AG183" s="71"/>
      <c r="AH183" s="187"/>
      <c r="AI183" s="181"/>
      <c r="AJ183" s="250"/>
      <c r="AK183" s="232"/>
      <c r="AL183" s="184"/>
    </row>
    <row r="184" spans="1:38" ht="17.100000000000001" customHeight="1" x14ac:dyDescent="0.25">
      <c r="G184" s="230"/>
      <c r="H184" s="112"/>
      <c r="L184" s="144"/>
      <c r="M184" s="143"/>
      <c r="AG184" s="71"/>
      <c r="AH184" s="187"/>
      <c r="AI184" s="181"/>
      <c r="AJ184" s="250"/>
      <c r="AK184" s="232"/>
      <c r="AL184" s="184"/>
    </row>
    <row r="185" spans="1:38" ht="17.100000000000001" customHeight="1" x14ac:dyDescent="0.25">
      <c r="G185" s="230"/>
      <c r="H185" s="112"/>
      <c r="L185" s="144"/>
      <c r="M185" s="143"/>
      <c r="AG185" s="71"/>
      <c r="AH185" s="187"/>
      <c r="AI185" s="181"/>
      <c r="AJ185" s="250"/>
      <c r="AK185" s="232"/>
      <c r="AL185" s="184"/>
    </row>
    <row r="186" spans="1:38" ht="17.100000000000001" customHeight="1" x14ac:dyDescent="0.25">
      <c r="A186" s="231"/>
      <c r="G186" s="230"/>
      <c r="H186" s="112"/>
      <c r="L186" s="144"/>
      <c r="M186" s="143"/>
      <c r="AG186" s="71"/>
      <c r="AH186" s="187"/>
      <c r="AI186" s="181"/>
      <c r="AJ186" s="250"/>
      <c r="AK186" s="232"/>
      <c r="AL186" s="184"/>
    </row>
    <row r="187" spans="1:38" ht="17.100000000000001" customHeight="1" x14ac:dyDescent="0.25">
      <c r="G187" s="230"/>
      <c r="H187" s="112"/>
      <c r="L187" s="144"/>
      <c r="M187" s="143"/>
      <c r="AG187" s="71"/>
      <c r="AH187" s="187"/>
      <c r="AI187" s="181"/>
      <c r="AJ187" s="250"/>
      <c r="AK187" s="232"/>
      <c r="AL187" s="184"/>
    </row>
    <row r="188" spans="1:38" ht="17.100000000000001" customHeight="1" x14ac:dyDescent="0.25">
      <c r="G188" s="230"/>
      <c r="H188" s="112"/>
      <c r="L188" s="144"/>
      <c r="M188" s="143"/>
      <c r="AG188" s="71"/>
      <c r="AH188" s="187"/>
      <c r="AI188" s="181"/>
      <c r="AJ188" s="250"/>
      <c r="AK188" s="232"/>
      <c r="AL188" s="184"/>
    </row>
    <row r="189" spans="1:38" ht="17.100000000000001" customHeight="1" x14ac:dyDescent="0.25">
      <c r="G189" s="230"/>
      <c r="H189" s="112"/>
      <c r="L189" s="144"/>
      <c r="M189" s="143"/>
      <c r="AG189" s="71"/>
      <c r="AH189" s="187"/>
      <c r="AI189" s="181"/>
      <c r="AJ189" s="250"/>
      <c r="AK189" s="232"/>
      <c r="AL189" s="184"/>
    </row>
    <row r="190" spans="1:38" ht="17.100000000000001" customHeight="1" x14ac:dyDescent="0.25">
      <c r="G190" s="230"/>
      <c r="H190" s="112"/>
      <c r="L190" s="144"/>
      <c r="M190" s="143"/>
      <c r="AG190" s="71"/>
      <c r="AH190" s="187"/>
      <c r="AI190" s="181"/>
      <c r="AJ190" s="250"/>
      <c r="AK190" s="232"/>
      <c r="AL190" s="184"/>
    </row>
    <row r="191" spans="1:38" ht="17.100000000000001" customHeight="1" x14ac:dyDescent="0.25">
      <c r="G191" s="230"/>
      <c r="H191" s="112"/>
      <c r="L191" s="144"/>
      <c r="M191" s="143"/>
      <c r="AG191" s="71"/>
      <c r="AH191" s="187"/>
      <c r="AI191" s="181"/>
      <c r="AJ191" s="250"/>
      <c r="AK191" s="232"/>
      <c r="AL191" s="184"/>
    </row>
    <row r="192" spans="1:38" ht="17.100000000000001" customHeight="1" x14ac:dyDescent="0.25">
      <c r="G192" s="230"/>
      <c r="H192" s="112"/>
      <c r="L192" s="144"/>
      <c r="M192" s="143"/>
      <c r="AG192" s="71"/>
      <c r="AH192" s="187"/>
      <c r="AI192" s="181"/>
      <c r="AJ192" s="250"/>
      <c r="AK192" s="232"/>
      <c r="AL192" s="184"/>
    </row>
    <row r="193" spans="7:37" ht="17.100000000000001" customHeight="1" x14ac:dyDescent="0.25">
      <c r="G193" s="230"/>
      <c r="H193" s="112"/>
      <c r="L193" s="144"/>
      <c r="M193" s="143"/>
      <c r="AG193" s="71"/>
      <c r="AH193" s="187"/>
      <c r="AI193" s="181"/>
      <c r="AJ193" s="252"/>
      <c r="AK193" s="182"/>
    </row>
    <row r="194" spans="7:37" ht="17.100000000000001" customHeight="1" x14ac:dyDescent="0.25">
      <c r="G194" s="230"/>
      <c r="H194" s="112"/>
      <c r="L194" s="144"/>
      <c r="M194" s="143"/>
      <c r="AG194" s="71"/>
      <c r="AH194" s="187"/>
      <c r="AI194" s="181"/>
      <c r="AJ194" s="252"/>
      <c r="AK194" s="182"/>
    </row>
    <row r="195" spans="7:37" ht="17.100000000000001" customHeight="1" x14ac:dyDescent="0.25">
      <c r="G195" s="230"/>
      <c r="H195" s="112"/>
      <c r="L195" s="144"/>
      <c r="M195" s="143"/>
      <c r="AG195" s="71"/>
      <c r="AH195" s="187"/>
      <c r="AI195" s="181"/>
      <c r="AJ195" s="252"/>
      <c r="AK195" s="182"/>
    </row>
    <row r="196" spans="7:37" ht="17.100000000000001" customHeight="1" x14ac:dyDescent="0.25">
      <c r="G196" s="230"/>
      <c r="H196" s="112"/>
      <c r="L196" s="144"/>
      <c r="M196" s="143"/>
      <c r="AG196" s="71"/>
      <c r="AH196" s="187"/>
      <c r="AI196" s="181"/>
      <c r="AJ196" s="252"/>
      <c r="AK196" s="182"/>
    </row>
    <row r="197" spans="7:37" ht="17.100000000000001" customHeight="1" x14ac:dyDescent="0.25">
      <c r="G197" s="230"/>
      <c r="H197" s="112"/>
      <c r="L197" s="144"/>
      <c r="M197" s="143"/>
      <c r="AG197" s="71"/>
      <c r="AH197" s="187"/>
      <c r="AI197" s="181"/>
      <c r="AJ197" s="252"/>
      <c r="AK197" s="182"/>
    </row>
    <row r="198" spans="7:37" ht="17.100000000000001" customHeight="1" x14ac:dyDescent="0.25">
      <c r="G198" s="230"/>
      <c r="H198" s="112"/>
      <c r="L198" s="144"/>
      <c r="M198" s="143"/>
      <c r="AG198" s="71"/>
      <c r="AH198" s="187"/>
      <c r="AI198" s="181"/>
      <c r="AJ198" s="252"/>
      <c r="AK198" s="182"/>
    </row>
    <row r="199" spans="7:37" ht="17.100000000000001" customHeight="1" x14ac:dyDescent="0.25">
      <c r="G199" s="230"/>
      <c r="H199" s="112"/>
      <c r="L199" s="144"/>
      <c r="M199" s="143"/>
      <c r="AG199" s="71"/>
      <c r="AH199" s="187"/>
      <c r="AI199" s="181"/>
      <c r="AJ199" s="252"/>
      <c r="AK199" s="182"/>
    </row>
    <row r="200" spans="7:37" ht="17.100000000000001" customHeight="1" x14ac:dyDescent="0.25">
      <c r="G200" s="230"/>
      <c r="H200" s="112"/>
      <c r="L200" s="144"/>
      <c r="M200" s="143"/>
      <c r="AG200" s="71"/>
      <c r="AH200" s="187"/>
      <c r="AI200" s="181"/>
      <c r="AJ200" s="252"/>
      <c r="AK200" s="182"/>
    </row>
    <row r="201" spans="7:37" ht="17.100000000000001" customHeight="1" x14ac:dyDescent="0.25">
      <c r="G201" s="230"/>
      <c r="H201" s="112"/>
      <c r="L201" s="144"/>
      <c r="M201" s="143"/>
      <c r="AG201" s="71"/>
      <c r="AH201" s="187"/>
      <c r="AI201" s="181"/>
      <c r="AJ201" s="252"/>
      <c r="AK201" s="182"/>
    </row>
    <row r="202" spans="7:37" ht="17.100000000000001" customHeight="1" x14ac:dyDescent="0.25">
      <c r="G202" s="230"/>
      <c r="H202" s="112"/>
      <c r="L202" s="144"/>
      <c r="M202" s="143"/>
      <c r="AG202" s="71"/>
      <c r="AH202" s="187"/>
      <c r="AI202" s="181"/>
      <c r="AJ202" s="252"/>
      <c r="AK202" s="182"/>
    </row>
    <row r="203" spans="7:37" ht="17.100000000000001" customHeight="1" x14ac:dyDescent="0.25">
      <c r="G203" s="230"/>
      <c r="H203" s="112"/>
      <c r="L203" s="144"/>
      <c r="M203" s="143"/>
      <c r="AG203" s="71"/>
      <c r="AH203" s="187"/>
      <c r="AI203" s="181"/>
      <c r="AJ203" s="252"/>
      <c r="AK203" s="182"/>
    </row>
    <row r="204" spans="7:37" ht="17.100000000000001" customHeight="1" x14ac:dyDescent="0.25">
      <c r="G204" s="230"/>
      <c r="H204" s="112"/>
      <c r="L204" s="144"/>
      <c r="M204" s="143"/>
      <c r="AG204" s="71"/>
      <c r="AH204" s="187"/>
      <c r="AI204" s="181"/>
      <c r="AJ204" s="252"/>
      <c r="AK204" s="182"/>
    </row>
    <row r="205" spans="7:37" ht="17.100000000000001" customHeight="1" x14ac:dyDescent="0.25">
      <c r="G205" s="230"/>
      <c r="H205" s="112"/>
      <c r="L205" s="144"/>
      <c r="M205" s="143"/>
      <c r="AG205" s="71"/>
      <c r="AH205" s="187"/>
      <c r="AI205" s="181"/>
      <c r="AJ205" s="252"/>
      <c r="AK205" s="182"/>
    </row>
    <row r="206" spans="7:37" ht="17.100000000000001" customHeight="1" x14ac:dyDescent="0.25">
      <c r="G206" s="230"/>
      <c r="H206" s="112"/>
      <c r="L206" s="144"/>
      <c r="M206" s="143"/>
      <c r="AG206" s="71"/>
      <c r="AH206" s="187"/>
      <c r="AI206" s="181"/>
      <c r="AJ206" s="252"/>
      <c r="AK206" s="182"/>
    </row>
    <row r="207" spans="7:37" ht="17.100000000000001" customHeight="1" x14ac:dyDescent="0.25">
      <c r="G207" s="230"/>
      <c r="H207" s="112"/>
      <c r="L207" s="144"/>
      <c r="M207" s="143"/>
      <c r="AG207" s="71"/>
      <c r="AH207" s="187"/>
      <c r="AI207" s="181"/>
      <c r="AJ207" s="252"/>
      <c r="AK207" s="182"/>
    </row>
    <row r="208" spans="7:37" ht="17.100000000000001" customHeight="1" x14ac:dyDescent="0.25">
      <c r="G208" s="230"/>
      <c r="H208" s="112"/>
      <c r="L208" s="144"/>
      <c r="M208" s="143"/>
      <c r="AG208" s="71"/>
      <c r="AH208" s="187"/>
      <c r="AI208" s="181"/>
      <c r="AJ208" s="252"/>
      <c r="AK208" s="182"/>
    </row>
    <row r="209" spans="7:37" ht="17.100000000000001" customHeight="1" x14ac:dyDescent="0.25">
      <c r="G209" s="230"/>
      <c r="H209" s="112"/>
      <c r="L209" s="144"/>
      <c r="M209" s="143"/>
      <c r="AG209" s="71"/>
      <c r="AH209" s="187"/>
      <c r="AI209" s="181"/>
      <c r="AJ209" s="252"/>
      <c r="AK209" s="182"/>
    </row>
    <row r="210" spans="7:37" ht="17.100000000000001" customHeight="1" x14ac:dyDescent="0.25">
      <c r="G210" s="230"/>
      <c r="H210" s="112"/>
      <c r="L210" s="144"/>
      <c r="M210" s="143"/>
      <c r="AG210" s="71"/>
      <c r="AH210" s="187"/>
      <c r="AI210" s="181"/>
      <c r="AJ210" s="252"/>
      <c r="AK210" s="182"/>
    </row>
    <row r="211" spans="7:37" ht="17.100000000000001" customHeight="1" x14ac:dyDescent="0.25">
      <c r="G211" s="230"/>
      <c r="H211" s="112"/>
      <c r="L211" s="144"/>
      <c r="M211" s="143"/>
      <c r="AG211" s="71"/>
      <c r="AH211" s="187"/>
      <c r="AI211" s="181"/>
      <c r="AJ211" s="252"/>
      <c r="AK211" s="182"/>
    </row>
    <row r="212" spans="7:37" ht="17.100000000000001" customHeight="1" x14ac:dyDescent="0.25">
      <c r="G212" s="230"/>
      <c r="H212" s="112"/>
      <c r="L212" s="144"/>
      <c r="M212" s="143"/>
      <c r="AG212" s="71"/>
      <c r="AH212" s="187"/>
      <c r="AI212" s="181"/>
      <c r="AJ212" s="252"/>
      <c r="AK212" s="182"/>
    </row>
    <row r="213" spans="7:37" ht="17.100000000000001" customHeight="1" x14ac:dyDescent="0.25">
      <c r="G213" s="230"/>
      <c r="H213" s="112"/>
      <c r="L213" s="144"/>
      <c r="M213" s="143"/>
      <c r="AG213" s="71"/>
      <c r="AH213" s="187"/>
      <c r="AI213" s="181"/>
      <c r="AJ213" s="253"/>
      <c r="AK213" s="182"/>
    </row>
    <row r="214" spans="7:37" ht="17.100000000000001" customHeight="1" x14ac:dyDescent="0.25">
      <c r="G214" s="230"/>
      <c r="H214" s="112"/>
      <c r="L214" s="144"/>
      <c r="M214" s="143"/>
      <c r="AG214" s="71"/>
      <c r="AH214" s="187"/>
      <c r="AI214" s="181"/>
      <c r="AJ214" s="252"/>
      <c r="AK214" s="182"/>
    </row>
    <row r="215" spans="7:37" ht="17.100000000000001" customHeight="1" x14ac:dyDescent="0.25">
      <c r="G215" s="230"/>
      <c r="H215" s="112"/>
      <c r="L215" s="144"/>
      <c r="M215" s="143"/>
      <c r="AG215" s="71"/>
      <c r="AH215" s="187"/>
      <c r="AI215" s="181"/>
      <c r="AJ215" s="252"/>
      <c r="AK215" s="182"/>
    </row>
    <row r="216" spans="7:37" ht="17.100000000000001" customHeight="1" x14ac:dyDescent="0.25">
      <c r="G216" s="230"/>
      <c r="H216" s="112"/>
      <c r="L216" s="144"/>
      <c r="M216" s="143"/>
      <c r="AG216" s="71"/>
      <c r="AH216" s="187"/>
      <c r="AI216" s="181"/>
      <c r="AJ216" s="252"/>
      <c r="AK216" s="182"/>
    </row>
    <row r="217" spans="7:37" ht="17.100000000000001" customHeight="1" x14ac:dyDescent="0.25">
      <c r="G217" s="230"/>
      <c r="H217" s="112"/>
      <c r="L217" s="144"/>
      <c r="M217" s="143"/>
      <c r="AG217" s="71"/>
      <c r="AH217" s="187"/>
      <c r="AI217" s="181"/>
      <c r="AJ217" s="252"/>
      <c r="AK217" s="182"/>
    </row>
    <row r="218" spans="7:37" ht="17.100000000000001" customHeight="1" x14ac:dyDescent="0.25">
      <c r="G218" s="230"/>
      <c r="H218" s="112"/>
      <c r="L218" s="144"/>
      <c r="M218" s="143"/>
      <c r="AG218" s="71"/>
      <c r="AH218" s="187"/>
      <c r="AI218" s="181"/>
      <c r="AJ218" s="252"/>
      <c r="AK218" s="182"/>
    </row>
    <row r="219" spans="7:37" ht="17.100000000000001" customHeight="1" x14ac:dyDescent="0.25">
      <c r="G219" s="230"/>
      <c r="H219" s="112"/>
      <c r="L219" s="144"/>
      <c r="M219" s="143"/>
      <c r="AG219" s="71"/>
      <c r="AH219" s="187"/>
      <c r="AI219" s="181"/>
      <c r="AJ219" s="252"/>
      <c r="AK219" s="182"/>
    </row>
    <row r="220" spans="7:37" ht="17.100000000000001" customHeight="1" x14ac:dyDescent="0.25">
      <c r="G220" s="230"/>
      <c r="H220" s="112"/>
      <c r="L220" s="144"/>
      <c r="M220" s="143"/>
      <c r="AG220" s="71"/>
      <c r="AH220" s="187"/>
      <c r="AI220" s="181"/>
      <c r="AJ220" s="252"/>
      <c r="AK220" s="182"/>
    </row>
    <row r="221" spans="7:37" ht="17.100000000000001" customHeight="1" x14ac:dyDescent="0.25">
      <c r="G221" s="230"/>
      <c r="H221" s="112"/>
      <c r="L221" s="144"/>
      <c r="M221" s="143"/>
      <c r="AG221" s="71"/>
      <c r="AH221" s="187"/>
      <c r="AI221" s="181"/>
      <c r="AJ221" s="252"/>
      <c r="AK221" s="182"/>
    </row>
    <row r="222" spans="7:37" ht="17.100000000000001" customHeight="1" x14ac:dyDescent="0.25">
      <c r="G222" s="230"/>
      <c r="H222" s="112"/>
      <c r="L222" s="144"/>
      <c r="M222" s="143"/>
      <c r="AG222" s="71"/>
      <c r="AH222" s="187"/>
      <c r="AI222" s="181"/>
      <c r="AJ222" s="252"/>
      <c r="AK222" s="182"/>
    </row>
    <row r="223" spans="7:37" ht="17.100000000000001" customHeight="1" x14ac:dyDescent="0.25">
      <c r="G223" s="230"/>
      <c r="H223" s="112"/>
      <c r="L223" s="144"/>
      <c r="M223" s="143"/>
      <c r="AG223" s="71"/>
      <c r="AH223" s="187"/>
      <c r="AI223" s="181"/>
      <c r="AJ223" s="252"/>
      <c r="AK223" s="182"/>
    </row>
    <row r="224" spans="7:37" ht="17.100000000000001" customHeight="1" x14ac:dyDescent="0.25">
      <c r="G224" s="230"/>
      <c r="H224" s="112"/>
      <c r="L224" s="144"/>
      <c r="M224" s="143"/>
      <c r="AG224" s="71"/>
      <c r="AH224" s="187"/>
      <c r="AI224" s="181"/>
      <c r="AJ224" s="252"/>
      <c r="AK224" s="182"/>
    </row>
    <row r="225" spans="1:37" ht="17.100000000000001" customHeight="1" x14ac:dyDescent="0.25">
      <c r="G225" s="230"/>
      <c r="H225" s="112"/>
      <c r="L225" s="144"/>
      <c r="M225" s="143"/>
      <c r="AG225" s="71"/>
      <c r="AH225" s="187"/>
      <c r="AI225" s="181"/>
      <c r="AJ225" s="252"/>
      <c r="AK225" s="182"/>
    </row>
    <row r="226" spans="1:37" ht="17.100000000000001" customHeight="1" x14ac:dyDescent="0.25">
      <c r="G226" s="230"/>
      <c r="H226" s="112"/>
      <c r="L226" s="144"/>
      <c r="M226" s="143"/>
      <c r="AG226" s="71"/>
      <c r="AH226" s="187"/>
      <c r="AI226" s="181"/>
      <c r="AJ226" s="252"/>
      <c r="AK226" s="182"/>
    </row>
    <row r="227" spans="1:37" ht="17.100000000000001" customHeight="1" x14ac:dyDescent="0.25">
      <c r="G227" s="230"/>
      <c r="H227" s="112"/>
      <c r="L227" s="144"/>
      <c r="M227" s="143"/>
      <c r="AG227" s="71"/>
      <c r="AH227" s="187"/>
      <c r="AI227" s="181"/>
      <c r="AJ227" s="253"/>
      <c r="AK227" s="182"/>
    </row>
    <row r="228" spans="1:37" ht="17.100000000000001" customHeight="1" x14ac:dyDescent="0.25">
      <c r="G228" s="230"/>
      <c r="H228" s="112"/>
      <c r="L228" s="144"/>
      <c r="M228" s="143"/>
      <c r="AG228" s="71"/>
      <c r="AH228" s="187"/>
      <c r="AI228" s="181"/>
      <c r="AJ228" s="252"/>
      <c r="AK228" s="182"/>
    </row>
    <row r="229" spans="1:37" ht="17.100000000000001" customHeight="1" x14ac:dyDescent="0.25">
      <c r="A229" s="231"/>
      <c r="G229" s="230"/>
      <c r="H229" s="112"/>
      <c r="L229" s="144"/>
      <c r="M229" s="143"/>
      <c r="AG229" s="71"/>
      <c r="AH229" s="187"/>
      <c r="AI229" s="181"/>
      <c r="AJ229" s="252"/>
      <c r="AK229" s="182"/>
    </row>
    <row r="230" spans="1:37" ht="17.100000000000001" customHeight="1" x14ac:dyDescent="0.25">
      <c r="G230" s="230"/>
      <c r="H230" s="112"/>
      <c r="L230" s="144"/>
      <c r="M230" s="143"/>
      <c r="AG230" s="71"/>
      <c r="AH230" s="187"/>
      <c r="AI230" s="181"/>
      <c r="AJ230" s="252"/>
      <c r="AK230" s="182"/>
    </row>
    <row r="231" spans="1:37" ht="17.100000000000001" customHeight="1" x14ac:dyDescent="0.25">
      <c r="G231" s="230"/>
      <c r="H231" s="112"/>
      <c r="L231" s="144"/>
      <c r="M231" s="143"/>
      <c r="AG231" s="71"/>
      <c r="AH231" s="187"/>
      <c r="AI231" s="181"/>
      <c r="AJ231" s="252"/>
      <c r="AK231" s="182"/>
    </row>
    <row r="232" spans="1:37" ht="17.100000000000001" customHeight="1" x14ac:dyDescent="0.25">
      <c r="G232" s="230"/>
      <c r="H232" s="112"/>
      <c r="L232" s="144"/>
      <c r="M232" s="143"/>
      <c r="AG232" s="71"/>
      <c r="AH232" s="187"/>
      <c r="AI232" s="181"/>
      <c r="AJ232" s="252"/>
      <c r="AK232" s="182"/>
    </row>
    <row r="233" spans="1:37" ht="17.100000000000001" customHeight="1" x14ac:dyDescent="0.25">
      <c r="G233" s="230"/>
      <c r="H233" s="112"/>
      <c r="L233" s="144"/>
      <c r="M233" s="143"/>
      <c r="AG233" s="71"/>
      <c r="AH233" s="187"/>
      <c r="AI233" s="181"/>
      <c r="AJ233" s="252"/>
      <c r="AK233" s="182"/>
    </row>
    <row r="234" spans="1:37" ht="17.100000000000001" customHeight="1" x14ac:dyDescent="0.25">
      <c r="G234" s="230"/>
      <c r="H234" s="112"/>
      <c r="L234" s="144"/>
      <c r="M234" s="143"/>
      <c r="AG234" s="71"/>
      <c r="AH234" s="187"/>
      <c r="AI234" s="181"/>
      <c r="AJ234" s="252"/>
      <c r="AK234" s="182"/>
    </row>
    <row r="235" spans="1:37" ht="17.100000000000001" customHeight="1" x14ac:dyDescent="0.25">
      <c r="G235" s="230"/>
      <c r="H235" s="112"/>
      <c r="L235" s="144"/>
      <c r="M235" s="143"/>
      <c r="AG235" s="71"/>
      <c r="AH235" s="187"/>
      <c r="AI235" s="181"/>
      <c r="AJ235" s="253"/>
      <c r="AK235" s="182"/>
    </row>
    <row r="236" spans="1:37" ht="17.100000000000001" customHeight="1" x14ac:dyDescent="0.25">
      <c r="G236" s="230"/>
      <c r="H236" s="112"/>
      <c r="L236" s="144"/>
      <c r="M236" s="143"/>
      <c r="AG236" s="71"/>
      <c r="AH236" s="187"/>
      <c r="AI236" s="181"/>
      <c r="AJ236" s="252"/>
      <c r="AK236" s="182"/>
    </row>
    <row r="237" spans="1:37" ht="17.100000000000001" customHeight="1" x14ac:dyDescent="0.25">
      <c r="G237" s="230"/>
      <c r="H237" s="112"/>
      <c r="L237" s="144"/>
      <c r="M237" s="143"/>
      <c r="AG237" s="71"/>
      <c r="AH237" s="187"/>
      <c r="AI237" s="181"/>
      <c r="AJ237" s="252"/>
      <c r="AK237" s="182"/>
    </row>
    <row r="238" spans="1:37" ht="17.100000000000001" customHeight="1" x14ac:dyDescent="0.25">
      <c r="G238" s="230"/>
      <c r="H238" s="112"/>
      <c r="L238" s="144"/>
      <c r="M238" s="143"/>
      <c r="AG238" s="71"/>
      <c r="AH238" s="187"/>
      <c r="AI238" s="181"/>
      <c r="AJ238" s="252"/>
      <c r="AK238" s="182"/>
    </row>
    <row r="239" spans="1:37" ht="17.100000000000001" customHeight="1" x14ac:dyDescent="0.25">
      <c r="G239" s="230"/>
      <c r="H239" s="112"/>
      <c r="L239" s="144"/>
      <c r="M239" s="143"/>
      <c r="AG239" s="71"/>
      <c r="AH239" s="187"/>
      <c r="AI239" s="181"/>
      <c r="AJ239" s="252"/>
      <c r="AK239" s="182"/>
    </row>
    <row r="240" spans="1:37" ht="17.100000000000001" customHeight="1" x14ac:dyDescent="0.25">
      <c r="G240" s="230"/>
      <c r="H240" s="112"/>
      <c r="L240" s="144"/>
      <c r="M240" s="143"/>
      <c r="AG240" s="71"/>
      <c r="AH240" s="187"/>
      <c r="AI240" s="181"/>
      <c r="AJ240" s="252"/>
      <c r="AK240" s="182"/>
    </row>
    <row r="241" spans="7:37" ht="17.100000000000001" customHeight="1" x14ac:dyDescent="0.25">
      <c r="G241" s="230"/>
      <c r="H241" s="112"/>
      <c r="L241" s="144"/>
      <c r="M241" s="143"/>
      <c r="AG241" s="71"/>
      <c r="AH241" s="187"/>
      <c r="AI241" s="181"/>
      <c r="AJ241" s="252"/>
      <c r="AK241" s="182"/>
    </row>
    <row r="242" spans="7:37" ht="17.100000000000001" customHeight="1" x14ac:dyDescent="0.25">
      <c r="G242" s="230"/>
      <c r="H242" s="112"/>
      <c r="L242" s="144"/>
      <c r="M242" s="143"/>
      <c r="AG242" s="71"/>
      <c r="AH242" s="187"/>
      <c r="AI242" s="181"/>
      <c r="AJ242" s="252"/>
      <c r="AK242" s="182"/>
    </row>
    <row r="243" spans="7:37" ht="17.100000000000001" customHeight="1" x14ac:dyDescent="0.25">
      <c r="G243" s="230"/>
      <c r="H243" s="112"/>
      <c r="L243" s="144"/>
      <c r="M243" s="143"/>
      <c r="AG243" s="71"/>
      <c r="AH243" s="187"/>
      <c r="AI243" s="181"/>
      <c r="AJ243" s="252"/>
      <c r="AK243" s="182"/>
    </row>
    <row r="244" spans="7:37" ht="17.100000000000001" customHeight="1" x14ac:dyDescent="0.25">
      <c r="G244" s="230"/>
      <c r="H244" s="112"/>
      <c r="L244" s="144"/>
      <c r="M244" s="143"/>
      <c r="AG244" s="71"/>
      <c r="AH244" s="187"/>
      <c r="AI244" s="181"/>
      <c r="AJ244" s="252"/>
      <c r="AK244" s="182"/>
    </row>
    <row r="245" spans="7:37" ht="17.100000000000001" customHeight="1" x14ac:dyDescent="0.25">
      <c r="G245" s="230"/>
      <c r="H245" s="112"/>
      <c r="L245" s="144"/>
      <c r="M245" s="143"/>
      <c r="AG245" s="71"/>
      <c r="AH245" s="187"/>
      <c r="AI245" s="181"/>
      <c r="AJ245" s="252"/>
      <c r="AK245" s="182"/>
    </row>
    <row r="246" spans="7:37" ht="17.100000000000001" customHeight="1" x14ac:dyDescent="0.25">
      <c r="G246" s="230"/>
      <c r="H246" s="112"/>
      <c r="L246" s="144"/>
      <c r="M246" s="143"/>
      <c r="AG246" s="71"/>
      <c r="AH246" s="187"/>
      <c r="AI246" s="181"/>
      <c r="AJ246" s="252"/>
      <c r="AK246" s="182"/>
    </row>
    <row r="247" spans="7:37" ht="17.100000000000001" customHeight="1" x14ac:dyDescent="0.25">
      <c r="G247" s="230"/>
      <c r="H247" s="112"/>
      <c r="L247" s="144"/>
      <c r="M247" s="143"/>
      <c r="AG247" s="71"/>
      <c r="AH247" s="187"/>
      <c r="AI247" s="181"/>
      <c r="AJ247" s="252"/>
      <c r="AK247" s="182"/>
    </row>
    <row r="248" spans="7:37" ht="17.100000000000001" customHeight="1" x14ac:dyDescent="0.25">
      <c r="G248" s="230"/>
      <c r="H248" s="112"/>
      <c r="L248" s="144"/>
      <c r="M248" s="143"/>
      <c r="AG248" s="71"/>
      <c r="AH248" s="187"/>
      <c r="AI248" s="181"/>
      <c r="AJ248" s="252"/>
      <c r="AK248" s="182"/>
    </row>
    <row r="249" spans="7:37" ht="17.100000000000001" customHeight="1" x14ac:dyDescent="0.25">
      <c r="G249" s="230"/>
      <c r="H249" s="112"/>
      <c r="L249" s="144"/>
      <c r="M249" s="143"/>
      <c r="AG249" s="71"/>
      <c r="AH249" s="187"/>
      <c r="AI249" s="181"/>
      <c r="AJ249" s="252"/>
      <c r="AK249" s="182"/>
    </row>
    <row r="250" spans="7:37" ht="17.100000000000001" customHeight="1" x14ac:dyDescent="0.25">
      <c r="G250" s="230"/>
      <c r="H250" s="112"/>
      <c r="L250" s="144"/>
      <c r="M250" s="143"/>
      <c r="AG250" s="71"/>
      <c r="AH250" s="187"/>
      <c r="AI250" s="181"/>
      <c r="AJ250" s="252"/>
      <c r="AK250" s="182"/>
    </row>
    <row r="251" spans="7:37" ht="17.100000000000001" customHeight="1" x14ac:dyDescent="0.25">
      <c r="G251" s="230"/>
      <c r="H251" s="112"/>
      <c r="L251" s="144"/>
      <c r="M251" s="143"/>
      <c r="AG251" s="71"/>
      <c r="AH251" s="187"/>
      <c r="AI251" s="181"/>
      <c r="AJ251" s="252"/>
      <c r="AK251" s="182"/>
    </row>
    <row r="252" spans="7:37" ht="17.100000000000001" customHeight="1" x14ac:dyDescent="0.25">
      <c r="G252" s="230"/>
      <c r="H252" s="112"/>
      <c r="L252" s="144"/>
      <c r="M252" s="143"/>
      <c r="AG252" s="71"/>
      <c r="AH252" s="187"/>
      <c r="AI252" s="181"/>
      <c r="AJ252" s="252"/>
      <c r="AK252" s="182"/>
    </row>
    <row r="253" spans="7:37" ht="17.100000000000001" customHeight="1" x14ac:dyDescent="0.25">
      <c r="G253" s="230"/>
      <c r="H253" s="112"/>
      <c r="L253" s="144"/>
      <c r="M253" s="143"/>
      <c r="AG253" s="71"/>
      <c r="AH253" s="187"/>
      <c r="AI253" s="181"/>
      <c r="AJ253" s="252"/>
      <c r="AK253" s="182"/>
    </row>
    <row r="254" spans="7:37" ht="17.100000000000001" customHeight="1" x14ac:dyDescent="0.25">
      <c r="G254" s="230"/>
      <c r="H254" s="112"/>
      <c r="L254" s="144"/>
      <c r="M254" s="143"/>
      <c r="AG254" s="71"/>
      <c r="AH254" s="187"/>
      <c r="AI254" s="181"/>
      <c r="AJ254" s="252"/>
      <c r="AK254" s="182"/>
    </row>
    <row r="255" spans="7:37" ht="17.100000000000001" customHeight="1" x14ac:dyDescent="0.25">
      <c r="G255" s="230"/>
      <c r="H255" s="112"/>
      <c r="L255" s="144"/>
      <c r="M255" s="143"/>
      <c r="AG255" s="71"/>
      <c r="AH255" s="187"/>
      <c r="AI255" s="181"/>
      <c r="AJ255" s="252"/>
      <c r="AK255" s="182"/>
    </row>
    <row r="256" spans="7:37" ht="17.100000000000001" customHeight="1" x14ac:dyDescent="0.25">
      <c r="G256" s="230"/>
      <c r="H256" s="112"/>
      <c r="L256" s="144"/>
      <c r="M256" s="143"/>
      <c r="AG256" s="71"/>
      <c r="AH256" s="187"/>
      <c r="AI256" s="181"/>
      <c r="AJ256" s="252"/>
      <c r="AK256" s="182"/>
    </row>
    <row r="257" spans="1:37" ht="17.100000000000001" customHeight="1" x14ac:dyDescent="0.25">
      <c r="G257" s="230"/>
      <c r="H257" s="112"/>
      <c r="L257" s="144"/>
      <c r="M257" s="143"/>
      <c r="AG257" s="71"/>
      <c r="AH257" s="187"/>
      <c r="AI257" s="181"/>
      <c r="AJ257" s="252"/>
      <c r="AK257" s="182"/>
    </row>
    <row r="258" spans="1:37" ht="17.100000000000001" customHeight="1" x14ac:dyDescent="0.25">
      <c r="G258" s="230"/>
      <c r="H258" s="112"/>
      <c r="L258" s="144"/>
      <c r="M258" s="143"/>
      <c r="AG258" s="71"/>
      <c r="AH258" s="187"/>
      <c r="AI258" s="181"/>
      <c r="AJ258" s="252"/>
      <c r="AK258" s="182"/>
    </row>
    <row r="259" spans="1:37" ht="17.100000000000001" customHeight="1" x14ac:dyDescent="0.25">
      <c r="G259" s="230"/>
      <c r="H259" s="112"/>
      <c r="L259" s="144"/>
      <c r="M259" s="143"/>
      <c r="AG259" s="71"/>
      <c r="AH259" s="187"/>
      <c r="AI259" s="181"/>
      <c r="AJ259" s="252"/>
      <c r="AK259" s="182"/>
    </row>
    <row r="260" spans="1:37" ht="17.100000000000001" customHeight="1" x14ac:dyDescent="0.25">
      <c r="G260" s="230"/>
      <c r="H260" s="112"/>
      <c r="L260" s="144"/>
      <c r="M260" s="143"/>
      <c r="AG260" s="71"/>
      <c r="AH260" s="187"/>
      <c r="AI260" s="181"/>
      <c r="AJ260" s="252"/>
      <c r="AK260" s="182"/>
    </row>
    <row r="261" spans="1:37" ht="17.100000000000001" customHeight="1" x14ac:dyDescent="0.25">
      <c r="G261" s="230"/>
      <c r="H261" s="112"/>
      <c r="L261" s="144"/>
      <c r="M261" s="143"/>
      <c r="AG261" s="71"/>
      <c r="AH261" s="187"/>
      <c r="AI261" s="181"/>
      <c r="AJ261" s="252"/>
      <c r="AK261" s="182"/>
    </row>
    <row r="262" spans="1:37" ht="17.100000000000001" customHeight="1" x14ac:dyDescent="0.25">
      <c r="A262" s="231"/>
      <c r="G262" s="230"/>
      <c r="H262" s="112"/>
      <c r="L262" s="144"/>
      <c r="M262" s="143"/>
      <c r="AG262" s="71"/>
      <c r="AH262" s="187"/>
      <c r="AI262" s="181"/>
      <c r="AJ262" s="252"/>
      <c r="AK262" s="182"/>
    </row>
    <row r="263" spans="1:37" ht="17.100000000000001" customHeight="1" x14ac:dyDescent="0.25">
      <c r="G263" s="230"/>
      <c r="H263" s="112"/>
      <c r="L263" s="144"/>
      <c r="M263" s="143"/>
      <c r="AG263" s="71"/>
      <c r="AH263" s="187"/>
      <c r="AI263" s="181"/>
      <c r="AJ263" s="252"/>
      <c r="AK263" s="182"/>
    </row>
    <row r="264" spans="1:37" ht="17.100000000000001" customHeight="1" x14ac:dyDescent="0.25">
      <c r="G264" s="230"/>
      <c r="H264" s="112"/>
      <c r="L264" s="144"/>
      <c r="M264" s="143"/>
      <c r="AG264" s="71"/>
      <c r="AH264" s="187"/>
      <c r="AI264" s="181"/>
      <c r="AJ264" s="252"/>
      <c r="AK264" s="182"/>
    </row>
    <row r="265" spans="1:37" ht="17.100000000000001" customHeight="1" x14ac:dyDescent="0.25">
      <c r="G265" s="230"/>
      <c r="H265" s="112"/>
      <c r="L265" s="144"/>
      <c r="M265" s="143"/>
      <c r="AG265" s="71"/>
      <c r="AH265" s="187"/>
      <c r="AI265" s="181"/>
      <c r="AJ265" s="252"/>
      <c r="AK265" s="182"/>
    </row>
    <row r="266" spans="1:37" ht="17.100000000000001" customHeight="1" x14ac:dyDescent="0.25">
      <c r="G266" s="230"/>
      <c r="H266" s="112"/>
      <c r="L266" s="144"/>
      <c r="M266" s="143"/>
      <c r="AG266" s="71"/>
      <c r="AH266" s="187"/>
      <c r="AI266" s="181"/>
      <c r="AJ266" s="252"/>
      <c r="AK266" s="182"/>
    </row>
    <row r="267" spans="1:37" ht="17.100000000000001" customHeight="1" x14ac:dyDescent="0.25">
      <c r="G267" s="230"/>
      <c r="H267" s="112"/>
      <c r="L267" s="144"/>
      <c r="M267" s="143"/>
      <c r="AG267" s="71"/>
      <c r="AH267" s="187"/>
      <c r="AI267" s="181"/>
      <c r="AJ267" s="252"/>
      <c r="AK267" s="182"/>
    </row>
    <row r="268" spans="1:37" ht="17.100000000000001" customHeight="1" x14ac:dyDescent="0.25">
      <c r="G268" s="230"/>
      <c r="H268" s="112"/>
      <c r="L268" s="144"/>
      <c r="M268" s="143"/>
      <c r="AG268" s="71"/>
      <c r="AH268" s="187"/>
      <c r="AI268" s="181"/>
      <c r="AJ268" s="253"/>
      <c r="AK268" s="182"/>
    </row>
    <row r="269" spans="1:37" ht="17.100000000000001" customHeight="1" x14ac:dyDescent="0.25">
      <c r="G269" s="230"/>
      <c r="H269" s="112"/>
      <c r="L269" s="144"/>
      <c r="M269" s="143"/>
      <c r="AG269" s="71"/>
      <c r="AH269" s="187"/>
      <c r="AI269" s="181"/>
      <c r="AJ269" s="253"/>
      <c r="AK269" s="182"/>
    </row>
    <row r="270" spans="1:37" ht="17.100000000000001" customHeight="1" x14ac:dyDescent="0.25">
      <c r="G270" s="230"/>
      <c r="H270" s="112"/>
      <c r="L270" s="144"/>
      <c r="M270" s="143"/>
      <c r="AG270" s="71"/>
      <c r="AH270" s="187"/>
      <c r="AI270" s="181"/>
      <c r="AJ270" s="252"/>
      <c r="AK270" s="182"/>
    </row>
    <row r="271" spans="1:37" ht="17.100000000000001" customHeight="1" x14ac:dyDescent="0.25">
      <c r="G271" s="230"/>
      <c r="H271" s="112"/>
      <c r="L271" s="144"/>
      <c r="M271" s="143"/>
      <c r="AG271" s="71"/>
      <c r="AH271" s="187"/>
      <c r="AI271" s="181"/>
      <c r="AJ271" s="252"/>
      <c r="AK271" s="182"/>
    </row>
    <row r="272" spans="1:37" ht="17.100000000000001" customHeight="1" x14ac:dyDescent="0.25">
      <c r="G272" s="230"/>
      <c r="H272" s="112"/>
      <c r="L272" s="144"/>
      <c r="M272" s="143"/>
      <c r="AG272" s="71"/>
      <c r="AH272" s="187"/>
      <c r="AI272" s="181"/>
      <c r="AJ272" s="252"/>
      <c r="AK272" s="182"/>
    </row>
    <row r="273" spans="7:37" ht="17.100000000000001" customHeight="1" x14ac:dyDescent="0.25">
      <c r="G273" s="230"/>
      <c r="H273" s="112"/>
      <c r="L273" s="144"/>
      <c r="M273" s="143"/>
      <c r="AG273" s="71"/>
      <c r="AH273" s="187"/>
      <c r="AI273" s="181"/>
      <c r="AJ273" s="252"/>
      <c r="AK273" s="182"/>
    </row>
    <row r="274" spans="7:37" ht="17.100000000000001" customHeight="1" x14ac:dyDescent="0.25">
      <c r="G274" s="230"/>
      <c r="H274" s="112"/>
      <c r="L274" s="144"/>
      <c r="M274" s="143"/>
      <c r="AG274" s="71"/>
      <c r="AH274" s="187"/>
      <c r="AI274" s="181"/>
      <c r="AJ274" s="252"/>
      <c r="AK274" s="182"/>
    </row>
    <row r="275" spans="7:37" ht="17.100000000000001" customHeight="1" x14ac:dyDescent="0.25">
      <c r="G275" s="230"/>
      <c r="H275" s="112"/>
      <c r="L275" s="144"/>
      <c r="M275" s="143"/>
      <c r="AG275" s="71"/>
      <c r="AH275" s="187"/>
      <c r="AI275" s="181"/>
      <c r="AJ275" s="252"/>
      <c r="AK275" s="182"/>
    </row>
    <row r="276" spans="7:37" ht="17.100000000000001" customHeight="1" x14ac:dyDescent="0.25">
      <c r="G276" s="230"/>
      <c r="H276" s="112"/>
      <c r="L276" s="144"/>
      <c r="M276" s="143"/>
      <c r="AG276" s="71"/>
      <c r="AH276" s="187"/>
      <c r="AI276" s="181"/>
      <c r="AJ276" s="252"/>
      <c r="AK276" s="182"/>
    </row>
    <row r="277" spans="7:37" ht="17.100000000000001" customHeight="1" x14ac:dyDescent="0.25">
      <c r="G277" s="230"/>
      <c r="H277" s="112"/>
      <c r="L277" s="144"/>
      <c r="M277" s="143"/>
      <c r="AG277" s="71"/>
      <c r="AH277" s="187"/>
      <c r="AI277" s="181"/>
      <c r="AJ277" s="253"/>
      <c r="AK277" s="182"/>
    </row>
    <row r="278" spans="7:37" ht="17.100000000000001" customHeight="1" x14ac:dyDescent="0.25">
      <c r="G278" s="230"/>
      <c r="H278" s="112"/>
      <c r="L278" s="144"/>
      <c r="M278" s="143"/>
      <c r="AG278" s="71"/>
      <c r="AH278" s="187"/>
      <c r="AI278" s="181"/>
      <c r="AJ278" s="252"/>
      <c r="AK278" s="182"/>
    </row>
    <row r="279" spans="7:37" ht="17.100000000000001" customHeight="1" x14ac:dyDescent="0.25">
      <c r="G279" s="230"/>
      <c r="H279" s="112"/>
      <c r="L279" s="144"/>
      <c r="M279" s="143"/>
      <c r="AG279" s="71"/>
      <c r="AH279" s="187"/>
      <c r="AI279" s="181"/>
      <c r="AJ279" s="252"/>
      <c r="AK279" s="182"/>
    </row>
    <row r="280" spans="7:37" ht="17.100000000000001" customHeight="1" x14ac:dyDescent="0.25">
      <c r="G280" s="230"/>
      <c r="H280" s="112"/>
      <c r="L280" s="144"/>
      <c r="M280" s="143"/>
      <c r="AG280" s="71"/>
      <c r="AH280" s="187"/>
      <c r="AI280" s="181"/>
      <c r="AJ280" s="252"/>
      <c r="AK280" s="182"/>
    </row>
    <row r="281" spans="7:37" ht="17.100000000000001" customHeight="1" x14ac:dyDescent="0.25">
      <c r="G281" s="230"/>
      <c r="H281" s="112"/>
      <c r="L281" s="144"/>
      <c r="M281" s="143"/>
      <c r="AG281" s="71"/>
      <c r="AH281" s="187"/>
      <c r="AI281" s="181"/>
      <c r="AJ281" s="252"/>
      <c r="AK281" s="182"/>
    </row>
    <row r="282" spans="7:37" ht="17.100000000000001" customHeight="1" x14ac:dyDescent="0.25">
      <c r="G282" s="230"/>
      <c r="H282" s="112"/>
      <c r="L282" s="144"/>
      <c r="M282" s="143"/>
      <c r="AG282" s="71"/>
      <c r="AH282" s="187"/>
      <c r="AI282" s="181"/>
      <c r="AJ282" s="252"/>
      <c r="AK282" s="182"/>
    </row>
    <row r="283" spans="7:37" ht="17.100000000000001" customHeight="1" x14ac:dyDescent="0.25">
      <c r="G283" s="230"/>
      <c r="H283" s="112"/>
      <c r="L283" s="144"/>
      <c r="M283" s="143"/>
      <c r="AG283" s="71"/>
      <c r="AH283" s="187"/>
      <c r="AI283" s="181"/>
      <c r="AJ283" s="252"/>
      <c r="AK283" s="182"/>
    </row>
    <row r="284" spans="7:37" ht="17.100000000000001" customHeight="1" x14ac:dyDescent="0.25">
      <c r="G284" s="230"/>
      <c r="H284" s="112"/>
      <c r="L284" s="144"/>
      <c r="M284" s="143"/>
      <c r="AG284" s="71"/>
      <c r="AH284" s="187"/>
      <c r="AI284" s="181"/>
      <c r="AJ284" s="252"/>
      <c r="AK284" s="182"/>
    </row>
    <row r="285" spans="7:37" ht="17.100000000000001" customHeight="1" x14ac:dyDescent="0.25">
      <c r="G285" s="230"/>
      <c r="H285" s="112"/>
      <c r="L285" s="144"/>
      <c r="M285" s="143"/>
      <c r="AG285" s="71"/>
      <c r="AH285" s="187"/>
      <c r="AI285" s="181"/>
      <c r="AJ285" s="253"/>
      <c r="AK285" s="182"/>
    </row>
    <row r="286" spans="7:37" ht="17.100000000000001" customHeight="1" x14ac:dyDescent="0.25">
      <c r="G286" s="230"/>
      <c r="H286" s="112"/>
      <c r="L286" s="144"/>
      <c r="M286" s="143"/>
      <c r="AG286" s="71"/>
      <c r="AH286" s="187"/>
      <c r="AI286" s="181"/>
      <c r="AJ286" s="252"/>
      <c r="AK286" s="182"/>
    </row>
    <row r="287" spans="7:37" ht="17.100000000000001" customHeight="1" x14ac:dyDescent="0.25">
      <c r="G287" s="230"/>
      <c r="H287" s="112"/>
      <c r="L287" s="144"/>
      <c r="M287" s="143"/>
      <c r="AG287" s="71"/>
      <c r="AH287" s="187"/>
      <c r="AI287" s="181"/>
      <c r="AJ287" s="252"/>
      <c r="AK287" s="182"/>
    </row>
    <row r="288" spans="7:37" ht="17.100000000000001" customHeight="1" x14ac:dyDescent="0.25">
      <c r="G288" s="230"/>
      <c r="H288" s="112"/>
      <c r="L288" s="144"/>
      <c r="M288" s="143"/>
      <c r="AG288" s="71"/>
      <c r="AH288" s="187"/>
      <c r="AI288" s="181"/>
      <c r="AJ288" s="252"/>
      <c r="AK288" s="182"/>
    </row>
    <row r="289" spans="1:37" ht="17.100000000000001" customHeight="1" x14ac:dyDescent="0.25">
      <c r="G289" s="230"/>
      <c r="H289" s="112"/>
      <c r="L289" s="144"/>
      <c r="M289" s="143"/>
      <c r="AG289" s="71"/>
      <c r="AH289" s="187"/>
      <c r="AI289" s="181"/>
      <c r="AJ289" s="252"/>
      <c r="AK289" s="182"/>
    </row>
    <row r="290" spans="1:37" ht="17.100000000000001" customHeight="1" x14ac:dyDescent="0.25">
      <c r="G290" s="230"/>
      <c r="H290" s="112"/>
      <c r="L290" s="144"/>
      <c r="M290" s="143"/>
      <c r="AG290" s="71"/>
      <c r="AH290" s="187"/>
      <c r="AI290" s="181"/>
      <c r="AJ290" s="252"/>
      <c r="AK290" s="182"/>
    </row>
    <row r="291" spans="1:37" ht="17.100000000000001" customHeight="1" x14ac:dyDescent="0.25">
      <c r="G291" s="230"/>
      <c r="H291" s="112"/>
      <c r="L291" s="144"/>
      <c r="M291" s="143"/>
      <c r="AG291" s="71"/>
      <c r="AH291" s="187"/>
      <c r="AI291" s="181"/>
      <c r="AJ291" s="252"/>
      <c r="AK291" s="182"/>
    </row>
    <row r="292" spans="1:37" ht="17.100000000000001" customHeight="1" x14ac:dyDescent="0.25">
      <c r="G292" s="230"/>
      <c r="H292" s="112"/>
      <c r="L292" s="144"/>
      <c r="M292" s="143"/>
      <c r="AG292" s="71"/>
      <c r="AH292" s="187"/>
      <c r="AI292" s="181"/>
      <c r="AJ292" s="252"/>
      <c r="AK292" s="182"/>
    </row>
    <row r="293" spans="1:37" ht="17.100000000000001" customHeight="1" x14ac:dyDescent="0.25">
      <c r="G293" s="230"/>
      <c r="H293" s="112"/>
      <c r="L293" s="144"/>
      <c r="M293" s="143"/>
      <c r="AG293" s="71"/>
      <c r="AH293" s="187"/>
      <c r="AI293" s="181"/>
      <c r="AJ293" s="252"/>
      <c r="AK293" s="182"/>
    </row>
    <row r="294" spans="1:37" ht="17.100000000000001" customHeight="1" x14ac:dyDescent="0.25">
      <c r="G294" s="230"/>
      <c r="H294" s="112"/>
      <c r="L294" s="144"/>
      <c r="M294" s="143"/>
      <c r="AG294" s="71"/>
      <c r="AH294" s="187"/>
      <c r="AI294" s="181"/>
      <c r="AJ294" s="252"/>
      <c r="AK294" s="182"/>
    </row>
    <row r="295" spans="1:37" ht="17.100000000000001" customHeight="1" x14ac:dyDescent="0.25">
      <c r="G295" s="230"/>
      <c r="H295" s="112"/>
      <c r="L295" s="144"/>
      <c r="M295" s="143"/>
      <c r="AG295" s="71"/>
      <c r="AH295" s="187"/>
      <c r="AI295" s="181"/>
      <c r="AJ295" s="252"/>
      <c r="AK295" s="182"/>
    </row>
    <row r="296" spans="1:37" ht="17.100000000000001" customHeight="1" x14ac:dyDescent="0.25">
      <c r="G296" s="230"/>
      <c r="H296" s="112"/>
      <c r="L296" s="144"/>
      <c r="M296" s="143"/>
      <c r="AG296" s="71"/>
      <c r="AH296" s="187"/>
      <c r="AI296" s="181"/>
      <c r="AJ296" s="252"/>
      <c r="AK296" s="182"/>
    </row>
    <row r="297" spans="1:37" ht="17.100000000000001" customHeight="1" x14ac:dyDescent="0.25">
      <c r="G297" s="230"/>
      <c r="H297" s="112"/>
      <c r="L297" s="144"/>
      <c r="M297" s="143"/>
      <c r="AG297" s="71"/>
      <c r="AH297" s="187"/>
      <c r="AI297" s="181"/>
      <c r="AJ297" s="252"/>
      <c r="AK297" s="182"/>
    </row>
    <row r="298" spans="1:37" ht="17.100000000000001" customHeight="1" x14ac:dyDescent="0.25">
      <c r="G298" s="230"/>
      <c r="H298" s="112"/>
      <c r="L298" s="144"/>
      <c r="M298" s="143"/>
      <c r="AG298" s="71"/>
      <c r="AH298" s="187"/>
      <c r="AI298" s="181"/>
      <c r="AJ298" s="252"/>
      <c r="AK298" s="182"/>
    </row>
    <row r="299" spans="1:37" ht="17.100000000000001" customHeight="1" x14ac:dyDescent="0.25">
      <c r="G299" s="230"/>
      <c r="H299" s="112"/>
      <c r="L299" s="144"/>
      <c r="M299" s="143"/>
      <c r="AG299" s="71"/>
      <c r="AH299" s="187"/>
      <c r="AI299" s="181"/>
      <c r="AJ299" s="252"/>
      <c r="AK299" s="182"/>
    </row>
    <row r="300" spans="1:37" ht="17.100000000000001" customHeight="1" x14ac:dyDescent="0.25">
      <c r="G300" s="230"/>
      <c r="H300" s="112"/>
      <c r="L300" s="144"/>
      <c r="M300" s="143"/>
      <c r="AG300" s="71"/>
      <c r="AH300" s="187"/>
      <c r="AI300" s="181"/>
      <c r="AJ300" s="253"/>
      <c r="AK300" s="182"/>
    </row>
    <row r="301" spans="1:37" ht="17.100000000000001" customHeight="1" x14ac:dyDescent="0.25">
      <c r="G301" s="230"/>
      <c r="H301" s="112"/>
      <c r="L301" s="144"/>
      <c r="M301" s="143"/>
      <c r="AG301" s="71"/>
      <c r="AH301" s="187"/>
      <c r="AI301" s="181"/>
      <c r="AJ301" s="252"/>
      <c r="AK301" s="182"/>
    </row>
    <row r="302" spans="1:37" ht="17.100000000000001" customHeight="1" x14ac:dyDescent="0.25">
      <c r="G302" s="230"/>
      <c r="H302" s="112"/>
      <c r="L302" s="144"/>
      <c r="M302" s="143"/>
      <c r="AG302" s="71"/>
      <c r="AH302" s="187"/>
      <c r="AI302" s="181"/>
      <c r="AJ302" s="252"/>
      <c r="AK302" s="182"/>
    </row>
    <row r="303" spans="1:37" ht="17.100000000000001" customHeight="1" x14ac:dyDescent="0.25">
      <c r="A303" s="231"/>
      <c r="G303" s="230"/>
      <c r="H303" s="112"/>
      <c r="L303" s="144"/>
      <c r="M303" s="143"/>
      <c r="AG303" s="71"/>
      <c r="AH303" s="187"/>
      <c r="AI303" s="181"/>
      <c r="AJ303" s="252"/>
      <c r="AK303" s="182"/>
    </row>
    <row r="304" spans="1:37" ht="17.100000000000001" customHeight="1" x14ac:dyDescent="0.25">
      <c r="G304" s="230"/>
      <c r="H304" s="112"/>
      <c r="L304" s="144"/>
      <c r="M304" s="143"/>
      <c r="AG304" s="71"/>
      <c r="AH304" s="187"/>
      <c r="AI304" s="181"/>
      <c r="AJ304" s="252"/>
      <c r="AK304" s="182"/>
    </row>
    <row r="305" spans="7:37" ht="17.100000000000001" customHeight="1" x14ac:dyDescent="0.25">
      <c r="G305" s="230"/>
      <c r="H305" s="112"/>
      <c r="L305" s="144"/>
      <c r="M305" s="143"/>
      <c r="AG305" s="71"/>
      <c r="AH305" s="187"/>
      <c r="AI305" s="181"/>
      <c r="AJ305" s="252"/>
      <c r="AK305" s="182"/>
    </row>
    <row r="306" spans="7:37" ht="17.100000000000001" customHeight="1" x14ac:dyDescent="0.25">
      <c r="G306" s="230"/>
      <c r="H306" s="112"/>
      <c r="L306" s="144"/>
      <c r="M306" s="143"/>
      <c r="AG306" s="71"/>
      <c r="AH306" s="187"/>
      <c r="AI306" s="181"/>
      <c r="AJ306" s="253"/>
      <c r="AK306" s="182"/>
    </row>
    <row r="307" spans="7:37" ht="17.100000000000001" customHeight="1" x14ac:dyDescent="0.25">
      <c r="G307" s="230"/>
      <c r="H307" s="112"/>
      <c r="L307" s="144"/>
      <c r="M307" s="143"/>
      <c r="AG307" s="71"/>
      <c r="AH307" s="187"/>
      <c r="AI307" s="181"/>
      <c r="AJ307" s="252"/>
      <c r="AK307" s="182"/>
    </row>
    <row r="308" spans="7:37" ht="17.100000000000001" customHeight="1" x14ac:dyDescent="0.25">
      <c r="G308" s="230"/>
      <c r="H308" s="112"/>
      <c r="L308" s="144"/>
      <c r="M308" s="143"/>
      <c r="AG308" s="71"/>
      <c r="AH308" s="187"/>
      <c r="AI308" s="181"/>
      <c r="AJ308" s="252"/>
      <c r="AK308" s="182"/>
    </row>
    <row r="309" spans="7:37" ht="17.100000000000001" customHeight="1" x14ac:dyDescent="0.25">
      <c r="G309" s="230"/>
      <c r="H309" s="112"/>
      <c r="L309" s="144"/>
      <c r="M309" s="143"/>
      <c r="AG309" s="71"/>
      <c r="AH309" s="187"/>
      <c r="AI309" s="181"/>
      <c r="AJ309" s="252"/>
      <c r="AK309" s="182"/>
    </row>
    <row r="310" spans="7:37" ht="17.100000000000001" customHeight="1" x14ac:dyDescent="0.25">
      <c r="G310" s="230"/>
      <c r="H310" s="112"/>
      <c r="L310" s="144"/>
      <c r="M310" s="143"/>
      <c r="AG310" s="71"/>
      <c r="AH310" s="187"/>
      <c r="AI310" s="181"/>
      <c r="AJ310" s="252"/>
      <c r="AK310" s="182"/>
    </row>
    <row r="311" spans="7:37" ht="17.100000000000001" customHeight="1" x14ac:dyDescent="0.25">
      <c r="G311" s="230"/>
      <c r="H311" s="112"/>
      <c r="L311" s="144"/>
      <c r="M311" s="143"/>
      <c r="AG311" s="71"/>
      <c r="AH311" s="187"/>
      <c r="AI311" s="181"/>
      <c r="AJ311" s="252"/>
      <c r="AK311" s="182"/>
    </row>
    <row r="312" spans="7:37" ht="17.100000000000001" customHeight="1" x14ac:dyDescent="0.25">
      <c r="G312" s="230"/>
      <c r="H312" s="112"/>
      <c r="L312" s="144"/>
      <c r="M312" s="143"/>
      <c r="AG312" s="71"/>
      <c r="AH312" s="187"/>
      <c r="AI312" s="181"/>
      <c r="AJ312" s="252"/>
      <c r="AK312" s="182"/>
    </row>
    <row r="313" spans="7:37" ht="17.100000000000001" customHeight="1" x14ac:dyDescent="0.25">
      <c r="G313" s="230"/>
      <c r="H313" s="112"/>
      <c r="L313" s="144"/>
      <c r="M313" s="143"/>
      <c r="AG313" s="71"/>
      <c r="AH313" s="187"/>
      <c r="AI313" s="181"/>
      <c r="AJ313" s="252"/>
      <c r="AK313" s="182"/>
    </row>
    <row r="314" spans="7:37" ht="17.100000000000001" customHeight="1" x14ac:dyDescent="0.25">
      <c r="G314" s="230"/>
      <c r="H314" s="112"/>
      <c r="L314" s="144"/>
      <c r="M314" s="143"/>
      <c r="AG314" s="71"/>
      <c r="AH314" s="187"/>
      <c r="AI314" s="181"/>
      <c r="AJ314" s="253"/>
      <c r="AK314" s="182"/>
    </row>
    <row r="315" spans="7:37" ht="17.100000000000001" customHeight="1" x14ac:dyDescent="0.25">
      <c r="G315" s="230"/>
      <c r="H315" s="112"/>
      <c r="L315" s="144"/>
      <c r="M315" s="143"/>
      <c r="AG315" s="71"/>
      <c r="AH315" s="187"/>
      <c r="AI315" s="181"/>
      <c r="AJ315" s="252"/>
      <c r="AK315" s="182"/>
    </row>
    <row r="316" spans="7:37" ht="17.100000000000001" customHeight="1" x14ac:dyDescent="0.25">
      <c r="G316" s="230"/>
      <c r="H316" s="112"/>
      <c r="L316" s="144"/>
      <c r="M316" s="143"/>
      <c r="AG316" s="71"/>
      <c r="AH316" s="187"/>
      <c r="AI316" s="181"/>
      <c r="AJ316" s="252"/>
      <c r="AK316" s="182"/>
    </row>
    <row r="317" spans="7:37" ht="17.100000000000001" customHeight="1" x14ac:dyDescent="0.25">
      <c r="G317" s="230"/>
      <c r="H317" s="112"/>
      <c r="L317" s="144"/>
      <c r="M317" s="143"/>
      <c r="AG317" s="71"/>
      <c r="AH317" s="187"/>
      <c r="AI317" s="181"/>
      <c r="AJ317" s="252"/>
      <c r="AK317" s="182"/>
    </row>
    <row r="318" spans="7:37" ht="17.100000000000001" customHeight="1" x14ac:dyDescent="0.25">
      <c r="G318" s="230"/>
      <c r="H318" s="112"/>
      <c r="L318" s="144"/>
      <c r="M318" s="143"/>
      <c r="AG318" s="71"/>
      <c r="AH318" s="187"/>
      <c r="AI318" s="181"/>
      <c r="AJ318" s="252"/>
      <c r="AK318" s="182"/>
    </row>
    <row r="319" spans="7:37" ht="17.100000000000001" customHeight="1" x14ac:dyDescent="0.25">
      <c r="G319" s="230"/>
      <c r="H319" s="112"/>
      <c r="L319" s="144"/>
      <c r="M319" s="143"/>
      <c r="AG319" s="71"/>
      <c r="AH319" s="187"/>
      <c r="AI319" s="181"/>
      <c r="AJ319" s="252"/>
      <c r="AK319" s="182"/>
    </row>
    <row r="320" spans="7:37" ht="17.100000000000001" customHeight="1" x14ac:dyDescent="0.25">
      <c r="G320" s="230"/>
      <c r="H320" s="112"/>
      <c r="L320" s="144"/>
      <c r="M320" s="143"/>
      <c r="AG320" s="71"/>
      <c r="AH320" s="187"/>
      <c r="AI320" s="181"/>
      <c r="AJ320" s="252"/>
      <c r="AK320" s="182"/>
    </row>
    <row r="321" spans="7:37" ht="17.100000000000001" customHeight="1" x14ac:dyDescent="0.25">
      <c r="G321" s="230"/>
      <c r="H321" s="112"/>
      <c r="L321" s="144"/>
      <c r="M321" s="143"/>
      <c r="AG321" s="71"/>
      <c r="AH321" s="187"/>
      <c r="AI321" s="181"/>
      <c r="AJ321" s="252"/>
      <c r="AK321" s="182"/>
    </row>
    <row r="322" spans="7:37" ht="17.100000000000001" customHeight="1" x14ac:dyDescent="0.25">
      <c r="G322" s="230"/>
      <c r="H322" s="112"/>
      <c r="L322" s="144"/>
      <c r="M322" s="143"/>
      <c r="AG322" s="71"/>
      <c r="AH322" s="187"/>
      <c r="AI322" s="181"/>
      <c r="AJ322" s="252"/>
      <c r="AK322" s="182"/>
    </row>
    <row r="323" spans="7:37" ht="17.100000000000001" customHeight="1" x14ac:dyDescent="0.25">
      <c r="G323" s="230"/>
      <c r="H323" s="112"/>
      <c r="L323" s="144"/>
      <c r="M323" s="143"/>
      <c r="AG323" s="71"/>
      <c r="AH323" s="187"/>
      <c r="AI323" s="181"/>
      <c r="AJ323" s="252"/>
      <c r="AK323" s="182"/>
    </row>
    <row r="324" spans="7:37" ht="17.100000000000001" customHeight="1" x14ac:dyDescent="0.25">
      <c r="G324" s="230"/>
      <c r="H324" s="112"/>
      <c r="L324" s="144"/>
      <c r="M324" s="143"/>
      <c r="AG324" s="71"/>
      <c r="AH324" s="187"/>
      <c r="AI324" s="181"/>
      <c r="AJ324" s="252"/>
      <c r="AK324" s="182"/>
    </row>
    <row r="325" spans="7:37" ht="17.100000000000001" customHeight="1" x14ac:dyDescent="0.25">
      <c r="G325" s="230"/>
      <c r="H325" s="112"/>
      <c r="L325" s="144"/>
      <c r="M325" s="143"/>
      <c r="AG325" s="71"/>
      <c r="AH325" s="187"/>
      <c r="AI325" s="181"/>
      <c r="AJ325" s="252"/>
      <c r="AK325" s="182"/>
    </row>
    <row r="326" spans="7:37" ht="17.100000000000001" customHeight="1" x14ac:dyDescent="0.25">
      <c r="G326" s="230"/>
      <c r="H326" s="112"/>
      <c r="L326" s="144"/>
      <c r="M326" s="143"/>
      <c r="AG326" s="71"/>
      <c r="AH326" s="187"/>
      <c r="AI326" s="181"/>
      <c r="AJ326" s="252"/>
      <c r="AK326" s="182"/>
    </row>
    <row r="327" spans="7:37" ht="17.100000000000001" customHeight="1" x14ac:dyDescent="0.25">
      <c r="G327" s="230"/>
      <c r="H327" s="112"/>
      <c r="L327" s="144"/>
      <c r="M327" s="143"/>
      <c r="AG327" s="71"/>
      <c r="AH327" s="187"/>
      <c r="AI327" s="181"/>
      <c r="AJ327" s="252"/>
      <c r="AK327" s="182"/>
    </row>
    <row r="328" spans="7:37" ht="17.100000000000001" customHeight="1" x14ac:dyDescent="0.25">
      <c r="G328" s="230"/>
      <c r="H328" s="112"/>
      <c r="L328" s="144"/>
      <c r="M328" s="143"/>
      <c r="AG328" s="71"/>
      <c r="AH328" s="187"/>
      <c r="AI328" s="181"/>
      <c r="AJ328" s="252"/>
      <c r="AK328" s="182"/>
    </row>
    <row r="329" spans="7:37" ht="17.100000000000001" customHeight="1" x14ac:dyDescent="0.25">
      <c r="G329" s="230"/>
      <c r="H329" s="112"/>
      <c r="L329" s="144"/>
      <c r="M329" s="143"/>
      <c r="AG329" s="71"/>
      <c r="AH329" s="187"/>
      <c r="AI329" s="181"/>
      <c r="AJ329" s="252"/>
      <c r="AK329" s="182"/>
    </row>
    <row r="330" spans="7:37" ht="17.100000000000001" customHeight="1" x14ac:dyDescent="0.25">
      <c r="G330" s="230"/>
      <c r="H330" s="112"/>
      <c r="L330" s="144"/>
      <c r="M330" s="143"/>
      <c r="AG330" s="71"/>
      <c r="AH330" s="187"/>
      <c r="AI330" s="181"/>
      <c r="AJ330" s="252"/>
      <c r="AK330" s="182"/>
    </row>
    <row r="331" spans="7:37" ht="17.100000000000001" customHeight="1" x14ac:dyDescent="0.25">
      <c r="G331" s="230"/>
      <c r="H331" s="112"/>
      <c r="L331" s="144"/>
      <c r="M331" s="143"/>
      <c r="AG331" s="71"/>
      <c r="AH331" s="187"/>
      <c r="AI331" s="181"/>
      <c r="AJ331" s="252"/>
      <c r="AK331" s="182"/>
    </row>
    <row r="332" spans="7:37" ht="17.100000000000001" customHeight="1" x14ac:dyDescent="0.25">
      <c r="G332" s="230"/>
      <c r="H332" s="112"/>
      <c r="L332" s="144"/>
      <c r="M332" s="143"/>
      <c r="AG332" s="71"/>
      <c r="AH332" s="187"/>
      <c r="AI332" s="181"/>
      <c r="AJ332" s="252"/>
      <c r="AK332" s="182"/>
    </row>
    <row r="333" spans="7:37" ht="17.100000000000001" customHeight="1" x14ac:dyDescent="0.25">
      <c r="G333" s="230"/>
      <c r="H333" s="112"/>
      <c r="L333" s="144"/>
      <c r="M333" s="143"/>
      <c r="AG333" s="71"/>
      <c r="AH333" s="187"/>
      <c r="AI333" s="181"/>
      <c r="AJ333" s="252"/>
      <c r="AK333" s="182"/>
    </row>
    <row r="334" spans="7:37" ht="17.100000000000001" customHeight="1" x14ac:dyDescent="0.25">
      <c r="G334" s="230"/>
      <c r="H334" s="112"/>
      <c r="L334" s="144"/>
      <c r="M334" s="143"/>
      <c r="AG334" s="71"/>
      <c r="AH334" s="187"/>
      <c r="AI334" s="181"/>
      <c r="AJ334" s="252"/>
      <c r="AK334" s="182"/>
    </row>
    <row r="335" spans="7:37" ht="17.100000000000001" customHeight="1" x14ac:dyDescent="0.25">
      <c r="G335" s="230"/>
      <c r="H335" s="112"/>
      <c r="L335" s="144"/>
      <c r="M335" s="143"/>
      <c r="AG335" s="71"/>
      <c r="AH335" s="187"/>
      <c r="AI335" s="181"/>
      <c r="AJ335" s="252"/>
      <c r="AK335" s="182"/>
    </row>
    <row r="336" spans="7:37" ht="17.100000000000001" customHeight="1" x14ac:dyDescent="0.25">
      <c r="G336" s="230"/>
      <c r="H336" s="112"/>
      <c r="L336" s="144"/>
      <c r="M336" s="143"/>
      <c r="AG336" s="71"/>
      <c r="AH336" s="187"/>
      <c r="AI336" s="181"/>
      <c r="AJ336" s="252"/>
      <c r="AK336" s="182"/>
    </row>
    <row r="337" spans="1:37" ht="17.100000000000001" customHeight="1" x14ac:dyDescent="0.25">
      <c r="A337" s="231"/>
      <c r="G337" s="230"/>
      <c r="H337" s="112"/>
      <c r="L337" s="144"/>
      <c r="M337" s="143"/>
      <c r="AG337" s="71"/>
      <c r="AH337" s="187"/>
      <c r="AI337" s="181"/>
      <c r="AJ337" s="252"/>
      <c r="AK337" s="182"/>
    </row>
    <row r="338" spans="1:37" ht="17.100000000000001" customHeight="1" x14ac:dyDescent="0.25">
      <c r="G338" s="230"/>
      <c r="H338" s="112"/>
      <c r="L338" s="144"/>
      <c r="M338" s="143"/>
      <c r="AG338" s="71"/>
      <c r="AH338" s="187"/>
      <c r="AI338" s="181"/>
      <c r="AJ338" s="252"/>
      <c r="AK338" s="182"/>
    </row>
    <row r="339" spans="1:37" ht="17.100000000000001" customHeight="1" x14ac:dyDescent="0.25">
      <c r="G339" s="230"/>
      <c r="H339" s="112"/>
      <c r="L339" s="144"/>
      <c r="M339" s="143"/>
      <c r="AG339" s="71"/>
      <c r="AH339" s="187"/>
      <c r="AI339" s="181"/>
      <c r="AJ339" s="252"/>
      <c r="AK339" s="182"/>
    </row>
    <row r="340" spans="1:37" ht="17.100000000000001" customHeight="1" x14ac:dyDescent="0.25">
      <c r="G340" s="230"/>
      <c r="H340" s="112"/>
      <c r="L340" s="144"/>
      <c r="M340" s="143"/>
      <c r="AG340" s="71"/>
      <c r="AH340" s="187"/>
      <c r="AI340" s="181"/>
      <c r="AJ340" s="252"/>
      <c r="AK340" s="182"/>
    </row>
    <row r="341" spans="1:37" ht="17.100000000000001" customHeight="1" x14ac:dyDescent="0.25">
      <c r="G341" s="230"/>
      <c r="H341" s="112"/>
      <c r="L341" s="144"/>
      <c r="M341" s="143"/>
      <c r="AG341" s="71"/>
      <c r="AH341" s="187"/>
      <c r="AI341" s="181"/>
      <c r="AJ341" s="252"/>
      <c r="AK341" s="182"/>
    </row>
    <row r="342" spans="1:37" ht="17.100000000000001" customHeight="1" x14ac:dyDescent="0.25">
      <c r="G342" s="230"/>
      <c r="H342" s="112"/>
      <c r="L342" s="144"/>
      <c r="M342" s="143"/>
      <c r="AG342" s="71"/>
      <c r="AH342" s="187"/>
      <c r="AI342" s="181"/>
      <c r="AJ342" s="252"/>
      <c r="AK342" s="182"/>
    </row>
    <row r="343" spans="1:37" ht="17.100000000000001" customHeight="1" x14ac:dyDescent="0.25">
      <c r="G343" s="230"/>
      <c r="H343" s="112"/>
      <c r="L343" s="144"/>
      <c r="M343" s="143"/>
      <c r="AG343" s="71"/>
      <c r="AH343" s="187"/>
      <c r="AI343" s="181"/>
      <c r="AJ343" s="252"/>
      <c r="AK343" s="182"/>
    </row>
    <row r="344" spans="1:37" ht="17.100000000000001" customHeight="1" x14ac:dyDescent="0.25">
      <c r="G344" s="230"/>
      <c r="H344" s="112"/>
      <c r="L344" s="144"/>
      <c r="M344" s="143"/>
      <c r="AG344" s="71"/>
      <c r="AH344" s="187"/>
      <c r="AI344" s="181"/>
      <c r="AJ344" s="252"/>
      <c r="AK344" s="182"/>
    </row>
    <row r="345" spans="1:37" ht="17.100000000000001" customHeight="1" x14ac:dyDescent="0.25">
      <c r="G345" s="230"/>
      <c r="H345" s="112"/>
      <c r="L345" s="144"/>
      <c r="M345" s="143"/>
      <c r="AG345" s="71"/>
      <c r="AH345" s="187"/>
      <c r="AI345" s="181"/>
      <c r="AJ345" s="252"/>
      <c r="AK345" s="182"/>
    </row>
    <row r="346" spans="1:37" ht="17.100000000000001" customHeight="1" x14ac:dyDescent="0.25">
      <c r="G346" s="230"/>
      <c r="H346" s="112"/>
      <c r="L346" s="144"/>
      <c r="M346" s="143"/>
      <c r="AG346" s="71"/>
      <c r="AH346" s="187"/>
      <c r="AI346" s="181"/>
      <c r="AJ346" s="252"/>
      <c r="AK346" s="182"/>
    </row>
    <row r="347" spans="1:37" ht="17.100000000000001" customHeight="1" x14ac:dyDescent="0.25">
      <c r="G347" s="230"/>
      <c r="H347" s="112"/>
      <c r="L347" s="144"/>
      <c r="M347" s="143"/>
      <c r="AG347" s="71"/>
      <c r="AH347" s="187"/>
      <c r="AI347" s="181"/>
      <c r="AJ347" s="252"/>
      <c r="AK347" s="182"/>
    </row>
    <row r="348" spans="1:37" ht="17.100000000000001" customHeight="1" x14ac:dyDescent="0.25">
      <c r="G348" s="230"/>
      <c r="H348" s="112"/>
      <c r="L348" s="144"/>
      <c r="M348" s="143"/>
      <c r="AG348" s="71"/>
      <c r="AH348" s="187"/>
      <c r="AI348" s="181"/>
      <c r="AJ348" s="252"/>
      <c r="AK348" s="182"/>
    </row>
    <row r="349" spans="1:37" ht="17.100000000000001" customHeight="1" x14ac:dyDescent="0.25">
      <c r="G349" s="230"/>
      <c r="H349" s="112"/>
      <c r="L349" s="144"/>
      <c r="M349" s="143"/>
      <c r="AG349" s="71"/>
      <c r="AH349" s="187"/>
      <c r="AI349" s="181"/>
      <c r="AJ349" s="252"/>
      <c r="AK349" s="182"/>
    </row>
    <row r="350" spans="1:37" ht="17.100000000000001" customHeight="1" x14ac:dyDescent="0.25">
      <c r="G350" s="230"/>
      <c r="H350" s="112"/>
      <c r="L350" s="144"/>
      <c r="M350" s="143"/>
      <c r="AG350" s="71"/>
      <c r="AH350" s="187"/>
      <c r="AI350" s="181"/>
      <c r="AJ350" s="252"/>
      <c r="AK350" s="182"/>
    </row>
    <row r="351" spans="1:37" ht="17.100000000000001" customHeight="1" x14ac:dyDescent="0.25">
      <c r="G351" s="230"/>
      <c r="H351" s="112"/>
      <c r="L351" s="144"/>
      <c r="M351" s="143"/>
      <c r="AG351" s="71"/>
      <c r="AH351" s="187"/>
      <c r="AI351" s="181"/>
      <c r="AJ351" s="252"/>
      <c r="AK351" s="182"/>
    </row>
    <row r="352" spans="1:37" ht="17.100000000000001" customHeight="1" x14ac:dyDescent="0.25">
      <c r="G352" s="230"/>
      <c r="H352" s="112"/>
      <c r="L352" s="144"/>
      <c r="M352" s="143"/>
      <c r="AG352" s="71"/>
      <c r="AH352" s="187"/>
      <c r="AI352" s="181"/>
      <c r="AJ352" s="252"/>
      <c r="AK352" s="182"/>
    </row>
    <row r="353" spans="7:37" ht="17.100000000000001" customHeight="1" x14ac:dyDescent="0.25">
      <c r="G353" s="230"/>
      <c r="H353" s="112"/>
      <c r="L353" s="144"/>
      <c r="M353" s="143"/>
      <c r="AG353" s="71"/>
      <c r="AH353" s="187"/>
      <c r="AI353" s="181"/>
      <c r="AJ353" s="252"/>
      <c r="AK353" s="182"/>
    </row>
    <row r="354" spans="7:37" ht="17.100000000000001" customHeight="1" x14ac:dyDescent="0.25">
      <c r="G354" s="230"/>
      <c r="H354" s="112"/>
      <c r="L354" s="144"/>
      <c r="M354" s="143"/>
      <c r="AG354" s="71"/>
      <c r="AH354" s="187"/>
      <c r="AI354" s="181"/>
      <c r="AJ354" s="253"/>
      <c r="AK354" s="182"/>
    </row>
    <row r="355" spans="7:37" ht="17.100000000000001" customHeight="1" x14ac:dyDescent="0.25">
      <c r="G355" s="230"/>
      <c r="H355" s="112"/>
      <c r="L355" s="144"/>
      <c r="M355" s="143"/>
      <c r="AG355" s="71"/>
      <c r="AH355" s="187"/>
      <c r="AI355" s="181"/>
      <c r="AJ355" s="252"/>
      <c r="AK355" s="182"/>
    </row>
    <row r="356" spans="7:37" ht="17.100000000000001" customHeight="1" x14ac:dyDescent="0.25">
      <c r="G356" s="230"/>
      <c r="H356" s="112"/>
      <c r="L356" s="144"/>
      <c r="M356" s="143"/>
      <c r="AG356" s="71"/>
      <c r="AH356" s="187"/>
      <c r="AI356" s="181"/>
      <c r="AJ356" s="252"/>
      <c r="AK356" s="182"/>
    </row>
    <row r="357" spans="7:37" ht="17.100000000000001" customHeight="1" x14ac:dyDescent="0.25">
      <c r="G357" s="230"/>
      <c r="H357" s="112"/>
      <c r="L357" s="144"/>
      <c r="M357" s="143"/>
      <c r="AG357" s="71"/>
      <c r="AH357" s="187"/>
      <c r="AI357" s="181"/>
      <c r="AJ357" s="253"/>
      <c r="AK357" s="182"/>
    </row>
    <row r="358" spans="7:37" ht="17.100000000000001" customHeight="1" x14ac:dyDescent="0.25">
      <c r="G358" s="230"/>
      <c r="H358" s="112"/>
      <c r="L358" s="144"/>
      <c r="M358" s="143"/>
      <c r="AG358" s="71"/>
      <c r="AH358" s="187"/>
      <c r="AI358" s="181"/>
      <c r="AJ358" s="252"/>
      <c r="AK358" s="182"/>
    </row>
    <row r="359" spans="7:37" ht="17.100000000000001" customHeight="1" x14ac:dyDescent="0.25">
      <c r="G359" s="230"/>
      <c r="H359" s="112"/>
      <c r="L359" s="144"/>
      <c r="M359" s="143"/>
      <c r="AG359" s="71"/>
      <c r="AH359" s="187"/>
      <c r="AI359" s="181"/>
      <c r="AJ359" s="252"/>
      <c r="AK359" s="182"/>
    </row>
    <row r="360" spans="7:37" ht="17.100000000000001" customHeight="1" x14ac:dyDescent="0.25">
      <c r="G360" s="230"/>
      <c r="H360" s="112"/>
      <c r="L360" s="144"/>
      <c r="M360" s="143"/>
      <c r="AG360" s="71"/>
      <c r="AH360" s="187"/>
      <c r="AI360" s="181"/>
      <c r="AJ360" s="252"/>
      <c r="AK360" s="182"/>
    </row>
    <row r="361" spans="7:37" ht="17.100000000000001" customHeight="1" x14ac:dyDescent="0.25">
      <c r="G361" s="230"/>
      <c r="H361" s="112"/>
      <c r="L361" s="144"/>
      <c r="M361" s="143"/>
      <c r="AG361" s="71"/>
      <c r="AH361" s="187"/>
      <c r="AI361" s="181"/>
      <c r="AJ361" s="252"/>
      <c r="AK361" s="182"/>
    </row>
    <row r="362" spans="7:37" ht="17.100000000000001" customHeight="1" x14ac:dyDescent="0.25">
      <c r="G362" s="230"/>
      <c r="H362" s="112"/>
      <c r="L362" s="144"/>
      <c r="M362" s="143"/>
      <c r="AG362" s="71"/>
      <c r="AH362" s="187"/>
      <c r="AI362" s="181"/>
      <c r="AJ362" s="252"/>
      <c r="AK362" s="182"/>
    </row>
    <row r="363" spans="7:37" ht="17.100000000000001" customHeight="1" x14ac:dyDescent="0.25">
      <c r="G363" s="230"/>
      <c r="H363" s="112"/>
      <c r="L363" s="144"/>
      <c r="M363" s="143"/>
      <c r="AG363" s="71"/>
      <c r="AH363" s="187"/>
      <c r="AI363" s="181"/>
      <c r="AJ363" s="252"/>
      <c r="AK363" s="182"/>
    </row>
    <row r="364" spans="7:37" ht="17.100000000000001" customHeight="1" x14ac:dyDescent="0.25">
      <c r="G364" s="230"/>
      <c r="H364" s="112"/>
      <c r="L364" s="144"/>
      <c r="M364" s="143"/>
      <c r="AG364" s="71"/>
      <c r="AH364" s="187"/>
      <c r="AI364" s="181"/>
      <c r="AJ364" s="252"/>
      <c r="AK364" s="182"/>
    </row>
    <row r="365" spans="7:37" ht="17.100000000000001" customHeight="1" x14ac:dyDescent="0.25">
      <c r="G365" s="230"/>
      <c r="H365" s="112"/>
      <c r="L365" s="144"/>
      <c r="M365" s="143"/>
      <c r="AG365" s="71"/>
      <c r="AH365" s="187"/>
      <c r="AI365" s="181"/>
      <c r="AJ365" s="252"/>
      <c r="AK365" s="182"/>
    </row>
    <row r="366" spans="7:37" ht="17.100000000000001" customHeight="1" x14ac:dyDescent="0.25">
      <c r="G366" s="230"/>
      <c r="H366" s="112"/>
      <c r="L366" s="144"/>
      <c r="M366" s="143"/>
      <c r="AG366" s="71"/>
      <c r="AH366" s="187"/>
      <c r="AI366" s="181"/>
      <c r="AJ366" s="252"/>
      <c r="AK366" s="182"/>
    </row>
    <row r="367" spans="7:37" ht="17.100000000000001" customHeight="1" x14ac:dyDescent="0.25">
      <c r="G367" s="230"/>
      <c r="H367" s="112"/>
      <c r="L367" s="144"/>
      <c r="M367" s="143"/>
      <c r="AG367" s="71"/>
      <c r="AH367" s="187"/>
      <c r="AI367" s="181"/>
      <c r="AJ367" s="252"/>
      <c r="AK367" s="182"/>
    </row>
    <row r="368" spans="7:37" ht="17.100000000000001" customHeight="1" x14ac:dyDescent="0.25">
      <c r="G368" s="230"/>
      <c r="H368" s="112"/>
      <c r="L368" s="144"/>
      <c r="M368" s="143"/>
      <c r="AG368" s="71"/>
      <c r="AH368" s="187"/>
      <c r="AI368" s="181"/>
      <c r="AJ368" s="252"/>
      <c r="AK368" s="182"/>
    </row>
    <row r="369" spans="1:37" ht="17.100000000000001" customHeight="1" x14ac:dyDescent="0.25">
      <c r="G369" s="230"/>
      <c r="H369" s="112"/>
      <c r="L369" s="144"/>
      <c r="M369" s="143"/>
      <c r="AG369" s="71"/>
      <c r="AH369" s="187"/>
      <c r="AI369" s="181"/>
      <c r="AJ369" s="252"/>
      <c r="AK369" s="182"/>
    </row>
    <row r="370" spans="1:37" ht="17.100000000000001" customHeight="1" x14ac:dyDescent="0.25">
      <c r="G370" s="230"/>
      <c r="H370" s="112"/>
      <c r="L370" s="144"/>
      <c r="M370" s="143"/>
      <c r="AG370" s="71"/>
      <c r="AH370" s="187"/>
      <c r="AI370" s="181"/>
      <c r="AJ370" s="252"/>
      <c r="AK370" s="182"/>
    </row>
    <row r="371" spans="1:37" ht="17.100000000000001" customHeight="1" x14ac:dyDescent="0.25">
      <c r="G371" s="230"/>
      <c r="H371" s="112"/>
      <c r="L371" s="144"/>
      <c r="M371" s="143"/>
      <c r="AG371" s="71"/>
      <c r="AH371" s="187"/>
      <c r="AI371" s="181"/>
      <c r="AJ371" s="252"/>
      <c r="AK371" s="182"/>
    </row>
    <row r="372" spans="1:37" ht="17.100000000000001" customHeight="1" x14ac:dyDescent="0.25">
      <c r="A372" s="231"/>
      <c r="G372" s="230"/>
      <c r="H372" s="112"/>
      <c r="L372" s="144"/>
      <c r="M372" s="143"/>
      <c r="AG372" s="71"/>
      <c r="AH372" s="187"/>
      <c r="AI372" s="181"/>
      <c r="AJ372" s="252"/>
      <c r="AK372" s="182"/>
    </row>
    <row r="373" spans="1:37" ht="17.100000000000001" customHeight="1" x14ac:dyDescent="0.25">
      <c r="G373" s="230"/>
      <c r="H373" s="112"/>
      <c r="L373" s="144"/>
      <c r="M373" s="143"/>
      <c r="AG373" s="71"/>
      <c r="AH373" s="187"/>
      <c r="AI373" s="181"/>
      <c r="AJ373" s="252"/>
      <c r="AK373" s="182"/>
    </row>
    <row r="374" spans="1:37" ht="17.100000000000001" customHeight="1" x14ac:dyDescent="0.25">
      <c r="G374" s="230"/>
      <c r="H374" s="112"/>
      <c r="L374" s="144"/>
      <c r="M374" s="143"/>
      <c r="AG374" s="71"/>
      <c r="AH374" s="187"/>
      <c r="AI374" s="181"/>
      <c r="AJ374" s="252"/>
      <c r="AK374" s="182"/>
    </row>
    <row r="375" spans="1:37" ht="17.100000000000001" customHeight="1" x14ac:dyDescent="0.25">
      <c r="G375" s="230"/>
      <c r="H375" s="112"/>
      <c r="L375" s="144"/>
      <c r="M375" s="143"/>
      <c r="AG375" s="71"/>
      <c r="AH375" s="187"/>
      <c r="AI375" s="181"/>
      <c r="AJ375" s="253"/>
      <c r="AK375" s="182"/>
    </row>
    <row r="376" spans="1:37" ht="17.100000000000001" customHeight="1" x14ac:dyDescent="0.25">
      <c r="G376" s="230"/>
      <c r="H376" s="112"/>
      <c r="L376" s="144"/>
      <c r="M376" s="143"/>
      <c r="AG376" s="71"/>
      <c r="AH376" s="187"/>
      <c r="AI376" s="181"/>
      <c r="AJ376" s="252"/>
      <c r="AK376" s="182"/>
    </row>
    <row r="377" spans="1:37" ht="17.100000000000001" customHeight="1" x14ac:dyDescent="0.25">
      <c r="G377" s="230"/>
      <c r="H377" s="112"/>
      <c r="L377" s="144"/>
      <c r="M377" s="143"/>
      <c r="AG377" s="71"/>
      <c r="AH377" s="187"/>
      <c r="AI377" s="181"/>
      <c r="AJ377" s="252"/>
      <c r="AK377" s="182"/>
    </row>
    <row r="378" spans="1:37" ht="17.100000000000001" customHeight="1" x14ac:dyDescent="0.25">
      <c r="G378" s="230"/>
      <c r="H378" s="112"/>
      <c r="L378" s="144"/>
      <c r="M378" s="143"/>
      <c r="AG378" s="71"/>
      <c r="AH378" s="187"/>
      <c r="AI378" s="181"/>
      <c r="AJ378" s="252"/>
      <c r="AK378" s="182"/>
    </row>
    <row r="379" spans="1:37" ht="17.100000000000001" customHeight="1" x14ac:dyDescent="0.25">
      <c r="G379" s="230"/>
      <c r="H379" s="112"/>
      <c r="L379" s="144"/>
      <c r="M379" s="143"/>
      <c r="AG379" s="71"/>
      <c r="AH379" s="187"/>
      <c r="AI379" s="181"/>
      <c r="AJ379" s="252"/>
      <c r="AK379" s="182"/>
    </row>
    <row r="380" spans="1:37" ht="17.100000000000001" customHeight="1" x14ac:dyDescent="0.25">
      <c r="G380" s="230"/>
      <c r="H380" s="112"/>
      <c r="L380" s="144"/>
      <c r="M380" s="143"/>
      <c r="AG380" s="71"/>
      <c r="AH380" s="187"/>
      <c r="AI380" s="181"/>
      <c r="AJ380" s="253"/>
      <c r="AK380" s="182"/>
    </row>
    <row r="381" spans="1:37" ht="17.100000000000001" customHeight="1" x14ac:dyDescent="0.25">
      <c r="G381" s="230"/>
      <c r="H381" s="112"/>
      <c r="L381" s="144"/>
      <c r="M381" s="143"/>
      <c r="AG381" s="71"/>
      <c r="AH381" s="187"/>
      <c r="AI381" s="181"/>
      <c r="AJ381" s="252"/>
      <c r="AK381" s="182"/>
    </row>
    <row r="382" spans="1:37" ht="17.100000000000001" customHeight="1" x14ac:dyDescent="0.25">
      <c r="G382" s="230"/>
      <c r="H382" s="112"/>
      <c r="L382" s="144"/>
      <c r="M382" s="143"/>
      <c r="AG382" s="71"/>
      <c r="AH382" s="187"/>
      <c r="AI382" s="181"/>
      <c r="AJ382" s="252"/>
      <c r="AK382" s="182"/>
    </row>
    <row r="383" spans="1:37" ht="17.100000000000001" customHeight="1" x14ac:dyDescent="0.25">
      <c r="G383" s="230"/>
      <c r="H383" s="112"/>
      <c r="L383" s="144"/>
      <c r="M383" s="143"/>
      <c r="AG383" s="71"/>
      <c r="AH383" s="187"/>
      <c r="AI383" s="181"/>
      <c r="AJ383" s="252"/>
      <c r="AK383" s="182"/>
    </row>
    <row r="384" spans="1:37" ht="17.100000000000001" customHeight="1" x14ac:dyDescent="0.25">
      <c r="G384" s="230"/>
      <c r="H384" s="112"/>
      <c r="L384" s="144"/>
      <c r="M384" s="143"/>
      <c r="AG384" s="71"/>
      <c r="AH384" s="187"/>
      <c r="AI384" s="181"/>
      <c r="AJ384" s="252"/>
      <c r="AK384" s="182"/>
    </row>
    <row r="385" spans="7:37" ht="17.100000000000001" customHeight="1" x14ac:dyDescent="0.25">
      <c r="G385" s="230"/>
      <c r="H385" s="112"/>
      <c r="L385" s="144"/>
      <c r="M385" s="143"/>
      <c r="AG385" s="71"/>
      <c r="AH385" s="187"/>
      <c r="AI385" s="181"/>
      <c r="AJ385" s="252"/>
      <c r="AK385" s="182"/>
    </row>
    <row r="386" spans="7:37" ht="17.100000000000001" customHeight="1" x14ac:dyDescent="0.25">
      <c r="G386" s="230"/>
      <c r="H386" s="112"/>
      <c r="L386" s="144"/>
      <c r="M386" s="143"/>
      <c r="AG386" s="71"/>
      <c r="AH386" s="187"/>
      <c r="AI386" s="181"/>
      <c r="AJ386" s="252"/>
      <c r="AK386" s="182"/>
    </row>
    <row r="387" spans="7:37" ht="17.100000000000001" customHeight="1" x14ac:dyDescent="0.25">
      <c r="G387" s="230"/>
      <c r="H387" s="112"/>
      <c r="L387" s="144"/>
      <c r="M387" s="143"/>
      <c r="AG387" s="71"/>
      <c r="AH387" s="187"/>
      <c r="AI387" s="181"/>
      <c r="AJ387" s="252"/>
      <c r="AK387" s="182"/>
    </row>
    <row r="388" spans="7:37" ht="17.100000000000001" customHeight="1" x14ac:dyDescent="0.25">
      <c r="G388" s="230"/>
      <c r="H388" s="112"/>
      <c r="L388" s="144"/>
      <c r="M388" s="143"/>
      <c r="AG388" s="71"/>
      <c r="AH388" s="187"/>
      <c r="AI388" s="181"/>
      <c r="AJ388" s="253"/>
      <c r="AK388" s="182"/>
    </row>
    <row r="389" spans="7:37" ht="17.100000000000001" customHeight="1" x14ac:dyDescent="0.25">
      <c r="G389" s="230"/>
      <c r="H389" s="112"/>
      <c r="L389" s="144"/>
      <c r="M389" s="143"/>
      <c r="AG389" s="71"/>
      <c r="AH389" s="187"/>
      <c r="AI389" s="181"/>
      <c r="AJ389" s="252"/>
      <c r="AK389" s="182"/>
    </row>
    <row r="390" spans="7:37" ht="17.100000000000001" customHeight="1" x14ac:dyDescent="0.25">
      <c r="G390" s="230"/>
      <c r="H390" s="112"/>
      <c r="L390" s="144"/>
      <c r="M390" s="143"/>
      <c r="AG390" s="71"/>
      <c r="AH390" s="187"/>
      <c r="AI390" s="181"/>
      <c r="AJ390" s="252"/>
      <c r="AK390" s="182"/>
    </row>
    <row r="391" spans="7:37" ht="17.100000000000001" customHeight="1" x14ac:dyDescent="0.25">
      <c r="H391" s="112"/>
      <c r="N391" s="223"/>
      <c r="AG391" s="71"/>
      <c r="AH391" s="187"/>
      <c r="AI391" s="181"/>
      <c r="AJ391" s="252"/>
      <c r="AK391" s="182"/>
    </row>
    <row r="392" spans="7:37" ht="17.100000000000001" customHeight="1" x14ac:dyDescent="0.25">
      <c r="G392" s="230"/>
      <c r="H392" s="112"/>
      <c r="L392" s="144"/>
      <c r="M392" s="143"/>
      <c r="AG392" s="71"/>
      <c r="AH392" s="187"/>
      <c r="AI392" s="181"/>
      <c r="AJ392" s="252"/>
      <c r="AK392" s="182"/>
    </row>
    <row r="393" spans="7:37" ht="17.100000000000001" customHeight="1" x14ac:dyDescent="0.25">
      <c r="G393" s="230"/>
      <c r="H393" s="112"/>
      <c r="L393" s="144"/>
      <c r="M393" s="143"/>
      <c r="AG393" s="71"/>
      <c r="AH393" s="187"/>
      <c r="AI393" s="181"/>
      <c r="AJ393" s="252"/>
      <c r="AK393" s="182"/>
    </row>
    <row r="394" spans="7:37" ht="17.100000000000001" customHeight="1" x14ac:dyDescent="0.25">
      <c r="G394" s="230"/>
      <c r="H394" s="112"/>
      <c r="L394" s="144"/>
      <c r="M394" s="143"/>
      <c r="AG394" s="71"/>
      <c r="AH394" s="187"/>
      <c r="AI394" s="181"/>
      <c r="AJ394" s="252"/>
      <c r="AK394" s="182"/>
    </row>
    <row r="395" spans="7:37" ht="17.100000000000001" customHeight="1" x14ac:dyDescent="0.25">
      <c r="G395" s="230"/>
      <c r="H395" s="112"/>
      <c r="L395" s="144"/>
      <c r="M395" s="143"/>
      <c r="AG395" s="71"/>
      <c r="AH395" s="187"/>
      <c r="AI395" s="181"/>
      <c r="AJ395" s="252"/>
      <c r="AK395" s="182"/>
    </row>
    <row r="396" spans="7:37" ht="17.100000000000001" customHeight="1" x14ac:dyDescent="0.25">
      <c r="G396" s="230"/>
      <c r="H396" s="112"/>
      <c r="L396" s="144"/>
      <c r="M396" s="143"/>
      <c r="AG396" s="71"/>
      <c r="AH396" s="187"/>
      <c r="AI396" s="181"/>
      <c r="AJ396" s="252"/>
      <c r="AK396" s="182"/>
    </row>
    <row r="397" spans="7:37" ht="17.100000000000001" customHeight="1" x14ac:dyDescent="0.25">
      <c r="G397" s="230"/>
      <c r="H397" s="112"/>
      <c r="L397" s="144"/>
      <c r="M397" s="143"/>
      <c r="AG397" s="71"/>
      <c r="AH397" s="187"/>
      <c r="AI397" s="181"/>
      <c r="AJ397" s="252"/>
      <c r="AK397" s="182"/>
    </row>
    <row r="398" spans="7:37" ht="17.100000000000001" customHeight="1" x14ac:dyDescent="0.25">
      <c r="G398" s="230"/>
      <c r="H398" s="112"/>
      <c r="L398" s="144"/>
      <c r="M398" s="143"/>
      <c r="AG398" s="71"/>
      <c r="AH398" s="187"/>
      <c r="AI398" s="181"/>
      <c r="AJ398" s="252"/>
      <c r="AK398" s="182"/>
    </row>
    <row r="399" spans="7:37" ht="17.100000000000001" customHeight="1" x14ac:dyDescent="0.25">
      <c r="G399" s="230"/>
      <c r="H399" s="112"/>
      <c r="L399" s="144"/>
      <c r="M399" s="143"/>
      <c r="AG399" s="71"/>
      <c r="AH399" s="187"/>
      <c r="AI399" s="181"/>
      <c r="AJ399" s="252"/>
      <c r="AK399" s="182"/>
    </row>
    <row r="400" spans="7:37" ht="17.100000000000001" customHeight="1" x14ac:dyDescent="0.25">
      <c r="G400" s="230"/>
      <c r="H400" s="112"/>
      <c r="L400" s="144"/>
      <c r="M400" s="143"/>
      <c r="AG400" s="71"/>
      <c r="AH400" s="187"/>
      <c r="AI400" s="181"/>
      <c r="AJ400" s="252"/>
      <c r="AK400" s="182"/>
    </row>
    <row r="401" spans="7:37" ht="17.100000000000001" customHeight="1" x14ac:dyDescent="0.25">
      <c r="G401" s="230"/>
      <c r="H401" s="112"/>
      <c r="L401" s="144"/>
      <c r="M401" s="143"/>
      <c r="AG401" s="71"/>
      <c r="AH401" s="187"/>
      <c r="AI401" s="181"/>
      <c r="AJ401" s="252"/>
      <c r="AK401" s="182"/>
    </row>
    <row r="402" spans="7:37" ht="17.100000000000001" customHeight="1" x14ac:dyDescent="0.25">
      <c r="G402" s="230"/>
      <c r="H402" s="112"/>
      <c r="L402" s="144"/>
      <c r="M402" s="143"/>
      <c r="AG402" s="71"/>
      <c r="AH402" s="187"/>
      <c r="AI402" s="181"/>
      <c r="AJ402" s="252"/>
      <c r="AK402" s="182"/>
    </row>
    <row r="403" spans="7:37" ht="17.100000000000001" customHeight="1" x14ac:dyDescent="0.25">
      <c r="G403" s="230"/>
      <c r="H403" s="112"/>
      <c r="L403" s="144"/>
      <c r="M403" s="143"/>
      <c r="AG403" s="71"/>
      <c r="AH403" s="187"/>
      <c r="AI403" s="181"/>
      <c r="AJ403" s="253"/>
      <c r="AK403" s="182"/>
    </row>
    <row r="404" spans="7:37" ht="17.100000000000001" customHeight="1" x14ac:dyDescent="0.25">
      <c r="G404" s="230"/>
      <c r="H404" s="112"/>
      <c r="L404" s="144"/>
      <c r="M404" s="143"/>
      <c r="AG404" s="71"/>
      <c r="AH404" s="187"/>
      <c r="AI404" s="181"/>
      <c r="AJ404" s="252"/>
      <c r="AK404" s="182"/>
    </row>
    <row r="405" spans="7:37" ht="17.100000000000001" customHeight="1" x14ac:dyDescent="0.25">
      <c r="G405" s="230"/>
      <c r="H405" s="112"/>
      <c r="L405" s="144"/>
      <c r="M405" s="143"/>
      <c r="AG405" s="71"/>
      <c r="AH405" s="187"/>
      <c r="AI405" s="181"/>
      <c r="AJ405" s="252"/>
      <c r="AK405" s="182"/>
    </row>
    <row r="406" spans="7:37" ht="17.100000000000001" customHeight="1" x14ac:dyDescent="0.25">
      <c r="G406" s="230"/>
      <c r="H406" s="112"/>
      <c r="L406" s="144"/>
      <c r="M406" s="143"/>
      <c r="AG406" s="71"/>
      <c r="AH406" s="187"/>
      <c r="AI406" s="181"/>
      <c r="AJ406" s="252"/>
      <c r="AK406" s="182"/>
    </row>
    <row r="407" spans="7:37" ht="17.100000000000001" customHeight="1" x14ac:dyDescent="0.25">
      <c r="G407" s="230"/>
      <c r="H407" s="112"/>
      <c r="L407" s="144"/>
      <c r="M407" s="143"/>
      <c r="AG407" s="71"/>
      <c r="AH407" s="187"/>
      <c r="AI407" s="181"/>
      <c r="AJ407" s="253"/>
      <c r="AK407" s="182"/>
    </row>
    <row r="408" spans="7:37" ht="17.100000000000001" customHeight="1" x14ac:dyDescent="0.25">
      <c r="G408" s="230"/>
      <c r="H408" s="112"/>
      <c r="L408" s="144"/>
      <c r="M408" s="143"/>
      <c r="AG408" s="71"/>
      <c r="AH408" s="187"/>
      <c r="AI408" s="181"/>
      <c r="AJ408" s="252"/>
      <c r="AK408" s="182"/>
    </row>
    <row r="409" spans="7:37" ht="17.100000000000001" customHeight="1" x14ac:dyDescent="0.25">
      <c r="G409" s="180"/>
      <c r="H409" s="112"/>
      <c r="L409" s="144"/>
      <c r="M409" s="143"/>
      <c r="AG409" s="71"/>
      <c r="AH409" s="187"/>
      <c r="AI409" s="181"/>
      <c r="AJ409" s="252"/>
      <c r="AK409" s="182"/>
    </row>
    <row r="410" spans="7:37" ht="17.100000000000001" customHeight="1" x14ac:dyDescent="0.25">
      <c r="H410" s="112"/>
      <c r="N410" s="223"/>
      <c r="O410" s="37"/>
      <c r="P410" s="223"/>
      <c r="T410" s="254"/>
      <c r="U410" s="227"/>
      <c r="V410" s="227"/>
      <c r="W410" s="227"/>
      <c r="X410" s="227"/>
      <c r="Y410" s="227"/>
      <c r="Z410" s="227"/>
      <c r="AA410" s="227"/>
      <c r="AB410" s="223"/>
      <c r="AG410" s="71"/>
      <c r="AH410" s="185"/>
      <c r="AI410" s="186"/>
      <c r="AJ410" s="252"/>
      <c r="AK410" s="182"/>
    </row>
    <row r="411" spans="7:37" ht="17.100000000000001" customHeight="1" x14ac:dyDescent="0.25">
      <c r="H411" s="112"/>
      <c r="N411" s="223"/>
      <c r="O411" s="37"/>
      <c r="P411" s="223"/>
      <c r="T411" s="254"/>
      <c r="U411" s="227"/>
      <c r="V411" s="227"/>
      <c r="W411" s="227"/>
      <c r="X411" s="227"/>
      <c r="Y411" s="227"/>
      <c r="Z411" s="227"/>
      <c r="AA411" s="227"/>
      <c r="AB411" s="223"/>
      <c r="AG411" s="71"/>
      <c r="AH411" s="185"/>
      <c r="AI411" s="186"/>
      <c r="AJ411" s="252"/>
      <c r="AK411" s="182"/>
    </row>
    <row r="412" spans="7:37" ht="17.100000000000001" customHeight="1" x14ac:dyDescent="0.25">
      <c r="H412" s="112"/>
      <c r="N412" s="223"/>
      <c r="O412" s="37"/>
      <c r="P412" s="223"/>
      <c r="T412" s="254"/>
      <c r="U412" s="227"/>
      <c r="V412" s="227"/>
      <c r="W412" s="227"/>
      <c r="X412" s="227"/>
      <c r="Y412" s="227"/>
      <c r="Z412" s="227"/>
      <c r="AA412" s="227"/>
      <c r="AB412" s="223"/>
      <c r="AG412" s="71"/>
      <c r="AH412" s="185"/>
      <c r="AI412" s="186"/>
      <c r="AJ412" s="252"/>
      <c r="AK412" s="182"/>
    </row>
    <row r="413" spans="7:37" ht="17.100000000000001" customHeight="1" x14ac:dyDescent="0.25">
      <c r="H413" s="112"/>
      <c r="N413" s="223"/>
      <c r="O413" s="37"/>
      <c r="P413" s="223"/>
      <c r="T413" s="254"/>
      <c r="U413" s="227"/>
      <c r="V413" s="227"/>
      <c r="W413" s="227"/>
      <c r="X413" s="227"/>
      <c r="Y413" s="227"/>
      <c r="Z413" s="227"/>
      <c r="AA413" s="227"/>
      <c r="AB413" s="223"/>
      <c r="AG413" s="71"/>
      <c r="AH413" s="185"/>
      <c r="AI413" s="186"/>
      <c r="AJ413" s="253"/>
      <c r="AK413" s="182"/>
    </row>
    <row r="414" spans="7:37" ht="17.100000000000001" customHeight="1" x14ac:dyDescent="0.25">
      <c r="H414" s="112"/>
      <c r="N414" s="223"/>
      <c r="AG414" s="71"/>
      <c r="AH414" s="187"/>
      <c r="AI414" s="181"/>
      <c r="AJ414" s="252"/>
      <c r="AK414" s="182"/>
    </row>
    <row r="415" spans="7:37" ht="17.100000000000001" customHeight="1" x14ac:dyDescent="0.25">
      <c r="G415" s="230"/>
      <c r="H415" s="112"/>
      <c r="L415" s="144"/>
      <c r="M415" s="143"/>
      <c r="AG415" s="71"/>
      <c r="AH415" s="187"/>
      <c r="AI415" s="181"/>
      <c r="AJ415" s="252"/>
      <c r="AK415" s="182"/>
    </row>
    <row r="416" spans="7:37" ht="17.100000000000001" customHeight="1" x14ac:dyDescent="0.25">
      <c r="H416" s="112"/>
      <c r="N416" s="223"/>
      <c r="O416" s="37"/>
      <c r="AH416" s="185"/>
      <c r="AI416" s="181"/>
      <c r="AJ416" s="252"/>
      <c r="AK416" s="182"/>
    </row>
    <row r="417" spans="8:37" ht="17.100000000000001" customHeight="1" x14ac:dyDescent="0.25">
      <c r="H417" s="112"/>
      <c r="N417" s="223"/>
      <c r="O417" s="37"/>
      <c r="AH417" s="185"/>
      <c r="AI417" s="181"/>
      <c r="AJ417" s="252"/>
      <c r="AK417" s="182"/>
    </row>
    <row r="418" spans="8:37" ht="17.100000000000001" customHeight="1" x14ac:dyDescent="0.25">
      <c r="H418" s="112"/>
      <c r="N418" s="223"/>
      <c r="O418" s="37"/>
      <c r="AH418" s="185"/>
      <c r="AI418" s="181"/>
      <c r="AJ418" s="252"/>
      <c r="AK418" s="182"/>
    </row>
    <row r="419" spans="8:37" ht="17.100000000000001" customHeight="1" x14ac:dyDescent="0.25">
      <c r="H419" s="112"/>
      <c r="N419" s="223"/>
      <c r="O419" s="37"/>
      <c r="AH419" s="185"/>
      <c r="AI419" s="181"/>
      <c r="AJ419" s="252"/>
      <c r="AK419" s="182"/>
    </row>
    <row r="420" spans="8:37" ht="17.100000000000001" customHeight="1" x14ac:dyDescent="0.25">
      <c r="H420" s="112"/>
      <c r="N420" s="223"/>
      <c r="O420" s="37"/>
      <c r="AH420" s="185"/>
      <c r="AI420" s="181"/>
      <c r="AJ420" s="252"/>
      <c r="AK420" s="182"/>
    </row>
    <row r="421" spans="8:37" ht="17.100000000000001" customHeight="1" x14ac:dyDescent="0.25">
      <c r="H421" s="112"/>
      <c r="N421" s="223"/>
      <c r="O421" s="37"/>
      <c r="AH421" s="185"/>
      <c r="AI421" s="181"/>
      <c r="AJ421" s="252"/>
      <c r="AK421" s="182"/>
    </row>
    <row r="422" spans="8:37" ht="17.100000000000001" customHeight="1" x14ac:dyDescent="0.25">
      <c r="H422" s="112"/>
      <c r="N422" s="223"/>
      <c r="O422" s="37"/>
      <c r="AH422" s="185"/>
      <c r="AI422" s="181"/>
      <c r="AJ422" s="252"/>
      <c r="AK422" s="182"/>
    </row>
    <row r="423" spans="8:37" ht="17.100000000000001" customHeight="1" x14ac:dyDescent="0.25">
      <c r="H423" s="112"/>
      <c r="N423" s="223"/>
      <c r="O423" s="37"/>
      <c r="P423" s="223"/>
      <c r="Q423" s="225"/>
      <c r="R423" s="67"/>
      <c r="S423" s="227"/>
      <c r="U423" s="227"/>
      <c r="V423" s="227"/>
      <c r="W423" s="227"/>
      <c r="X423" s="227"/>
      <c r="Y423" s="227"/>
      <c r="Z423" s="227"/>
      <c r="AA423" s="227"/>
      <c r="AB423" s="223"/>
      <c r="AC423" s="223"/>
      <c r="AD423" s="227"/>
      <c r="AE423" s="227"/>
      <c r="AF423" s="227"/>
      <c r="AG423" s="71"/>
      <c r="AH423" s="185"/>
      <c r="AI423" s="186"/>
      <c r="AJ423" s="252"/>
      <c r="AK423" s="182"/>
    </row>
    <row r="424" spans="8:37" ht="17.100000000000001" customHeight="1" x14ac:dyDescent="0.25">
      <c r="H424" s="112"/>
      <c r="N424" s="223"/>
      <c r="O424" s="37"/>
      <c r="AH424" s="185"/>
      <c r="AI424" s="181"/>
      <c r="AJ424" s="252"/>
      <c r="AK424" s="182"/>
    </row>
    <row r="425" spans="8:37" ht="17.100000000000001" customHeight="1" x14ac:dyDescent="0.25">
      <c r="H425" s="112"/>
      <c r="N425" s="223"/>
      <c r="O425" s="37"/>
      <c r="AH425" s="185"/>
      <c r="AI425" s="181"/>
      <c r="AJ425" s="253"/>
      <c r="AK425" s="182"/>
    </row>
    <row r="426" spans="8:37" ht="17.100000000000001" customHeight="1" x14ac:dyDescent="0.25">
      <c r="H426" s="112"/>
      <c r="N426" s="223"/>
      <c r="O426" s="37"/>
      <c r="AH426" s="185"/>
      <c r="AI426" s="181"/>
      <c r="AJ426" s="252"/>
      <c r="AK426" s="182"/>
    </row>
    <row r="427" spans="8:37" ht="17.100000000000001" customHeight="1" x14ac:dyDescent="0.25">
      <c r="H427" s="112"/>
      <c r="N427" s="223"/>
      <c r="O427" s="37"/>
      <c r="P427" s="223"/>
      <c r="Q427" s="225"/>
      <c r="R427" s="67"/>
      <c r="S427" s="227"/>
      <c r="U427" s="227"/>
      <c r="V427" s="227"/>
      <c r="W427" s="227"/>
      <c r="X427" s="227"/>
      <c r="Y427" s="227"/>
      <c r="Z427" s="227"/>
      <c r="AA427" s="227"/>
      <c r="AB427" s="223"/>
      <c r="AC427" s="223"/>
      <c r="AD427" s="227"/>
      <c r="AE427" s="227"/>
      <c r="AF427" s="227"/>
      <c r="AG427" s="71"/>
      <c r="AH427" s="185"/>
      <c r="AI427" s="186"/>
      <c r="AJ427" s="252"/>
      <c r="AK427" s="182"/>
    </row>
    <row r="428" spans="8:37" ht="17.100000000000001" customHeight="1" x14ac:dyDescent="0.25">
      <c r="H428" s="112"/>
      <c r="N428" s="223"/>
      <c r="O428" s="37"/>
      <c r="AH428" s="185"/>
      <c r="AI428" s="181"/>
      <c r="AJ428" s="252"/>
      <c r="AK428" s="182"/>
    </row>
    <row r="429" spans="8:37" ht="17.100000000000001" customHeight="1" x14ac:dyDescent="0.25">
      <c r="H429" s="112"/>
      <c r="N429" s="223"/>
      <c r="O429" s="37"/>
      <c r="AH429" s="185"/>
      <c r="AI429" s="181"/>
      <c r="AJ429" s="252"/>
      <c r="AK429" s="182"/>
    </row>
    <row r="430" spans="8:37" ht="17.100000000000001" customHeight="1" x14ac:dyDescent="0.25">
      <c r="H430" s="112"/>
      <c r="N430" s="223"/>
      <c r="O430" s="37"/>
      <c r="AH430" s="185"/>
      <c r="AI430" s="181"/>
      <c r="AJ430" s="252"/>
      <c r="AK430" s="182"/>
    </row>
    <row r="431" spans="8:37" ht="17.100000000000001" customHeight="1" x14ac:dyDescent="0.25">
      <c r="H431" s="112"/>
      <c r="N431" s="223"/>
      <c r="O431" s="37"/>
      <c r="AH431" s="185"/>
      <c r="AI431" s="181"/>
      <c r="AJ431" s="252"/>
      <c r="AK431" s="182"/>
    </row>
    <row r="432" spans="8:37" ht="17.100000000000001" customHeight="1" x14ac:dyDescent="0.25">
      <c r="H432" s="112"/>
      <c r="N432" s="223"/>
      <c r="O432" s="37"/>
      <c r="AH432" s="185"/>
      <c r="AI432" s="181"/>
      <c r="AJ432" s="252"/>
      <c r="AK432" s="182"/>
    </row>
    <row r="433" spans="8:37" ht="17.100000000000001" customHeight="1" x14ac:dyDescent="0.25">
      <c r="H433" s="112"/>
      <c r="N433" s="223"/>
      <c r="O433" s="37"/>
      <c r="P433" s="223"/>
      <c r="Q433" s="225"/>
      <c r="R433" s="67"/>
      <c r="S433" s="227"/>
      <c r="U433" s="227"/>
      <c r="V433" s="227"/>
      <c r="W433" s="227"/>
      <c r="X433" s="227"/>
      <c r="Y433" s="227"/>
      <c r="Z433" s="227"/>
      <c r="AA433" s="227"/>
      <c r="AB433" s="223"/>
      <c r="AC433" s="223"/>
      <c r="AD433" s="227"/>
      <c r="AE433" s="227"/>
      <c r="AF433" s="227"/>
      <c r="AG433" s="71"/>
      <c r="AH433" s="185"/>
      <c r="AI433" s="186"/>
      <c r="AJ433" s="253"/>
      <c r="AK433" s="182"/>
    </row>
    <row r="434" spans="8:37" ht="17.100000000000001" customHeight="1" x14ac:dyDescent="0.25">
      <c r="H434" s="112"/>
      <c r="N434" s="223"/>
      <c r="O434" s="37"/>
      <c r="U434" s="227"/>
      <c r="AH434" s="185"/>
      <c r="AI434" s="181"/>
      <c r="AJ434" s="252"/>
      <c r="AK434" s="182"/>
    </row>
    <row r="435" spans="8:37" ht="17.100000000000001" customHeight="1" x14ac:dyDescent="0.25">
      <c r="H435" s="112"/>
      <c r="N435" s="223"/>
      <c r="O435" s="37"/>
      <c r="AH435" s="185"/>
      <c r="AI435" s="181"/>
      <c r="AJ435" s="252"/>
      <c r="AK435" s="182"/>
    </row>
    <row r="436" spans="8:37" ht="17.100000000000001" customHeight="1" x14ac:dyDescent="0.25">
      <c r="H436" s="112"/>
      <c r="N436" s="223"/>
      <c r="O436" s="37"/>
      <c r="AH436" s="185"/>
      <c r="AI436" s="181"/>
      <c r="AJ436" s="252"/>
      <c r="AK436" s="182"/>
    </row>
    <row r="437" spans="8:37" ht="17.100000000000001" customHeight="1" x14ac:dyDescent="0.25">
      <c r="H437" s="112"/>
      <c r="N437" s="223"/>
      <c r="O437" s="37"/>
      <c r="AH437" s="185"/>
      <c r="AI437" s="181"/>
      <c r="AJ437" s="252"/>
      <c r="AK437" s="182"/>
    </row>
    <row r="438" spans="8:37" ht="17.100000000000001" customHeight="1" x14ac:dyDescent="0.25">
      <c r="H438" s="112"/>
      <c r="N438" s="223"/>
      <c r="O438" s="37"/>
      <c r="AH438" s="185"/>
      <c r="AI438" s="181"/>
      <c r="AJ438" s="252"/>
      <c r="AK438" s="182"/>
    </row>
    <row r="439" spans="8:37" ht="17.100000000000001" customHeight="1" x14ac:dyDescent="0.25">
      <c r="H439" s="112"/>
      <c r="N439" s="223"/>
      <c r="O439" s="37"/>
      <c r="AH439" s="185"/>
      <c r="AI439" s="181"/>
      <c r="AJ439" s="252"/>
      <c r="AK439" s="182"/>
    </row>
    <row r="440" spans="8:37" ht="17.100000000000001" customHeight="1" x14ac:dyDescent="0.25">
      <c r="H440" s="112"/>
      <c r="N440" s="223"/>
      <c r="O440" s="37"/>
      <c r="AH440" s="185"/>
      <c r="AI440" s="181"/>
      <c r="AJ440" s="252"/>
      <c r="AK440" s="182"/>
    </row>
    <row r="441" spans="8:37" ht="17.100000000000001" customHeight="1" x14ac:dyDescent="0.25">
      <c r="H441" s="112"/>
      <c r="N441" s="223"/>
      <c r="O441" s="37"/>
      <c r="AH441" s="185"/>
      <c r="AI441" s="181"/>
      <c r="AJ441" s="252"/>
      <c r="AK441" s="182"/>
    </row>
    <row r="442" spans="8:37" ht="17.100000000000001" customHeight="1" x14ac:dyDescent="0.25">
      <c r="H442" s="112"/>
      <c r="N442" s="223"/>
      <c r="O442" s="37"/>
      <c r="AH442" s="185"/>
      <c r="AI442" s="181"/>
      <c r="AJ442" s="252"/>
      <c r="AK442" s="182"/>
    </row>
    <row r="443" spans="8:37" ht="17.100000000000001" customHeight="1" x14ac:dyDescent="0.25">
      <c r="H443" s="112"/>
      <c r="N443" s="223"/>
      <c r="O443" s="37"/>
      <c r="AH443" s="185"/>
      <c r="AI443" s="181"/>
      <c r="AJ443" s="252"/>
      <c r="AK443" s="182"/>
    </row>
    <row r="444" spans="8:37" ht="17.100000000000001" customHeight="1" x14ac:dyDescent="0.25">
      <c r="H444" s="112"/>
      <c r="N444" s="223"/>
      <c r="O444" s="37"/>
      <c r="AH444" s="185"/>
      <c r="AI444" s="181"/>
      <c r="AJ444" s="252"/>
      <c r="AK444" s="182"/>
    </row>
    <row r="445" spans="8:37" ht="17.100000000000001" customHeight="1" x14ac:dyDescent="0.25">
      <c r="H445" s="112"/>
      <c r="N445" s="223"/>
      <c r="O445" s="37"/>
      <c r="P445" s="223"/>
      <c r="Q445" s="225"/>
      <c r="R445" s="67"/>
      <c r="S445" s="227"/>
      <c r="U445" s="227"/>
      <c r="V445" s="227"/>
      <c r="W445" s="227"/>
      <c r="X445" s="227"/>
      <c r="Y445" s="227"/>
      <c r="Z445" s="227"/>
      <c r="AB445" s="223"/>
      <c r="AC445" s="223"/>
      <c r="AD445" s="227"/>
      <c r="AE445" s="227"/>
      <c r="AF445" s="227"/>
      <c r="AG445" s="71"/>
      <c r="AH445" s="185"/>
      <c r="AI445" s="186"/>
      <c r="AJ445" s="252"/>
      <c r="AK445" s="182"/>
    </row>
    <row r="446" spans="8:37" ht="17.100000000000001" customHeight="1" x14ac:dyDescent="0.25">
      <c r="H446" s="112"/>
      <c r="N446" s="223"/>
      <c r="O446" s="37"/>
      <c r="AH446" s="185"/>
      <c r="AI446" s="181"/>
      <c r="AJ446" s="252"/>
      <c r="AK446" s="182"/>
    </row>
    <row r="447" spans="8:37" ht="17.100000000000001" customHeight="1" x14ac:dyDescent="0.25">
      <c r="H447" s="112"/>
      <c r="N447" s="223"/>
      <c r="O447" s="37"/>
      <c r="AH447" s="185"/>
      <c r="AI447" s="181"/>
      <c r="AJ447" s="252"/>
      <c r="AK447" s="182"/>
    </row>
    <row r="448" spans="8:37" ht="17.100000000000001" customHeight="1" x14ac:dyDescent="0.25">
      <c r="H448" s="112"/>
      <c r="N448" s="223"/>
      <c r="O448" s="37"/>
      <c r="AH448" s="185"/>
      <c r="AI448" s="181"/>
      <c r="AJ448" s="252"/>
      <c r="AK448" s="182"/>
    </row>
    <row r="449" spans="8:37" ht="17.100000000000001" customHeight="1" x14ac:dyDescent="0.25">
      <c r="H449" s="112"/>
      <c r="N449" s="223"/>
      <c r="O449" s="37"/>
      <c r="AH449" s="185"/>
      <c r="AI449" s="181"/>
      <c r="AJ449" s="252"/>
      <c r="AK449" s="182"/>
    </row>
    <row r="450" spans="8:37" ht="17.100000000000001" customHeight="1" x14ac:dyDescent="0.25">
      <c r="H450" s="112"/>
      <c r="N450" s="223"/>
      <c r="O450" s="37"/>
      <c r="U450" s="227"/>
      <c r="AH450" s="185"/>
      <c r="AI450" s="181"/>
      <c r="AJ450" s="252"/>
      <c r="AK450" s="182"/>
    </row>
    <row r="451" spans="8:37" ht="17.100000000000001" customHeight="1" x14ac:dyDescent="0.25">
      <c r="H451" s="112"/>
      <c r="N451" s="223"/>
      <c r="O451" s="37"/>
      <c r="AH451" s="185"/>
      <c r="AI451" s="181"/>
      <c r="AJ451" s="252"/>
      <c r="AK451" s="182"/>
    </row>
    <row r="452" spans="8:37" ht="17.100000000000001" customHeight="1" x14ac:dyDescent="0.25">
      <c r="H452" s="112"/>
      <c r="N452" s="223"/>
      <c r="O452" s="37"/>
      <c r="AH452" s="185"/>
      <c r="AI452" s="181"/>
      <c r="AJ452" s="252"/>
      <c r="AK452" s="182"/>
    </row>
    <row r="453" spans="8:37" ht="17.100000000000001" customHeight="1" x14ac:dyDescent="0.25">
      <c r="H453" s="112"/>
      <c r="N453" s="223"/>
      <c r="O453" s="37"/>
      <c r="P453" s="223"/>
      <c r="Q453" s="225"/>
      <c r="R453" s="67"/>
      <c r="S453" s="227"/>
      <c r="U453" s="227"/>
      <c r="V453" s="227"/>
      <c r="W453" s="227"/>
      <c r="X453" s="227"/>
      <c r="Y453" s="227"/>
      <c r="Z453" s="227"/>
      <c r="AA453" s="227"/>
      <c r="AB453" s="223"/>
      <c r="AC453" s="223"/>
      <c r="AD453" s="227"/>
      <c r="AE453" s="227"/>
      <c r="AF453" s="227"/>
      <c r="AG453" s="71"/>
      <c r="AH453" s="185"/>
      <c r="AI453" s="186"/>
      <c r="AJ453" s="252"/>
      <c r="AK453" s="182"/>
    </row>
    <row r="454" spans="8:37" ht="17.100000000000001" customHeight="1" x14ac:dyDescent="0.25">
      <c r="H454" s="112"/>
      <c r="N454" s="223"/>
      <c r="O454" s="37"/>
      <c r="AH454" s="185"/>
      <c r="AI454" s="181"/>
      <c r="AJ454" s="252"/>
      <c r="AK454" s="182"/>
    </row>
    <row r="455" spans="8:37" ht="17.100000000000001" customHeight="1" x14ac:dyDescent="0.25">
      <c r="H455" s="112"/>
      <c r="N455" s="223"/>
      <c r="O455" s="37"/>
      <c r="AH455" s="185"/>
      <c r="AI455" s="181"/>
      <c r="AJ455" s="252"/>
      <c r="AK455" s="182"/>
    </row>
    <row r="456" spans="8:37" ht="17.100000000000001" customHeight="1" x14ac:dyDescent="0.25">
      <c r="H456" s="112"/>
      <c r="N456" s="223"/>
      <c r="O456" s="37"/>
      <c r="AH456" s="185"/>
      <c r="AI456" s="181"/>
      <c r="AJ456" s="252"/>
      <c r="AK456" s="182"/>
    </row>
    <row r="457" spans="8:37" ht="17.100000000000001" customHeight="1" x14ac:dyDescent="0.25">
      <c r="H457" s="112"/>
      <c r="N457" s="223"/>
      <c r="O457" s="37"/>
      <c r="AH457" s="185"/>
      <c r="AI457" s="181"/>
      <c r="AJ457" s="252"/>
      <c r="AK457" s="182"/>
    </row>
    <row r="458" spans="8:37" ht="17.100000000000001" customHeight="1" x14ac:dyDescent="0.25">
      <c r="H458" s="112"/>
      <c r="N458" s="223"/>
      <c r="O458" s="37"/>
      <c r="AH458" s="185"/>
      <c r="AI458" s="181"/>
      <c r="AJ458" s="252"/>
      <c r="AK458" s="182"/>
    </row>
    <row r="459" spans="8:37" ht="17.100000000000001" customHeight="1" x14ac:dyDescent="0.25">
      <c r="H459" s="112"/>
      <c r="N459" s="223"/>
      <c r="O459" s="37"/>
      <c r="AH459" s="185"/>
      <c r="AI459" s="181"/>
      <c r="AJ459" s="252"/>
      <c r="AK459" s="182"/>
    </row>
    <row r="460" spans="8:37" ht="17.100000000000001" customHeight="1" x14ac:dyDescent="0.25">
      <c r="H460" s="112"/>
      <c r="N460" s="223"/>
      <c r="O460" s="37"/>
      <c r="U460" s="227"/>
      <c r="V460" s="227"/>
      <c r="AH460" s="185"/>
      <c r="AI460" s="181"/>
      <c r="AJ460" s="252"/>
      <c r="AK460" s="182"/>
    </row>
    <row r="461" spans="8:37" ht="17.100000000000001" customHeight="1" x14ac:dyDescent="0.25">
      <c r="H461" s="112"/>
      <c r="N461" s="223"/>
      <c r="O461" s="37"/>
      <c r="AH461" s="185"/>
      <c r="AI461" s="181"/>
      <c r="AJ461" s="252"/>
      <c r="AK461" s="182"/>
    </row>
    <row r="462" spans="8:37" ht="17.100000000000001" customHeight="1" x14ac:dyDescent="0.25">
      <c r="H462" s="112"/>
      <c r="N462" s="223"/>
      <c r="O462" s="37"/>
      <c r="AH462" s="185"/>
      <c r="AI462" s="181"/>
      <c r="AJ462" s="252"/>
      <c r="AK462" s="182"/>
    </row>
    <row r="463" spans="8:37" ht="17.100000000000001" customHeight="1" x14ac:dyDescent="0.25">
      <c r="H463" s="112"/>
      <c r="N463" s="223"/>
      <c r="O463" s="37"/>
      <c r="AH463" s="185"/>
      <c r="AI463" s="181"/>
      <c r="AJ463" s="252"/>
      <c r="AK463" s="182"/>
    </row>
    <row r="464" spans="8:37" ht="17.100000000000001" customHeight="1" x14ac:dyDescent="0.25">
      <c r="H464" s="112"/>
      <c r="N464" s="223"/>
      <c r="O464" s="37"/>
      <c r="AH464" s="185"/>
      <c r="AI464" s="181"/>
      <c r="AJ464" s="252"/>
      <c r="AK464" s="182"/>
    </row>
    <row r="465" spans="8:37" ht="17.100000000000001" customHeight="1" x14ac:dyDescent="0.25">
      <c r="H465" s="112"/>
      <c r="N465" s="223"/>
      <c r="O465" s="37"/>
      <c r="AH465" s="185"/>
      <c r="AI465" s="181"/>
      <c r="AJ465" s="252"/>
      <c r="AK465" s="182"/>
    </row>
    <row r="466" spans="8:37" ht="17.100000000000001" customHeight="1" x14ac:dyDescent="0.25">
      <c r="H466" s="112"/>
      <c r="N466" s="223"/>
      <c r="O466" s="37"/>
      <c r="AH466" s="185"/>
      <c r="AI466" s="181"/>
      <c r="AJ466" s="252"/>
      <c r="AK466" s="182"/>
    </row>
    <row r="467" spans="8:37" ht="17.100000000000001" customHeight="1" x14ac:dyDescent="0.25">
      <c r="H467" s="112"/>
      <c r="N467" s="223"/>
      <c r="O467" s="37"/>
      <c r="AH467" s="185"/>
      <c r="AI467" s="181"/>
      <c r="AJ467" s="252"/>
      <c r="AK467" s="182"/>
    </row>
    <row r="468" spans="8:37" ht="17.100000000000001" customHeight="1" x14ac:dyDescent="0.25">
      <c r="H468" s="112"/>
      <c r="N468" s="223"/>
      <c r="O468" s="37"/>
      <c r="AH468" s="185"/>
      <c r="AI468" s="181"/>
      <c r="AJ468" s="252"/>
      <c r="AK468" s="182"/>
    </row>
    <row r="469" spans="8:37" ht="17.100000000000001" customHeight="1" x14ac:dyDescent="0.25">
      <c r="H469" s="112"/>
      <c r="N469" s="223"/>
      <c r="O469" s="37"/>
      <c r="AH469" s="185"/>
      <c r="AI469" s="181"/>
      <c r="AJ469" s="252"/>
      <c r="AK469" s="182"/>
    </row>
    <row r="470" spans="8:37" ht="17.100000000000001" customHeight="1" x14ac:dyDescent="0.25">
      <c r="H470" s="112"/>
      <c r="N470" s="223"/>
      <c r="O470" s="37"/>
      <c r="AH470" s="185"/>
      <c r="AI470" s="181"/>
      <c r="AJ470" s="252"/>
      <c r="AK470" s="182"/>
    </row>
    <row r="471" spans="8:37" ht="17.100000000000001" customHeight="1" x14ac:dyDescent="0.25">
      <c r="H471" s="112"/>
      <c r="N471" s="223"/>
      <c r="O471" s="37"/>
      <c r="AH471" s="185"/>
      <c r="AI471" s="181"/>
      <c r="AJ471" s="253"/>
      <c r="AK471" s="182"/>
    </row>
    <row r="472" spans="8:37" ht="17.100000000000001" customHeight="1" x14ac:dyDescent="0.25">
      <c r="H472" s="112"/>
      <c r="N472" s="223"/>
      <c r="O472" s="37"/>
      <c r="AH472" s="185"/>
      <c r="AI472" s="181"/>
      <c r="AJ472" s="253"/>
      <c r="AK472" s="182"/>
    </row>
    <row r="473" spans="8:37" ht="17.100000000000001" customHeight="1" x14ac:dyDescent="0.25">
      <c r="H473" s="112"/>
      <c r="N473" s="223"/>
      <c r="O473" s="37"/>
      <c r="AH473" s="185"/>
      <c r="AI473" s="181"/>
      <c r="AJ473" s="252"/>
      <c r="AK473" s="182"/>
    </row>
    <row r="474" spans="8:37" ht="17.100000000000001" customHeight="1" x14ac:dyDescent="0.25">
      <c r="H474" s="112"/>
      <c r="N474" s="223"/>
      <c r="O474" s="37"/>
      <c r="AH474" s="185"/>
      <c r="AI474" s="181"/>
      <c r="AJ474" s="252"/>
      <c r="AK474" s="182"/>
    </row>
    <row r="475" spans="8:37" ht="17.100000000000001" customHeight="1" x14ac:dyDescent="0.25">
      <c r="H475" s="112"/>
      <c r="N475" s="223"/>
      <c r="O475" s="37"/>
      <c r="AH475" s="185"/>
      <c r="AI475" s="181"/>
      <c r="AJ475" s="252"/>
      <c r="AK475" s="182"/>
    </row>
    <row r="476" spans="8:37" ht="17.100000000000001" customHeight="1" x14ac:dyDescent="0.25">
      <c r="H476" s="112"/>
      <c r="N476" s="223"/>
      <c r="O476" s="37"/>
      <c r="AH476" s="185"/>
      <c r="AI476" s="181"/>
      <c r="AJ476" s="252"/>
      <c r="AK476" s="182"/>
    </row>
    <row r="477" spans="8:37" ht="17.100000000000001" customHeight="1" x14ac:dyDescent="0.25">
      <c r="H477" s="112"/>
      <c r="N477" s="223"/>
      <c r="O477" s="37"/>
      <c r="AH477" s="185"/>
      <c r="AI477" s="181"/>
      <c r="AJ477" s="253"/>
      <c r="AK477" s="182"/>
    </row>
    <row r="478" spans="8:37" ht="17.100000000000001" customHeight="1" x14ac:dyDescent="0.25">
      <c r="H478" s="112"/>
      <c r="N478" s="223"/>
      <c r="O478" s="37"/>
      <c r="AH478" s="185"/>
      <c r="AI478" s="181"/>
      <c r="AJ478" s="252"/>
      <c r="AK478" s="182"/>
    </row>
    <row r="479" spans="8:37" ht="17.100000000000001" customHeight="1" x14ac:dyDescent="0.25">
      <c r="H479" s="112"/>
      <c r="N479" s="223"/>
      <c r="O479" s="37"/>
      <c r="AH479" s="185"/>
      <c r="AI479" s="181"/>
      <c r="AJ479" s="252"/>
      <c r="AK479" s="182"/>
    </row>
    <row r="480" spans="8:37" ht="17.100000000000001" customHeight="1" x14ac:dyDescent="0.25">
      <c r="H480" s="112"/>
      <c r="N480" s="223"/>
      <c r="O480" s="37"/>
      <c r="AH480" s="185"/>
      <c r="AI480" s="181"/>
      <c r="AJ480" s="252"/>
      <c r="AK480" s="182"/>
    </row>
    <row r="481" spans="8:37" ht="17.100000000000001" customHeight="1" x14ac:dyDescent="0.25">
      <c r="H481" s="112"/>
      <c r="N481" s="223"/>
      <c r="O481" s="37"/>
      <c r="AH481" s="185"/>
      <c r="AI481" s="181"/>
      <c r="AJ481" s="253"/>
      <c r="AK481" s="182"/>
    </row>
    <row r="482" spans="8:37" ht="17.100000000000001" customHeight="1" x14ac:dyDescent="0.25">
      <c r="H482" s="112"/>
      <c r="N482" s="223"/>
      <c r="O482" s="37"/>
      <c r="AH482" s="185"/>
      <c r="AI482" s="181"/>
      <c r="AJ482" s="253"/>
      <c r="AK482" s="182"/>
    </row>
    <row r="483" spans="8:37" ht="17.100000000000001" customHeight="1" x14ac:dyDescent="0.25">
      <c r="H483" s="112"/>
      <c r="N483" s="223"/>
      <c r="O483" s="37"/>
      <c r="U483" s="227"/>
      <c r="AH483" s="185"/>
      <c r="AI483" s="181"/>
      <c r="AJ483" s="252"/>
      <c r="AK483" s="182"/>
    </row>
    <row r="484" spans="8:37" ht="17.100000000000001" customHeight="1" x14ac:dyDescent="0.25">
      <c r="H484" s="112"/>
      <c r="N484" s="223"/>
      <c r="O484" s="37"/>
      <c r="AH484" s="185"/>
      <c r="AI484" s="181"/>
      <c r="AJ484" s="252"/>
      <c r="AK484" s="182"/>
    </row>
    <row r="485" spans="8:37" ht="17.100000000000001" customHeight="1" x14ac:dyDescent="0.25">
      <c r="H485" s="112"/>
      <c r="N485" s="223"/>
      <c r="O485" s="37"/>
      <c r="AH485" s="185"/>
      <c r="AI485" s="181"/>
      <c r="AJ485" s="252"/>
      <c r="AK485" s="182"/>
    </row>
    <row r="486" spans="8:37" ht="17.100000000000001" customHeight="1" x14ac:dyDescent="0.25">
      <c r="H486" s="112"/>
      <c r="N486" s="223"/>
      <c r="O486" s="37"/>
      <c r="AH486" s="185"/>
      <c r="AI486" s="181"/>
      <c r="AJ486" s="252"/>
      <c r="AK486" s="182"/>
    </row>
    <row r="487" spans="8:37" ht="17.100000000000001" customHeight="1" x14ac:dyDescent="0.25">
      <c r="H487" s="112"/>
      <c r="N487" s="223"/>
      <c r="O487" s="37"/>
      <c r="AH487" s="185"/>
      <c r="AI487" s="181"/>
      <c r="AJ487" s="252"/>
      <c r="AK487" s="182"/>
    </row>
    <row r="488" spans="8:37" ht="17.100000000000001" customHeight="1" x14ac:dyDescent="0.25">
      <c r="H488" s="112"/>
      <c r="N488" s="223"/>
      <c r="O488" s="37"/>
      <c r="AH488" s="185"/>
      <c r="AI488" s="181"/>
      <c r="AJ488" s="253"/>
      <c r="AK488" s="182"/>
    </row>
    <row r="489" spans="8:37" ht="17.100000000000001" customHeight="1" x14ac:dyDescent="0.25">
      <c r="H489" s="112"/>
      <c r="N489" s="223"/>
      <c r="O489" s="37"/>
      <c r="AH489" s="185"/>
      <c r="AI489" s="181"/>
      <c r="AJ489" s="252"/>
      <c r="AK489" s="182"/>
    </row>
    <row r="490" spans="8:37" ht="17.100000000000001" customHeight="1" x14ac:dyDescent="0.25">
      <c r="H490" s="112"/>
      <c r="N490" s="223"/>
      <c r="O490" s="37"/>
      <c r="AH490" s="185"/>
      <c r="AI490" s="181"/>
      <c r="AJ490" s="252"/>
      <c r="AK490" s="182"/>
    </row>
    <row r="491" spans="8:37" ht="17.100000000000001" customHeight="1" x14ac:dyDescent="0.25">
      <c r="H491" s="112"/>
      <c r="N491" s="223"/>
      <c r="O491" s="37"/>
      <c r="P491" s="223"/>
      <c r="Q491" s="225"/>
      <c r="R491" s="67"/>
      <c r="S491" s="227"/>
      <c r="U491" s="227"/>
      <c r="V491" s="227"/>
      <c r="W491" s="227"/>
      <c r="X491" s="227"/>
      <c r="Y491" s="227"/>
      <c r="Z491" s="227"/>
      <c r="AA491" s="227"/>
      <c r="AB491" s="223"/>
      <c r="AC491" s="223"/>
      <c r="AD491" s="227"/>
      <c r="AE491" s="227"/>
      <c r="AF491" s="227"/>
      <c r="AG491" s="71"/>
      <c r="AH491" s="185"/>
      <c r="AI491" s="186"/>
      <c r="AJ491" s="252"/>
      <c r="AK491" s="182"/>
    </row>
    <row r="492" spans="8:37" ht="17.100000000000001" customHeight="1" x14ac:dyDescent="0.25">
      <c r="H492" s="112"/>
      <c r="N492" s="223"/>
      <c r="O492" s="37"/>
      <c r="P492" s="223"/>
      <c r="Q492" s="225"/>
      <c r="R492" s="67"/>
      <c r="S492" s="227"/>
      <c r="U492" s="227"/>
      <c r="V492" s="227"/>
      <c r="W492" s="227"/>
      <c r="X492" s="227"/>
      <c r="Y492" s="227"/>
      <c r="Z492" s="227"/>
      <c r="AA492" s="227"/>
      <c r="AB492" s="223"/>
      <c r="AC492" s="223"/>
      <c r="AD492" s="227"/>
      <c r="AE492" s="227"/>
      <c r="AF492" s="227"/>
      <c r="AG492" s="71"/>
      <c r="AH492" s="185"/>
      <c r="AI492" s="186"/>
      <c r="AJ492" s="252"/>
      <c r="AK492" s="182"/>
    </row>
    <row r="493" spans="8:37" ht="17.100000000000001" customHeight="1" x14ac:dyDescent="0.25">
      <c r="H493" s="112"/>
      <c r="N493" s="223"/>
      <c r="O493" s="37"/>
      <c r="AH493" s="185"/>
      <c r="AI493" s="181"/>
      <c r="AJ493" s="252"/>
      <c r="AK493" s="182"/>
    </row>
    <row r="494" spans="8:37" ht="17.100000000000001" customHeight="1" x14ac:dyDescent="0.25">
      <c r="H494" s="112"/>
      <c r="N494" s="223"/>
      <c r="O494" s="37"/>
      <c r="AH494" s="185"/>
      <c r="AI494" s="181"/>
      <c r="AJ494" s="252"/>
      <c r="AK494" s="182"/>
    </row>
    <row r="495" spans="8:37" ht="17.100000000000001" customHeight="1" x14ac:dyDescent="0.25">
      <c r="H495" s="112"/>
      <c r="N495" s="223"/>
      <c r="O495" s="37"/>
      <c r="AH495" s="185"/>
      <c r="AI495" s="181"/>
      <c r="AJ495" s="252"/>
      <c r="AK495" s="182"/>
    </row>
    <row r="496" spans="8:37" ht="17.100000000000001" customHeight="1" x14ac:dyDescent="0.25">
      <c r="H496" s="112"/>
      <c r="N496" s="223"/>
      <c r="O496" s="37"/>
      <c r="AH496" s="185"/>
      <c r="AI496" s="181"/>
      <c r="AJ496" s="252"/>
      <c r="AK496" s="182"/>
    </row>
    <row r="497" spans="8:37" ht="17.100000000000001" customHeight="1" x14ac:dyDescent="0.25">
      <c r="H497" s="112"/>
      <c r="N497" s="223"/>
      <c r="O497" s="37"/>
      <c r="P497" s="223"/>
      <c r="Q497" s="225"/>
      <c r="R497" s="67"/>
      <c r="S497" s="227"/>
      <c r="U497" s="227"/>
      <c r="V497" s="227"/>
      <c r="W497" s="227"/>
      <c r="X497" s="227"/>
      <c r="Y497" s="227"/>
      <c r="Z497" s="227"/>
      <c r="AA497" s="227"/>
      <c r="AB497" s="223"/>
      <c r="AC497" s="223"/>
      <c r="AD497" s="227"/>
      <c r="AE497" s="227"/>
      <c r="AF497" s="227"/>
      <c r="AG497" s="71"/>
      <c r="AH497" s="185"/>
      <c r="AI497" s="186"/>
      <c r="AJ497" s="252"/>
      <c r="AK497" s="182"/>
    </row>
    <row r="498" spans="8:37" ht="17.100000000000001" customHeight="1" x14ac:dyDescent="0.25">
      <c r="H498" s="112"/>
      <c r="N498" s="223"/>
      <c r="O498" s="37"/>
      <c r="AH498" s="185"/>
      <c r="AI498" s="181"/>
      <c r="AJ498" s="252"/>
      <c r="AK498" s="182"/>
    </row>
    <row r="499" spans="8:37" ht="17.100000000000001" customHeight="1" x14ac:dyDescent="0.25">
      <c r="H499" s="112"/>
      <c r="N499" s="223"/>
      <c r="O499" s="37"/>
      <c r="AH499" s="185"/>
      <c r="AI499" s="181"/>
      <c r="AJ499" s="252"/>
      <c r="AK499" s="182"/>
    </row>
    <row r="500" spans="8:37" ht="17.100000000000001" customHeight="1" x14ac:dyDescent="0.25">
      <c r="H500" s="112"/>
      <c r="N500" s="223"/>
      <c r="O500" s="37"/>
      <c r="AH500" s="185"/>
      <c r="AI500" s="181"/>
      <c r="AJ500" s="253"/>
      <c r="AK500" s="182"/>
    </row>
    <row r="501" spans="8:37" ht="17.100000000000001" customHeight="1" x14ac:dyDescent="0.25">
      <c r="H501" s="112"/>
      <c r="N501" s="223"/>
      <c r="O501" s="37"/>
      <c r="P501" s="223"/>
      <c r="Q501" s="225"/>
      <c r="R501" s="67"/>
      <c r="S501" s="227"/>
      <c r="U501" s="227"/>
      <c r="V501" s="227"/>
      <c r="W501" s="227"/>
      <c r="X501" s="227"/>
      <c r="Y501" s="227"/>
      <c r="Z501" s="227"/>
      <c r="AA501" s="227"/>
      <c r="AB501" s="223"/>
      <c r="AC501" s="223"/>
      <c r="AD501" s="227"/>
      <c r="AE501" s="227"/>
      <c r="AF501" s="227"/>
      <c r="AG501" s="71"/>
      <c r="AH501" s="185"/>
      <c r="AI501" s="186"/>
      <c r="AJ501" s="252"/>
      <c r="AK501" s="182"/>
    </row>
    <row r="502" spans="8:37" ht="17.100000000000001" customHeight="1" x14ac:dyDescent="0.25">
      <c r="H502" s="112"/>
      <c r="N502" s="223"/>
      <c r="O502" s="37"/>
      <c r="P502" s="223"/>
      <c r="Q502" s="225"/>
      <c r="R502" s="67"/>
      <c r="S502" s="227"/>
      <c r="U502" s="227"/>
      <c r="V502" s="227"/>
      <c r="W502" s="227"/>
      <c r="X502" s="227"/>
      <c r="Y502" s="227"/>
      <c r="Z502" s="227"/>
      <c r="AA502" s="227"/>
      <c r="AB502" s="223"/>
      <c r="AC502" s="223"/>
      <c r="AD502" s="227"/>
      <c r="AE502" s="227"/>
      <c r="AF502" s="227"/>
      <c r="AG502" s="71"/>
      <c r="AH502" s="185"/>
      <c r="AI502" s="186"/>
      <c r="AJ502" s="253"/>
      <c r="AK502" s="182"/>
    </row>
    <row r="503" spans="8:37" ht="17.100000000000001" customHeight="1" x14ac:dyDescent="0.25">
      <c r="H503" s="112"/>
      <c r="N503" s="223"/>
      <c r="O503" s="37"/>
      <c r="AH503" s="185"/>
      <c r="AI503" s="181"/>
      <c r="AJ503" s="252"/>
      <c r="AK503" s="182"/>
    </row>
    <row r="504" spans="8:37" ht="17.100000000000001" customHeight="1" x14ac:dyDescent="0.25">
      <c r="H504" s="112"/>
      <c r="N504" s="223"/>
      <c r="O504" s="37"/>
      <c r="AH504" s="185"/>
      <c r="AI504" s="181"/>
      <c r="AJ504" s="252"/>
      <c r="AK504" s="182"/>
    </row>
    <row r="505" spans="8:37" ht="17.100000000000001" customHeight="1" x14ac:dyDescent="0.25">
      <c r="H505" s="112"/>
      <c r="N505" s="223"/>
      <c r="O505" s="37"/>
      <c r="AH505" s="185"/>
      <c r="AI505" s="181"/>
      <c r="AJ505" s="252"/>
      <c r="AK505" s="182"/>
    </row>
    <row r="506" spans="8:37" ht="17.100000000000001" customHeight="1" x14ac:dyDescent="0.25">
      <c r="H506" s="112"/>
      <c r="N506" s="223"/>
      <c r="O506" s="37"/>
      <c r="U506" s="227"/>
      <c r="AH506" s="185"/>
      <c r="AI506" s="181"/>
      <c r="AJ506" s="252"/>
      <c r="AK506" s="182"/>
    </row>
    <row r="507" spans="8:37" ht="17.100000000000001" customHeight="1" x14ac:dyDescent="0.25">
      <c r="H507" s="112"/>
      <c r="N507" s="223"/>
      <c r="O507" s="37"/>
      <c r="AH507" s="185"/>
      <c r="AI507" s="181"/>
      <c r="AJ507" s="252"/>
      <c r="AK507" s="182"/>
    </row>
    <row r="508" spans="8:37" ht="17.100000000000001" customHeight="1" x14ac:dyDescent="0.25">
      <c r="H508" s="112"/>
      <c r="N508" s="223"/>
      <c r="O508" s="37"/>
      <c r="P508" s="223"/>
      <c r="Q508" s="225"/>
      <c r="R508" s="67"/>
      <c r="S508" s="227"/>
      <c r="U508" s="227"/>
      <c r="V508" s="227"/>
      <c r="W508" s="227"/>
      <c r="X508" s="227"/>
      <c r="Y508" s="227"/>
      <c r="Z508" s="227"/>
      <c r="AA508" s="227"/>
      <c r="AB508" s="223"/>
      <c r="AC508" s="223"/>
      <c r="AD508" s="227"/>
      <c r="AE508" s="227"/>
      <c r="AF508" s="227"/>
      <c r="AG508" s="71"/>
      <c r="AH508" s="185"/>
      <c r="AI508" s="186"/>
      <c r="AJ508" s="252"/>
      <c r="AK508" s="182"/>
    </row>
    <row r="509" spans="8:37" ht="17.100000000000001" customHeight="1" x14ac:dyDescent="0.25">
      <c r="H509" s="112"/>
      <c r="N509" s="223"/>
      <c r="O509" s="37"/>
      <c r="AH509" s="185"/>
      <c r="AI509" s="181"/>
      <c r="AJ509" s="252"/>
      <c r="AK509" s="182"/>
    </row>
    <row r="510" spans="8:37" ht="17.100000000000001" customHeight="1" x14ac:dyDescent="0.25">
      <c r="H510" s="112"/>
      <c r="N510" s="223"/>
      <c r="O510" s="37"/>
      <c r="U510" s="227"/>
      <c r="AH510" s="185"/>
      <c r="AI510" s="181"/>
      <c r="AJ510" s="252"/>
      <c r="AK510" s="182"/>
    </row>
    <row r="511" spans="8:37" ht="17.100000000000001" customHeight="1" x14ac:dyDescent="0.25">
      <c r="H511" s="112"/>
      <c r="N511" s="223"/>
      <c r="O511" s="37"/>
      <c r="AH511" s="185"/>
      <c r="AI511" s="181"/>
      <c r="AJ511" s="253"/>
      <c r="AK511" s="182"/>
    </row>
    <row r="512" spans="8:37" ht="17.100000000000001" customHeight="1" x14ac:dyDescent="0.25">
      <c r="H512" s="112"/>
      <c r="N512" s="223"/>
      <c r="O512" s="37"/>
      <c r="U512" s="227"/>
      <c r="AH512" s="185"/>
      <c r="AI512" s="181"/>
      <c r="AJ512" s="252"/>
      <c r="AK512" s="182"/>
    </row>
    <row r="513" spans="8:37" ht="17.100000000000001" customHeight="1" x14ac:dyDescent="0.25">
      <c r="H513" s="112"/>
      <c r="N513" s="223"/>
      <c r="O513" s="37"/>
      <c r="U513" s="227"/>
      <c r="AH513" s="185"/>
      <c r="AI513" s="181"/>
      <c r="AJ513" s="252"/>
      <c r="AK513" s="182"/>
    </row>
    <row r="514" spans="8:37" ht="17.100000000000001" customHeight="1" x14ac:dyDescent="0.25">
      <c r="H514" s="112"/>
      <c r="N514" s="223"/>
      <c r="O514" s="37"/>
      <c r="AH514" s="185"/>
      <c r="AI514" s="181"/>
      <c r="AJ514" s="252"/>
      <c r="AK514" s="182"/>
    </row>
    <row r="515" spans="8:37" ht="17.100000000000001" customHeight="1" x14ac:dyDescent="0.25">
      <c r="H515" s="112"/>
      <c r="N515" s="223"/>
      <c r="O515" s="37"/>
      <c r="AH515" s="185"/>
      <c r="AI515" s="181"/>
      <c r="AJ515" s="252"/>
      <c r="AK515" s="182"/>
    </row>
    <row r="516" spans="8:37" ht="17.100000000000001" customHeight="1" x14ac:dyDescent="0.25">
      <c r="H516" s="112"/>
      <c r="N516" s="223"/>
      <c r="O516" s="37"/>
      <c r="AH516" s="185"/>
      <c r="AI516" s="181"/>
      <c r="AJ516" s="252"/>
      <c r="AK516" s="182"/>
    </row>
    <row r="517" spans="8:37" ht="17.100000000000001" customHeight="1" x14ac:dyDescent="0.25">
      <c r="H517" s="112"/>
      <c r="N517" s="223"/>
      <c r="O517" s="37"/>
      <c r="AH517" s="185"/>
      <c r="AI517" s="181"/>
      <c r="AJ517" s="252"/>
      <c r="AK517" s="182"/>
    </row>
    <row r="518" spans="8:37" ht="17.100000000000001" customHeight="1" x14ac:dyDescent="0.25">
      <c r="H518" s="112"/>
      <c r="N518" s="223"/>
      <c r="O518" s="37"/>
      <c r="AH518" s="185"/>
      <c r="AI518" s="181"/>
      <c r="AJ518" s="253"/>
      <c r="AK518" s="182"/>
    </row>
    <row r="519" spans="8:37" ht="17.100000000000001" customHeight="1" x14ac:dyDescent="0.25">
      <c r="H519" s="112"/>
      <c r="N519" s="223"/>
      <c r="O519" s="37"/>
      <c r="AH519" s="185"/>
      <c r="AI519" s="181"/>
      <c r="AJ519" s="252"/>
      <c r="AK519" s="182"/>
    </row>
    <row r="520" spans="8:37" ht="17.100000000000001" customHeight="1" x14ac:dyDescent="0.25">
      <c r="H520" s="112"/>
      <c r="N520" s="223"/>
      <c r="O520" s="37"/>
      <c r="P520" s="223"/>
      <c r="Q520" s="225"/>
      <c r="R520" s="67"/>
      <c r="S520" s="227"/>
      <c r="U520" s="227"/>
      <c r="V520" s="227"/>
      <c r="W520" s="227"/>
      <c r="X520" s="227"/>
      <c r="Y520" s="227"/>
      <c r="Z520" s="227"/>
      <c r="AA520" s="227"/>
      <c r="AB520" s="223"/>
      <c r="AC520" s="223"/>
      <c r="AD520" s="227"/>
      <c r="AE520" s="227"/>
      <c r="AF520" s="227"/>
      <c r="AG520" s="71"/>
      <c r="AH520" s="185"/>
      <c r="AI520" s="186"/>
      <c r="AJ520" s="252"/>
      <c r="AK520" s="182"/>
    </row>
    <row r="521" spans="8:37" ht="17.100000000000001" customHeight="1" x14ac:dyDescent="0.25">
      <c r="H521" s="112"/>
      <c r="N521" s="223"/>
      <c r="O521" s="37"/>
      <c r="AH521" s="185"/>
      <c r="AI521" s="181"/>
      <c r="AJ521" s="252"/>
      <c r="AK521" s="182"/>
    </row>
    <row r="522" spans="8:37" ht="17.100000000000001" customHeight="1" x14ac:dyDescent="0.25">
      <c r="H522" s="112"/>
      <c r="N522" s="223"/>
      <c r="O522" s="37"/>
      <c r="P522" s="223"/>
      <c r="Q522" s="225"/>
      <c r="R522" s="67"/>
      <c r="S522" s="227"/>
      <c r="U522" s="227"/>
      <c r="V522" s="227"/>
      <c r="W522" s="227"/>
      <c r="X522" s="227"/>
      <c r="Y522" s="227"/>
      <c r="Z522" s="227"/>
      <c r="AA522" s="227"/>
      <c r="AB522" s="223"/>
      <c r="AC522" s="223"/>
      <c r="AD522" s="227"/>
      <c r="AE522" s="227"/>
      <c r="AF522" s="227"/>
      <c r="AG522" s="71"/>
      <c r="AH522" s="185"/>
      <c r="AI522" s="186"/>
      <c r="AJ522" s="252"/>
      <c r="AK522" s="182"/>
    </row>
    <row r="523" spans="8:37" ht="17.100000000000001" customHeight="1" x14ac:dyDescent="0.25">
      <c r="H523" s="112"/>
      <c r="N523" s="223"/>
      <c r="O523" s="37"/>
      <c r="AH523" s="185"/>
      <c r="AI523" s="181"/>
      <c r="AJ523" s="252"/>
      <c r="AK523" s="182"/>
    </row>
    <row r="524" spans="8:37" ht="17.100000000000001" customHeight="1" x14ac:dyDescent="0.25">
      <c r="H524" s="112"/>
      <c r="N524" s="223"/>
      <c r="O524" s="37"/>
      <c r="AH524" s="185"/>
      <c r="AI524" s="181"/>
      <c r="AJ524" s="252"/>
      <c r="AK524" s="182"/>
    </row>
    <row r="525" spans="8:37" ht="17.100000000000001" customHeight="1" x14ac:dyDescent="0.25">
      <c r="H525" s="112"/>
      <c r="N525" s="223"/>
      <c r="O525" s="37"/>
      <c r="AH525" s="185"/>
      <c r="AI525" s="181"/>
      <c r="AJ525" s="252"/>
      <c r="AK525" s="182"/>
    </row>
    <row r="526" spans="8:37" ht="17.100000000000001" customHeight="1" x14ac:dyDescent="0.25">
      <c r="H526" s="112"/>
      <c r="N526" s="223"/>
      <c r="O526" s="37"/>
      <c r="AH526" s="185"/>
      <c r="AI526" s="181"/>
      <c r="AJ526" s="252"/>
      <c r="AK526" s="182"/>
    </row>
    <row r="527" spans="8:37" ht="17.100000000000001" customHeight="1" x14ac:dyDescent="0.25">
      <c r="H527" s="112"/>
      <c r="N527" s="223"/>
      <c r="O527" s="37"/>
      <c r="AH527" s="185"/>
      <c r="AI527" s="181"/>
      <c r="AJ527" s="252"/>
      <c r="AK527" s="182"/>
    </row>
    <row r="528" spans="8:37" ht="17.100000000000001" customHeight="1" x14ac:dyDescent="0.25">
      <c r="H528" s="112"/>
      <c r="N528" s="223"/>
      <c r="O528" s="37"/>
      <c r="AH528" s="185"/>
      <c r="AI528" s="181"/>
      <c r="AJ528" s="253"/>
      <c r="AK528" s="182"/>
    </row>
    <row r="529" spans="8:37" ht="17.100000000000001" customHeight="1" x14ac:dyDescent="0.25">
      <c r="H529" s="112"/>
      <c r="N529" s="223"/>
      <c r="O529" s="37"/>
      <c r="AH529" s="185"/>
      <c r="AI529" s="181"/>
      <c r="AJ529" s="252"/>
      <c r="AK529" s="182"/>
    </row>
    <row r="530" spans="8:37" ht="17.100000000000001" customHeight="1" x14ac:dyDescent="0.25">
      <c r="H530" s="112"/>
      <c r="N530" s="223"/>
      <c r="O530" s="37"/>
      <c r="AH530" s="185"/>
      <c r="AI530" s="181"/>
      <c r="AJ530" s="252"/>
      <c r="AK530" s="182"/>
    </row>
    <row r="531" spans="8:37" ht="17.100000000000001" customHeight="1" x14ac:dyDescent="0.25">
      <c r="H531" s="112"/>
      <c r="N531" s="223"/>
      <c r="O531" s="37"/>
      <c r="P531" s="223"/>
      <c r="Q531" s="225"/>
      <c r="R531" s="67"/>
      <c r="S531" s="227"/>
      <c r="U531" s="227"/>
      <c r="V531" s="227"/>
      <c r="W531" s="227"/>
      <c r="X531" s="227"/>
      <c r="Y531" s="227"/>
      <c r="Z531" s="227"/>
      <c r="AA531" s="227"/>
      <c r="AB531" s="223"/>
      <c r="AC531" s="223"/>
      <c r="AD531" s="227"/>
      <c r="AE531" s="227"/>
      <c r="AF531" s="227"/>
      <c r="AG531" s="71"/>
      <c r="AH531" s="185"/>
      <c r="AI531" s="186"/>
      <c r="AJ531" s="252"/>
      <c r="AK531" s="182"/>
    </row>
    <row r="532" spans="8:37" ht="17.100000000000001" customHeight="1" x14ac:dyDescent="0.25">
      <c r="H532" s="112"/>
      <c r="N532" s="223"/>
      <c r="O532" s="37"/>
      <c r="AH532" s="185"/>
      <c r="AI532" s="181"/>
      <c r="AJ532" s="252"/>
      <c r="AK532" s="182"/>
    </row>
    <row r="533" spans="8:37" ht="17.100000000000001" customHeight="1" x14ac:dyDescent="0.25">
      <c r="H533" s="112"/>
      <c r="N533" s="223"/>
      <c r="O533" s="37"/>
      <c r="AH533" s="185"/>
      <c r="AI533" s="181"/>
      <c r="AJ533" s="252"/>
      <c r="AK533" s="182"/>
    </row>
    <row r="534" spans="8:37" ht="17.100000000000001" customHeight="1" x14ac:dyDescent="0.25">
      <c r="H534" s="112"/>
      <c r="N534" s="223"/>
      <c r="O534" s="37"/>
      <c r="AH534" s="185"/>
      <c r="AI534" s="181"/>
      <c r="AJ534" s="252"/>
      <c r="AK534" s="182"/>
    </row>
    <row r="535" spans="8:37" ht="17.100000000000001" customHeight="1" x14ac:dyDescent="0.25">
      <c r="H535" s="112"/>
      <c r="N535" s="223"/>
      <c r="O535" s="37"/>
      <c r="AH535" s="185"/>
      <c r="AI535" s="181"/>
      <c r="AJ535" s="252"/>
      <c r="AK535" s="182"/>
    </row>
    <row r="536" spans="8:37" ht="17.100000000000001" customHeight="1" x14ac:dyDescent="0.25">
      <c r="H536" s="112"/>
      <c r="N536" s="223"/>
      <c r="O536" s="37"/>
      <c r="U536" s="227"/>
      <c r="AH536" s="185"/>
      <c r="AI536" s="181"/>
      <c r="AJ536" s="252"/>
      <c r="AK536" s="182"/>
    </row>
    <row r="537" spans="8:37" ht="17.100000000000001" customHeight="1" x14ac:dyDescent="0.25">
      <c r="H537" s="112"/>
      <c r="N537" s="223"/>
      <c r="O537" s="37"/>
      <c r="AH537" s="185"/>
      <c r="AI537" s="181"/>
      <c r="AJ537" s="252"/>
      <c r="AK537" s="182"/>
    </row>
    <row r="538" spans="8:37" ht="17.100000000000001" customHeight="1" x14ac:dyDescent="0.25">
      <c r="H538" s="112"/>
      <c r="N538" s="223"/>
      <c r="O538" s="37"/>
      <c r="P538" s="223"/>
      <c r="Q538" s="225"/>
      <c r="R538" s="67"/>
      <c r="S538" s="227"/>
      <c r="U538" s="227"/>
      <c r="V538" s="227"/>
      <c r="W538" s="227"/>
      <c r="X538" s="227"/>
      <c r="Y538" s="227"/>
      <c r="Z538" s="227"/>
      <c r="AA538" s="227"/>
      <c r="AB538" s="223"/>
      <c r="AC538" s="223"/>
      <c r="AD538" s="227"/>
      <c r="AE538" s="227"/>
      <c r="AF538" s="227"/>
      <c r="AG538" s="71"/>
      <c r="AH538" s="185"/>
      <c r="AI538" s="186"/>
      <c r="AJ538" s="252"/>
      <c r="AK538" s="182"/>
    </row>
    <row r="539" spans="8:37" ht="17.100000000000001" customHeight="1" x14ac:dyDescent="0.25">
      <c r="H539" s="112"/>
      <c r="N539" s="223"/>
      <c r="O539" s="37"/>
      <c r="AH539" s="185"/>
      <c r="AI539" s="181"/>
      <c r="AJ539" s="253"/>
      <c r="AK539" s="182"/>
    </row>
    <row r="540" spans="8:37" ht="17.100000000000001" customHeight="1" x14ac:dyDescent="0.25">
      <c r="H540" s="112"/>
      <c r="N540" s="223"/>
      <c r="O540" s="37"/>
      <c r="AH540" s="185"/>
      <c r="AI540" s="181"/>
      <c r="AJ540" s="252"/>
      <c r="AK540" s="182"/>
    </row>
    <row r="541" spans="8:37" ht="17.100000000000001" customHeight="1" x14ac:dyDescent="0.25">
      <c r="H541" s="112"/>
      <c r="N541" s="223"/>
      <c r="O541" s="37"/>
      <c r="AH541" s="185"/>
      <c r="AI541" s="181"/>
      <c r="AJ541" s="252"/>
      <c r="AK541" s="182"/>
    </row>
    <row r="542" spans="8:37" ht="17.100000000000001" customHeight="1" x14ac:dyDescent="0.25">
      <c r="H542" s="112"/>
      <c r="N542" s="223"/>
      <c r="O542" s="37"/>
      <c r="AH542" s="185"/>
      <c r="AI542" s="181"/>
      <c r="AJ542" s="252"/>
      <c r="AK542" s="182"/>
    </row>
    <row r="543" spans="8:37" ht="17.100000000000001" customHeight="1" x14ac:dyDescent="0.25">
      <c r="H543" s="112"/>
      <c r="N543" s="223"/>
      <c r="O543" s="37"/>
      <c r="AH543" s="185"/>
      <c r="AI543" s="181"/>
      <c r="AJ543" s="252"/>
      <c r="AK543" s="182"/>
    </row>
    <row r="544" spans="8:37" ht="17.100000000000001" customHeight="1" x14ac:dyDescent="0.25">
      <c r="H544" s="112"/>
      <c r="N544" s="223"/>
      <c r="O544" s="37"/>
      <c r="AH544" s="185"/>
      <c r="AI544" s="181"/>
      <c r="AJ544" s="252"/>
      <c r="AK544" s="182"/>
    </row>
    <row r="545" spans="8:37" ht="17.100000000000001" customHeight="1" x14ac:dyDescent="0.25">
      <c r="H545" s="112"/>
      <c r="N545" s="223"/>
      <c r="O545" s="37"/>
      <c r="AH545" s="185"/>
      <c r="AI545" s="181"/>
      <c r="AJ545" s="252"/>
      <c r="AK545" s="182"/>
    </row>
    <row r="546" spans="8:37" ht="17.100000000000001" customHeight="1" x14ac:dyDescent="0.25">
      <c r="H546" s="112"/>
      <c r="N546" s="223"/>
      <c r="O546" s="37"/>
      <c r="AH546" s="185"/>
      <c r="AI546" s="181"/>
      <c r="AJ546" s="252"/>
      <c r="AK546" s="182"/>
    </row>
    <row r="547" spans="8:37" ht="17.100000000000001" customHeight="1" x14ac:dyDescent="0.25">
      <c r="H547" s="112"/>
      <c r="N547" s="223"/>
      <c r="O547" s="37"/>
      <c r="AH547" s="185"/>
      <c r="AI547" s="181"/>
      <c r="AJ547" s="252"/>
      <c r="AK547" s="182"/>
    </row>
    <row r="548" spans="8:37" ht="17.100000000000001" customHeight="1" x14ac:dyDescent="0.25">
      <c r="H548" s="112"/>
      <c r="N548" s="223"/>
      <c r="O548" s="37"/>
      <c r="P548" s="223"/>
      <c r="Q548" s="225"/>
      <c r="R548" s="67"/>
      <c r="S548" s="227"/>
      <c r="U548" s="227"/>
      <c r="V548" s="227"/>
      <c r="W548" s="227"/>
      <c r="X548" s="227"/>
      <c r="Y548" s="227"/>
      <c r="AA548" s="227"/>
      <c r="AB548" s="223"/>
      <c r="AC548" s="223"/>
      <c r="AD548" s="227"/>
      <c r="AE548" s="227"/>
      <c r="AF548" s="227"/>
      <c r="AG548" s="71"/>
      <c r="AH548" s="185"/>
      <c r="AI548" s="186"/>
      <c r="AJ548" s="252"/>
      <c r="AK548" s="182"/>
    </row>
    <row r="549" spans="8:37" ht="17.100000000000001" customHeight="1" x14ac:dyDescent="0.25">
      <c r="H549" s="112"/>
      <c r="N549" s="223"/>
      <c r="O549" s="37"/>
      <c r="AH549" s="185"/>
      <c r="AI549" s="181"/>
      <c r="AJ549" s="252"/>
      <c r="AK549" s="182"/>
    </row>
    <row r="550" spans="8:37" ht="17.100000000000001" customHeight="1" x14ac:dyDescent="0.25">
      <c r="H550" s="112"/>
      <c r="N550" s="223"/>
      <c r="O550" s="37"/>
      <c r="AH550" s="185"/>
      <c r="AI550" s="181"/>
      <c r="AJ550" s="252"/>
      <c r="AK550" s="182"/>
    </row>
    <row r="551" spans="8:37" ht="17.100000000000001" customHeight="1" x14ac:dyDescent="0.25">
      <c r="H551" s="112"/>
      <c r="N551" s="223"/>
      <c r="O551" s="37"/>
      <c r="AH551" s="185"/>
      <c r="AI551" s="181"/>
      <c r="AJ551" s="253"/>
      <c r="AK551" s="182"/>
    </row>
    <row r="552" spans="8:37" ht="17.100000000000001" customHeight="1" x14ac:dyDescent="0.25">
      <c r="H552" s="112"/>
      <c r="N552" s="223"/>
      <c r="O552" s="37"/>
      <c r="AH552" s="185"/>
      <c r="AI552" s="181"/>
      <c r="AJ552" s="252"/>
      <c r="AK552" s="182"/>
    </row>
    <row r="553" spans="8:37" ht="17.100000000000001" customHeight="1" x14ac:dyDescent="0.25">
      <c r="H553" s="112"/>
      <c r="N553" s="223"/>
      <c r="O553" s="37"/>
      <c r="AH553" s="185"/>
      <c r="AI553" s="181"/>
      <c r="AJ553" s="252"/>
      <c r="AK553" s="182"/>
    </row>
    <row r="554" spans="8:37" ht="17.100000000000001" customHeight="1" x14ac:dyDescent="0.25">
      <c r="H554" s="112"/>
      <c r="N554" s="223"/>
      <c r="O554" s="37"/>
      <c r="AH554" s="185"/>
      <c r="AI554" s="181"/>
      <c r="AJ554" s="252"/>
      <c r="AK554" s="182"/>
    </row>
    <row r="555" spans="8:37" ht="17.100000000000001" customHeight="1" x14ac:dyDescent="0.25">
      <c r="H555" s="112"/>
      <c r="N555" s="223"/>
      <c r="O555" s="37"/>
      <c r="AH555" s="185"/>
      <c r="AI555" s="181"/>
      <c r="AJ555" s="252"/>
      <c r="AK555" s="182"/>
    </row>
    <row r="556" spans="8:37" ht="17.100000000000001" customHeight="1" x14ac:dyDescent="0.25">
      <c r="H556" s="112"/>
      <c r="N556" s="223"/>
      <c r="O556" s="37"/>
      <c r="AH556" s="185"/>
      <c r="AI556" s="181"/>
      <c r="AJ556" s="252"/>
      <c r="AK556" s="182"/>
    </row>
    <row r="557" spans="8:37" ht="17.100000000000001" customHeight="1" x14ac:dyDescent="0.25">
      <c r="H557" s="112"/>
      <c r="N557" s="223"/>
      <c r="O557" s="37"/>
      <c r="AH557" s="185"/>
      <c r="AI557" s="181"/>
      <c r="AJ557" s="252"/>
      <c r="AK557" s="182"/>
    </row>
    <row r="558" spans="8:37" ht="17.100000000000001" customHeight="1" x14ac:dyDescent="0.25">
      <c r="H558" s="112"/>
      <c r="N558" s="223"/>
      <c r="O558" s="37"/>
      <c r="AH558" s="185"/>
      <c r="AI558" s="181"/>
      <c r="AJ558" s="252"/>
      <c r="AK558" s="182"/>
    </row>
    <row r="559" spans="8:37" ht="17.100000000000001" customHeight="1" x14ac:dyDescent="0.25">
      <c r="H559" s="112"/>
      <c r="N559" s="223"/>
      <c r="O559" s="37"/>
      <c r="P559" s="223"/>
      <c r="Q559" s="225"/>
      <c r="R559" s="67"/>
      <c r="S559" s="227"/>
      <c r="U559" s="227"/>
      <c r="V559" s="227"/>
      <c r="W559" s="227"/>
      <c r="X559" s="227"/>
      <c r="Y559" s="227"/>
      <c r="Z559" s="227"/>
      <c r="AA559" s="227"/>
      <c r="AB559" s="223"/>
      <c r="AC559" s="223"/>
      <c r="AD559" s="227"/>
      <c r="AE559" s="227"/>
      <c r="AF559" s="227"/>
      <c r="AG559" s="71"/>
      <c r="AH559" s="185"/>
      <c r="AI559" s="186"/>
      <c r="AJ559" s="253"/>
      <c r="AK559" s="182"/>
    </row>
    <row r="560" spans="8:37" ht="17.100000000000001" customHeight="1" x14ac:dyDescent="0.25">
      <c r="H560" s="112"/>
      <c r="N560" s="223"/>
      <c r="O560" s="37"/>
      <c r="AH560" s="185"/>
      <c r="AI560" s="181"/>
      <c r="AJ560" s="252"/>
      <c r="AK560" s="182"/>
    </row>
    <row r="561" spans="8:37" ht="17.100000000000001" customHeight="1" x14ac:dyDescent="0.25">
      <c r="H561" s="112"/>
      <c r="N561" s="223"/>
      <c r="O561" s="37"/>
      <c r="U561" s="227"/>
      <c r="AH561" s="185"/>
      <c r="AI561" s="181"/>
      <c r="AJ561" s="252"/>
      <c r="AK561" s="182"/>
    </row>
    <row r="562" spans="8:37" ht="17.100000000000001" customHeight="1" x14ac:dyDescent="0.25">
      <c r="H562" s="112"/>
      <c r="N562" s="223"/>
      <c r="O562" s="37"/>
      <c r="U562" s="227"/>
      <c r="AH562" s="185"/>
      <c r="AI562" s="181"/>
      <c r="AJ562" s="252"/>
      <c r="AK562" s="182"/>
    </row>
    <row r="563" spans="8:37" ht="17.100000000000001" customHeight="1" x14ac:dyDescent="0.25">
      <c r="H563" s="112"/>
      <c r="N563" s="223"/>
      <c r="O563" s="37"/>
      <c r="AH563" s="185"/>
      <c r="AI563" s="181"/>
      <c r="AJ563" s="252"/>
      <c r="AK563" s="182"/>
    </row>
    <row r="564" spans="8:37" ht="17.100000000000001" customHeight="1" x14ac:dyDescent="0.25">
      <c r="H564" s="112"/>
      <c r="N564" s="223"/>
      <c r="O564" s="37"/>
      <c r="AH564" s="185"/>
      <c r="AI564" s="181"/>
      <c r="AJ564" s="253"/>
      <c r="AK564" s="182"/>
    </row>
    <row r="565" spans="8:37" ht="17.100000000000001" customHeight="1" x14ac:dyDescent="0.25">
      <c r="H565" s="112"/>
      <c r="N565" s="223"/>
      <c r="O565" s="37"/>
      <c r="AH565" s="185"/>
      <c r="AI565" s="181"/>
      <c r="AJ565" s="253"/>
      <c r="AK565" s="182"/>
    </row>
    <row r="566" spans="8:37" ht="17.100000000000001" customHeight="1" x14ac:dyDescent="0.25">
      <c r="H566" s="112"/>
      <c r="N566" s="223"/>
      <c r="O566" s="37"/>
      <c r="AH566" s="185"/>
      <c r="AI566" s="181"/>
      <c r="AJ566" s="252"/>
      <c r="AK566" s="182"/>
    </row>
    <row r="567" spans="8:37" ht="17.100000000000001" customHeight="1" x14ac:dyDescent="0.25">
      <c r="H567" s="112"/>
      <c r="N567" s="223"/>
      <c r="O567" s="37"/>
      <c r="AH567" s="185"/>
      <c r="AI567" s="181"/>
      <c r="AJ567" s="252"/>
      <c r="AK567" s="182"/>
    </row>
    <row r="568" spans="8:37" ht="17.100000000000001" customHeight="1" x14ac:dyDescent="0.25">
      <c r="H568" s="112"/>
      <c r="N568" s="223"/>
      <c r="O568" s="37"/>
      <c r="AH568" s="185"/>
      <c r="AI568" s="181"/>
      <c r="AJ568" s="252"/>
      <c r="AK568" s="182"/>
    </row>
    <row r="569" spans="8:37" ht="17.100000000000001" customHeight="1" x14ac:dyDescent="0.25">
      <c r="H569" s="112"/>
      <c r="N569" s="223"/>
      <c r="O569" s="37"/>
      <c r="AH569" s="185"/>
      <c r="AI569" s="181"/>
      <c r="AJ569" s="252"/>
      <c r="AK569" s="182"/>
    </row>
    <row r="570" spans="8:37" ht="17.100000000000001" customHeight="1" x14ac:dyDescent="0.25">
      <c r="H570" s="112"/>
      <c r="N570" s="223"/>
      <c r="O570" s="37"/>
      <c r="AH570" s="185"/>
      <c r="AI570" s="181"/>
      <c r="AJ570" s="252"/>
      <c r="AK570" s="182"/>
    </row>
    <row r="571" spans="8:37" ht="17.100000000000001" customHeight="1" x14ac:dyDescent="0.25">
      <c r="H571" s="112"/>
      <c r="N571" s="223"/>
      <c r="O571" s="37"/>
      <c r="P571" s="223"/>
      <c r="Q571" s="225"/>
      <c r="R571" s="67"/>
      <c r="S571" s="227"/>
      <c r="U571" s="227"/>
      <c r="V571" s="227"/>
      <c r="W571" s="227"/>
      <c r="X571" s="227"/>
      <c r="Y571" s="227"/>
      <c r="Z571" s="227"/>
      <c r="AA571" s="227"/>
      <c r="AB571" s="223"/>
      <c r="AC571" s="223"/>
      <c r="AD571" s="227"/>
      <c r="AE571" s="227"/>
      <c r="AF571" s="227"/>
      <c r="AH571" s="185"/>
      <c r="AI571" s="186"/>
      <c r="AJ571" s="252"/>
      <c r="AK571" s="182"/>
    </row>
    <row r="572" spans="8:37" ht="17.100000000000001" customHeight="1" x14ac:dyDescent="0.25">
      <c r="H572" s="112"/>
      <c r="N572" s="223"/>
      <c r="O572" s="37"/>
      <c r="AH572" s="185"/>
      <c r="AI572" s="181"/>
      <c r="AJ572" s="252"/>
      <c r="AK572" s="182"/>
    </row>
    <row r="573" spans="8:37" ht="17.100000000000001" customHeight="1" x14ac:dyDescent="0.25">
      <c r="H573" s="112"/>
      <c r="N573" s="223"/>
      <c r="O573" s="37"/>
      <c r="AH573" s="185"/>
      <c r="AI573" s="181"/>
      <c r="AJ573" s="252"/>
      <c r="AK573" s="182"/>
    </row>
    <row r="574" spans="8:37" ht="17.100000000000001" customHeight="1" x14ac:dyDescent="0.25">
      <c r="H574" s="112"/>
      <c r="N574" s="223"/>
      <c r="O574" s="37"/>
      <c r="AH574" s="185"/>
      <c r="AI574" s="181"/>
      <c r="AJ574" s="252"/>
      <c r="AK574" s="182"/>
    </row>
    <row r="575" spans="8:37" ht="17.100000000000001" customHeight="1" x14ac:dyDescent="0.25">
      <c r="H575" s="112"/>
      <c r="N575" s="223"/>
      <c r="O575" s="37"/>
      <c r="AH575" s="185"/>
      <c r="AI575" s="181"/>
      <c r="AJ575" s="252"/>
      <c r="AK575" s="182"/>
    </row>
    <row r="576" spans="8:37" ht="17.100000000000001" customHeight="1" x14ac:dyDescent="0.25">
      <c r="H576" s="112"/>
      <c r="N576" s="223"/>
      <c r="O576" s="37"/>
      <c r="AH576" s="185"/>
      <c r="AI576" s="181"/>
      <c r="AJ576" s="252"/>
      <c r="AK576" s="182"/>
    </row>
    <row r="577" spans="8:37" ht="17.100000000000001" customHeight="1" x14ac:dyDescent="0.25">
      <c r="H577" s="112"/>
      <c r="N577" s="223"/>
      <c r="O577" s="37"/>
      <c r="AH577" s="185"/>
      <c r="AI577" s="181"/>
      <c r="AJ577" s="252"/>
      <c r="AK577" s="182"/>
    </row>
    <row r="578" spans="8:37" ht="17.100000000000001" customHeight="1" x14ac:dyDescent="0.25">
      <c r="H578" s="112"/>
      <c r="N578" s="223"/>
      <c r="O578" s="37"/>
      <c r="AH578" s="185"/>
      <c r="AI578" s="181"/>
      <c r="AJ578" s="252"/>
      <c r="AK578" s="182"/>
    </row>
    <row r="579" spans="8:37" ht="17.100000000000001" customHeight="1" x14ac:dyDescent="0.25">
      <c r="H579" s="112"/>
      <c r="N579" s="223"/>
      <c r="O579" s="37"/>
      <c r="P579" s="223"/>
      <c r="Q579" s="225"/>
      <c r="R579" s="67"/>
      <c r="S579" s="227"/>
      <c r="U579" s="227"/>
      <c r="V579" s="227"/>
      <c r="W579" s="227"/>
      <c r="X579" s="227"/>
      <c r="Y579" s="227"/>
      <c r="Z579" s="227"/>
      <c r="AA579" s="227"/>
      <c r="AB579" s="223"/>
      <c r="AC579" s="223"/>
      <c r="AD579" s="227"/>
      <c r="AE579" s="227"/>
      <c r="AF579" s="227"/>
      <c r="AG579" s="71"/>
      <c r="AH579" s="185"/>
      <c r="AI579" s="186"/>
      <c r="AJ579" s="252"/>
      <c r="AK579" s="182"/>
    </row>
    <row r="580" spans="8:37" ht="17.100000000000001" customHeight="1" x14ac:dyDescent="0.25">
      <c r="H580" s="112"/>
      <c r="N580" s="223"/>
      <c r="O580" s="37"/>
      <c r="AH580" s="185"/>
      <c r="AI580" s="181"/>
      <c r="AJ580" s="252"/>
      <c r="AK580" s="182"/>
    </row>
    <row r="581" spans="8:37" ht="17.100000000000001" customHeight="1" x14ac:dyDescent="0.25">
      <c r="H581" s="112"/>
      <c r="N581" s="223"/>
      <c r="O581" s="37"/>
      <c r="AH581" s="185"/>
      <c r="AI581" s="181"/>
      <c r="AJ581" s="252"/>
      <c r="AK581" s="182"/>
    </row>
    <row r="582" spans="8:37" ht="17.100000000000001" customHeight="1" x14ac:dyDescent="0.25">
      <c r="H582" s="112"/>
      <c r="N582" s="223"/>
      <c r="O582" s="37"/>
      <c r="AH582" s="185"/>
      <c r="AI582" s="181"/>
      <c r="AJ582" s="252"/>
      <c r="AK582" s="182"/>
    </row>
    <row r="583" spans="8:37" ht="17.100000000000001" customHeight="1" x14ac:dyDescent="0.25">
      <c r="H583" s="112"/>
      <c r="N583" s="223"/>
      <c r="O583" s="37"/>
      <c r="AH583" s="185"/>
      <c r="AI583" s="181"/>
      <c r="AJ583" s="252"/>
      <c r="AK583" s="182"/>
    </row>
    <row r="584" spans="8:37" ht="17.100000000000001" customHeight="1" x14ac:dyDescent="0.25">
      <c r="H584" s="112"/>
      <c r="N584" s="223"/>
      <c r="O584" s="37"/>
      <c r="P584" s="223"/>
      <c r="Q584" s="225"/>
      <c r="R584" s="67"/>
      <c r="S584" s="227"/>
      <c r="U584" s="227"/>
      <c r="V584" s="227"/>
      <c r="W584" s="227"/>
      <c r="X584" s="227"/>
      <c r="Y584" s="227"/>
      <c r="Z584" s="227"/>
      <c r="AA584" s="227"/>
      <c r="AB584" s="223"/>
      <c r="AC584" s="223"/>
      <c r="AD584" s="227"/>
      <c r="AE584" s="227"/>
      <c r="AF584" s="227"/>
      <c r="AG584" s="71"/>
      <c r="AH584" s="185"/>
      <c r="AI584" s="186"/>
      <c r="AJ584" s="252"/>
      <c r="AK584" s="182"/>
    </row>
    <row r="585" spans="8:37" ht="17.100000000000001" customHeight="1" x14ac:dyDescent="0.25">
      <c r="H585" s="112"/>
      <c r="N585" s="223"/>
      <c r="O585" s="37"/>
      <c r="P585" s="223"/>
      <c r="Q585" s="225"/>
      <c r="R585" s="67"/>
      <c r="S585" s="227"/>
      <c r="U585" s="227"/>
      <c r="V585" s="227"/>
      <c r="W585" s="227"/>
      <c r="X585" s="227"/>
      <c r="Y585" s="227"/>
      <c r="Z585" s="227"/>
      <c r="AA585" s="227"/>
      <c r="AB585" s="223"/>
      <c r="AC585" s="223"/>
      <c r="AD585" s="227"/>
      <c r="AE585" s="227"/>
      <c r="AF585" s="227"/>
      <c r="AG585" s="71"/>
      <c r="AH585" s="185"/>
      <c r="AI585" s="186"/>
      <c r="AJ585" s="252"/>
      <c r="AK585" s="182"/>
    </row>
    <row r="586" spans="8:37" ht="17.100000000000001" customHeight="1" x14ac:dyDescent="0.25">
      <c r="H586" s="112"/>
      <c r="N586" s="223"/>
      <c r="O586" s="37"/>
      <c r="AH586" s="185"/>
      <c r="AI586" s="181"/>
      <c r="AJ586" s="252"/>
      <c r="AK586" s="182"/>
    </row>
    <row r="587" spans="8:37" ht="17.100000000000001" customHeight="1" x14ac:dyDescent="0.25">
      <c r="H587" s="112"/>
      <c r="N587" s="223"/>
      <c r="O587" s="37"/>
      <c r="AH587" s="185"/>
      <c r="AI587" s="181"/>
      <c r="AJ587" s="252"/>
      <c r="AK587" s="182"/>
    </row>
    <row r="588" spans="8:37" ht="17.100000000000001" customHeight="1" x14ac:dyDescent="0.25">
      <c r="H588" s="112"/>
      <c r="N588" s="223"/>
      <c r="O588" s="37"/>
      <c r="AH588" s="185"/>
      <c r="AI588" s="181"/>
      <c r="AJ588" s="252"/>
      <c r="AK588" s="182"/>
    </row>
    <row r="589" spans="8:37" ht="17.100000000000001" customHeight="1" x14ac:dyDescent="0.25">
      <c r="H589" s="112"/>
      <c r="N589" s="223"/>
      <c r="O589" s="37"/>
      <c r="AH589" s="185"/>
      <c r="AI589" s="181"/>
      <c r="AJ589" s="252"/>
      <c r="AK589" s="182"/>
    </row>
    <row r="590" spans="8:37" ht="17.100000000000001" customHeight="1" x14ac:dyDescent="0.25">
      <c r="H590" s="112"/>
      <c r="N590" s="223"/>
      <c r="O590" s="37"/>
      <c r="AH590" s="185"/>
      <c r="AI590" s="181"/>
      <c r="AJ590" s="252"/>
      <c r="AK590" s="182"/>
    </row>
    <row r="591" spans="8:37" ht="17.100000000000001" customHeight="1" x14ac:dyDescent="0.25">
      <c r="H591" s="112"/>
      <c r="N591" s="223"/>
      <c r="O591" s="37"/>
      <c r="AH591" s="185"/>
      <c r="AI591" s="181"/>
      <c r="AJ591" s="252"/>
      <c r="AK591" s="182"/>
    </row>
    <row r="592" spans="8:37" ht="17.100000000000001" customHeight="1" x14ac:dyDescent="0.25">
      <c r="H592" s="112"/>
      <c r="N592" s="223"/>
      <c r="O592" s="37"/>
      <c r="AH592" s="185"/>
      <c r="AI592" s="181"/>
      <c r="AJ592" s="252"/>
      <c r="AK592" s="182"/>
    </row>
    <row r="593" spans="8:37" ht="17.100000000000001" customHeight="1" x14ac:dyDescent="0.25">
      <c r="H593" s="112"/>
      <c r="N593" s="223"/>
      <c r="O593" s="37"/>
      <c r="AH593" s="185"/>
      <c r="AI593" s="181"/>
      <c r="AJ593" s="252"/>
      <c r="AK593" s="182"/>
    </row>
    <row r="594" spans="8:37" ht="17.100000000000001" customHeight="1" x14ac:dyDescent="0.25">
      <c r="H594" s="112"/>
      <c r="N594" s="223"/>
      <c r="O594" s="37"/>
      <c r="AH594" s="185"/>
      <c r="AI594" s="181"/>
      <c r="AJ594" s="252"/>
      <c r="AK594" s="182"/>
    </row>
    <row r="595" spans="8:37" ht="17.100000000000001" customHeight="1" x14ac:dyDescent="0.25">
      <c r="H595" s="112"/>
      <c r="N595" s="223"/>
      <c r="O595" s="37"/>
      <c r="AH595" s="185"/>
      <c r="AI595" s="181"/>
      <c r="AJ595" s="252"/>
      <c r="AK595" s="182"/>
    </row>
    <row r="596" spans="8:37" ht="17.100000000000001" customHeight="1" x14ac:dyDescent="0.25">
      <c r="H596" s="112"/>
      <c r="N596" s="223"/>
      <c r="O596" s="37"/>
      <c r="AH596" s="185"/>
      <c r="AI596" s="181"/>
      <c r="AJ596" s="252"/>
      <c r="AK596" s="182"/>
    </row>
    <row r="597" spans="8:37" ht="17.100000000000001" customHeight="1" x14ac:dyDescent="0.25">
      <c r="H597" s="112"/>
      <c r="N597" s="223"/>
      <c r="O597" s="37"/>
      <c r="AH597" s="185"/>
      <c r="AI597" s="181"/>
      <c r="AJ597" s="252"/>
      <c r="AK597" s="182"/>
    </row>
    <row r="598" spans="8:37" ht="17.100000000000001" customHeight="1" x14ac:dyDescent="0.25">
      <c r="H598" s="112"/>
      <c r="N598" s="223"/>
      <c r="O598" s="37"/>
      <c r="AH598" s="185"/>
      <c r="AI598" s="181"/>
      <c r="AJ598" s="252"/>
      <c r="AK598" s="182"/>
    </row>
    <row r="599" spans="8:37" ht="17.100000000000001" customHeight="1" x14ac:dyDescent="0.25">
      <c r="H599" s="112"/>
      <c r="N599" s="223"/>
      <c r="O599" s="37"/>
      <c r="AH599" s="185"/>
      <c r="AI599" s="181"/>
      <c r="AJ599" s="252"/>
      <c r="AK599" s="182"/>
    </row>
    <row r="600" spans="8:37" ht="17.100000000000001" customHeight="1" x14ac:dyDescent="0.25">
      <c r="H600" s="112"/>
      <c r="N600" s="223"/>
      <c r="O600" s="37"/>
      <c r="AH600" s="185"/>
      <c r="AI600" s="181"/>
      <c r="AJ600" s="252"/>
      <c r="AK600" s="182"/>
    </row>
    <row r="601" spans="8:37" ht="17.100000000000001" customHeight="1" x14ac:dyDescent="0.25">
      <c r="H601" s="112"/>
      <c r="N601" s="223"/>
      <c r="O601" s="37"/>
      <c r="AH601" s="185"/>
      <c r="AI601" s="181"/>
      <c r="AJ601" s="252"/>
      <c r="AK601" s="182"/>
    </row>
    <row r="602" spans="8:37" ht="17.100000000000001" customHeight="1" x14ac:dyDescent="0.25">
      <c r="H602" s="112"/>
      <c r="N602" s="223"/>
      <c r="O602" s="37"/>
      <c r="AH602" s="185"/>
      <c r="AI602" s="181"/>
      <c r="AJ602" s="252"/>
      <c r="AK602" s="182"/>
    </row>
    <row r="603" spans="8:37" ht="17.100000000000001" customHeight="1" x14ac:dyDescent="0.25">
      <c r="H603" s="112"/>
      <c r="N603" s="223"/>
      <c r="O603" s="37"/>
      <c r="AH603" s="185"/>
      <c r="AI603" s="181"/>
      <c r="AJ603" s="252"/>
      <c r="AK603" s="182"/>
    </row>
    <row r="604" spans="8:37" ht="17.100000000000001" customHeight="1" x14ac:dyDescent="0.25">
      <c r="H604" s="112"/>
      <c r="N604" s="223"/>
      <c r="O604" s="37"/>
      <c r="AH604" s="185"/>
      <c r="AI604" s="181"/>
      <c r="AJ604" s="252"/>
      <c r="AK604" s="182"/>
    </row>
    <row r="605" spans="8:37" ht="17.100000000000001" customHeight="1" x14ac:dyDescent="0.25">
      <c r="H605" s="112"/>
      <c r="N605" s="223"/>
      <c r="O605" s="37"/>
      <c r="AH605" s="185"/>
      <c r="AI605" s="181"/>
      <c r="AJ605" s="252"/>
      <c r="AK605" s="182"/>
    </row>
    <row r="606" spans="8:37" ht="17.100000000000001" customHeight="1" x14ac:dyDescent="0.25">
      <c r="H606" s="112"/>
      <c r="N606" s="223"/>
      <c r="O606" s="37"/>
      <c r="AH606" s="185"/>
      <c r="AI606" s="181"/>
      <c r="AJ606" s="252"/>
      <c r="AK606" s="182"/>
    </row>
    <row r="607" spans="8:37" ht="17.100000000000001" customHeight="1" x14ac:dyDescent="0.25">
      <c r="H607" s="112"/>
      <c r="N607" s="223"/>
      <c r="O607" s="37"/>
      <c r="U607" s="227"/>
      <c r="AH607" s="185"/>
      <c r="AI607" s="181"/>
      <c r="AJ607" s="253"/>
      <c r="AK607" s="182"/>
    </row>
    <row r="608" spans="8:37" ht="17.100000000000001" customHeight="1" x14ac:dyDescent="0.25">
      <c r="H608" s="112"/>
      <c r="N608" s="223"/>
      <c r="O608" s="37"/>
      <c r="AH608" s="185"/>
      <c r="AI608" s="181"/>
      <c r="AJ608" s="253"/>
      <c r="AK608" s="182"/>
    </row>
    <row r="609" spans="8:37" ht="17.100000000000001" customHeight="1" x14ac:dyDescent="0.25">
      <c r="H609" s="112"/>
      <c r="N609" s="223"/>
      <c r="O609" s="37"/>
      <c r="AH609" s="185"/>
      <c r="AI609" s="181"/>
      <c r="AJ609" s="252"/>
      <c r="AK609" s="182"/>
    </row>
    <row r="610" spans="8:37" ht="17.100000000000001" customHeight="1" x14ac:dyDescent="0.25">
      <c r="H610" s="112"/>
      <c r="N610" s="223"/>
      <c r="O610" s="37"/>
      <c r="AH610" s="185"/>
      <c r="AI610" s="181"/>
      <c r="AJ610" s="252"/>
      <c r="AK610" s="182"/>
    </row>
    <row r="611" spans="8:37" ht="17.100000000000001" customHeight="1" x14ac:dyDescent="0.25">
      <c r="H611" s="112"/>
      <c r="N611" s="223"/>
      <c r="O611" s="37"/>
      <c r="AH611" s="185"/>
      <c r="AI611" s="181"/>
      <c r="AJ611" s="253"/>
      <c r="AK611" s="182"/>
    </row>
    <row r="612" spans="8:37" ht="17.100000000000001" customHeight="1" x14ac:dyDescent="0.25">
      <c r="H612" s="112"/>
      <c r="N612" s="223"/>
      <c r="O612" s="37"/>
      <c r="AH612" s="185"/>
      <c r="AI612" s="181"/>
      <c r="AJ612" s="252"/>
      <c r="AK612" s="182"/>
    </row>
    <row r="613" spans="8:37" ht="17.100000000000001" customHeight="1" x14ac:dyDescent="0.25">
      <c r="H613" s="112"/>
      <c r="N613" s="223"/>
      <c r="O613" s="37"/>
      <c r="AH613" s="185"/>
      <c r="AI613" s="181"/>
      <c r="AJ613" s="252"/>
      <c r="AK613" s="182"/>
    </row>
    <row r="614" spans="8:37" ht="17.100000000000001" customHeight="1" x14ac:dyDescent="0.25">
      <c r="H614" s="112"/>
      <c r="N614" s="223"/>
      <c r="O614" s="37"/>
      <c r="AH614" s="185"/>
      <c r="AI614" s="181"/>
      <c r="AJ614" s="252"/>
      <c r="AK614" s="182"/>
    </row>
    <row r="615" spans="8:37" ht="17.100000000000001" customHeight="1" x14ac:dyDescent="0.25">
      <c r="H615" s="112"/>
      <c r="N615" s="223"/>
      <c r="O615" s="37"/>
      <c r="AH615" s="185"/>
      <c r="AI615" s="181"/>
      <c r="AJ615" s="252"/>
      <c r="AK615" s="182"/>
    </row>
    <row r="616" spans="8:37" ht="17.100000000000001" customHeight="1" x14ac:dyDescent="0.25">
      <c r="H616" s="112"/>
      <c r="N616" s="223"/>
      <c r="O616" s="37"/>
      <c r="AH616" s="185"/>
      <c r="AI616" s="181"/>
      <c r="AJ616" s="252"/>
      <c r="AK616" s="182"/>
    </row>
    <row r="617" spans="8:37" ht="17.100000000000001" customHeight="1" x14ac:dyDescent="0.25">
      <c r="H617" s="112"/>
      <c r="N617" s="223"/>
      <c r="O617" s="37"/>
      <c r="AH617" s="185"/>
      <c r="AI617" s="181"/>
      <c r="AJ617" s="252"/>
      <c r="AK617" s="182"/>
    </row>
    <row r="618" spans="8:37" ht="17.100000000000001" customHeight="1" x14ac:dyDescent="0.25">
      <c r="H618" s="112"/>
      <c r="N618" s="223"/>
      <c r="O618" s="37"/>
      <c r="AH618" s="185"/>
      <c r="AI618" s="181"/>
      <c r="AJ618" s="252"/>
      <c r="AK618" s="182"/>
    </row>
    <row r="619" spans="8:37" ht="17.100000000000001" customHeight="1" x14ac:dyDescent="0.25">
      <c r="H619" s="112"/>
      <c r="N619" s="223"/>
      <c r="O619" s="37"/>
      <c r="AH619" s="185"/>
      <c r="AI619" s="181"/>
      <c r="AJ619" s="252"/>
      <c r="AK619" s="182"/>
    </row>
    <row r="620" spans="8:37" ht="17.100000000000001" customHeight="1" x14ac:dyDescent="0.25">
      <c r="H620" s="112"/>
      <c r="N620" s="223"/>
      <c r="O620" s="37"/>
      <c r="AH620" s="185"/>
      <c r="AI620" s="181"/>
      <c r="AJ620" s="252"/>
      <c r="AK620" s="182"/>
    </row>
    <row r="621" spans="8:37" ht="17.100000000000001" customHeight="1" x14ac:dyDescent="0.25">
      <c r="H621" s="112"/>
      <c r="N621" s="223"/>
      <c r="O621" s="37"/>
      <c r="AH621" s="185"/>
      <c r="AI621" s="181"/>
      <c r="AJ621" s="252"/>
      <c r="AK621" s="182"/>
    </row>
    <row r="622" spans="8:37" ht="17.100000000000001" customHeight="1" x14ac:dyDescent="0.25">
      <c r="H622" s="112"/>
      <c r="N622" s="223"/>
      <c r="O622" s="37"/>
      <c r="AH622" s="185"/>
      <c r="AI622" s="181"/>
      <c r="AJ622" s="252"/>
      <c r="AK622" s="182"/>
    </row>
    <row r="623" spans="8:37" ht="17.100000000000001" customHeight="1" x14ac:dyDescent="0.25">
      <c r="H623" s="112"/>
      <c r="N623" s="223"/>
      <c r="O623" s="37"/>
      <c r="AH623" s="185"/>
      <c r="AI623" s="181"/>
      <c r="AJ623" s="252"/>
      <c r="AK623" s="182"/>
    </row>
    <row r="624" spans="8:37" ht="17.100000000000001" customHeight="1" x14ac:dyDescent="0.25">
      <c r="H624" s="112"/>
      <c r="N624" s="223"/>
      <c r="O624" s="37"/>
      <c r="AH624" s="185"/>
      <c r="AI624" s="181"/>
      <c r="AJ624" s="252"/>
      <c r="AK624" s="182"/>
    </row>
    <row r="625" spans="8:37" ht="17.100000000000001" customHeight="1" x14ac:dyDescent="0.25">
      <c r="H625" s="112"/>
      <c r="N625" s="223"/>
      <c r="O625" s="37"/>
      <c r="AH625" s="185"/>
      <c r="AI625" s="181"/>
      <c r="AJ625" s="252"/>
      <c r="AK625" s="182"/>
    </row>
    <row r="626" spans="8:37" ht="17.100000000000001" customHeight="1" x14ac:dyDescent="0.25">
      <c r="H626" s="112"/>
      <c r="N626" s="223"/>
      <c r="O626" s="37"/>
      <c r="AH626" s="185"/>
      <c r="AI626" s="181"/>
      <c r="AJ626" s="252"/>
      <c r="AK626" s="182"/>
    </row>
    <row r="627" spans="8:37" ht="17.100000000000001" customHeight="1" x14ac:dyDescent="0.25">
      <c r="H627" s="112"/>
      <c r="N627" s="223"/>
      <c r="O627" s="37"/>
      <c r="P627" s="223"/>
      <c r="Q627" s="225"/>
      <c r="R627" s="67"/>
      <c r="S627" s="227"/>
      <c r="U627" s="227"/>
      <c r="V627" s="227"/>
      <c r="W627" s="227"/>
      <c r="X627" s="227"/>
      <c r="Y627" s="227"/>
      <c r="Z627" s="227"/>
      <c r="AA627" s="227"/>
      <c r="AB627" s="223"/>
      <c r="AC627" s="223"/>
      <c r="AD627" s="227"/>
      <c r="AE627" s="227"/>
      <c r="AF627" s="227"/>
      <c r="AG627" s="71"/>
      <c r="AH627" s="185"/>
      <c r="AI627" s="186"/>
      <c r="AJ627" s="252"/>
      <c r="AK627" s="182"/>
    </row>
    <row r="628" spans="8:37" ht="17.100000000000001" customHeight="1" x14ac:dyDescent="0.25">
      <c r="H628" s="112"/>
      <c r="N628" s="223"/>
      <c r="O628" s="37"/>
      <c r="P628" s="223"/>
      <c r="Q628" s="225"/>
      <c r="R628" s="67"/>
      <c r="S628" s="227"/>
      <c r="U628" s="227"/>
      <c r="V628" s="227"/>
      <c r="W628" s="227"/>
      <c r="X628" s="227"/>
      <c r="Y628" s="227"/>
      <c r="Z628" s="227"/>
      <c r="AA628" s="227"/>
      <c r="AB628" s="223"/>
      <c r="AC628" s="223"/>
      <c r="AD628" s="227"/>
      <c r="AE628" s="227"/>
      <c r="AF628" s="227"/>
      <c r="AG628" s="71"/>
      <c r="AH628" s="185"/>
      <c r="AI628" s="186"/>
      <c r="AJ628" s="252"/>
      <c r="AK628" s="182"/>
    </row>
    <row r="629" spans="8:37" ht="17.100000000000001" customHeight="1" x14ac:dyDescent="0.25">
      <c r="H629" s="112"/>
      <c r="N629" s="223"/>
      <c r="O629" s="37"/>
      <c r="AH629" s="185"/>
      <c r="AI629" s="181"/>
      <c r="AJ629" s="252"/>
      <c r="AK629" s="182"/>
    </row>
    <row r="630" spans="8:37" ht="17.100000000000001" customHeight="1" x14ac:dyDescent="0.25">
      <c r="H630" s="112"/>
      <c r="N630" s="223"/>
      <c r="O630" s="37"/>
      <c r="AH630" s="185"/>
      <c r="AI630" s="181"/>
      <c r="AJ630" s="252"/>
      <c r="AK630" s="182"/>
    </row>
    <row r="631" spans="8:37" ht="17.100000000000001" customHeight="1" x14ac:dyDescent="0.25">
      <c r="H631" s="112"/>
      <c r="N631" s="223"/>
      <c r="O631" s="37"/>
      <c r="P631" s="223"/>
      <c r="Q631" s="225"/>
      <c r="R631" s="67"/>
      <c r="S631" s="227"/>
      <c r="U631" s="227"/>
      <c r="V631" s="227"/>
      <c r="W631" s="227"/>
      <c r="X631" s="227"/>
      <c r="Y631" s="227"/>
      <c r="Z631" s="227"/>
      <c r="AA631" s="227"/>
      <c r="AB631" s="223"/>
      <c r="AC631" s="223"/>
      <c r="AD631" s="227"/>
      <c r="AE631" s="227"/>
      <c r="AF631" s="227"/>
      <c r="AG631" s="71"/>
      <c r="AH631" s="185"/>
      <c r="AI631" s="186"/>
      <c r="AJ631" s="252"/>
      <c r="AK631" s="182"/>
    </row>
    <row r="632" spans="8:37" ht="17.100000000000001" customHeight="1" x14ac:dyDescent="0.25">
      <c r="H632" s="112"/>
      <c r="N632" s="223"/>
      <c r="O632" s="37"/>
      <c r="AH632" s="185"/>
      <c r="AI632" s="181"/>
      <c r="AJ632" s="252"/>
      <c r="AK632" s="182"/>
    </row>
    <row r="633" spans="8:37" ht="17.100000000000001" customHeight="1" x14ac:dyDescent="0.25">
      <c r="H633" s="112"/>
      <c r="N633" s="223"/>
      <c r="O633" s="37"/>
      <c r="AH633" s="185"/>
      <c r="AI633" s="181"/>
      <c r="AJ633" s="252"/>
      <c r="AK633" s="182"/>
    </row>
    <row r="634" spans="8:37" ht="17.100000000000001" customHeight="1" x14ac:dyDescent="0.25">
      <c r="H634" s="112"/>
      <c r="N634" s="223"/>
      <c r="O634" s="37"/>
      <c r="AH634" s="185"/>
      <c r="AI634" s="181"/>
      <c r="AJ634" s="252"/>
      <c r="AK634" s="182"/>
    </row>
    <row r="635" spans="8:37" ht="17.100000000000001" customHeight="1" x14ac:dyDescent="0.25">
      <c r="H635" s="112"/>
      <c r="N635" s="223"/>
      <c r="O635" s="37"/>
      <c r="AH635" s="185"/>
      <c r="AI635" s="181"/>
      <c r="AJ635" s="252"/>
      <c r="AK635" s="182"/>
    </row>
    <row r="636" spans="8:37" ht="17.100000000000001" customHeight="1" x14ac:dyDescent="0.25">
      <c r="H636" s="112"/>
      <c r="N636" s="223"/>
      <c r="O636" s="37"/>
      <c r="AH636" s="185"/>
      <c r="AI636" s="181"/>
      <c r="AJ636" s="252"/>
      <c r="AK636" s="182"/>
    </row>
    <row r="637" spans="8:37" ht="17.100000000000001" customHeight="1" x14ac:dyDescent="0.25">
      <c r="H637" s="112"/>
      <c r="N637" s="223"/>
      <c r="O637" s="37"/>
      <c r="AH637" s="185"/>
      <c r="AI637" s="181"/>
      <c r="AJ637" s="252"/>
      <c r="AK637" s="182"/>
    </row>
    <row r="638" spans="8:37" ht="17.100000000000001" customHeight="1" x14ac:dyDescent="0.25">
      <c r="H638" s="112"/>
      <c r="N638" s="223"/>
      <c r="O638" s="37"/>
      <c r="AH638" s="185"/>
      <c r="AI638" s="181"/>
      <c r="AJ638" s="252"/>
      <c r="AK638" s="182"/>
    </row>
    <row r="639" spans="8:37" ht="17.100000000000001" customHeight="1" x14ac:dyDescent="0.25">
      <c r="H639" s="112"/>
      <c r="N639" s="223"/>
      <c r="O639" s="37"/>
      <c r="AH639" s="185"/>
      <c r="AI639" s="181"/>
      <c r="AJ639" s="252"/>
      <c r="AK639" s="182"/>
    </row>
    <row r="640" spans="8:37" ht="17.100000000000001" customHeight="1" x14ac:dyDescent="0.25">
      <c r="H640" s="112"/>
      <c r="N640" s="223"/>
      <c r="O640" s="37"/>
      <c r="AH640" s="185"/>
      <c r="AI640" s="181"/>
      <c r="AJ640" s="252"/>
      <c r="AK640" s="182"/>
    </row>
    <row r="641" spans="8:37" ht="17.100000000000001" customHeight="1" x14ac:dyDescent="0.25">
      <c r="H641" s="112"/>
      <c r="N641" s="223"/>
      <c r="O641" s="37"/>
      <c r="AH641" s="185"/>
      <c r="AI641" s="181"/>
      <c r="AJ641" s="252"/>
      <c r="AK641" s="182"/>
    </row>
    <row r="642" spans="8:37" ht="17.100000000000001" customHeight="1" x14ac:dyDescent="0.25">
      <c r="H642" s="112"/>
      <c r="N642" s="223"/>
      <c r="O642" s="37"/>
      <c r="AH642" s="185"/>
      <c r="AI642" s="181"/>
      <c r="AJ642" s="252"/>
      <c r="AK642" s="182"/>
    </row>
    <row r="643" spans="8:37" ht="17.100000000000001" customHeight="1" x14ac:dyDescent="0.25">
      <c r="H643" s="112"/>
      <c r="N643" s="223"/>
      <c r="O643" s="37"/>
      <c r="AH643" s="185"/>
      <c r="AI643" s="181"/>
      <c r="AJ643" s="252"/>
      <c r="AK643" s="182"/>
    </row>
    <row r="644" spans="8:37" ht="17.100000000000001" customHeight="1" x14ac:dyDescent="0.25">
      <c r="H644" s="112"/>
      <c r="N644" s="223"/>
      <c r="O644" s="37"/>
      <c r="AH644" s="185"/>
      <c r="AI644" s="181"/>
      <c r="AJ644" s="252"/>
      <c r="AK644" s="182"/>
    </row>
    <row r="645" spans="8:37" ht="17.100000000000001" customHeight="1" x14ac:dyDescent="0.25">
      <c r="H645" s="112"/>
      <c r="N645" s="223"/>
      <c r="O645" s="37"/>
      <c r="AH645" s="185"/>
      <c r="AI645" s="181"/>
      <c r="AJ645" s="252"/>
      <c r="AK645" s="182"/>
    </row>
    <row r="646" spans="8:37" ht="17.100000000000001" customHeight="1" x14ac:dyDescent="0.25">
      <c r="H646" s="112"/>
      <c r="N646" s="223"/>
      <c r="O646" s="37"/>
      <c r="AH646" s="185"/>
      <c r="AI646" s="181"/>
      <c r="AJ646" s="252"/>
      <c r="AK646" s="182"/>
    </row>
    <row r="647" spans="8:37" ht="17.100000000000001" customHeight="1" x14ac:dyDescent="0.25">
      <c r="H647" s="112"/>
      <c r="N647" s="223"/>
      <c r="O647" s="37"/>
      <c r="AH647" s="185"/>
      <c r="AI647" s="181"/>
      <c r="AJ647" s="252"/>
      <c r="AK647" s="182"/>
    </row>
    <row r="648" spans="8:37" ht="17.100000000000001" customHeight="1" x14ac:dyDescent="0.25">
      <c r="H648" s="112"/>
      <c r="N648" s="223"/>
      <c r="O648" s="37"/>
      <c r="AH648" s="185"/>
      <c r="AI648" s="181"/>
      <c r="AJ648" s="252"/>
      <c r="AK648" s="182"/>
    </row>
    <row r="649" spans="8:37" ht="17.100000000000001" customHeight="1" x14ac:dyDescent="0.25">
      <c r="H649" s="112"/>
      <c r="N649" s="223"/>
      <c r="O649" s="37"/>
      <c r="AH649" s="185"/>
      <c r="AI649" s="181"/>
      <c r="AJ649" s="252"/>
      <c r="AK649" s="182"/>
    </row>
    <row r="650" spans="8:37" ht="17.100000000000001" customHeight="1" x14ac:dyDescent="0.25">
      <c r="H650" s="112"/>
      <c r="N650" s="223"/>
      <c r="O650" s="37"/>
      <c r="AH650" s="185"/>
      <c r="AI650" s="181"/>
      <c r="AJ650" s="252"/>
      <c r="AK650" s="182"/>
    </row>
    <row r="651" spans="8:37" ht="17.100000000000001" customHeight="1" x14ac:dyDescent="0.25">
      <c r="H651" s="112"/>
      <c r="N651" s="223"/>
      <c r="O651" s="37"/>
      <c r="AH651" s="185"/>
      <c r="AI651" s="181"/>
      <c r="AJ651" s="252"/>
      <c r="AK651" s="182"/>
    </row>
    <row r="652" spans="8:37" ht="17.100000000000001" customHeight="1" x14ac:dyDescent="0.25">
      <c r="H652" s="112"/>
      <c r="N652" s="223"/>
      <c r="O652" s="37"/>
      <c r="AH652" s="185"/>
      <c r="AI652" s="181"/>
      <c r="AJ652" s="252"/>
      <c r="AK652" s="182"/>
    </row>
    <row r="653" spans="8:37" ht="17.100000000000001" customHeight="1" x14ac:dyDescent="0.25">
      <c r="H653" s="112"/>
      <c r="N653" s="223"/>
      <c r="O653" s="37"/>
      <c r="AH653" s="185"/>
      <c r="AI653" s="181"/>
      <c r="AJ653" s="252"/>
      <c r="AK653" s="182"/>
    </row>
    <row r="654" spans="8:37" ht="17.100000000000001" customHeight="1" x14ac:dyDescent="0.25">
      <c r="H654" s="112"/>
      <c r="N654" s="223"/>
      <c r="O654" s="37"/>
      <c r="AH654" s="185"/>
      <c r="AI654" s="181"/>
      <c r="AJ654" s="252"/>
      <c r="AK654" s="182"/>
    </row>
    <row r="655" spans="8:37" ht="17.100000000000001" customHeight="1" x14ac:dyDescent="0.25">
      <c r="H655" s="112"/>
      <c r="N655" s="223"/>
      <c r="O655" s="37"/>
      <c r="AH655" s="185"/>
      <c r="AI655" s="181"/>
      <c r="AJ655" s="252"/>
      <c r="AK655" s="182"/>
    </row>
    <row r="656" spans="8:37" ht="17.100000000000001" customHeight="1" x14ac:dyDescent="0.25">
      <c r="H656" s="112"/>
      <c r="N656" s="223"/>
      <c r="O656" s="37"/>
      <c r="AH656" s="185"/>
      <c r="AI656" s="181"/>
      <c r="AJ656" s="252"/>
    </row>
    <row r="657" spans="8:36" ht="17.100000000000001" customHeight="1" x14ac:dyDescent="0.25">
      <c r="H657" s="112"/>
      <c r="N657" s="223"/>
      <c r="O657" s="37"/>
      <c r="AH657" s="185"/>
      <c r="AI657" s="181"/>
      <c r="AJ657" s="252"/>
    </row>
    <row r="658" spans="8:36" ht="17.100000000000001" customHeight="1" x14ac:dyDescent="0.25">
      <c r="H658" s="112"/>
      <c r="N658" s="223"/>
      <c r="O658" s="37"/>
      <c r="AH658" s="185"/>
      <c r="AI658" s="181"/>
    </row>
    <row r="659" spans="8:36" ht="17.100000000000001" customHeight="1" x14ac:dyDescent="0.25">
      <c r="H659" s="112"/>
      <c r="N659" s="223"/>
      <c r="O659" s="37"/>
      <c r="AH659" s="185"/>
      <c r="AI659" s="181"/>
    </row>
    <row r="660" spans="8:36" ht="17.100000000000001" customHeight="1" x14ac:dyDescent="0.25">
      <c r="H660" s="112"/>
      <c r="N660" s="223"/>
      <c r="O660" s="37"/>
      <c r="AH660" s="185"/>
      <c r="AI660" s="181"/>
    </row>
    <row r="661" spans="8:36" ht="17.100000000000001" customHeight="1" x14ac:dyDescent="0.25">
      <c r="H661" s="112"/>
      <c r="N661" s="223"/>
      <c r="O661" s="37"/>
      <c r="AH661" s="185"/>
      <c r="AI661" s="181"/>
    </row>
    <row r="662" spans="8:36" ht="17.100000000000001" customHeight="1" x14ac:dyDescent="0.25">
      <c r="H662" s="112"/>
      <c r="N662" s="223"/>
      <c r="O662" s="37"/>
      <c r="AH662" s="185"/>
      <c r="AI662" s="181"/>
    </row>
    <row r="663" spans="8:36" ht="17.100000000000001" customHeight="1" x14ac:dyDescent="0.25">
      <c r="H663" s="112"/>
      <c r="N663" s="223"/>
      <c r="O663" s="37"/>
      <c r="AH663" s="185"/>
      <c r="AI663" s="181"/>
    </row>
    <row r="664" spans="8:36" ht="17.100000000000001" customHeight="1" x14ac:dyDescent="0.25">
      <c r="H664" s="112"/>
      <c r="N664" s="223"/>
      <c r="O664" s="37"/>
      <c r="AH664" s="185"/>
      <c r="AI664" s="181"/>
    </row>
    <row r="665" spans="8:36" ht="17.100000000000001" customHeight="1" x14ac:dyDescent="0.25">
      <c r="H665" s="112"/>
      <c r="N665" s="223"/>
      <c r="O665" s="37"/>
      <c r="AH665" s="185"/>
      <c r="AI665" s="181"/>
    </row>
    <row r="666" spans="8:36" ht="17.100000000000001" customHeight="1" x14ac:dyDescent="0.25">
      <c r="H666" s="112"/>
      <c r="N666" s="223"/>
      <c r="O666" s="37"/>
      <c r="AH666" s="185"/>
      <c r="AI666" s="181"/>
    </row>
    <row r="667" spans="8:36" ht="17.100000000000001" customHeight="1" x14ac:dyDescent="0.25">
      <c r="H667" s="112"/>
      <c r="N667" s="223"/>
      <c r="O667" s="37"/>
      <c r="AH667" s="185"/>
      <c r="AI667" s="181"/>
    </row>
    <row r="668" spans="8:36" ht="17.100000000000001" customHeight="1" x14ac:dyDescent="0.25">
      <c r="H668" s="112"/>
      <c r="N668" s="223"/>
      <c r="O668" s="37"/>
      <c r="AH668" s="185"/>
      <c r="AI668" s="181"/>
    </row>
    <row r="669" spans="8:36" ht="17.100000000000001" customHeight="1" x14ac:dyDescent="0.25">
      <c r="H669" s="112"/>
      <c r="N669" s="223"/>
      <c r="O669" s="37"/>
      <c r="AH669" s="185"/>
      <c r="AI669" s="181"/>
    </row>
    <row r="670" spans="8:36" ht="17.100000000000001" customHeight="1" x14ac:dyDescent="0.25">
      <c r="H670" s="112"/>
      <c r="N670" s="223"/>
      <c r="O670" s="37"/>
      <c r="AH670" s="185"/>
      <c r="AI670" s="181"/>
    </row>
    <row r="671" spans="8:36" ht="17.100000000000001" customHeight="1" x14ac:dyDescent="0.25">
      <c r="H671" s="112"/>
      <c r="N671" s="223"/>
      <c r="O671" s="37"/>
      <c r="AH671" s="185"/>
      <c r="AI671" s="181"/>
    </row>
    <row r="672" spans="8:36" ht="17.100000000000001" customHeight="1" x14ac:dyDescent="0.25">
      <c r="H672" s="112"/>
      <c r="N672" s="223"/>
      <c r="O672" s="37"/>
      <c r="AH672" s="185"/>
      <c r="AI672" s="181"/>
    </row>
    <row r="673" spans="8:35" ht="17.100000000000001" customHeight="1" x14ac:dyDescent="0.25">
      <c r="H673" s="112"/>
      <c r="N673" s="223"/>
      <c r="O673" s="37"/>
      <c r="AH673" s="185"/>
      <c r="AI673" s="181"/>
    </row>
    <row r="674" spans="8:35" ht="17.100000000000001" customHeight="1" x14ac:dyDescent="0.25">
      <c r="H674" s="112"/>
      <c r="N674" s="223"/>
      <c r="O674" s="37"/>
      <c r="AH674" s="185"/>
      <c r="AI674" s="181"/>
    </row>
    <row r="675" spans="8:35" ht="17.100000000000001" customHeight="1" x14ac:dyDescent="0.25">
      <c r="H675" s="112"/>
      <c r="N675" s="223"/>
      <c r="O675" s="37"/>
      <c r="AH675" s="185"/>
      <c r="AI675" s="181"/>
    </row>
    <row r="676" spans="8:35" ht="17.100000000000001" customHeight="1" x14ac:dyDescent="0.25">
      <c r="H676" s="112"/>
      <c r="N676" s="223"/>
      <c r="O676" s="37"/>
      <c r="AH676" s="185"/>
      <c r="AI676" s="181"/>
    </row>
    <row r="677" spans="8:35" ht="17.100000000000001" customHeight="1" x14ac:dyDescent="0.25">
      <c r="H677" s="112"/>
      <c r="N677" s="223"/>
      <c r="O677" s="37"/>
      <c r="AH677" s="185"/>
      <c r="AI677" s="181"/>
    </row>
    <row r="678" spans="8:35" ht="17.100000000000001" customHeight="1" x14ac:dyDescent="0.25">
      <c r="AH678" s="187"/>
      <c r="AI678" s="181"/>
    </row>
    <row r="679" spans="8:35" ht="17.100000000000001" customHeight="1" x14ac:dyDescent="0.25">
      <c r="AH679" s="187"/>
      <c r="AI679" s="181"/>
    </row>
    <row r="680" spans="8:35" ht="17.100000000000001" customHeight="1" x14ac:dyDescent="0.25">
      <c r="AH680" s="187"/>
      <c r="AI680" s="181"/>
    </row>
    <row r="681" spans="8:35" ht="17.100000000000001" customHeight="1" x14ac:dyDescent="0.25">
      <c r="AH681" s="187"/>
      <c r="AI681" s="181"/>
    </row>
    <row r="682" spans="8:35" ht="17.100000000000001" customHeight="1" x14ac:dyDescent="0.25">
      <c r="AH682" s="187"/>
      <c r="AI682" s="181"/>
    </row>
    <row r="683" spans="8:35" ht="17.100000000000001" customHeight="1" x14ac:dyDescent="0.25">
      <c r="AH683" s="187"/>
      <c r="AI683" s="181"/>
    </row>
    <row r="684" spans="8:35" ht="17.100000000000001" customHeight="1" x14ac:dyDescent="0.25">
      <c r="AH684" s="187"/>
      <c r="AI684" s="181"/>
    </row>
    <row r="685" spans="8:35" ht="17.100000000000001" customHeight="1" x14ac:dyDescent="0.25">
      <c r="AH685" s="187"/>
      <c r="AI685" s="181"/>
    </row>
    <row r="686" spans="8:35" ht="17.100000000000001" customHeight="1" x14ac:dyDescent="0.25">
      <c r="AH686" s="187"/>
      <c r="AI686" s="181"/>
    </row>
    <row r="687" spans="8:35" ht="17.100000000000001" customHeight="1" x14ac:dyDescent="0.25">
      <c r="AH687" s="187"/>
      <c r="AI687" s="181"/>
    </row>
    <row r="688" spans="8:35" ht="17.100000000000001" customHeight="1" x14ac:dyDescent="0.25">
      <c r="AH688" s="187"/>
      <c r="AI688" s="181"/>
    </row>
    <row r="689" spans="34:35" ht="17.100000000000001" customHeight="1" x14ac:dyDescent="0.25">
      <c r="AH689" s="187"/>
      <c r="AI689" s="181"/>
    </row>
    <row r="690" spans="34:35" ht="17.100000000000001" customHeight="1" x14ac:dyDescent="0.25">
      <c r="AH690" s="187"/>
      <c r="AI690" s="181"/>
    </row>
    <row r="691" spans="34:35" ht="17.100000000000001" customHeight="1" x14ac:dyDescent="0.25">
      <c r="AH691" s="187"/>
      <c r="AI691" s="181"/>
    </row>
    <row r="692" spans="34:35" ht="17.100000000000001" customHeight="1" x14ac:dyDescent="0.25">
      <c r="AH692" s="187"/>
      <c r="AI692" s="181"/>
    </row>
    <row r="693" spans="34:35" ht="17.100000000000001" customHeight="1" x14ac:dyDescent="0.25">
      <c r="AH693" s="187"/>
      <c r="AI693" s="181"/>
    </row>
    <row r="694" spans="34:35" ht="17.100000000000001" customHeight="1" x14ac:dyDescent="0.25">
      <c r="AH694" s="187"/>
      <c r="AI694" s="181"/>
    </row>
    <row r="695" spans="34:35" ht="17.100000000000001" customHeight="1" x14ac:dyDescent="0.25">
      <c r="AH695" s="187"/>
      <c r="AI695" s="181"/>
    </row>
    <row r="696" spans="34:35" ht="17.100000000000001" customHeight="1" x14ac:dyDescent="0.25">
      <c r="AH696" s="187"/>
      <c r="AI696" s="181"/>
    </row>
    <row r="697" spans="34:35" ht="17.100000000000001" customHeight="1" x14ac:dyDescent="0.25">
      <c r="AH697" s="187"/>
      <c r="AI697" s="181"/>
    </row>
    <row r="698" spans="34:35" ht="17.100000000000001" customHeight="1" x14ac:dyDescent="0.25">
      <c r="AH698" s="187"/>
      <c r="AI698" s="181"/>
    </row>
    <row r="699" spans="34:35" ht="17.100000000000001" customHeight="1" x14ac:dyDescent="0.25">
      <c r="AH699" s="187"/>
      <c r="AI699" s="181"/>
    </row>
    <row r="700" spans="34:35" ht="17.100000000000001" customHeight="1" x14ac:dyDescent="0.25">
      <c r="AH700" s="187"/>
      <c r="AI700" s="181"/>
    </row>
    <row r="701" spans="34:35" ht="17.100000000000001" customHeight="1" x14ac:dyDescent="0.25">
      <c r="AH701" s="187"/>
      <c r="AI701" s="181"/>
    </row>
    <row r="702" spans="34:35" ht="17.100000000000001" customHeight="1" x14ac:dyDescent="0.25">
      <c r="AH702" s="187"/>
      <c r="AI702" s="181"/>
    </row>
    <row r="703" spans="34:35" ht="17.100000000000001" customHeight="1" x14ac:dyDescent="0.25">
      <c r="AH703" s="187"/>
      <c r="AI703" s="181"/>
    </row>
    <row r="704" spans="34:35" ht="17.100000000000001" customHeight="1" x14ac:dyDescent="0.25">
      <c r="AH704" s="187"/>
      <c r="AI704" s="181"/>
    </row>
    <row r="705" spans="34:35" ht="17.100000000000001" customHeight="1" x14ac:dyDescent="0.25">
      <c r="AH705" s="187"/>
      <c r="AI705" s="181"/>
    </row>
    <row r="706" spans="34:35" ht="17.100000000000001" customHeight="1" x14ac:dyDescent="0.25">
      <c r="AH706" s="187"/>
      <c r="AI706" s="181"/>
    </row>
    <row r="707" spans="34:35" ht="17.100000000000001" customHeight="1" x14ac:dyDescent="0.25">
      <c r="AH707" s="187"/>
      <c r="AI707" s="181"/>
    </row>
    <row r="708" spans="34:35" ht="17.100000000000001" customHeight="1" x14ac:dyDescent="0.25">
      <c r="AH708" s="187"/>
      <c r="AI708" s="181"/>
    </row>
    <row r="709" spans="34:35" ht="17.100000000000001" customHeight="1" x14ac:dyDescent="0.25">
      <c r="AH709" s="187"/>
      <c r="AI709" s="181"/>
    </row>
    <row r="710" spans="34:35" ht="17.100000000000001" customHeight="1" x14ac:dyDescent="0.25">
      <c r="AH710" s="187"/>
      <c r="AI710" s="181"/>
    </row>
    <row r="711" spans="34:35" ht="17.100000000000001" customHeight="1" x14ac:dyDescent="0.25">
      <c r="AH711" s="187"/>
      <c r="AI711" s="181"/>
    </row>
    <row r="712" spans="34:35" ht="17.100000000000001" customHeight="1" x14ac:dyDescent="0.25">
      <c r="AH712" s="187"/>
      <c r="AI712" s="181"/>
    </row>
    <row r="713" spans="34:35" ht="17.100000000000001" customHeight="1" x14ac:dyDescent="0.25">
      <c r="AH713" s="187"/>
      <c r="AI713" s="181"/>
    </row>
    <row r="714" spans="34:35" ht="17.100000000000001" customHeight="1" x14ac:dyDescent="0.25">
      <c r="AH714" s="187"/>
      <c r="AI714" s="181"/>
    </row>
    <row r="715" spans="34:35" ht="17.100000000000001" customHeight="1" x14ac:dyDescent="0.25">
      <c r="AH715" s="187"/>
      <c r="AI715" s="181"/>
    </row>
    <row r="716" spans="34:35" ht="17.100000000000001" customHeight="1" x14ac:dyDescent="0.25">
      <c r="AH716" s="187"/>
      <c r="AI716" s="181"/>
    </row>
    <row r="717" spans="34:35" ht="17.100000000000001" customHeight="1" x14ac:dyDescent="0.25">
      <c r="AH717" s="187"/>
      <c r="AI717" s="181"/>
    </row>
    <row r="718" spans="34:35" ht="17.100000000000001" customHeight="1" x14ac:dyDescent="0.25">
      <c r="AH718" s="187"/>
      <c r="AI718" s="181"/>
    </row>
    <row r="719" spans="34:35" ht="17.100000000000001" customHeight="1" x14ac:dyDescent="0.25">
      <c r="AH719" s="187"/>
      <c r="AI719" s="181"/>
    </row>
    <row r="720" spans="34:35" ht="17.100000000000001" customHeight="1" x14ac:dyDescent="0.25">
      <c r="AH720" s="187"/>
      <c r="AI720" s="181"/>
    </row>
    <row r="721" spans="34:35" ht="17.100000000000001" customHeight="1" x14ac:dyDescent="0.25">
      <c r="AH721" s="187"/>
      <c r="AI721" s="181"/>
    </row>
    <row r="722" spans="34:35" ht="17.100000000000001" customHeight="1" x14ac:dyDescent="0.25">
      <c r="AH722" s="187"/>
      <c r="AI722" s="181"/>
    </row>
    <row r="723" spans="34:35" ht="17.100000000000001" customHeight="1" x14ac:dyDescent="0.25">
      <c r="AH723" s="187"/>
      <c r="AI723" s="181"/>
    </row>
    <row r="724" spans="34:35" ht="17.100000000000001" customHeight="1" x14ac:dyDescent="0.25">
      <c r="AH724" s="187"/>
      <c r="AI724" s="181"/>
    </row>
    <row r="725" spans="34:35" ht="17.100000000000001" customHeight="1" x14ac:dyDescent="0.25">
      <c r="AH725" s="187"/>
      <c r="AI725" s="181"/>
    </row>
    <row r="726" spans="34:35" ht="17.100000000000001" customHeight="1" x14ac:dyDescent="0.25">
      <c r="AH726" s="187"/>
      <c r="AI726" s="181"/>
    </row>
    <row r="727" spans="34:35" ht="17.100000000000001" customHeight="1" x14ac:dyDescent="0.25">
      <c r="AH727" s="187"/>
      <c r="AI727" s="181"/>
    </row>
    <row r="728" spans="34:35" ht="17.100000000000001" customHeight="1" x14ac:dyDescent="0.25">
      <c r="AH728" s="187"/>
      <c r="AI728" s="181"/>
    </row>
    <row r="729" spans="34:35" ht="17.100000000000001" customHeight="1" x14ac:dyDescent="0.25">
      <c r="AH729" s="187"/>
      <c r="AI729" s="181"/>
    </row>
    <row r="730" spans="34:35" ht="17.100000000000001" customHeight="1" x14ac:dyDescent="0.25">
      <c r="AH730" s="187"/>
      <c r="AI730" s="181"/>
    </row>
    <row r="731" spans="34:35" ht="17.100000000000001" customHeight="1" x14ac:dyDescent="0.25">
      <c r="AH731" s="187"/>
      <c r="AI731" s="181"/>
    </row>
    <row r="732" spans="34:35" ht="17.100000000000001" customHeight="1" x14ac:dyDescent="0.25">
      <c r="AH732" s="187"/>
      <c r="AI732" s="181"/>
    </row>
    <row r="733" spans="34:35" ht="17.100000000000001" customHeight="1" x14ac:dyDescent="0.25">
      <c r="AH733" s="187"/>
      <c r="AI733" s="181"/>
    </row>
    <row r="734" spans="34:35" ht="17.100000000000001" customHeight="1" x14ac:dyDescent="0.25">
      <c r="AH734" s="187"/>
      <c r="AI734" s="181"/>
    </row>
    <row r="735" spans="34:35" ht="17.100000000000001" customHeight="1" x14ac:dyDescent="0.25">
      <c r="AH735" s="187"/>
      <c r="AI735" s="181"/>
    </row>
    <row r="736" spans="34:35" ht="17.100000000000001" customHeight="1" x14ac:dyDescent="0.25">
      <c r="AH736" s="187"/>
      <c r="AI736" s="181"/>
    </row>
    <row r="737" spans="34:35" ht="17.100000000000001" customHeight="1" x14ac:dyDescent="0.25">
      <c r="AH737" s="187"/>
      <c r="AI737" s="181"/>
    </row>
    <row r="738" spans="34:35" ht="17.100000000000001" customHeight="1" x14ac:dyDescent="0.25">
      <c r="AH738" s="187"/>
      <c r="AI738" s="181"/>
    </row>
    <row r="739" spans="34:35" ht="17.100000000000001" customHeight="1" x14ac:dyDescent="0.25">
      <c r="AH739" s="187"/>
      <c r="AI739" s="181"/>
    </row>
    <row r="740" spans="34:35" ht="17.100000000000001" customHeight="1" x14ac:dyDescent="0.25">
      <c r="AH740" s="187"/>
      <c r="AI740" s="181"/>
    </row>
    <row r="741" spans="34:35" ht="17.100000000000001" customHeight="1" x14ac:dyDescent="0.25">
      <c r="AH741" s="187"/>
      <c r="AI741" s="181"/>
    </row>
    <row r="742" spans="34:35" ht="17.100000000000001" customHeight="1" x14ac:dyDescent="0.25">
      <c r="AH742" s="187"/>
      <c r="AI742" s="181"/>
    </row>
    <row r="743" spans="34:35" ht="17.100000000000001" customHeight="1" x14ac:dyDescent="0.25">
      <c r="AH743" s="187"/>
      <c r="AI743" s="181"/>
    </row>
    <row r="744" spans="34:35" ht="17.100000000000001" customHeight="1" x14ac:dyDescent="0.25">
      <c r="AH744" s="187"/>
      <c r="AI744" s="181"/>
    </row>
    <row r="745" spans="34:35" ht="17.100000000000001" customHeight="1" x14ac:dyDescent="0.25">
      <c r="AH745" s="187"/>
      <c r="AI745" s="181"/>
    </row>
    <row r="746" spans="34:35" ht="17.100000000000001" customHeight="1" x14ac:dyDescent="0.25">
      <c r="AH746" s="187"/>
      <c r="AI746" s="181"/>
    </row>
    <row r="747" spans="34:35" ht="17.100000000000001" customHeight="1" x14ac:dyDescent="0.25">
      <c r="AH747" s="187"/>
      <c r="AI747" s="181"/>
    </row>
    <row r="748" spans="34:35" ht="17.100000000000001" customHeight="1" x14ac:dyDescent="0.25">
      <c r="AH748" s="187"/>
      <c r="AI748" s="181"/>
    </row>
    <row r="749" spans="34:35" ht="17.100000000000001" customHeight="1" x14ac:dyDescent="0.25">
      <c r="AH749" s="187"/>
      <c r="AI749" s="181"/>
    </row>
    <row r="750" spans="34:35" ht="17.100000000000001" customHeight="1" x14ac:dyDescent="0.25">
      <c r="AH750" s="187"/>
      <c r="AI750" s="181"/>
    </row>
    <row r="751" spans="34:35" ht="17.100000000000001" customHeight="1" x14ac:dyDescent="0.25">
      <c r="AH751" s="187"/>
      <c r="AI751" s="181"/>
    </row>
    <row r="752" spans="34:35" ht="17.100000000000001" customHeight="1" x14ac:dyDescent="0.25">
      <c r="AH752" s="187"/>
      <c r="AI752" s="181"/>
    </row>
    <row r="753" spans="34:35" ht="17.100000000000001" customHeight="1" x14ac:dyDescent="0.25">
      <c r="AH753" s="187"/>
      <c r="AI753" s="181"/>
    </row>
    <row r="754" spans="34:35" ht="17.100000000000001" customHeight="1" x14ac:dyDescent="0.25">
      <c r="AH754" s="187"/>
      <c r="AI754" s="181"/>
    </row>
    <row r="755" spans="34:35" ht="17.100000000000001" customHeight="1" x14ac:dyDescent="0.25">
      <c r="AH755" s="187"/>
      <c r="AI755" s="181"/>
    </row>
    <row r="756" spans="34:35" ht="17.100000000000001" customHeight="1" x14ac:dyDescent="0.25">
      <c r="AH756" s="187"/>
      <c r="AI756" s="181"/>
    </row>
    <row r="757" spans="34:35" ht="17.100000000000001" customHeight="1" x14ac:dyDescent="0.25">
      <c r="AH757" s="187"/>
      <c r="AI757" s="181"/>
    </row>
    <row r="758" spans="34:35" ht="17.100000000000001" customHeight="1" x14ac:dyDescent="0.25">
      <c r="AH758" s="187"/>
      <c r="AI758" s="181"/>
    </row>
    <row r="759" spans="34:35" ht="17.100000000000001" customHeight="1" x14ac:dyDescent="0.25">
      <c r="AH759" s="187"/>
      <c r="AI759" s="181"/>
    </row>
    <row r="760" spans="34:35" ht="17.100000000000001" customHeight="1" x14ac:dyDescent="0.25">
      <c r="AH760" s="187"/>
      <c r="AI760" s="181"/>
    </row>
    <row r="761" spans="34:35" ht="17.100000000000001" customHeight="1" x14ac:dyDescent="0.25">
      <c r="AH761" s="187"/>
      <c r="AI761" s="181"/>
    </row>
    <row r="762" spans="34:35" ht="17.100000000000001" customHeight="1" x14ac:dyDescent="0.25">
      <c r="AH762" s="187"/>
      <c r="AI762" s="181"/>
    </row>
    <row r="763" spans="34:35" ht="17.100000000000001" customHeight="1" x14ac:dyDescent="0.25">
      <c r="AH763" s="187"/>
      <c r="AI763" s="181"/>
    </row>
    <row r="764" spans="34:35" ht="17.100000000000001" customHeight="1" x14ac:dyDescent="0.25">
      <c r="AH764" s="187"/>
      <c r="AI764" s="181"/>
    </row>
    <row r="765" spans="34:35" ht="17.100000000000001" customHeight="1" x14ac:dyDescent="0.25">
      <c r="AH765" s="187"/>
      <c r="AI765" s="181"/>
    </row>
    <row r="766" spans="34:35" ht="17.100000000000001" customHeight="1" x14ac:dyDescent="0.25">
      <c r="AH766" s="187"/>
      <c r="AI766" s="181"/>
    </row>
    <row r="767" spans="34:35" ht="17.100000000000001" customHeight="1" x14ac:dyDescent="0.25">
      <c r="AH767" s="187"/>
      <c r="AI767" s="181"/>
    </row>
    <row r="768" spans="34:35" ht="17.100000000000001" customHeight="1" x14ac:dyDescent="0.25">
      <c r="AH768" s="187"/>
      <c r="AI768" s="181"/>
    </row>
    <row r="769" spans="34:35" ht="17.100000000000001" customHeight="1" x14ac:dyDescent="0.25">
      <c r="AH769" s="187"/>
      <c r="AI769" s="181"/>
    </row>
    <row r="770" spans="34:35" ht="17.100000000000001" customHeight="1" x14ac:dyDescent="0.25">
      <c r="AH770" s="187"/>
      <c r="AI770" s="181"/>
    </row>
    <row r="771" spans="34:35" ht="17.100000000000001" customHeight="1" x14ac:dyDescent="0.25">
      <c r="AH771" s="187"/>
      <c r="AI771" s="181"/>
    </row>
    <row r="772" spans="34:35" ht="17.100000000000001" customHeight="1" x14ac:dyDescent="0.25">
      <c r="AH772" s="187"/>
      <c r="AI772" s="181"/>
    </row>
    <row r="773" spans="34:35" ht="17.100000000000001" customHeight="1" x14ac:dyDescent="0.25">
      <c r="AH773" s="187"/>
      <c r="AI773" s="181"/>
    </row>
    <row r="774" spans="34:35" ht="17.100000000000001" customHeight="1" x14ac:dyDescent="0.25">
      <c r="AH774" s="187"/>
      <c r="AI774" s="181"/>
    </row>
    <row r="775" spans="34:35" ht="17.100000000000001" customHeight="1" x14ac:dyDescent="0.25">
      <c r="AH775" s="187"/>
      <c r="AI775" s="181"/>
    </row>
    <row r="776" spans="34:35" ht="17.100000000000001" customHeight="1" x14ac:dyDescent="0.25">
      <c r="AH776" s="187"/>
      <c r="AI776" s="181"/>
    </row>
    <row r="777" spans="34:35" ht="17.100000000000001" customHeight="1" x14ac:dyDescent="0.25">
      <c r="AH777" s="187"/>
      <c r="AI777" s="181"/>
    </row>
    <row r="778" spans="34:35" ht="17.100000000000001" customHeight="1" x14ac:dyDescent="0.25">
      <c r="AH778" s="187"/>
      <c r="AI778" s="181"/>
    </row>
    <row r="779" spans="34:35" ht="17.100000000000001" customHeight="1" x14ac:dyDescent="0.25">
      <c r="AH779" s="187"/>
      <c r="AI779" s="181"/>
    </row>
    <row r="780" spans="34:35" ht="17.100000000000001" customHeight="1" x14ac:dyDescent="0.25">
      <c r="AH780" s="187"/>
      <c r="AI780" s="181"/>
    </row>
    <row r="781" spans="34:35" ht="17.100000000000001" customHeight="1" x14ac:dyDescent="0.25">
      <c r="AH781" s="187"/>
      <c r="AI781" s="181"/>
    </row>
    <row r="782" spans="34:35" ht="17.100000000000001" customHeight="1" x14ac:dyDescent="0.25">
      <c r="AH782" s="187"/>
      <c r="AI782" s="181"/>
    </row>
    <row r="783" spans="34:35" ht="17.100000000000001" customHeight="1" x14ac:dyDescent="0.25">
      <c r="AH783" s="187"/>
      <c r="AI783" s="181"/>
    </row>
    <row r="784" spans="34:35" ht="17.100000000000001" customHeight="1" x14ac:dyDescent="0.25">
      <c r="AH784" s="187"/>
      <c r="AI784" s="181"/>
    </row>
    <row r="785" spans="34:35" ht="17.100000000000001" customHeight="1" x14ac:dyDescent="0.25">
      <c r="AH785" s="187"/>
      <c r="AI785" s="181"/>
    </row>
    <row r="786" spans="34:35" ht="17.100000000000001" customHeight="1" x14ac:dyDescent="0.25">
      <c r="AH786" s="187"/>
      <c r="AI786" s="181"/>
    </row>
    <row r="787" spans="34:35" ht="17.100000000000001" customHeight="1" x14ac:dyDescent="0.25">
      <c r="AH787" s="187"/>
      <c r="AI787" s="181"/>
    </row>
    <row r="788" spans="34:35" ht="17.100000000000001" customHeight="1" x14ac:dyDescent="0.25">
      <c r="AH788" s="187"/>
      <c r="AI788" s="181"/>
    </row>
    <row r="789" spans="34:35" ht="17.100000000000001" customHeight="1" x14ac:dyDescent="0.25">
      <c r="AH789" s="187"/>
      <c r="AI789" s="181"/>
    </row>
    <row r="790" spans="34:35" ht="17.100000000000001" customHeight="1" x14ac:dyDescent="0.25">
      <c r="AH790" s="187"/>
      <c r="AI790" s="181"/>
    </row>
    <row r="791" spans="34:35" ht="17.100000000000001" customHeight="1" x14ac:dyDescent="0.25">
      <c r="AH791" s="187"/>
      <c r="AI791" s="181"/>
    </row>
    <row r="792" spans="34:35" ht="17.100000000000001" customHeight="1" x14ac:dyDescent="0.25">
      <c r="AH792" s="187"/>
      <c r="AI792" s="181"/>
    </row>
    <row r="793" spans="34:35" ht="17.100000000000001" customHeight="1" x14ac:dyDescent="0.25">
      <c r="AH793" s="187"/>
      <c r="AI793" s="181"/>
    </row>
    <row r="794" spans="34:35" ht="17.100000000000001" customHeight="1" x14ac:dyDescent="0.25">
      <c r="AH794" s="187"/>
      <c r="AI794" s="181"/>
    </row>
    <row r="795" spans="34:35" ht="17.100000000000001" customHeight="1" x14ac:dyDescent="0.25">
      <c r="AH795" s="187"/>
      <c r="AI795" s="181"/>
    </row>
    <row r="796" spans="34:35" ht="17.100000000000001" customHeight="1" x14ac:dyDescent="0.25">
      <c r="AH796" s="187"/>
      <c r="AI796" s="181"/>
    </row>
    <row r="797" spans="34:35" ht="17.100000000000001" customHeight="1" x14ac:dyDescent="0.25">
      <c r="AH797" s="187"/>
      <c r="AI797" s="181"/>
    </row>
    <row r="798" spans="34:35" ht="17.100000000000001" customHeight="1" x14ac:dyDescent="0.25">
      <c r="AH798" s="187"/>
      <c r="AI798" s="181"/>
    </row>
    <row r="799" spans="34:35" ht="17.100000000000001" customHeight="1" x14ac:dyDescent="0.25">
      <c r="AH799" s="187"/>
      <c r="AI799" s="181"/>
    </row>
    <row r="800" spans="34:35" ht="17.100000000000001" customHeight="1" x14ac:dyDescent="0.25">
      <c r="AH800" s="187"/>
      <c r="AI800" s="181"/>
    </row>
    <row r="801" spans="34:35" ht="17.100000000000001" customHeight="1" x14ac:dyDescent="0.25">
      <c r="AH801" s="187"/>
      <c r="AI801" s="181"/>
    </row>
    <row r="802" spans="34:35" ht="17.100000000000001" customHeight="1" x14ac:dyDescent="0.25">
      <c r="AH802" s="187"/>
      <c r="AI802" s="181"/>
    </row>
    <row r="803" spans="34:35" ht="17.100000000000001" customHeight="1" x14ac:dyDescent="0.25">
      <c r="AH803" s="187"/>
      <c r="AI803" s="181"/>
    </row>
    <row r="804" spans="34:35" ht="17.100000000000001" customHeight="1" x14ac:dyDescent="0.25">
      <c r="AH804" s="187"/>
      <c r="AI804" s="181"/>
    </row>
    <row r="805" spans="34:35" ht="17.100000000000001" customHeight="1" x14ac:dyDescent="0.25">
      <c r="AH805" s="187"/>
      <c r="AI805" s="181"/>
    </row>
    <row r="806" spans="34:35" ht="17.100000000000001" customHeight="1" x14ac:dyDescent="0.25">
      <c r="AH806" s="187"/>
      <c r="AI806" s="181"/>
    </row>
    <row r="807" spans="34:35" ht="17.100000000000001" customHeight="1" x14ac:dyDescent="0.25">
      <c r="AH807" s="187"/>
      <c r="AI807" s="181"/>
    </row>
    <row r="808" spans="34:35" ht="17.100000000000001" customHeight="1" x14ac:dyDescent="0.25">
      <c r="AH808" s="187"/>
      <c r="AI808" s="181"/>
    </row>
    <row r="809" spans="34:35" ht="17.100000000000001" customHeight="1" x14ac:dyDescent="0.25">
      <c r="AH809" s="187"/>
      <c r="AI809" s="181"/>
    </row>
    <row r="810" spans="34:35" ht="17.100000000000001" customHeight="1" x14ac:dyDescent="0.25">
      <c r="AH810" s="187"/>
      <c r="AI810" s="181"/>
    </row>
    <row r="811" spans="34:35" ht="17.100000000000001" customHeight="1" x14ac:dyDescent="0.25">
      <c r="AH811" s="187"/>
      <c r="AI811" s="181"/>
    </row>
    <row r="812" spans="34:35" ht="17.100000000000001" customHeight="1" x14ac:dyDescent="0.25">
      <c r="AH812" s="187"/>
      <c r="AI812" s="181"/>
    </row>
    <row r="813" spans="34:35" ht="17.100000000000001" customHeight="1" x14ac:dyDescent="0.25">
      <c r="AH813" s="187"/>
      <c r="AI813" s="181"/>
    </row>
    <row r="814" spans="34:35" ht="17.100000000000001" customHeight="1" x14ac:dyDescent="0.25">
      <c r="AH814" s="187"/>
      <c r="AI814" s="181"/>
    </row>
    <row r="815" spans="34:35" ht="17.100000000000001" customHeight="1" x14ac:dyDescent="0.25">
      <c r="AH815" s="187"/>
      <c r="AI815" s="181"/>
    </row>
    <row r="816" spans="34:35" ht="17.100000000000001" customHeight="1" x14ac:dyDescent="0.25">
      <c r="AH816" s="187"/>
      <c r="AI816" s="181"/>
    </row>
    <row r="817" spans="34:35" ht="17.100000000000001" customHeight="1" x14ac:dyDescent="0.25">
      <c r="AH817" s="187"/>
      <c r="AI817" s="181"/>
    </row>
    <row r="818" spans="34:35" ht="17.100000000000001" customHeight="1" x14ac:dyDescent="0.25">
      <c r="AH818" s="187"/>
      <c r="AI818" s="181"/>
    </row>
    <row r="819" spans="34:35" ht="17.100000000000001" customHeight="1" x14ac:dyDescent="0.25">
      <c r="AH819" s="187"/>
      <c r="AI819" s="181"/>
    </row>
    <row r="820" spans="34:35" ht="17.100000000000001" customHeight="1" x14ac:dyDescent="0.25">
      <c r="AH820" s="187"/>
      <c r="AI820" s="181"/>
    </row>
    <row r="821" spans="34:35" ht="17.100000000000001" customHeight="1" x14ac:dyDescent="0.25">
      <c r="AH821" s="187"/>
      <c r="AI821" s="181"/>
    </row>
    <row r="822" spans="34:35" ht="17.100000000000001" customHeight="1" x14ac:dyDescent="0.25">
      <c r="AH822" s="187"/>
      <c r="AI822" s="181"/>
    </row>
    <row r="823" spans="34:35" ht="17.100000000000001" customHeight="1" x14ac:dyDescent="0.25">
      <c r="AH823" s="187"/>
      <c r="AI823" s="181"/>
    </row>
    <row r="824" spans="34:35" ht="17.100000000000001" customHeight="1" x14ac:dyDescent="0.25">
      <c r="AH824" s="187"/>
      <c r="AI824" s="181"/>
    </row>
    <row r="825" spans="34:35" ht="17.100000000000001" customHeight="1" x14ac:dyDescent="0.25">
      <c r="AH825" s="187"/>
      <c r="AI825" s="181"/>
    </row>
    <row r="826" spans="34:35" ht="17.100000000000001" customHeight="1" x14ac:dyDescent="0.25">
      <c r="AH826" s="187"/>
      <c r="AI826" s="181"/>
    </row>
    <row r="827" spans="34:35" ht="17.100000000000001" customHeight="1" x14ac:dyDescent="0.25">
      <c r="AH827" s="187"/>
      <c r="AI827" s="181"/>
    </row>
    <row r="828" spans="34:35" ht="17.100000000000001" customHeight="1" x14ac:dyDescent="0.25">
      <c r="AH828" s="187"/>
      <c r="AI828" s="181"/>
    </row>
    <row r="829" spans="34:35" ht="17.100000000000001" customHeight="1" x14ac:dyDescent="0.25">
      <c r="AH829" s="187"/>
      <c r="AI829" s="181"/>
    </row>
    <row r="830" spans="34:35" ht="17.100000000000001" customHeight="1" x14ac:dyDescent="0.25">
      <c r="AH830" s="187"/>
      <c r="AI830" s="181"/>
    </row>
    <row r="831" spans="34:35" ht="17.100000000000001" customHeight="1" x14ac:dyDescent="0.25">
      <c r="AH831" s="187"/>
      <c r="AI831" s="181"/>
    </row>
    <row r="832" spans="34:35" ht="17.100000000000001" customHeight="1" x14ac:dyDescent="0.25">
      <c r="AH832" s="187"/>
      <c r="AI832" s="181"/>
    </row>
    <row r="833" spans="34:35" ht="17.100000000000001" customHeight="1" x14ac:dyDescent="0.25">
      <c r="AH833" s="187"/>
      <c r="AI833" s="181"/>
    </row>
    <row r="834" spans="34:35" ht="17.100000000000001" customHeight="1" x14ac:dyDescent="0.25">
      <c r="AH834" s="187"/>
      <c r="AI834" s="181"/>
    </row>
    <row r="835" spans="34:35" ht="17.100000000000001" customHeight="1" x14ac:dyDescent="0.25">
      <c r="AH835" s="187"/>
      <c r="AI835" s="181"/>
    </row>
    <row r="836" spans="34:35" ht="17.100000000000001" customHeight="1" x14ac:dyDescent="0.25">
      <c r="AH836" s="187"/>
      <c r="AI836" s="181"/>
    </row>
    <row r="837" spans="34:35" ht="17.100000000000001" customHeight="1" x14ac:dyDescent="0.25">
      <c r="AH837" s="187"/>
      <c r="AI837" s="181"/>
    </row>
    <row r="838" spans="34:35" ht="17.100000000000001" customHeight="1" x14ac:dyDescent="0.25">
      <c r="AH838" s="187"/>
      <c r="AI838" s="181"/>
    </row>
    <row r="839" spans="34:35" ht="17.100000000000001" customHeight="1" x14ac:dyDescent="0.25">
      <c r="AH839" s="187"/>
      <c r="AI839" s="181"/>
    </row>
    <row r="840" spans="34:35" ht="17.100000000000001" customHeight="1" x14ac:dyDescent="0.25">
      <c r="AH840" s="187"/>
      <c r="AI840" s="181"/>
    </row>
    <row r="841" spans="34:35" ht="17.100000000000001" customHeight="1" x14ac:dyDescent="0.25">
      <c r="AH841" s="187"/>
      <c r="AI841" s="181"/>
    </row>
    <row r="842" spans="34:35" ht="17.100000000000001" customHeight="1" x14ac:dyDescent="0.25">
      <c r="AH842" s="187"/>
      <c r="AI842" s="181"/>
    </row>
    <row r="843" spans="34:35" ht="17.100000000000001" customHeight="1" x14ac:dyDescent="0.25">
      <c r="AH843" s="187"/>
      <c r="AI843" s="181"/>
    </row>
    <row r="844" spans="34:35" ht="17.100000000000001" customHeight="1" x14ac:dyDescent="0.25">
      <c r="AH844" s="187"/>
      <c r="AI844" s="181"/>
    </row>
    <row r="845" spans="34:35" ht="17.100000000000001" customHeight="1" x14ac:dyDescent="0.25">
      <c r="AH845" s="187"/>
      <c r="AI845" s="181"/>
    </row>
    <row r="846" spans="34:35" ht="17.100000000000001" customHeight="1" x14ac:dyDescent="0.25">
      <c r="AH846" s="187"/>
      <c r="AI846" s="181"/>
    </row>
    <row r="847" spans="34:35" ht="17.100000000000001" customHeight="1" x14ac:dyDescent="0.25">
      <c r="AH847" s="187"/>
      <c r="AI847" s="181"/>
    </row>
    <row r="848" spans="34:35" ht="17.100000000000001" customHeight="1" x14ac:dyDescent="0.25">
      <c r="AH848" s="187"/>
      <c r="AI848" s="181"/>
    </row>
    <row r="849" spans="34:35" ht="17.100000000000001" customHeight="1" x14ac:dyDescent="0.25">
      <c r="AH849" s="187"/>
      <c r="AI849" s="181"/>
    </row>
    <row r="850" spans="34:35" ht="17.100000000000001" customHeight="1" x14ac:dyDescent="0.25">
      <c r="AH850" s="187"/>
      <c r="AI850" s="181"/>
    </row>
    <row r="851" spans="34:35" ht="17.100000000000001" customHeight="1" x14ac:dyDescent="0.25">
      <c r="AH851" s="187"/>
      <c r="AI851" s="181"/>
    </row>
    <row r="852" spans="34:35" ht="17.100000000000001" customHeight="1" x14ac:dyDescent="0.25">
      <c r="AH852" s="187"/>
      <c r="AI852" s="181"/>
    </row>
    <row r="853" spans="34:35" ht="17.100000000000001" customHeight="1" x14ac:dyDescent="0.25">
      <c r="AH853" s="187"/>
      <c r="AI853" s="181"/>
    </row>
    <row r="854" spans="34:35" ht="17.100000000000001" customHeight="1" x14ac:dyDescent="0.25">
      <c r="AH854" s="187"/>
      <c r="AI854" s="181"/>
    </row>
    <row r="855" spans="34:35" ht="17.100000000000001" customHeight="1" x14ac:dyDescent="0.25">
      <c r="AH855" s="187"/>
      <c r="AI855" s="181"/>
    </row>
    <row r="856" spans="34:35" ht="17.100000000000001" customHeight="1" x14ac:dyDescent="0.25">
      <c r="AH856" s="187"/>
      <c r="AI856" s="181"/>
    </row>
    <row r="857" spans="34:35" ht="17.100000000000001" customHeight="1" x14ac:dyDescent="0.25">
      <c r="AH857" s="187"/>
      <c r="AI857" s="181"/>
    </row>
    <row r="858" spans="34:35" ht="17.100000000000001" customHeight="1" x14ac:dyDescent="0.25">
      <c r="AH858" s="187"/>
      <c r="AI858" s="181"/>
    </row>
    <row r="859" spans="34:35" ht="17.100000000000001" customHeight="1" x14ac:dyDescent="0.25">
      <c r="AH859" s="187"/>
      <c r="AI859" s="181"/>
    </row>
    <row r="860" spans="34:35" ht="17.100000000000001" customHeight="1" x14ac:dyDescent="0.25">
      <c r="AH860" s="187"/>
      <c r="AI860" s="181"/>
    </row>
    <row r="861" spans="34:35" ht="17.100000000000001" customHeight="1" x14ac:dyDescent="0.25">
      <c r="AH861" s="187"/>
      <c r="AI861" s="181"/>
    </row>
    <row r="862" spans="34:35" ht="17.100000000000001" customHeight="1" x14ac:dyDescent="0.25">
      <c r="AH862" s="187"/>
      <c r="AI862" s="181"/>
    </row>
    <row r="863" spans="34:35" ht="17.100000000000001" customHeight="1" x14ac:dyDescent="0.25">
      <c r="AH863" s="187"/>
      <c r="AI863" s="181"/>
    </row>
    <row r="864" spans="34:35" ht="17.100000000000001" customHeight="1" x14ac:dyDescent="0.25">
      <c r="AH864" s="187"/>
      <c r="AI864" s="181"/>
    </row>
    <row r="865" spans="34:35" ht="17.100000000000001" customHeight="1" x14ac:dyDescent="0.25">
      <c r="AH865" s="187"/>
      <c r="AI865" s="181"/>
    </row>
    <row r="866" spans="34:35" ht="17.100000000000001" customHeight="1" x14ac:dyDescent="0.25">
      <c r="AH866" s="187"/>
      <c r="AI866" s="181"/>
    </row>
    <row r="867" spans="34:35" ht="17.100000000000001" customHeight="1" x14ac:dyDescent="0.25">
      <c r="AH867" s="187"/>
      <c r="AI867" s="181"/>
    </row>
    <row r="868" spans="34:35" ht="17.100000000000001" customHeight="1" x14ac:dyDescent="0.25">
      <c r="AH868" s="187"/>
      <c r="AI868" s="181"/>
    </row>
    <row r="869" spans="34:35" ht="17.100000000000001" customHeight="1" x14ac:dyDescent="0.25">
      <c r="AH869" s="187"/>
      <c r="AI869" s="181"/>
    </row>
    <row r="870" spans="34:35" ht="17.100000000000001" customHeight="1" x14ac:dyDescent="0.25">
      <c r="AH870" s="187"/>
      <c r="AI870" s="181"/>
    </row>
    <row r="871" spans="34:35" ht="17.100000000000001" customHeight="1" x14ac:dyDescent="0.25">
      <c r="AH871" s="187"/>
      <c r="AI871" s="181"/>
    </row>
    <row r="872" spans="34:35" ht="17.100000000000001" customHeight="1" x14ac:dyDescent="0.25">
      <c r="AH872" s="187"/>
      <c r="AI872" s="181"/>
    </row>
    <row r="873" spans="34:35" ht="17.100000000000001" customHeight="1" x14ac:dyDescent="0.25">
      <c r="AH873" s="187"/>
      <c r="AI873" s="181"/>
    </row>
    <row r="874" spans="34:35" ht="17.100000000000001" customHeight="1" x14ac:dyDescent="0.25">
      <c r="AH874" s="187"/>
      <c r="AI874" s="181"/>
    </row>
    <row r="875" spans="34:35" ht="17.100000000000001" customHeight="1" x14ac:dyDescent="0.25">
      <c r="AH875" s="187"/>
      <c r="AI875" s="181"/>
    </row>
    <row r="876" spans="34:35" ht="17.100000000000001" customHeight="1" x14ac:dyDescent="0.25">
      <c r="AH876" s="187"/>
      <c r="AI876" s="181"/>
    </row>
    <row r="877" spans="34:35" ht="17.100000000000001" customHeight="1" x14ac:dyDescent="0.25">
      <c r="AH877" s="187"/>
      <c r="AI877" s="181"/>
    </row>
    <row r="878" spans="34:35" ht="17.100000000000001" customHeight="1" x14ac:dyDescent="0.25">
      <c r="AH878" s="187"/>
      <c r="AI878" s="181"/>
    </row>
    <row r="879" spans="34:35" ht="17.100000000000001" customHeight="1" x14ac:dyDescent="0.25">
      <c r="AH879" s="187"/>
      <c r="AI879" s="181"/>
    </row>
    <row r="880" spans="34:35" ht="17.100000000000001" customHeight="1" x14ac:dyDescent="0.25">
      <c r="AH880" s="187"/>
      <c r="AI880" s="181"/>
    </row>
    <row r="881" spans="34:35" ht="17.100000000000001" customHeight="1" x14ac:dyDescent="0.25">
      <c r="AH881" s="187"/>
      <c r="AI881" s="181"/>
    </row>
    <row r="882" spans="34:35" ht="17.100000000000001" customHeight="1" x14ac:dyDescent="0.25">
      <c r="AH882" s="187"/>
      <c r="AI882" s="181"/>
    </row>
    <row r="883" spans="34:35" ht="17.100000000000001" customHeight="1" x14ac:dyDescent="0.25">
      <c r="AH883" s="187"/>
      <c r="AI883" s="181"/>
    </row>
    <row r="884" spans="34:35" ht="17.100000000000001" customHeight="1" x14ac:dyDescent="0.25">
      <c r="AH884" s="187"/>
      <c r="AI884" s="181"/>
    </row>
    <row r="885" spans="34:35" ht="17.100000000000001" customHeight="1" x14ac:dyDescent="0.25">
      <c r="AH885" s="187"/>
      <c r="AI885" s="181"/>
    </row>
    <row r="886" spans="34:35" ht="17.100000000000001" customHeight="1" x14ac:dyDescent="0.25">
      <c r="AH886" s="187"/>
      <c r="AI886" s="181"/>
    </row>
    <row r="887" spans="34:35" ht="17.100000000000001" customHeight="1" x14ac:dyDescent="0.25">
      <c r="AH887" s="187"/>
      <c r="AI887" s="181"/>
    </row>
    <row r="888" spans="34:35" ht="17.100000000000001" customHeight="1" x14ac:dyDescent="0.25">
      <c r="AH888" s="187"/>
      <c r="AI888" s="181"/>
    </row>
    <row r="889" spans="34:35" ht="17.100000000000001" customHeight="1" x14ac:dyDescent="0.25">
      <c r="AH889" s="187"/>
      <c r="AI889" s="181"/>
    </row>
    <row r="890" spans="34:35" ht="17.100000000000001" customHeight="1" x14ac:dyDescent="0.25">
      <c r="AH890" s="187"/>
      <c r="AI890" s="181"/>
    </row>
    <row r="891" spans="34:35" ht="17.100000000000001" customHeight="1" x14ac:dyDescent="0.25">
      <c r="AH891" s="187"/>
      <c r="AI891" s="181"/>
    </row>
    <row r="892" spans="34:35" ht="17.100000000000001" customHeight="1" x14ac:dyDescent="0.25">
      <c r="AH892" s="187"/>
      <c r="AI892" s="181"/>
    </row>
    <row r="893" spans="34:35" ht="17.100000000000001" customHeight="1" x14ac:dyDescent="0.25">
      <c r="AH893" s="187"/>
      <c r="AI893" s="181"/>
    </row>
    <row r="894" spans="34:35" ht="17.100000000000001" customHeight="1" x14ac:dyDescent="0.25">
      <c r="AH894" s="187"/>
      <c r="AI894" s="181"/>
    </row>
    <row r="895" spans="34:35" ht="17.100000000000001" customHeight="1" x14ac:dyDescent="0.25">
      <c r="AH895" s="187"/>
      <c r="AI895" s="181"/>
    </row>
    <row r="896" spans="34:35" ht="17.100000000000001" customHeight="1" x14ac:dyDescent="0.25">
      <c r="AH896" s="187"/>
      <c r="AI896" s="181"/>
    </row>
    <row r="897" spans="34:35" ht="17.100000000000001" customHeight="1" x14ac:dyDescent="0.25">
      <c r="AH897" s="187"/>
      <c r="AI897" s="181"/>
    </row>
    <row r="898" spans="34:35" ht="17.100000000000001" customHeight="1" x14ac:dyDescent="0.25">
      <c r="AH898" s="187"/>
      <c r="AI898" s="181"/>
    </row>
    <row r="899" spans="34:35" ht="17.100000000000001" customHeight="1" x14ac:dyDescent="0.25">
      <c r="AH899" s="187"/>
      <c r="AI899" s="181"/>
    </row>
    <row r="900" spans="34:35" ht="17.100000000000001" customHeight="1" x14ac:dyDescent="0.25">
      <c r="AH900" s="187"/>
      <c r="AI900" s="181"/>
    </row>
    <row r="901" spans="34:35" ht="17.100000000000001" customHeight="1" x14ac:dyDescent="0.25">
      <c r="AH901" s="187"/>
      <c r="AI901" s="181"/>
    </row>
    <row r="902" spans="34:35" ht="17.100000000000001" customHeight="1" x14ac:dyDescent="0.25">
      <c r="AH902" s="187"/>
      <c r="AI902" s="181"/>
    </row>
    <row r="903" spans="34:35" ht="17.100000000000001" customHeight="1" x14ac:dyDescent="0.25">
      <c r="AH903" s="187"/>
      <c r="AI903" s="181"/>
    </row>
    <row r="904" spans="34:35" ht="17.100000000000001" customHeight="1" x14ac:dyDescent="0.25">
      <c r="AH904" s="187"/>
      <c r="AI904" s="181"/>
    </row>
    <row r="905" spans="34:35" ht="17.100000000000001" customHeight="1" x14ac:dyDescent="0.25">
      <c r="AH905" s="187"/>
      <c r="AI905" s="181"/>
    </row>
    <row r="906" spans="34:35" ht="17.100000000000001" customHeight="1" x14ac:dyDescent="0.25">
      <c r="AH906" s="187"/>
      <c r="AI906" s="181"/>
    </row>
    <row r="907" spans="34:35" ht="17.100000000000001" customHeight="1" x14ac:dyDescent="0.25">
      <c r="AH907" s="187"/>
      <c r="AI907" s="181"/>
    </row>
    <row r="908" spans="34:35" ht="17.100000000000001" customHeight="1" x14ac:dyDescent="0.25">
      <c r="AH908" s="187"/>
      <c r="AI908" s="181"/>
    </row>
    <row r="909" spans="34:35" ht="17.100000000000001" customHeight="1" x14ac:dyDescent="0.25">
      <c r="AH909" s="187"/>
      <c r="AI909" s="181"/>
    </row>
    <row r="910" spans="34:35" ht="17.100000000000001" customHeight="1" x14ac:dyDescent="0.25">
      <c r="AH910" s="187"/>
      <c r="AI910" s="181"/>
    </row>
    <row r="911" spans="34:35" ht="17.100000000000001" customHeight="1" x14ac:dyDescent="0.25">
      <c r="AH911" s="187"/>
      <c r="AI911" s="181"/>
    </row>
    <row r="912" spans="34:35" ht="17.100000000000001" customHeight="1" x14ac:dyDescent="0.25">
      <c r="AH912" s="187"/>
      <c r="AI912" s="181"/>
    </row>
    <row r="913" spans="34:35" ht="17.100000000000001" customHeight="1" x14ac:dyDescent="0.25">
      <c r="AH913" s="187"/>
      <c r="AI913" s="181"/>
    </row>
    <row r="914" spans="34:35" ht="17.100000000000001" customHeight="1" x14ac:dyDescent="0.25">
      <c r="AH914" s="187"/>
      <c r="AI914" s="181"/>
    </row>
    <row r="915" spans="34:35" ht="17.100000000000001" customHeight="1" x14ac:dyDescent="0.25">
      <c r="AH915" s="187"/>
      <c r="AI915" s="181"/>
    </row>
    <row r="916" spans="34:35" ht="17.100000000000001" customHeight="1" x14ac:dyDescent="0.25">
      <c r="AH916" s="187"/>
      <c r="AI916" s="181"/>
    </row>
    <row r="917" spans="34:35" ht="17.100000000000001" customHeight="1" x14ac:dyDescent="0.25">
      <c r="AH917" s="187"/>
      <c r="AI917" s="181"/>
    </row>
    <row r="918" spans="34:35" ht="17.100000000000001" customHeight="1" x14ac:dyDescent="0.25">
      <c r="AH918" s="187"/>
      <c r="AI918" s="181"/>
    </row>
    <row r="919" spans="34:35" ht="17.100000000000001" customHeight="1" x14ac:dyDescent="0.25">
      <c r="AH919" s="187"/>
      <c r="AI919" s="181"/>
    </row>
    <row r="920" spans="34:35" ht="17.100000000000001" customHeight="1" x14ac:dyDescent="0.25">
      <c r="AH920" s="187"/>
      <c r="AI920" s="181"/>
    </row>
    <row r="921" spans="34:35" ht="17.100000000000001" customHeight="1" x14ac:dyDescent="0.25">
      <c r="AH921" s="187"/>
      <c r="AI921" s="181"/>
    </row>
    <row r="922" spans="34:35" ht="17.100000000000001" customHeight="1" x14ac:dyDescent="0.25">
      <c r="AH922" s="187"/>
      <c r="AI922" s="181"/>
    </row>
    <row r="923" spans="34:35" ht="17.100000000000001" customHeight="1" x14ac:dyDescent="0.25">
      <c r="AH923" s="187"/>
      <c r="AI923" s="181"/>
    </row>
    <row r="924" spans="34:35" ht="17.100000000000001" customHeight="1" x14ac:dyDescent="0.25">
      <c r="AH924" s="187"/>
      <c r="AI924" s="181"/>
    </row>
    <row r="925" spans="34:35" ht="17.100000000000001" customHeight="1" x14ac:dyDescent="0.25">
      <c r="AH925" s="187"/>
      <c r="AI925" s="181"/>
    </row>
    <row r="926" spans="34:35" ht="17.100000000000001" customHeight="1" x14ac:dyDescent="0.25">
      <c r="AH926" s="187"/>
      <c r="AI926" s="181"/>
    </row>
    <row r="927" spans="34:35" ht="17.100000000000001" customHeight="1" x14ac:dyDescent="0.25">
      <c r="AH927" s="187"/>
      <c r="AI927" s="181"/>
    </row>
    <row r="928" spans="34:35" ht="17.100000000000001" customHeight="1" x14ac:dyDescent="0.25">
      <c r="AH928" s="187"/>
      <c r="AI928" s="181"/>
    </row>
    <row r="929" spans="34:35" ht="17.100000000000001" customHeight="1" x14ac:dyDescent="0.25">
      <c r="AH929" s="187"/>
      <c r="AI929" s="181"/>
    </row>
    <row r="930" spans="34:35" ht="17.100000000000001" customHeight="1" x14ac:dyDescent="0.25">
      <c r="AH930" s="187"/>
      <c r="AI930" s="181"/>
    </row>
    <row r="931" spans="34:35" ht="17.100000000000001" customHeight="1" x14ac:dyDescent="0.25">
      <c r="AH931" s="187"/>
      <c r="AI931" s="181"/>
    </row>
    <row r="932" spans="34:35" ht="17.100000000000001" customHeight="1" x14ac:dyDescent="0.25">
      <c r="AH932" s="187"/>
      <c r="AI932" s="181"/>
    </row>
    <row r="933" spans="34:35" ht="17.100000000000001" customHeight="1" x14ac:dyDescent="0.25">
      <c r="AH933" s="187"/>
      <c r="AI933" s="181"/>
    </row>
    <row r="934" spans="34:35" ht="17.100000000000001" customHeight="1" x14ac:dyDescent="0.25">
      <c r="AH934" s="187"/>
      <c r="AI934" s="181"/>
    </row>
    <row r="935" spans="34:35" ht="17.100000000000001" customHeight="1" x14ac:dyDescent="0.25">
      <c r="AH935" s="187"/>
      <c r="AI935" s="181"/>
    </row>
    <row r="936" spans="34:35" ht="17.100000000000001" customHeight="1" x14ac:dyDescent="0.25">
      <c r="AH936" s="187"/>
      <c r="AI936" s="181"/>
    </row>
    <row r="937" spans="34:35" ht="17.100000000000001" customHeight="1" x14ac:dyDescent="0.25">
      <c r="AH937" s="187"/>
      <c r="AI937" s="181"/>
    </row>
    <row r="938" spans="34:35" ht="17.100000000000001" customHeight="1" x14ac:dyDescent="0.25">
      <c r="AH938" s="187"/>
      <c r="AI938" s="181"/>
    </row>
    <row r="939" spans="34:35" ht="17.100000000000001" customHeight="1" x14ac:dyDescent="0.25">
      <c r="AH939" s="187"/>
      <c r="AI939" s="181"/>
    </row>
    <row r="940" spans="34:35" ht="17.100000000000001" customHeight="1" x14ac:dyDescent="0.25">
      <c r="AH940" s="187"/>
      <c r="AI940" s="181"/>
    </row>
    <row r="941" spans="34:35" ht="17.100000000000001" customHeight="1" x14ac:dyDescent="0.25">
      <c r="AH941" s="187"/>
      <c r="AI941" s="181"/>
    </row>
    <row r="942" spans="34:35" ht="17.100000000000001" customHeight="1" x14ac:dyDescent="0.25">
      <c r="AH942" s="187"/>
      <c r="AI942" s="181"/>
    </row>
    <row r="943" spans="34:35" ht="17.100000000000001" customHeight="1" x14ac:dyDescent="0.25">
      <c r="AH943" s="187"/>
      <c r="AI943" s="181"/>
    </row>
    <row r="944" spans="34:35" ht="17.100000000000001" customHeight="1" x14ac:dyDescent="0.25">
      <c r="AH944" s="187"/>
      <c r="AI944" s="181"/>
    </row>
    <row r="945" spans="34:35" ht="17.100000000000001" customHeight="1" x14ac:dyDescent="0.25">
      <c r="AH945" s="187"/>
      <c r="AI945" s="181"/>
    </row>
    <row r="946" spans="34:35" ht="17.100000000000001" customHeight="1" x14ac:dyDescent="0.25">
      <c r="AH946" s="187"/>
      <c r="AI946" s="181"/>
    </row>
    <row r="947" spans="34:35" ht="17.100000000000001" customHeight="1" x14ac:dyDescent="0.25">
      <c r="AH947" s="187"/>
      <c r="AI947" s="181"/>
    </row>
    <row r="948" spans="34:35" ht="17.100000000000001" customHeight="1" x14ac:dyDescent="0.25">
      <c r="AH948" s="187"/>
      <c r="AI948" s="181"/>
    </row>
    <row r="949" spans="34:35" ht="17.100000000000001" customHeight="1" x14ac:dyDescent="0.25">
      <c r="AH949" s="187"/>
      <c r="AI949" s="181"/>
    </row>
    <row r="950" spans="34:35" ht="17.100000000000001" customHeight="1" x14ac:dyDescent="0.25">
      <c r="AH950" s="187"/>
      <c r="AI950" s="181"/>
    </row>
    <row r="951" spans="34:35" ht="17.100000000000001" customHeight="1" x14ac:dyDescent="0.25">
      <c r="AH951" s="187"/>
      <c r="AI951" s="181"/>
    </row>
    <row r="952" spans="34:35" ht="17.100000000000001" customHeight="1" x14ac:dyDescent="0.25">
      <c r="AH952" s="187"/>
      <c r="AI952" s="181"/>
    </row>
    <row r="953" spans="34:35" ht="17.100000000000001" customHeight="1" x14ac:dyDescent="0.25">
      <c r="AH953" s="187"/>
      <c r="AI953" s="181"/>
    </row>
    <row r="954" spans="34:35" ht="17.100000000000001" customHeight="1" x14ac:dyDescent="0.25">
      <c r="AH954" s="187"/>
      <c r="AI954" s="181"/>
    </row>
    <row r="955" spans="34:35" ht="17.100000000000001" customHeight="1" x14ac:dyDescent="0.25">
      <c r="AH955" s="187"/>
      <c r="AI955" s="181"/>
    </row>
    <row r="956" spans="34:35" ht="17.100000000000001" customHeight="1" x14ac:dyDescent="0.25">
      <c r="AH956" s="187"/>
      <c r="AI956" s="181"/>
    </row>
    <row r="957" spans="34:35" ht="17.100000000000001" customHeight="1" x14ac:dyDescent="0.25">
      <c r="AH957" s="187"/>
      <c r="AI957" s="181"/>
    </row>
    <row r="958" spans="34:35" ht="17.100000000000001" customHeight="1" x14ac:dyDescent="0.25">
      <c r="AH958" s="187"/>
      <c r="AI958" s="181"/>
    </row>
    <row r="959" spans="34:35" ht="17.100000000000001" customHeight="1" x14ac:dyDescent="0.25">
      <c r="AH959" s="187"/>
      <c r="AI959" s="181"/>
    </row>
    <row r="960" spans="34:35" ht="17.100000000000001" customHeight="1" x14ac:dyDescent="0.25">
      <c r="AH960" s="187"/>
      <c r="AI960" s="181"/>
    </row>
    <row r="961" spans="34:35" ht="17.100000000000001" customHeight="1" x14ac:dyDescent="0.25">
      <c r="AH961" s="187"/>
      <c r="AI961" s="181"/>
    </row>
    <row r="962" spans="34:35" ht="17.100000000000001" customHeight="1" x14ac:dyDescent="0.25">
      <c r="AH962" s="187"/>
      <c r="AI962" s="181"/>
    </row>
    <row r="963" spans="34:35" ht="17.100000000000001" customHeight="1" x14ac:dyDescent="0.25">
      <c r="AH963" s="187"/>
      <c r="AI963" s="181"/>
    </row>
    <row r="964" spans="34:35" ht="17.100000000000001" customHeight="1" x14ac:dyDescent="0.25">
      <c r="AH964" s="187"/>
      <c r="AI964" s="181"/>
    </row>
    <row r="965" spans="34:35" ht="17.100000000000001" customHeight="1" x14ac:dyDescent="0.25">
      <c r="AH965" s="187"/>
      <c r="AI965" s="181"/>
    </row>
    <row r="966" spans="34:35" ht="17.100000000000001" customHeight="1" x14ac:dyDescent="0.25">
      <c r="AH966" s="187"/>
      <c r="AI966" s="181"/>
    </row>
    <row r="967" spans="34:35" ht="17.100000000000001" customHeight="1" x14ac:dyDescent="0.25">
      <c r="AH967" s="187"/>
      <c r="AI967" s="181"/>
    </row>
    <row r="968" spans="34:35" ht="17.100000000000001" customHeight="1" x14ac:dyDescent="0.25">
      <c r="AH968" s="187"/>
      <c r="AI968" s="181"/>
    </row>
    <row r="969" spans="34:35" ht="17.100000000000001" customHeight="1" x14ac:dyDescent="0.25">
      <c r="AH969" s="187"/>
      <c r="AI969" s="181"/>
    </row>
    <row r="970" spans="34:35" ht="17.100000000000001" customHeight="1" x14ac:dyDescent="0.25">
      <c r="AH970" s="187"/>
      <c r="AI970" s="181"/>
    </row>
    <row r="971" spans="34:35" ht="17.100000000000001" customHeight="1" x14ac:dyDescent="0.25">
      <c r="AH971" s="187"/>
      <c r="AI971" s="181"/>
    </row>
    <row r="972" spans="34:35" ht="17.100000000000001" customHeight="1" x14ac:dyDescent="0.25">
      <c r="AH972" s="187"/>
      <c r="AI972" s="181"/>
    </row>
    <row r="973" spans="34:35" ht="17.100000000000001" customHeight="1" x14ac:dyDescent="0.25">
      <c r="AH973" s="187"/>
      <c r="AI973" s="181"/>
    </row>
    <row r="974" spans="34:35" ht="17.100000000000001" customHeight="1" x14ac:dyDescent="0.25">
      <c r="AH974" s="187"/>
      <c r="AI974" s="181"/>
    </row>
    <row r="975" spans="34:35" ht="17.100000000000001" customHeight="1" x14ac:dyDescent="0.25">
      <c r="AH975" s="187"/>
      <c r="AI975" s="181"/>
    </row>
    <row r="976" spans="34:35" ht="17.100000000000001" customHeight="1" x14ac:dyDescent="0.25">
      <c r="AH976" s="187"/>
      <c r="AI976" s="181"/>
    </row>
    <row r="977" spans="34:35" ht="17.100000000000001" customHeight="1" x14ac:dyDescent="0.25">
      <c r="AH977" s="187"/>
      <c r="AI977" s="181"/>
    </row>
    <row r="978" spans="34:35" ht="17.100000000000001" customHeight="1" x14ac:dyDescent="0.25">
      <c r="AH978" s="187"/>
      <c r="AI978" s="181"/>
    </row>
    <row r="979" spans="34:35" ht="17.100000000000001" customHeight="1" x14ac:dyDescent="0.25">
      <c r="AH979" s="187"/>
      <c r="AI979" s="181"/>
    </row>
    <row r="980" spans="34:35" ht="17.100000000000001" customHeight="1" x14ac:dyDescent="0.25">
      <c r="AH980" s="187"/>
      <c r="AI980" s="181"/>
    </row>
    <row r="981" spans="34:35" ht="17.100000000000001" customHeight="1" x14ac:dyDescent="0.25">
      <c r="AH981" s="187"/>
      <c r="AI981" s="181"/>
    </row>
    <row r="982" spans="34:35" ht="17.100000000000001" customHeight="1" x14ac:dyDescent="0.25">
      <c r="AH982" s="187"/>
      <c r="AI982" s="181"/>
    </row>
    <row r="983" spans="34:35" ht="17.100000000000001" customHeight="1" x14ac:dyDescent="0.25">
      <c r="AH983" s="187"/>
      <c r="AI983" s="181"/>
    </row>
    <row r="984" spans="34:35" ht="17.100000000000001" customHeight="1" x14ac:dyDescent="0.25">
      <c r="AH984" s="187"/>
      <c r="AI984" s="181"/>
    </row>
    <row r="985" spans="34:35" ht="17.100000000000001" customHeight="1" x14ac:dyDescent="0.25">
      <c r="AH985" s="187"/>
      <c r="AI985" s="181"/>
    </row>
    <row r="986" spans="34:35" ht="17.100000000000001" customHeight="1" x14ac:dyDescent="0.25">
      <c r="AH986" s="187"/>
      <c r="AI986" s="181"/>
    </row>
    <row r="987" spans="34:35" ht="17.100000000000001" customHeight="1" x14ac:dyDescent="0.25">
      <c r="AH987" s="187"/>
      <c r="AI987" s="181"/>
    </row>
    <row r="988" spans="34:35" ht="17.100000000000001" customHeight="1" x14ac:dyDescent="0.25">
      <c r="AH988" s="187"/>
      <c r="AI988" s="181"/>
    </row>
    <row r="989" spans="34:35" ht="17.100000000000001" customHeight="1" x14ac:dyDescent="0.25">
      <c r="AH989" s="187"/>
      <c r="AI989" s="181"/>
    </row>
    <row r="990" spans="34:35" ht="17.100000000000001" customHeight="1" x14ac:dyDescent="0.25">
      <c r="AH990" s="187"/>
      <c r="AI990" s="181"/>
    </row>
    <row r="991" spans="34:35" ht="17.100000000000001" customHeight="1" x14ac:dyDescent="0.25">
      <c r="AH991" s="187"/>
      <c r="AI991" s="181"/>
    </row>
    <row r="992" spans="34:35" ht="17.100000000000001" customHeight="1" x14ac:dyDescent="0.25">
      <c r="AH992" s="187"/>
      <c r="AI992" s="181"/>
    </row>
    <row r="993" spans="34:35" ht="17.100000000000001" customHeight="1" x14ac:dyDescent="0.25">
      <c r="AH993" s="187"/>
      <c r="AI993" s="181"/>
    </row>
    <row r="994" spans="34:35" ht="17.100000000000001" customHeight="1" x14ac:dyDescent="0.25">
      <c r="AH994" s="187"/>
      <c r="AI994" s="181"/>
    </row>
    <row r="995" spans="34:35" ht="17.100000000000001" customHeight="1" x14ac:dyDescent="0.25">
      <c r="AH995" s="187"/>
      <c r="AI995" s="181"/>
    </row>
    <row r="996" spans="34:35" ht="17.100000000000001" customHeight="1" x14ac:dyDescent="0.25">
      <c r="AH996" s="187"/>
      <c r="AI996" s="181"/>
    </row>
    <row r="997" spans="34:35" ht="17.100000000000001" customHeight="1" x14ac:dyDescent="0.25">
      <c r="AH997" s="187"/>
      <c r="AI997" s="181"/>
    </row>
    <row r="998" spans="34:35" ht="17.100000000000001" customHeight="1" x14ac:dyDescent="0.25">
      <c r="AH998" s="187"/>
      <c r="AI998" s="181"/>
    </row>
    <row r="999" spans="34:35" ht="17.100000000000001" customHeight="1" x14ac:dyDescent="0.25">
      <c r="AH999" s="187"/>
      <c r="AI999" s="181"/>
    </row>
    <row r="1000" spans="34:35" ht="17.100000000000001" customHeight="1" x14ac:dyDescent="0.25">
      <c r="AH1000" s="187"/>
      <c r="AI1000" s="181"/>
    </row>
    <row r="1001" spans="34:35" ht="17.100000000000001" customHeight="1" x14ac:dyDescent="0.25">
      <c r="AH1001" s="187"/>
      <c r="AI1001" s="181"/>
    </row>
    <row r="1002" spans="34:35" ht="17.100000000000001" customHeight="1" x14ac:dyDescent="0.25">
      <c r="AH1002" s="187"/>
      <c r="AI1002" s="181"/>
    </row>
    <row r="1003" spans="34:35" ht="17.100000000000001" customHeight="1" x14ac:dyDescent="0.25">
      <c r="AH1003" s="187"/>
      <c r="AI1003" s="181"/>
    </row>
    <row r="1004" spans="34:35" ht="17.100000000000001" customHeight="1" x14ac:dyDescent="0.25">
      <c r="AH1004" s="187"/>
      <c r="AI1004" s="181"/>
    </row>
    <row r="1005" spans="34:35" ht="17.100000000000001" customHeight="1" x14ac:dyDescent="0.25">
      <c r="AH1005" s="187"/>
      <c r="AI1005" s="181"/>
    </row>
    <row r="1006" spans="34:35" ht="17.100000000000001" customHeight="1" x14ac:dyDescent="0.25">
      <c r="AH1006" s="187"/>
      <c r="AI1006" s="181"/>
    </row>
    <row r="1007" spans="34:35" ht="17.100000000000001" customHeight="1" x14ac:dyDescent="0.25">
      <c r="AH1007" s="187"/>
      <c r="AI1007" s="181"/>
    </row>
    <row r="1008" spans="34:35" ht="17.100000000000001" customHeight="1" x14ac:dyDescent="0.25">
      <c r="AH1008" s="187"/>
      <c r="AI1008" s="181"/>
    </row>
    <row r="1009" spans="34:35" ht="17.100000000000001" customHeight="1" x14ac:dyDescent="0.25">
      <c r="AH1009" s="187"/>
      <c r="AI1009" s="181"/>
    </row>
    <row r="1010" spans="34:35" ht="17.100000000000001" customHeight="1" x14ac:dyDescent="0.25">
      <c r="AH1010" s="187"/>
      <c r="AI1010" s="181"/>
    </row>
    <row r="1011" spans="34:35" ht="17.100000000000001" customHeight="1" x14ac:dyDescent="0.25">
      <c r="AH1011" s="187"/>
      <c r="AI1011" s="181"/>
    </row>
    <row r="1012" spans="34:35" ht="17.100000000000001" customHeight="1" x14ac:dyDescent="0.25">
      <c r="AH1012" s="187"/>
      <c r="AI1012" s="181"/>
    </row>
    <row r="1013" spans="34:35" ht="17.100000000000001" customHeight="1" x14ac:dyDescent="0.25">
      <c r="AH1013" s="187"/>
      <c r="AI1013" s="181"/>
    </row>
    <row r="1014" spans="34:35" ht="17.100000000000001" customHeight="1" x14ac:dyDescent="0.25">
      <c r="AH1014" s="187"/>
      <c r="AI1014" s="181"/>
    </row>
    <row r="1015" spans="34:35" ht="17.100000000000001" customHeight="1" x14ac:dyDescent="0.25">
      <c r="AH1015" s="187"/>
      <c r="AI1015" s="181"/>
    </row>
    <row r="1016" spans="34:35" ht="17.100000000000001" customHeight="1" x14ac:dyDescent="0.25">
      <c r="AH1016" s="187"/>
      <c r="AI1016" s="181"/>
    </row>
    <row r="1017" spans="34:35" ht="17.100000000000001" customHeight="1" x14ac:dyDescent="0.25">
      <c r="AH1017" s="187"/>
      <c r="AI1017" s="181"/>
    </row>
    <row r="1018" spans="34:35" ht="17.100000000000001" customHeight="1" x14ac:dyDescent="0.25">
      <c r="AH1018" s="187"/>
      <c r="AI1018" s="181"/>
    </row>
    <row r="1019" spans="34:35" ht="17.100000000000001" customHeight="1" x14ac:dyDescent="0.25">
      <c r="AH1019" s="187"/>
      <c r="AI1019" s="181"/>
    </row>
    <row r="1020" spans="34:35" ht="17.100000000000001" customHeight="1" x14ac:dyDescent="0.25">
      <c r="AH1020" s="187"/>
      <c r="AI1020" s="181"/>
    </row>
    <row r="1021" spans="34:35" ht="17.100000000000001" customHeight="1" x14ac:dyDescent="0.25">
      <c r="AH1021" s="187"/>
      <c r="AI1021" s="181"/>
    </row>
    <row r="1022" spans="34:35" ht="17.100000000000001" customHeight="1" x14ac:dyDescent="0.25">
      <c r="AH1022" s="187"/>
      <c r="AI1022" s="181"/>
    </row>
    <row r="1023" spans="34:35" ht="17.100000000000001" customHeight="1" x14ac:dyDescent="0.25">
      <c r="AH1023" s="187"/>
      <c r="AI1023" s="181"/>
    </row>
    <row r="1024" spans="34:35" ht="17.100000000000001" customHeight="1" x14ac:dyDescent="0.25">
      <c r="AH1024" s="187"/>
      <c r="AI1024" s="181"/>
    </row>
    <row r="1025" spans="34:35" ht="17.100000000000001" customHeight="1" x14ac:dyDescent="0.25">
      <c r="AH1025" s="187"/>
      <c r="AI1025" s="181"/>
    </row>
    <row r="1026" spans="34:35" ht="17.100000000000001" customHeight="1" x14ac:dyDescent="0.25">
      <c r="AH1026" s="187"/>
      <c r="AI1026" s="181"/>
    </row>
    <row r="1027" spans="34:35" ht="17.100000000000001" customHeight="1" x14ac:dyDescent="0.25">
      <c r="AH1027" s="187"/>
      <c r="AI1027" s="181"/>
    </row>
    <row r="1028" spans="34:35" ht="17.100000000000001" customHeight="1" x14ac:dyDescent="0.25">
      <c r="AH1028" s="187"/>
      <c r="AI1028" s="181"/>
    </row>
    <row r="1029" spans="34:35" ht="17.100000000000001" customHeight="1" x14ac:dyDescent="0.25">
      <c r="AH1029" s="187"/>
      <c r="AI1029" s="181"/>
    </row>
    <row r="1030" spans="34:35" ht="17.100000000000001" customHeight="1" x14ac:dyDescent="0.25">
      <c r="AH1030" s="187"/>
      <c r="AI1030" s="181"/>
    </row>
    <row r="1031" spans="34:35" ht="17.100000000000001" customHeight="1" x14ac:dyDescent="0.25">
      <c r="AH1031" s="187"/>
      <c r="AI1031" s="181"/>
    </row>
    <row r="1032" spans="34:35" ht="17.100000000000001" customHeight="1" x14ac:dyDescent="0.25">
      <c r="AH1032" s="187"/>
      <c r="AI1032" s="181"/>
    </row>
    <row r="1033" spans="34:35" ht="17.100000000000001" customHeight="1" x14ac:dyDescent="0.25">
      <c r="AH1033" s="187"/>
      <c r="AI1033" s="181"/>
    </row>
    <row r="1034" spans="34:35" ht="17.100000000000001" customHeight="1" x14ac:dyDescent="0.25">
      <c r="AH1034" s="187"/>
      <c r="AI1034" s="181"/>
    </row>
    <row r="1035" spans="34:35" ht="17.100000000000001" customHeight="1" x14ac:dyDescent="0.25">
      <c r="AH1035" s="187"/>
      <c r="AI1035" s="181"/>
    </row>
    <row r="1036" spans="34:35" ht="17.100000000000001" customHeight="1" x14ac:dyDescent="0.25">
      <c r="AH1036" s="187"/>
      <c r="AI1036" s="181"/>
    </row>
    <row r="1037" spans="34:35" ht="17.100000000000001" customHeight="1" x14ac:dyDescent="0.25">
      <c r="AH1037" s="187"/>
      <c r="AI1037" s="181"/>
    </row>
    <row r="1038" spans="34:35" ht="17.100000000000001" customHeight="1" x14ac:dyDescent="0.25">
      <c r="AH1038" s="187"/>
      <c r="AI1038" s="181"/>
    </row>
    <row r="1039" spans="34:35" ht="17.100000000000001" customHeight="1" x14ac:dyDescent="0.25">
      <c r="AH1039" s="187"/>
      <c r="AI1039" s="181"/>
    </row>
    <row r="1040" spans="34:35" ht="17.100000000000001" customHeight="1" x14ac:dyDescent="0.25">
      <c r="AH1040" s="187"/>
      <c r="AI1040" s="181"/>
    </row>
    <row r="1041" spans="34:35" ht="17.100000000000001" customHeight="1" x14ac:dyDescent="0.25">
      <c r="AH1041" s="187"/>
      <c r="AI1041" s="181"/>
    </row>
    <row r="1042" spans="34:35" ht="17.100000000000001" customHeight="1" x14ac:dyDescent="0.25">
      <c r="AH1042" s="187"/>
      <c r="AI1042" s="181"/>
    </row>
    <row r="1043" spans="34:35" ht="17.100000000000001" customHeight="1" x14ac:dyDescent="0.25">
      <c r="AH1043" s="187"/>
      <c r="AI1043" s="181"/>
    </row>
    <row r="1044" spans="34:35" ht="17.100000000000001" customHeight="1" x14ac:dyDescent="0.25">
      <c r="AH1044" s="187"/>
      <c r="AI1044" s="181"/>
    </row>
    <row r="1045" spans="34:35" ht="17.100000000000001" customHeight="1" x14ac:dyDescent="0.25">
      <c r="AH1045" s="187"/>
      <c r="AI1045" s="181"/>
    </row>
    <row r="1046" spans="34:35" ht="17.100000000000001" customHeight="1" x14ac:dyDescent="0.25">
      <c r="AH1046" s="187"/>
      <c r="AI1046" s="181"/>
    </row>
    <row r="1047" spans="34:35" ht="17.100000000000001" customHeight="1" x14ac:dyDescent="0.25">
      <c r="AH1047" s="187"/>
      <c r="AI1047" s="181"/>
    </row>
    <row r="1048" spans="34:35" ht="17.100000000000001" customHeight="1" x14ac:dyDescent="0.25">
      <c r="AH1048" s="187"/>
      <c r="AI1048" s="181"/>
    </row>
    <row r="1049" spans="34:35" ht="17.100000000000001" customHeight="1" x14ac:dyDescent="0.25">
      <c r="AH1049" s="187"/>
      <c r="AI1049" s="181"/>
    </row>
    <row r="1050" spans="34:35" ht="17.100000000000001" customHeight="1" x14ac:dyDescent="0.25">
      <c r="AH1050" s="187"/>
      <c r="AI1050" s="181"/>
    </row>
    <row r="1051" spans="34:35" ht="17.100000000000001" customHeight="1" x14ac:dyDescent="0.25">
      <c r="AH1051" s="187"/>
      <c r="AI1051" s="181"/>
    </row>
    <row r="1052" spans="34:35" ht="17.100000000000001" customHeight="1" x14ac:dyDescent="0.25">
      <c r="AH1052" s="187"/>
      <c r="AI1052" s="181"/>
    </row>
    <row r="1053" spans="34:35" ht="17.100000000000001" customHeight="1" x14ac:dyDescent="0.25">
      <c r="AH1053" s="187"/>
      <c r="AI1053" s="181"/>
    </row>
    <row r="1054" spans="34:35" ht="17.100000000000001" customHeight="1" x14ac:dyDescent="0.25">
      <c r="AH1054" s="187"/>
      <c r="AI1054" s="181"/>
    </row>
    <row r="1055" spans="34:35" ht="17.100000000000001" customHeight="1" x14ac:dyDescent="0.25">
      <c r="AH1055" s="187"/>
      <c r="AI1055" s="181"/>
    </row>
    <row r="1056" spans="34:35" ht="17.100000000000001" customHeight="1" x14ac:dyDescent="0.25">
      <c r="AH1056" s="187"/>
      <c r="AI1056" s="181"/>
    </row>
    <row r="1057" spans="34:35" ht="17.100000000000001" customHeight="1" x14ac:dyDescent="0.25">
      <c r="AH1057" s="187"/>
      <c r="AI1057" s="181"/>
    </row>
    <row r="1058" spans="34:35" ht="17.100000000000001" customHeight="1" x14ac:dyDescent="0.25">
      <c r="AH1058" s="187"/>
      <c r="AI1058" s="181"/>
    </row>
    <row r="1059" spans="34:35" ht="17.100000000000001" customHeight="1" x14ac:dyDescent="0.25">
      <c r="AH1059" s="187"/>
      <c r="AI1059" s="181"/>
    </row>
    <row r="1060" spans="34:35" ht="17.100000000000001" customHeight="1" x14ac:dyDescent="0.25">
      <c r="AH1060" s="187"/>
      <c r="AI1060" s="181"/>
    </row>
    <row r="1061" spans="34:35" ht="17.100000000000001" customHeight="1" x14ac:dyDescent="0.25">
      <c r="AH1061" s="187"/>
      <c r="AI1061" s="181"/>
    </row>
    <row r="1062" spans="34:35" ht="17.100000000000001" customHeight="1" x14ac:dyDescent="0.25">
      <c r="AH1062" s="187"/>
      <c r="AI1062" s="181"/>
    </row>
    <row r="1063" spans="34:35" ht="17.100000000000001" customHeight="1" x14ac:dyDescent="0.25">
      <c r="AH1063" s="187"/>
      <c r="AI1063" s="181"/>
    </row>
    <row r="1064" spans="34:35" ht="17.100000000000001" customHeight="1" x14ac:dyDescent="0.25">
      <c r="AH1064" s="187"/>
      <c r="AI1064" s="181"/>
    </row>
    <row r="1065" spans="34:35" ht="17.100000000000001" customHeight="1" x14ac:dyDescent="0.25">
      <c r="AH1065" s="187"/>
      <c r="AI1065" s="181"/>
    </row>
    <row r="1066" spans="34:35" ht="17.100000000000001" customHeight="1" x14ac:dyDescent="0.25">
      <c r="AH1066" s="187"/>
      <c r="AI1066" s="181"/>
    </row>
    <row r="1067" spans="34:35" ht="17.100000000000001" customHeight="1" x14ac:dyDescent="0.25">
      <c r="AH1067" s="187"/>
      <c r="AI1067" s="181"/>
    </row>
    <row r="1068" spans="34:35" ht="17.100000000000001" customHeight="1" x14ac:dyDescent="0.25">
      <c r="AH1068" s="187"/>
      <c r="AI1068" s="181"/>
    </row>
    <row r="1069" spans="34:35" ht="17.100000000000001" customHeight="1" x14ac:dyDescent="0.25">
      <c r="AH1069" s="187"/>
      <c r="AI1069" s="181"/>
    </row>
    <row r="1070" spans="34:35" ht="17.100000000000001" customHeight="1" x14ac:dyDescent="0.25">
      <c r="AH1070" s="187"/>
      <c r="AI1070" s="181"/>
    </row>
    <row r="1071" spans="34:35" ht="17.100000000000001" customHeight="1" x14ac:dyDescent="0.25">
      <c r="AH1071" s="187"/>
      <c r="AI1071" s="181"/>
    </row>
    <row r="1072" spans="34:35" ht="17.100000000000001" customHeight="1" x14ac:dyDescent="0.25">
      <c r="AH1072" s="187"/>
      <c r="AI1072" s="181"/>
    </row>
    <row r="1073" spans="34:35" ht="17.100000000000001" customHeight="1" x14ac:dyDescent="0.25">
      <c r="AH1073" s="187"/>
      <c r="AI1073" s="181"/>
    </row>
    <row r="1074" spans="34:35" ht="17.100000000000001" customHeight="1" x14ac:dyDescent="0.25">
      <c r="AH1074" s="187"/>
      <c r="AI1074" s="181"/>
    </row>
    <row r="1075" spans="34:35" ht="17.100000000000001" customHeight="1" x14ac:dyDescent="0.25">
      <c r="AH1075" s="187"/>
      <c r="AI1075" s="181"/>
    </row>
    <row r="1076" spans="34:35" ht="17.100000000000001" customHeight="1" x14ac:dyDescent="0.25">
      <c r="AH1076" s="187"/>
      <c r="AI1076" s="181"/>
    </row>
    <row r="1077" spans="34:35" ht="17.100000000000001" customHeight="1" x14ac:dyDescent="0.25">
      <c r="AH1077" s="187"/>
      <c r="AI1077" s="181"/>
    </row>
    <row r="1078" spans="34:35" ht="17.100000000000001" customHeight="1" x14ac:dyDescent="0.25">
      <c r="AH1078" s="187"/>
      <c r="AI1078" s="181"/>
    </row>
    <row r="1079" spans="34:35" ht="17.100000000000001" customHeight="1" x14ac:dyDescent="0.25">
      <c r="AH1079" s="187"/>
      <c r="AI1079" s="181"/>
    </row>
    <row r="1080" spans="34:35" ht="17.100000000000001" customHeight="1" x14ac:dyDescent="0.25">
      <c r="AH1080" s="187"/>
      <c r="AI1080" s="181"/>
    </row>
    <row r="1081" spans="34:35" ht="17.100000000000001" customHeight="1" x14ac:dyDescent="0.25">
      <c r="AH1081" s="187"/>
      <c r="AI1081" s="181"/>
    </row>
    <row r="1082" spans="34:35" ht="17.100000000000001" customHeight="1" x14ac:dyDescent="0.25">
      <c r="AH1082" s="187"/>
      <c r="AI1082" s="181"/>
    </row>
    <row r="1083" spans="34:35" ht="17.100000000000001" customHeight="1" x14ac:dyDescent="0.25">
      <c r="AH1083" s="187"/>
      <c r="AI1083" s="181"/>
    </row>
    <row r="1084" spans="34:35" ht="17.100000000000001" customHeight="1" x14ac:dyDescent="0.25">
      <c r="AH1084" s="187"/>
      <c r="AI1084" s="181"/>
    </row>
    <row r="1085" spans="34:35" ht="17.100000000000001" customHeight="1" x14ac:dyDescent="0.25">
      <c r="AH1085" s="187"/>
      <c r="AI1085" s="181"/>
    </row>
    <row r="1086" spans="34:35" ht="17.100000000000001" customHeight="1" x14ac:dyDescent="0.25">
      <c r="AH1086" s="187"/>
      <c r="AI1086" s="181"/>
    </row>
    <row r="1087" spans="34:35" ht="17.100000000000001" customHeight="1" x14ac:dyDescent="0.25">
      <c r="AH1087" s="187"/>
      <c r="AI1087" s="181"/>
    </row>
    <row r="1088" spans="34:35" ht="17.100000000000001" customHeight="1" x14ac:dyDescent="0.25">
      <c r="AH1088" s="187"/>
      <c r="AI1088" s="181"/>
    </row>
    <row r="1089" spans="34:35" ht="17.100000000000001" customHeight="1" x14ac:dyDescent="0.25">
      <c r="AH1089" s="187"/>
      <c r="AI1089" s="181"/>
    </row>
    <row r="1090" spans="34:35" ht="17.100000000000001" customHeight="1" x14ac:dyDescent="0.25">
      <c r="AH1090" s="187"/>
      <c r="AI1090" s="181"/>
    </row>
    <row r="1091" spans="34:35" ht="17.100000000000001" customHeight="1" x14ac:dyDescent="0.25">
      <c r="AH1091" s="187"/>
      <c r="AI1091" s="181"/>
    </row>
    <row r="1092" spans="34:35" ht="17.100000000000001" customHeight="1" x14ac:dyDescent="0.25">
      <c r="AH1092" s="187"/>
      <c r="AI1092" s="181"/>
    </row>
    <row r="1093" spans="34:35" ht="17.100000000000001" customHeight="1" x14ac:dyDescent="0.25">
      <c r="AH1093" s="187"/>
      <c r="AI1093" s="181"/>
    </row>
    <row r="1094" spans="34:35" ht="17.100000000000001" customHeight="1" x14ac:dyDescent="0.25">
      <c r="AH1094" s="187"/>
      <c r="AI1094" s="181"/>
    </row>
    <row r="1095" spans="34:35" ht="17.100000000000001" customHeight="1" x14ac:dyDescent="0.25">
      <c r="AH1095" s="187"/>
      <c r="AI1095" s="181"/>
    </row>
    <row r="1096" spans="34:35" ht="17.100000000000001" customHeight="1" x14ac:dyDescent="0.25">
      <c r="AH1096" s="187"/>
      <c r="AI1096" s="181"/>
    </row>
    <row r="1097" spans="34:35" ht="17.100000000000001" customHeight="1" x14ac:dyDescent="0.25">
      <c r="AH1097" s="187"/>
      <c r="AI1097" s="181"/>
    </row>
    <row r="1098" spans="34:35" ht="17.100000000000001" customHeight="1" x14ac:dyDescent="0.25">
      <c r="AH1098" s="187"/>
      <c r="AI1098" s="181"/>
    </row>
    <row r="1099" spans="34:35" ht="17.100000000000001" customHeight="1" x14ac:dyDescent="0.25">
      <c r="AH1099" s="187"/>
      <c r="AI1099" s="181"/>
    </row>
    <row r="1100" spans="34:35" ht="17.100000000000001" customHeight="1" x14ac:dyDescent="0.25">
      <c r="AH1100" s="187"/>
      <c r="AI1100" s="181"/>
    </row>
    <row r="1101" spans="34:35" ht="17.100000000000001" customHeight="1" x14ac:dyDescent="0.25">
      <c r="AH1101" s="187"/>
      <c r="AI1101" s="181"/>
    </row>
    <row r="1102" spans="34:35" ht="17.100000000000001" customHeight="1" x14ac:dyDescent="0.25">
      <c r="AH1102" s="187"/>
      <c r="AI1102" s="181"/>
    </row>
    <row r="1103" spans="34:35" ht="17.100000000000001" customHeight="1" x14ac:dyDescent="0.25">
      <c r="AH1103" s="187"/>
      <c r="AI1103" s="181"/>
    </row>
    <row r="1104" spans="34:35" ht="17.100000000000001" customHeight="1" x14ac:dyDescent="0.25">
      <c r="AH1104" s="187"/>
      <c r="AI1104" s="181"/>
    </row>
    <row r="1105" spans="34:35" ht="17.100000000000001" customHeight="1" x14ac:dyDescent="0.25">
      <c r="AH1105" s="187"/>
      <c r="AI1105" s="181"/>
    </row>
    <row r="1106" spans="34:35" ht="17.100000000000001" customHeight="1" x14ac:dyDescent="0.25">
      <c r="AH1106" s="187"/>
      <c r="AI1106" s="181"/>
    </row>
    <row r="1107" spans="34:35" ht="17.100000000000001" customHeight="1" x14ac:dyDescent="0.25">
      <c r="AH1107" s="187"/>
      <c r="AI1107" s="181"/>
    </row>
    <row r="1108" spans="34:35" ht="17.100000000000001" customHeight="1" x14ac:dyDescent="0.25">
      <c r="AH1108" s="187"/>
      <c r="AI1108" s="181"/>
    </row>
    <row r="1109" spans="34:35" ht="17.100000000000001" customHeight="1" x14ac:dyDescent="0.25">
      <c r="AH1109" s="187"/>
      <c r="AI1109" s="181"/>
    </row>
    <row r="1110" spans="34:35" ht="17.100000000000001" customHeight="1" x14ac:dyDescent="0.25">
      <c r="AH1110" s="187"/>
      <c r="AI1110" s="181"/>
    </row>
    <row r="1111" spans="34:35" ht="17.100000000000001" customHeight="1" x14ac:dyDescent="0.25">
      <c r="AH1111" s="187"/>
      <c r="AI1111" s="181"/>
    </row>
    <row r="1112" spans="34:35" ht="17.100000000000001" customHeight="1" x14ac:dyDescent="0.25">
      <c r="AH1112" s="187"/>
      <c r="AI1112" s="181"/>
    </row>
    <row r="1113" spans="34:35" ht="17.100000000000001" customHeight="1" x14ac:dyDescent="0.25">
      <c r="AH1113" s="187"/>
      <c r="AI1113" s="181"/>
    </row>
    <row r="1114" spans="34:35" ht="17.100000000000001" customHeight="1" x14ac:dyDescent="0.25">
      <c r="AH1114" s="187"/>
      <c r="AI1114" s="181"/>
    </row>
    <row r="1115" spans="34:35" ht="17.100000000000001" customHeight="1" x14ac:dyDescent="0.25">
      <c r="AH1115" s="187"/>
      <c r="AI1115" s="181"/>
    </row>
    <row r="1116" spans="34:35" ht="17.100000000000001" customHeight="1" x14ac:dyDescent="0.25">
      <c r="AH1116" s="187"/>
      <c r="AI1116" s="181"/>
    </row>
    <row r="1117" spans="34:35" ht="17.100000000000001" customHeight="1" x14ac:dyDescent="0.25">
      <c r="AH1117" s="187"/>
      <c r="AI1117" s="181"/>
    </row>
    <row r="1118" spans="34:35" ht="17.100000000000001" customHeight="1" x14ac:dyDescent="0.25">
      <c r="AH1118" s="187"/>
      <c r="AI1118" s="181"/>
    </row>
    <row r="1119" spans="34:35" ht="17.100000000000001" customHeight="1" x14ac:dyDescent="0.25">
      <c r="AH1119" s="187"/>
      <c r="AI1119" s="181"/>
    </row>
    <row r="1120" spans="34:35" ht="17.100000000000001" customHeight="1" x14ac:dyDescent="0.25">
      <c r="AH1120" s="187"/>
      <c r="AI1120" s="181"/>
    </row>
    <row r="1121" spans="34:35" ht="17.100000000000001" customHeight="1" x14ac:dyDescent="0.25">
      <c r="AH1121" s="187"/>
      <c r="AI1121" s="181"/>
    </row>
    <row r="1122" spans="34:35" ht="17.100000000000001" customHeight="1" x14ac:dyDescent="0.25">
      <c r="AH1122" s="187"/>
      <c r="AI1122" s="181"/>
    </row>
    <row r="1123" spans="34:35" ht="17.100000000000001" customHeight="1" x14ac:dyDescent="0.25">
      <c r="AH1123" s="187"/>
      <c r="AI1123" s="181"/>
    </row>
    <row r="1124" spans="34:35" ht="17.100000000000001" customHeight="1" x14ac:dyDescent="0.25">
      <c r="AH1124" s="187"/>
      <c r="AI1124" s="181"/>
    </row>
    <row r="1125" spans="34:35" ht="17.100000000000001" customHeight="1" x14ac:dyDescent="0.25">
      <c r="AH1125" s="187"/>
      <c r="AI1125" s="181"/>
    </row>
    <row r="1126" spans="34:35" ht="17.100000000000001" customHeight="1" x14ac:dyDescent="0.25">
      <c r="AH1126" s="187"/>
      <c r="AI1126" s="181"/>
    </row>
    <row r="1127" spans="34:35" ht="17.100000000000001" customHeight="1" x14ac:dyDescent="0.25">
      <c r="AH1127" s="187"/>
      <c r="AI1127" s="181"/>
    </row>
    <row r="1128" spans="34:35" ht="17.100000000000001" customHeight="1" x14ac:dyDescent="0.25">
      <c r="AH1128" s="187"/>
      <c r="AI1128" s="181"/>
    </row>
    <row r="1129" spans="34:35" ht="17.100000000000001" customHeight="1" x14ac:dyDescent="0.25">
      <c r="AH1129" s="187"/>
      <c r="AI1129" s="181"/>
    </row>
    <row r="1130" spans="34:35" ht="17.100000000000001" customHeight="1" x14ac:dyDescent="0.25">
      <c r="AH1130" s="187"/>
      <c r="AI1130" s="181"/>
    </row>
    <row r="1131" spans="34:35" ht="17.100000000000001" customHeight="1" x14ac:dyDescent="0.25">
      <c r="AH1131" s="187"/>
      <c r="AI1131" s="181"/>
    </row>
    <row r="1132" spans="34:35" ht="17.100000000000001" customHeight="1" x14ac:dyDescent="0.25">
      <c r="AH1132" s="187"/>
      <c r="AI1132" s="181"/>
    </row>
    <row r="1133" spans="34:35" ht="17.100000000000001" customHeight="1" x14ac:dyDescent="0.25">
      <c r="AH1133" s="187"/>
      <c r="AI1133" s="181"/>
    </row>
    <row r="1134" spans="34:35" ht="17.100000000000001" customHeight="1" x14ac:dyDescent="0.25">
      <c r="AH1134" s="187"/>
      <c r="AI1134" s="181"/>
    </row>
    <row r="1135" spans="34:35" ht="17.100000000000001" customHeight="1" x14ac:dyDescent="0.25">
      <c r="AH1135" s="187"/>
      <c r="AI1135" s="181"/>
    </row>
    <row r="1136" spans="34:35" ht="17.100000000000001" customHeight="1" x14ac:dyDescent="0.25">
      <c r="AH1136" s="187"/>
      <c r="AI1136" s="181"/>
    </row>
    <row r="1137" spans="34:35" ht="17.100000000000001" customHeight="1" x14ac:dyDescent="0.25">
      <c r="AH1137" s="187"/>
      <c r="AI1137" s="181"/>
    </row>
    <row r="1138" spans="34:35" ht="17.100000000000001" customHeight="1" x14ac:dyDescent="0.25">
      <c r="AH1138" s="187"/>
      <c r="AI1138" s="181"/>
    </row>
    <row r="1139" spans="34:35" ht="17.100000000000001" customHeight="1" x14ac:dyDescent="0.25">
      <c r="AH1139" s="187"/>
      <c r="AI1139" s="181"/>
    </row>
    <row r="1140" spans="34:35" ht="17.100000000000001" customHeight="1" x14ac:dyDescent="0.25">
      <c r="AH1140" s="187"/>
      <c r="AI1140" s="181"/>
    </row>
    <row r="1141" spans="34:35" ht="17.100000000000001" customHeight="1" x14ac:dyDescent="0.25">
      <c r="AH1141" s="187"/>
      <c r="AI1141" s="181"/>
    </row>
    <row r="1142" spans="34:35" ht="17.100000000000001" customHeight="1" x14ac:dyDescent="0.25">
      <c r="AH1142" s="187"/>
      <c r="AI1142" s="181"/>
    </row>
    <row r="1143" spans="34:35" ht="17.100000000000001" customHeight="1" x14ac:dyDescent="0.25">
      <c r="AH1143" s="187"/>
      <c r="AI1143" s="181"/>
    </row>
    <row r="1144" spans="34:35" ht="17.100000000000001" customHeight="1" x14ac:dyDescent="0.25">
      <c r="AH1144" s="187"/>
      <c r="AI1144" s="181"/>
    </row>
    <row r="1145" spans="34:35" ht="17.100000000000001" customHeight="1" x14ac:dyDescent="0.25">
      <c r="AH1145" s="187"/>
      <c r="AI1145" s="181"/>
    </row>
    <row r="1146" spans="34:35" ht="17.100000000000001" customHeight="1" x14ac:dyDescent="0.25">
      <c r="AH1146" s="187"/>
      <c r="AI1146" s="181"/>
    </row>
    <row r="1147" spans="34:35" ht="17.100000000000001" customHeight="1" x14ac:dyDescent="0.25">
      <c r="AH1147" s="187"/>
      <c r="AI1147" s="181"/>
    </row>
    <row r="1148" spans="34:35" ht="17.100000000000001" customHeight="1" x14ac:dyDescent="0.25">
      <c r="AH1148" s="187"/>
      <c r="AI1148" s="181"/>
    </row>
    <row r="1149" spans="34:35" ht="17.100000000000001" customHeight="1" x14ac:dyDescent="0.25">
      <c r="AH1149" s="187"/>
      <c r="AI1149" s="181"/>
    </row>
    <row r="1150" spans="34:35" ht="17.100000000000001" customHeight="1" x14ac:dyDescent="0.25">
      <c r="AH1150" s="187"/>
      <c r="AI1150" s="181"/>
    </row>
    <row r="1151" spans="34:35" ht="17.100000000000001" customHeight="1" x14ac:dyDescent="0.25">
      <c r="AH1151" s="187"/>
      <c r="AI1151" s="181"/>
    </row>
    <row r="1152" spans="34:35" ht="17.100000000000001" customHeight="1" x14ac:dyDescent="0.25">
      <c r="AH1152" s="187"/>
      <c r="AI1152" s="181"/>
    </row>
    <row r="1153" spans="34:35" ht="17.100000000000001" customHeight="1" x14ac:dyDescent="0.25">
      <c r="AH1153" s="187"/>
      <c r="AI1153" s="181"/>
    </row>
    <row r="1154" spans="34:35" ht="17.100000000000001" customHeight="1" x14ac:dyDescent="0.25">
      <c r="AH1154" s="187"/>
      <c r="AI1154" s="181"/>
    </row>
    <row r="1155" spans="34:35" ht="17.100000000000001" customHeight="1" x14ac:dyDescent="0.25">
      <c r="AH1155" s="187"/>
      <c r="AI1155" s="181"/>
    </row>
    <row r="1156" spans="34:35" ht="17.100000000000001" customHeight="1" x14ac:dyDescent="0.25">
      <c r="AH1156" s="187"/>
      <c r="AI1156" s="181"/>
    </row>
    <row r="1157" spans="34:35" ht="17.100000000000001" customHeight="1" x14ac:dyDescent="0.25">
      <c r="AH1157" s="187"/>
      <c r="AI1157" s="181"/>
    </row>
    <row r="1158" spans="34:35" ht="17.100000000000001" customHeight="1" x14ac:dyDescent="0.25">
      <c r="AH1158" s="187"/>
      <c r="AI1158" s="181"/>
    </row>
    <row r="1159" spans="34:35" ht="17.100000000000001" customHeight="1" x14ac:dyDescent="0.25">
      <c r="AH1159" s="187"/>
      <c r="AI1159" s="181"/>
    </row>
    <row r="1160" spans="34:35" ht="17.100000000000001" customHeight="1" x14ac:dyDescent="0.25">
      <c r="AH1160" s="187"/>
      <c r="AI1160" s="181"/>
    </row>
    <row r="1161" spans="34:35" ht="17.100000000000001" customHeight="1" x14ac:dyDescent="0.25">
      <c r="AH1161" s="187"/>
      <c r="AI1161" s="181"/>
    </row>
    <row r="1162" spans="34:35" ht="17.100000000000001" customHeight="1" x14ac:dyDescent="0.25">
      <c r="AH1162" s="187"/>
      <c r="AI1162" s="181"/>
    </row>
    <row r="1163" spans="34:35" ht="17.100000000000001" customHeight="1" x14ac:dyDescent="0.25">
      <c r="AH1163" s="187"/>
      <c r="AI1163" s="181"/>
    </row>
    <row r="1164" spans="34:35" ht="17.100000000000001" customHeight="1" x14ac:dyDescent="0.25">
      <c r="AH1164" s="187"/>
      <c r="AI1164" s="181"/>
    </row>
    <row r="1165" spans="34:35" ht="17.100000000000001" customHeight="1" x14ac:dyDescent="0.25">
      <c r="AH1165" s="187"/>
      <c r="AI1165" s="181"/>
    </row>
    <row r="1166" spans="34:35" ht="17.100000000000001" customHeight="1" x14ac:dyDescent="0.25">
      <c r="AH1166" s="187"/>
      <c r="AI1166" s="181"/>
    </row>
    <row r="1167" spans="34:35" ht="17.100000000000001" customHeight="1" x14ac:dyDescent="0.25">
      <c r="AH1167" s="187"/>
      <c r="AI1167" s="181"/>
    </row>
    <row r="1168" spans="34:35" ht="17.100000000000001" customHeight="1" x14ac:dyDescent="0.25">
      <c r="AH1168" s="187"/>
      <c r="AI1168" s="181"/>
    </row>
    <row r="1169" spans="34:35" ht="17.100000000000001" customHeight="1" x14ac:dyDescent="0.25">
      <c r="AH1169" s="187"/>
      <c r="AI1169" s="181"/>
    </row>
    <row r="1170" spans="34:35" ht="17.100000000000001" customHeight="1" x14ac:dyDescent="0.25">
      <c r="AH1170" s="187"/>
      <c r="AI1170" s="181"/>
    </row>
    <row r="1171" spans="34:35" ht="17.100000000000001" customHeight="1" x14ac:dyDescent="0.25">
      <c r="AH1171" s="187"/>
      <c r="AI1171" s="181"/>
    </row>
    <row r="1172" spans="34:35" ht="17.100000000000001" customHeight="1" x14ac:dyDescent="0.25">
      <c r="AH1172" s="187"/>
      <c r="AI1172" s="181"/>
    </row>
    <row r="1173" spans="34:35" ht="17.100000000000001" customHeight="1" x14ac:dyDescent="0.25">
      <c r="AH1173" s="187"/>
      <c r="AI1173" s="181"/>
    </row>
    <row r="1174" spans="34:35" ht="17.100000000000001" customHeight="1" x14ac:dyDescent="0.25">
      <c r="AH1174" s="187"/>
      <c r="AI1174" s="181"/>
    </row>
    <row r="1175" spans="34:35" ht="17.100000000000001" customHeight="1" x14ac:dyDescent="0.25">
      <c r="AH1175" s="187"/>
      <c r="AI1175" s="181"/>
    </row>
    <row r="1176" spans="34:35" ht="17.100000000000001" customHeight="1" x14ac:dyDescent="0.25">
      <c r="AH1176" s="187"/>
      <c r="AI1176" s="181"/>
    </row>
    <row r="1177" spans="34:35" ht="17.100000000000001" customHeight="1" x14ac:dyDescent="0.25">
      <c r="AH1177" s="187"/>
      <c r="AI1177" s="181"/>
    </row>
    <row r="1178" spans="34:35" ht="17.100000000000001" customHeight="1" x14ac:dyDescent="0.25">
      <c r="AH1178" s="187"/>
      <c r="AI1178" s="181"/>
    </row>
    <row r="1179" spans="34:35" ht="17.100000000000001" customHeight="1" x14ac:dyDescent="0.25">
      <c r="AH1179" s="187"/>
      <c r="AI1179" s="181"/>
    </row>
    <row r="1180" spans="34:35" ht="17.100000000000001" customHeight="1" x14ac:dyDescent="0.25">
      <c r="AH1180" s="187"/>
      <c r="AI1180" s="181"/>
    </row>
    <row r="1181" spans="34:35" ht="17.100000000000001" customHeight="1" x14ac:dyDescent="0.25">
      <c r="AH1181" s="187"/>
      <c r="AI1181" s="181"/>
    </row>
    <row r="1182" spans="34:35" ht="17.100000000000001" customHeight="1" x14ac:dyDescent="0.25">
      <c r="AH1182" s="187"/>
      <c r="AI1182" s="181"/>
    </row>
    <row r="1183" spans="34:35" ht="17.100000000000001" customHeight="1" x14ac:dyDescent="0.25">
      <c r="AH1183" s="187"/>
      <c r="AI1183" s="181"/>
    </row>
    <row r="1184" spans="34:35" ht="17.100000000000001" customHeight="1" x14ac:dyDescent="0.25">
      <c r="AH1184" s="187"/>
      <c r="AI1184" s="181"/>
    </row>
    <row r="1185" spans="34:35" ht="17.100000000000001" customHeight="1" x14ac:dyDescent="0.25">
      <c r="AH1185" s="187"/>
      <c r="AI1185" s="181"/>
    </row>
    <row r="1186" spans="34:35" ht="17.100000000000001" customHeight="1" x14ac:dyDescent="0.25">
      <c r="AH1186" s="187"/>
      <c r="AI1186" s="181"/>
    </row>
    <row r="1187" spans="34:35" ht="17.100000000000001" customHeight="1" x14ac:dyDescent="0.25">
      <c r="AH1187" s="187"/>
      <c r="AI1187" s="181"/>
    </row>
    <row r="1188" spans="34:35" ht="17.100000000000001" customHeight="1" x14ac:dyDescent="0.25">
      <c r="AH1188" s="187"/>
      <c r="AI1188" s="181"/>
    </row>
    <row r="1189" spans="34:35" ht="17.100000000000001" customHeight="1" x14ac:dyDescent="0.25">
      <c r="AH1189" s="187"/>
      <c r="AI1189" s="181"/>
    </row>
    <row r="1190" spans="34:35" ht="17.100000000000001" customHeight="1" x14ac:dyDescent="0.25">
      <c r="AH1190" s="187"/>
      <c r="AI1190" s="181"/>
    </row>
    <row r="1191" spans="34:35" ht="17.100000000000001" customHeight="1" x14ac:dyDescent="0.25">
      <c r="AH1191" s="187"/>
      <c r="AI1191" s="181"/>
    </row>
    <row r="1192" spans="34:35" ht="17.100000000000001" customHeight="1" x14ac:dyDescent="0.25">
      <c r="AH1192" s="187"/>
      <c r="AI1192" s="181"/>
    </row>
    <row r="1193" spans="34:35" ht="17.100000000000001" customHeight="1" x14ac:dyDescent="0.25">
      <c r="AH1193" s="187"/>
      <c r="AI1193" s="181"/>
    </row>
    <row r="1194" spans="34:35" ht="17.100000000000001" customHeight="1" x14ac:dyDescent="0.25">
      <c r="AH1194" s="187"/>
      <c r="AI1194" s="181"/>
    </row>
    <row r="1195" spans="34:35" ht="17.100000000000001" customHeight="1" x14ac:dyDescent="0.25">
      <c r="AH1195" s="187"/>
      <c r="AI1195" s="181"/>
    </row>
    <row r="1196" spans="34:35" ht="17.100000000000001" customHeight="1" x14ac:dyDescent="0.25">
      <c r="AH1196" s="187"/>
      <c r="AI1196" s="181"/>
    </row>
    <row r="1197" spans="34:35" ht="17.100000000000001" customHeight="1" x14ac:dyDescent="0.25">
      <c r="AH1197" s="187"/>
      <c r="AI1197" s="181"/>
    </row>
    <row r="1198" spans="34:35" ht="17.100000000000001" customHeight="1" x14ac:dyDescent="0.25">
      <c r="AH1198" s="187"/>
      <c r="AI1198" s="181"/>
    </row>
    <row r="1199" spans="34:35" ht="17.100000000000001" customHeight="1" x14ac:dyDescent="0.25">
      <c r="AH1199" s="187"/>
      <c r="AI1199" s="181"/>
    </row>
    <row r="1200" spans="34:35" ht="17.100000000000001" customHeight="1" x14ac:dyDescent="0.25">
      <c r="AH1200" s="187"/>
      <c r="AI1200" s="181"/>
    </row>
    <row r="1201" spans="34:35" ht="17.100000000000001" customHeight="1" x14ac:dyDescent="0.25">
      <c r="AH1201" s="187"/>
      <c r="AI1201" s="181"/>
    </row>
    <row r="1202" spans="34:35" ht="17.100000000000001" customHeight="1" x14ac:dyDescent="0.25">
      <c r="AH1202" s="187"/>
      <c r="AI1202" s="181"/>
    </row>
    <row r="1203" spans="34:35" ht="17.100000000000001" customHeight="1" x14ac:dyDescent="0.25">
      <c r="AH1203" s="187"/>
      <c r="AI1203" s="181"/>
    </row>
    <row r="1204" spans="34:35" ht="17.100000000000001" customHeight="1" x14ac:dyDescent="0.25">
      <c r="AH1204" s="187"/>
      <c r="AI1204" s="181"/>
    </row>
    <row r="1205" spans="34:35" ht="17.100000000000001" customHeight="1" x14ac:dyDescent="0.25">
      <c r="AH1205" s="187"/>
      <c r="AI1205" s="181"/>
    </row>
    <row r="1206" spans="34:35" ht="17.100000000000001" customHeight="1" x14ac:dyDescent="0.25">
      <c r="AH1206" s="187"/>
      <c r="AI1206" s="181"/>
    </row>
    <row r="1207" spans="34:35" ht="17.100000000000001" customHeight="1" x14ac:dyDescent="0.25">
      <c r="AH1207" s="187"/>
      <c r="AI1207" s="181"/>
    </row>
    <row r="1208" spans="34:35" ht="17.100000000000001" customHeight="1" x14ac:dyDescent="0.25">
      <c r="AH1208" s="187"/>
      <c r="AI1208" s="181"/>
    </row>
    <row r="1209" spans="34:35" ht="17.100000000000001" customHeight="1" x14ac:dyDescent="0.25">
      <c r="AH1209" s="187"/>
      <c r="AI1209" s="181"/>
    </row>
    <row r="1210" spans="34:35" ht="17.100000000000001" customHeight="1" x14ac:dyDescent="0.25">
      <c r="AH1210" s="187"/>
      <c r="AI1210" s="181"/>
    </row>
    <row r="1211" spans="34:35" ht="17.100000000000001" customHeight="1" x14ac:dyDescent="0.25">
      <c r="AH1211" s="187"/>
      <c r="AI1211" s="181"/>
    </row>
    <row r="1212" spans="34:35" ht="17.100000000000001" customHeight="1" x14ac:dyDescent="0.25">
      <c r="AH1212" s="187"/>
      <c r="AI1212" s="181"/>
    </row>
    <row r="1213" spans="34:35" ht="17.100000000000001" customHeight="1" x14ac:dyDescent="0.25">
      <c r="AH1213" s="187"/>
      <c r="AI1213" s="181"/>
    </row>
    <row r="1214" spans="34:35" ht="17.100000000000001" customHeight="1" x14ac:dyDescent="0.25">
      <c r="AH1214" s="187"/>
      <c r="AI1214" s="181"/>
    </row>
    <row r="1215" spans="34:35" ht="17.100000000000001" customHeight="1" x14ac:dyDescent="0.25">
      <c r="AH1215" s="187"/>
      <c r="AI1215" s="181"/>
    </row>
    <row r="1216" spans="34:35" ht="17.100000000000001" customHeight="1" x14ac:dyDescent="0.25">
      <c r="AH1216" s="187"/>
      <c r="AI1216" s="181"/>
    </row>
    <row r="1217" spans="34:35" ht="17.100000000000001" customHeight="1" x14ac:dyDescent="0.25">
      <c r="AH1217" s="187"/>
      <c r="AI1217" s="181"/>
    </row>
    <row r="1218" spans="34:35" ht="17.100000000000001" customHeight="1" x14ac:dyDescent="0.25">
      <c r="AH1218" s="187"/>
      <c r="AI1218" s="181"/>
    </row>
    <row r="1219" spans="34:35" ht="17.100000000000001" customHeight="1" x14ac:dyDescent="0.25">
      <c r="AH1219" s="187"/>
      <c r="AI1219" s="181"/>
    </row>
    <row r="1220" spans="34:35" ht="17.100000000000001" customHeight="1" x14ac:dyDescent="0.25">
      <c r="AH1220" s="187"/>
      <c r="AI1220" s="181"/>
    </row>
    <row r="1221" spans="34:35" ht="17.100000000000001" customHeight="1" x14ac:dyDescent="0.25">
      <c r="AH1221" s="187"/>
      <c r="AI1221" s="181"/>
    </row>
    <row r="1222" spans="34:35" ht="17.100000000000001" customHeight="1" x14ac:dyDescent="0.25">
      <c r="AH1222" s="187"/>
      <c r="AI1222" s="181"/>
    </row>
    <row r="1223" spans="34:35" ht="17.100000000000001" customHeight="1" x14ac:dyDescent="0.25">
      <c r="AH1223" s="187"/>
      <c r="AI1223" s="181"/>
    </row>
    <row r="1224" spans="34:35" ht="17.100000000000001" customHeight="1" x14ac:dyDescent="0.25">
      <c r="AH1224" s="187"/>
      <c r="AI1224" s="181"/>
    </row>
    <row r="1225" spans="34:35" ht="17.100000000000001" customHeight="1" x14ac:dyDescent="0.25">
      <c r="AH1225" s="187"/>
      <c r="AI1225" s="181"/>
    </row>
    <row r="1226" spans="34:35" ht="17.100000000000001" customHeight="1" x14ac:dyDescent="0.25">
      <c r="AH1226" s="187"/>
      <c r="AI1226" s="181"/>
    </row>
    <row r="1227" spans="34:35" ht="17.100000000000001" customHeight="1" x14ac:dyDescent="0.25">
      <c r="AH1227" s="187"/>
      <c r="AI1227" s="181"/>
    </row>
    <row r="1228" spans="34:35" ht="17.100000000000001" customHeight="1" x14ac:dyDescent="0.25">
      <c r="AH1228" s="187"/>
      <c r="AI1228" s="181"/>
    </row>
    <row r="1229" spans="34:35" ht="17.100000000000001" customHeight="1" x14ac:dyDescent="0.25">
      <c r="AH1229" s="187"/>
      <c r="AI1229" s="181"/>
    </row>
    <row r="1230" spans="34:35" ht="17.100000000000001" customHeight="1" x14ac:dyDescent="0.25">
      <c r="AH1230" s="187"/>
      <c r="AI1230" s="181"/>
    </row>
    <row r="1231" spans="34:35" ht="17.100000000000001" customHeight="1" x14ac:dyDescent="0.25">
      <c r="AH1231" s="187"/>
      <c r="AI1231" s="181"/>
    </row>
    <row r="1232" spans="34:35" ht="17.100000000000001" customHeight="1" x14ac:dyDescent="0.25">
      <c r="AH1232" s="187"/>
      <c r="AI1232" s="181"/>
    </row>
    <row r="1233" spans="34:35" ht="17.100000000000001" customHeight="1" x14ac:dyDescent="0.25">
      <c r="AH1233" s="187"/>
      <c r="AI1233" s="181"/>
    </row>
    <row r="1234" spans="34:35" ht="17.100000000000001" customHeight="1" x14ac:dyDescent="0.25">
      <c r="AH1234" s="187"/>
      <c r="AI1234" s="181"/>
    </row>
    <row r="1235" spans="34:35" ht="17.100000000000001" customHeight="1" x14ac:dyDescent="0.25">
      <c r="AH1235" s="187"/>
      <c r="AI1235" s="181"/>
    </row>
    <row r="1236" spans="34:35" ht="17.100000000000001" customHeight="1" x14ac:dyDescent="0.25">
      <c r="AH1236" s="187"/>
      <c r="AI1236" s="181"/>
    </row>
    <row r="1237" spans="34:35" ht="17.100000000000001" customHeight="1" x14ac:dyDescent="0.25">
      <c r="AH1237" s="187"/>
      <c r="AI1237" s="181"/>
    </row>
    <row r="1238" spans="34:35" ht="17.100000000000001" customHeight="1" x14ac:dyDescent="0.25">
      <c r="AH1238" s="187"/>
      <c r="AI1238" s="181"/>
    </row>
    <row r="1239" spans="34:35" ht="17.100000000000001" customHeight="1" x14ac:dyDescent="0.25">
      <c r="AH1239" s="187"/>
      <c r="AI1239" s="181"/>
    </row>
    <row r="1240" spans="34:35" ht="17.100000000000001" customHeight="1" x14ac:dyDescent="0.25">
      <c r="AH1240" s="187"/>
      <c r="AI1240" s="181"/>
    </row>
    <row r="1241" spans="34:35" ht="17.100000000000001" customHeight="1" x14ac:dyDescent="0.25">
      <c r="AH1241" s="187"/>
      <c r="AI1241" s="181"/>
    </row>
    <row r="1242" spans="34:35" ht="17.100000000000001" customHeight="1" x14ac:dyDescent="0.25">
      <c r="AH1242" s="187"/>
      <c r="AI1242" s="181"/>
    </row>
    <row r="1243" spans="34:35" ht="17.100000000000001" customHeight="1" x14ac:dyDescent="0.25">
      <c r="AH1243" s="187"/>
      <c r="AI1243" s="181"/>
    </row>
    <row r="1244" spans="34:35" ht="17.100000000000001" customHeight="1" x14ac:dyDescent="0.25">
      <c r="AH1244" s="187"/>
      <c r="AI1244" s="181"/>
    </row>
    <row r="1245" spans="34:35" ht="17.100000000000001" customHeight="1" x14ac:dyDescent="0.25">
      <c r="AH1245" s="187"/>
      <c r="AI1245" s="181"/>
    </row>
    <row r="1246" spans="34:35" ht="17.100000000000001" customHeight="1" x14ac:dyDescent="0.25">
      <c r="AH1246" s="187"/>
      <c r="AI1246" s="181"/>
    </row>
    <row r="1247" spans="34:35" ht="17.100000000000001" customHeight="1" x14ac:dyDescent="0.25">
      <c r="AH1247" s="187"/>
      <c r="AI1247" s="181"/>
    </row>
    <row r="1248" spans="34:35" ht="17.100000000000001" customHeight="1" x14ac:dyDescent="0.25">
      <c r="AH1248" s="187"/>
      <c r="AI1248" s="181"/>
    </row>
    <row r="1249" spans="34:35" ht="17.100000000000001" customHeight="1" x14ac:dyDescent="0.25">
      <c r="AH1249" s="187"/>
      <c r="AI1249" s="181"/>
    </row>
    <row r="1250" spans="34:35" ht="17.100000000000001" customHeight="1" x14ac:dyDescent="0.25">
      <c r="AH1250" s="187"/>
      <c r="AI1250" s="181"/>
    </row>
    <row r="1251" spans="34:35" ht="17.100000000000001" customHeight="1" x14ac:dyDescent="0.25">
      <c r="AH1251" s="187"/>
      <c r="AI1251" s="181"/>
    </row>
    <row r="1252" spans="34:35" ht="17.100000000000001" customHeight="1" x14ac:dyDescent="0.25">
      <c r="AH1252" s="187"/>
      <c r="AI1252" s="181"/>
    </row>
    <row r="1253" spans="34:35" ht="17.100000000000001" customHeight="1" x14ac:dyDescent="0.25">
      <c r="AH1253" s="187"/>
      <c r="AI1253" s="181"/>
    </row>
    <row r="1254" spans="34:35" ht="17.100000000000001" customHeight="1" x14ac:dyDescent="0.25">
      <c r="AH1254" s="187"/>
      <c r="AI1254" s="181"/>
    </row>
    <row r="1255" spans="34:35" ht="17.100000000000001" customHeight="1" x14ac:dyDescent="0.25">
      <c r="AH1255" s="187"/>
      <c r="AI1255" s="181"/>
    </row>
    <row r="1256" spans="34:35" ht="17.100000000000001" customHeight="1" x14ac:dyDescent="0.25">
      <c r="AH1256" s="187"/>
      <c r="AI1256" s="181"/>
    </row>
    <row r="1257" spans="34:35" ht="17.100000000000001" customHeight="1" x14ac:dyDescent="0.25">
      <c r="AH1257" s="187"/>
      <c r="AI1257" s="181"/>
    </row>
    <row r="1258" spans="34:35" ht="17.100000000000001" customHeight="1" x14ac:dyDescent="0.25">
      <c r="AH1258" s="187"/>
      <c r="AI1258" s="181"/>
    </row>
    <row r="1259" spans="34:35" ht="17.100000000000001" customHeight="1" x14ac:dyDescent="0.25">
      <c r="AH1259" s="187"/>
      <c r="AI1259" s="181"/>
    </row>
    <row r="1260" spans="34:35" ht="17.100000000000001" customHeight="1" x14ac:dyDescent="0.25">
      <c r="AH1260" s="187"/>
      <c r="AI1260" s="181"/>
    </row>
    <row r="1261" spans="34:35" ht="17.100000000000001" customHeight="1" x14ac:dyDescent="0.25">
      <c r="AH1261" s="187"/>
      <c r="AI1261" s="181"/>
    </row>
    <row r="1262" spans="34:35" ht="17.100000000000001" customHeight="1" x14ac:dyDescent="0.25">
      <c r="AH1262" s="187"/>
      <c r="AI1262" s="181"/>
    </row>
    <row r="1263" spans="34:35" ht="17.100000000000001" customHeight="1" x14ac:dyDescent="0.25">
      <c r="AH1263" s="187"/>
      <c r="AI1263" s="181"/>
    </row>
    <row r="1264" spans="34:35" ht="17.100000000000001" customHeight="1" x14ac:dyDescent="0.25">
      <c r="AH1264" s="187"/>
      <c r="AI1264" s="181"/>
    </row>
    <row r="1265" spans="34:35" ht="17.100000000000001" customHeight="1" x14ac:dyDescent="0.25">
      <c r="AH1265" s="187"/>
      <c r="AI1265" s="181"/>
    </row>
    <row r="1266" spans="34:35" ht="17.100000000000001" customHeight="1" x14ac:dyDescent="0.25">
      <c r="AH1266" s="187"/>
      <c r="AI1266" s="181"/>
    </row>
    <row r="1267" spans="34:35" ht="17.100000000000001" customHeight="1" x14ac:dyDescent="0.25">
      <c r="AH1267" s="187"/>
      <c r="AI1267" s="181"/>
    </row>
    <row r="1268" spans="34:35" ht="17.100000000000001" customHeight="1" x14ac:dyDescent="0.25">
      <c r="AH1268" s="187"/>
      <c r="AI1268" s="181"/>
    </row>
    <row r="1269" spans="34:35" ht="17.100000000000001" customHeight="1" x14ac:dyDescent="0.25">
      <c r="AH1269" s="187"/>
      <c r="AI1269" s="181"/>
    </row>
    <row r="1270" spans="34:35" ht="17.100000000000001" customHeight="1" x14ac:dyDescent="0.25">
      <c r="AH1270" s="187"/>
      <c r="AI1270" s="181"/>
    </row>
    <row r="1271" spans="34:35" ht="17.100000000000001" customHeight="1" x14ac:dyDescent="0.25">
      <c r="AH1271" s="187"/>
      <c r="AI1271" s="181"/>
    </row>
    <row r="1272" spans="34:35" ht="17.100000000000001" customHeight="1" x14ac:dyDescent="0.25">
      <c r="AH1272" s="187"/>
      <c r="AI1272" s="181"/>
    </row>
    <row r="1273" spans="34:35" ht="17.100000000000001" customHeight="1" x14ac:dyDescent="0.25">
      <c r="AH1273" s="187"/>
      <c r="AI1273" s="181"/>
    </row>
    <row r="1274" spans="34:35" ht="17.100000000000001" customHeight="1" x14ac:dyDescent="0.25">
      <c r="AH1274" s="187"/>
      <c r="AI1274" s="181"/>
    </row>
    <row r="1275" spans="34:35" ht="17.100000000000001" customHeight="1" x14ac:dyDescent="0.25">
      <c r="AH1275" s="187"/>
      <c r="AI1275" s="181"/>
    </row>
    <row r="1276" spans="34:35" ht="17.100000000000001" customHeight="1" x14ac:dyDescent="0.25">
      <c r="AH1276" s="187"/>
      <c r="AI1276" s="181"/>
    </row>
    <row r="1277" spans="34:35" ht="17.100000000000001" customHeight="1" x14ac:dyDescent="0.25">
      <c r="AH1277" s="187"/>
      <c r="AI1277" s="181"/>
    </row>
    <row r="1278" spans="34:35" ht="17.100000000000001" customHeight="1" x14ac:dyDescent="0.25">
      <c r="AH1278" s="187"/>
      <c r="AI1278" s="181"/>
    </row>
    <row r="1279" spans="34:35" ht="17.100000000000001" customHeight="1" x14ac:dyDescent="0.25">
      <c r="AH1279" s="187"/>
      <c r="AI1279" s="181"/>
    </row>
    <row r="1280" spans="34:35" ht="17.100000000000001" customHeight="1" x14ac:dyDescent="0.25">
      <c r="AH1280" s="187"/>
      <c r="AI1280" s="181"/>
    </row>
    <row r="1281" spans="34:35" ht="17.100000000000001" customHeight="1" x14ac:dyDescent="0.25">
      <c r="AH1281" s="187"/>
      <c r="AI1281" s="181"/>
    </row>
    <row r="1282" spans="34:35" ht="17.100000000000001" customHeight="1" x14ac:dyDescent="0.25">
      <c r="AH1282" s="187"/>
      <c r="AI1282" s="181"/>
    </row>
    <row r="1283" spans="34:35" ht="17.100000000000001" customHeight="1" x14ac:dyDescent="0.25">
      <c r="AH1283" s="187"/>
      <c r="AI1283" s="181"/>
    </row>
    <row r="1284" spans="34:35" ht="17.100000000000001" customHeight="1" x14ac:dyDescent="0.25">
      <c r="AH1284" s="187"/>
      <c r="AI1284" s="181"/>
    </row>
    <row r="1285" spans="34:35" ht="17.100000000000001" customHeight="1" x14ac:dyDescent="0.25">
      <c r="AH1285" s="187"/>
      <c r="AI1285" s="181"/>
    </row>
    <row r="1286" spans="34:35" ht="17.100000000000001" customHeight="1" x14ac:dyDescent="0.25">
      <c r="AH1286" s="187"/>
      <c r="AI1286" s="181"/>
    </row>
    <row r="1287" spans="34:35" ht="17.100000000000001" customHeight="1" x14ac:dyDescent="0.25">
      <c r="AH1287" s="187"/>
      <c r="AI1287" s="181"/>
    </row>
    <row r="1288" spans="34:35" ht="17.100000000000001" customHeight="1" x14ac:dyDescent="0.25">
      <c r="AH1288" s="187"/>
      <c r="AI1288" s="181"/>
    </row>
    <row r="1289" spans="34:35" ht="17.100000000000001" customHeight="1" x14ac:dyDescent="0.25">
      <c r="AH1289" s="187"/>
      <c r="AI1289" s="181"/>
    </row>
    <row r="1290" spans="34:35" ht="17.100000000000001" customHeight="1" x14ac:dyDescent="0.25">
      <c r="AH1290" s="187"/>
      <c r="AI1290" s="181"/>
    </row>
    <row r="1291" spans="34:35" ht="17.100000000000001" customHeight="1" x14ac:dyDescent="0.25">
      <c r="AH1291" s="187"/>
      <c r="AI1291" s="181"/>
    </row>
    <row r="1292" spans="34:35" ht="17.100000000000001" customHeight="1" x14ac:dyDescent="0.25">
      <c r="AH1292" s="187"/>
      <c r="AI1292" s="181"/>
    </row>
    <row r="1293" spans="34:35" ht="17.100000000000001" customHeight="1" x14ac:dyDescent="0.25">
      <c r="AH1293" s="187"/>
      <c r="AI1293" s="181"/>
    </row>
    <row r="1294" spans="34:35" ht="17.100000000000001" customHeight="1" x14ac:dyDescent="0.25">
      <c r="AH1294" s="187"/>
      <c r="AI1294" s="181"/>
    </row>
    <row r="1295" spans="34:35" ht="17.100000000000001" customHeight="1" x14ac:dyDescent="0.25">
      <c r="AH1295" s="187"/>
      <c r="AI1295" s="181"/>
    </row>
    <row r="1296" spans="34:35" ht="17.100000000000001" customHeight="1" x14ac:dyDescent="0.25">
      <c r="AH1296" s="187"/>
      <c r="AI1296" s="181"/>
    </row>
    <row r="1297" spans="34:35" ht="17.100000000000001" customHeight="1" x14ac:dyDescent="0.25">
      <c r="AH1297" s="187"/>
      <c r="AI1297" s="181"/>
    </row>
    <row r="1298" spans="34:35" ht="17.100000000000001" customHeight="1" x14ac:dyDescent="0.25">
      <c r="AH1298" s="187"/>
      <c r="AI1298" s="181"/>
    </row>
    <row r="1299" spans="34:35" ht="17.100000000000001" customHeight="1" x14ac:dyDescent="0.25">
      <c r="AH1299" s="187"/>
      <c r="AI1299" s="181"/>
    </row>
    <row r="1300" spans="34:35" ht="17.100000000000001" customHeight="1" x14ac:dyDescent="0.25">
      <c r="AH1300" s="187"/>
      <c r="AI1300" s="181"/>
    </row>
    <row r="1301" spans="34:35" ht="17.100000000000001" customHeight="1" x14ac:dyDescent="0.25">
      <c r="AH1301" s="187"/>
      <c r="AI1301" s="181"/>
    </row>
    <row r="1302" spans="34:35" ht="17.100000000000001" customHeight="1" x14ac:dyDescent="0.25">
      <c r="AH1302" s="187"/>
      <c r="AI1302" s="181"/>
    </row>
    <row r="1303" spans="34:35" ht="17.100000000000001" customHeight="1" x14ac:dyDescent="0.25">
      <c r="AH1303" s="187"/>
      <c r="AI1303" s="181"/>
    </row>
    <row r="1304" spans="34:35" ht="17.100000000000001" customHeight="1" x14ac:dyDescent="0.25">
      <c r="AH1304" s="187"/>
      <c r="AI1304" s="181"/>
    </row>
    <row r="1305" spans="34:35" ht="17.100000000000001" customHeight="1" x14ac:dyDescent="0.25">
      <c r="AH1305" s="187"/>
      <c r="AI1305" s="181"/>
    </row>
    <row r="1306" spans="34:35" ht="17.100000000000001" customHeight="1" x14ac:dyDescent="0.25">
      <c r="AH1306" s="187"/>
      <c r="AI1306" s="181"/>
    </row>
    <row r="1307" spans="34:35" ht="17.100000000000001" customHeight="1" x14ac:dyDescent="0.25">
      <c r="AH1307" s="187"/>
      <c r="AI1307" s="181"/>
    </row>
    <row r="1308" spans="34:35" ht="17.100000000000001" customHeight="1" x14ac:dyDescent="0.25">
      <c r="AH1308" s="187"/>
      <c r="AI1308" s="181"/>
    </row>
    <row r="1309" spans="34:35" ht="17.100000000000001" customHeight="1" x14ac:dyDescent="0.25">
      <c r="AH1309" s="187"/>
      <c r="AI1309" s="181"/>
    </row>
    <row r="1310" spans="34:35" ht="17.100000000000001" customHeight="1" x14ac:dyDescent="0.25">
      <c r="AH1310" s="187"/>
      <c r="AI1310" s="181"/>
    </row>
    <row r="1311" spans="34:35" ht="17.100000000000001" customHeight="1" x14ac:dyDescent="0.25">
      <c r="AH1311" s="187"/>
      <c r="AI1311" s="181"/>
    </row>
    <row r="1312" spans="34:35" ht="17.100000000000001" customHeight="1" x14ac:dyDescent="0.25">
      <c r="AH1312" s="187"/>
      <c r="AI1312" s="181"/>
    </row>
    <row r="1313" spans="34:35" ht="17.100000000000001" customHeight="1" x14ac:dyDescent="0.25">
      <c r="AH1313" s="187"/>
      <c r="AI1313" s="181"/>
    </row>
    <row r="1314" spans="34:35" ht="17.100000000000001" customHeight="1" x14ac:dyDescent="0.25">
      <c r="AH1314" s="187"/>
      <c r="AI1314" s="181"/>
    </row>
    <row r="1315" spans="34:35" ht="17.100000000000001" customHeight="1" x14ac:dyDescent="0.25">
      <c r="AH1315" s="187"/>
      <c r="AI1315" s="181"/>
    </row>
    <row r="1316" spans="34:35" ht="17.100000000000001" customHeight="1" x14ac:dyDescent="0.25">
      <c r="AH1316" s="187"/>
      <c r="AI1316" s="181"/>
    </row>
    <row r="1317" spans="34:35" ht="17.100000000000001" customHeight="1" x14ac:dyDescent="0.25">
      <c r="AH1317" s="187"/>
      <c r="AI1317" s="181"/>
    </row>
    <row r="1318" spans="34:35" ht="17.100000000000001" customHeight="1" x14ac:dyDescent="0.25">
      <c r="AH1318" s="187"/>
      <c r="AI1318" s="181"/>
    </row>
    <row r="1319" spans="34:35" ht="17.100000000000001" customHeight="1" x14ac:dyDescent="0.25">
      <c r="AH1319" s="187"/>
      <c r="AI1319" s="181"/>
    </row>
    <row r="1320" spans="34:35" ht="17.100000000000001" customHeight="1" x14ac:dyDescent="0.25">
      <c r="AH1320" s="187"/>
      <c r="AI1320" s="181"/>
    </row>
    <row r="1321" spans="34:35" ht="17.100000000000001" customHeight="1" x14ac:dyDescent="0.25">
      <c r="AH1321" s="187"/>
      <c r="AI1321" s="181"/>
    </row>
    <row r="1322" spans="34:35" ht="17.100000000000001" customHeight="1" x14ac:dyDescent="0.25">
      <c r="AH1322" s="187"/>
      <c r="AI1322" s="181"/>
    </row>
    <row r="1323" spans="34:35" ht="17.100000000000001" customHeight="1" x14ac:dyDescent="0.25">
      <c r="AH1323" s="187"/>
      <c r="AI1323" s="181"/>
    </row>
    <row r="1324" spans="34:35" ht="17.100000000000001" customHeight="1" x14ac:dyDescent="0.25">
      <c r="AH1324" s="187"/>
      <c r="AI1324" s="181"/>
    </row>
    <row r="1325" spans="34:35" ht="17.100000000000001" customHeight="1" x14ac:dyDescent="0.25">
      <c r="AH1325" s="187"/>
      <c r="AI1325" s="181"/>
    </row>
    <row r="1326" spans="34:35" ht="17.100000000000001" customHeight="1" x14ac:dyDescent="0.25">
      <c r="AH1326" s="187"/>
      <c r="AI1326" s="181"/>
    </row>
    <row r="1327" spans="34:35" ht="17.100000000000001" customHeight="1" x14ac:dyDescent="0.25">
      <c r="AH1327" s="187"/>
      <c r="AI1327" s="181"/>
    </row>
    <row r="1328" spans="34:35" ht="17.100000000000001" customHeight="1" x14ac:dyDescent="0.25">
      <c r="AH1328" s="187"/>
      <c r="AI1328" s="181"/>
    </row>
    <row r="1329" spans="34:35" ht="17.100000000000001" customHeight="1" x14ac:dyDescent="0.25">
      <c r="AH1329" s="187"/>
      <c r="AI1329" s="181"/>
    </row>
    <row r="1330" spans="34:35" ht="17.100000000000001" customHeight="1" x14ac:dyDescent="0.25">
      <c r="AH1330" s="187"/>
      <c r="AI1330" s="181"/>
    </row>
    <row r="1331" spans="34:35" ht="17.100000000000001" customHeight="1" x14ac:dyDescent="0.25">
      <c r="AH1331" s="187"/>
      <c r="AI1331" s="181"/>
    </row>
    <row r="1332" spans="34:35" ht="17.100000000000001" customHeight="1" x14ac:dyDescent="0.25">
      <c r="AH1332" s="187"/>
      <c r="AI1332" s="181"/>
    </row>
    <row r="1333" spans="34:35" ht="17.100000000000001" customHeight="1" x14ac:dyDescent="0.25">
      <c r="AH1333" s="187"/>
      <c r="AI1333" s="181"/>
    </row>
    <row r="1334" spans="34:35" ht="17.100000000000001" customHeight="1" x14ac:dyDescent="0.25">
      <c r="AH1334" s="187"/>
      <c r="AI1334" s="181"/>
    </row>
    <row r="1335" spans="34:35" ht="17.100000000000001" customHeight="1" x14ac:dyDescent="0.25">
      <c r="AH1335" s="187"/>
      <c r="AI1335" s="181"/>
    </row>
    <row r="1336" spans="34:35" ht="17.100000000000001" customHeight="1" x14ac:dyDescent="0.25">
      <c r="AH1336" s="187"/>
      <c r="AI1336" s="181"/>
    </row>
    <row r="1337" spans="34:35" ht="17.100000000000001" customHeight="1" x14ac:dyDescent="0.25">
      <c r="AH1337" s="187"/>
      <c r="AI1337" s="181"/>
    </row>
    <row r="1338" spans="34:35" ht="17.100000000000001" customHeight="1" x14ac:dyDescent="0.25">
      <c r="AH1338" s="187"/>
      <c r="AI1338" s="181"/>
    </row>
    <row r="1339" spans="34:35" ht="17.100000000000001" customHeight="1" x14ac:dyDescent="0.25">
      <c r="AH1339" s="187"/>
      <c r="AI1339" s="181"/>
    </row>
    <row r="1340" spans="34:35" ht="17.100000000000001" customHeight="1" x14ac:dyDescent="0.25">
      <c r="AH1340" s="187"/>
      <c r="AI1340" s="181"/>
    </row>
    <row r="1341" spans="34:35" ht="17.100000000000001" customHeight="1" x14ac:dyDescent="0.25">
      <c r="AH1341" s="187"/>
      <c r="AI1341" s="181"/>
    </row>
    <row r="1342" spans="34:35" ht="17.100000000000001" customHeight="1" x14ac:dyDescent="0.25">
      <c r="AH1342" s="187"/>
      <c r="AI1342" s="181"/>
    </row>
    <row r="1343" spans="34:35" ht="17.100000000000001" customHeight="1" x14ac:dyDescent="0.25">
      <c r="AH1343" s="187"/>
      <c r="AI1343" s="181"/>
    </row>
    <row r="1344" spans="34:35" ht="17.100000000000001" customHeight="1" x14ac:dyDescent="0.25">
      <c r="AH1344" s="187"/>
      <c r="AI1344" s="181"/>
    </row>
    <row r="1345" spans="34:35" ht="17.100000000000001" customHeight="1" x14ac:dyDescent="0.25">
      <c r="AH1345" s="187"/>
      <c r="AI1345" s="181"/>
    </row>
    <row r="1346" spans="34:35" ht="17.100000000000001" customHeight="1" x14ac:dyDescent="0.25">
      <c r="AH1346" s="187"/>
      <c r="AI1346" s="181"/>
    </row>
    <row r="1347" spans="34:35" ht="17.100000000000001" customHeight="1" x14ac:dyDescent="0.25">
      <c r="AH1347" s="187"/>
      <c r="AI1347" s="181"/>
    </row>
    <row r="1348" spans="34:35" ht="17.100000000000001" customHeight="1" x14ac:dyDescent="0.25">
      <c r="AH1348" s="187"/>
      <c r="AI1348" s="181"/>
    </row>
    <row r="1349" spans="34:35" ht="17.100000000000001" customHeight="1" x14ac:dyDescent="0.25">
      <c r="AH1349" s="187"/>
      <c r="AI1349" s="181"/>
    </row>
    <row r="1350" spans="34:35" ht="17.100000000000001" customHeight="1" x14ac:dyDescent="0.25">
      <c r="AH1350" s="187"/>
      <c r="AI1350" s="181"/>
    </row>
    <row r="1351" spans="34:35" ht="17.100000000000001" customHeight="1" x14ac:dyDescent="0.25">
      <c r="AH1351" s="187"/>
      <c r="AI1351" s="181"/>
    </row>
    <row r="1352" spans="34:35" ht="17.100000000000001" customHeight="1" x14ac:dyDescent="0.25">
      <c r="AH1352" s="187"/>
      <c r="AI1352" s="181"/>
    </row>
    <row r="1353" spans="34:35" ht="17.100000000000001" customHeight="1" x14ac:dyDescent="0.25">
      <c r="AH1353" s="187"/>
      <c r="AI1353" s="181"/>
    </row>
    <row r="1354" spans="34:35" ht="17.100000000000001" customHeight="1" x14ac:dyDescent="0.25">
      <c r="AH1354" s="187"/>
      <c r="AI1354" s="181"/>
    </row>
    <row r="1355" spans="34:35" ht="17.100000000000001" customHeight="1" x14ac:dyDescent="0.25">
      <c r="AH1355" s="187"/>
      <c r="AI1355" s="181"/>
    </row>
    <row r="1356" spans="34:35" ht="17.100000000000001" customHeight="1" x14ac:dyDescent="0.25">
      <c r="AH1356" s="187"/>
      <c r="AI1356" s="181"/>
    </row>
    <row r="1357" spans="34:35" ht="17.100000000000001" customHeight="1" x14ac:dyDescent="0.25">
      <c r="AH1357" s="187"/>
      <c r="AI1357" s="181"/>
    </row>
    <row r="1358" spans="34:35" ht="17.100000000000001" customHeight="1" x14ac:dyDescent="0.25">
      <c r="AH1358" s="187"/>
      <c r="AI1358" s="181"/>
    </row>
    <row r="1359" spans="34:35" ht="17.100000000000001" customHeight="1" x14ac:dyDescent="0.25">
      <c r="AH1359" s="187"/>
      <c r="AI1359" s="181"/>
    </row>
    <row r="1360" spans="34:35" ht="17.100000000000001" customHeight="1" x14ac:dyDescent="0.25">
      <c r="AH1360" s="187"/>
      <c r="AI1360" s="181"/>
    </row>
    <row r="1361" spans="34:35" ht="17.100000000000001" customHeight="1" x14ac:dyDescent="0.25">
      <c r="AH1361" s="187"/>
      <c r="AI1361" s="181"/>
    </row>
    <row r="1362" spans="34:35" ht="17.100000000000001" customHeight="1" x14ac:dyDescent="0.25">
      <c r="AH1362" s="187"/>
      <c r="AI1362" s="181"/>
    </row>
    <row r="1363" spans="34:35" ht="17.100000000000001" customHeight="1" x14ac:dyDescent="0.25">
      <c r="AH1363" s="187"/>
      <c r="AI1363" s="181"/>
    </row>
    <row r="1364" spans="34:35" ht="17.100000000000001" customHeight="1" x14ac:dyDescent="0.25">
      <c r="AH1364" s="187"/>
      <c r="AI1364" s="181"/>
    </row>
    <row r="1365" spans="34:35" ht="17.100000000000001" customHeight="1" x14ac:dyDescent="0.25">
      <c r="AH1365" s="187"/>
      <c r="AI1365" s="181"/>
    </row>
    <row r="1366" spans="34:35" ht="17.100000000000001" customHeight="1" x14ac:dyDescent="0.25">
      <c r="AH1366" s="187"/>
      <c r="AI1366" s="181"/>
    </row>
    <row r="1367" spans="34:35" ht="17.100000000000001" customHeight="1" x14ac:dyDescent="0.25">
      <c r="AH1367" s="187"/>
      <c r="AI1367" s="181"/>
    </row>
    <row r="1368" spans="34:35" ht="17.100000000000001" customHeight="1" x14ac:dyDescent="0.25">
      <c r="AH1368" s="187"/>
      <c r="AI1368" s="181"/>
    </row>
    <row r="1369" spans="34:35" ht="17.100000000000001" customHeight="1" x14ac:dyDescent="0.25">
      <c r="AH1369" s="187"/>
      <c r="AI1369" s="181"/>
    </row>
    <row r="1370" spans="34:35" ht="17.100000000000001" customHeight="1" x14ac:dyDescent="0.25">
      <c r="AH1370" s="187"/>
      <c r="AI1370" s="181"/>
    </row>
    <row r="1371" spans="34:35" ht="17.100000000000001" customHeight="1" x14ac:dyDescent="0.25">
      <c r="AH1371" s="187"/>
      <c r="AI1371" s="181"/>
    </row>
    <row r="1372" spans="34:35" ht="17.100000000000001" customHeight="1" x14ac:dyDescent="0.25">
      <c r="AH1372" s="187"/>
      <c r="AI1372" s="181"/>
    </row>
    <row r="1373" spans="34:35" ht="17.100000000000001" customHeight="1" x14ac:dyDescent="0.25">
      <c r="AH1373" s="187"/>
      <c r="AI1373" s="181"/>
    </row>
    <row r="1374" spans="34:35" ht="17.100000000000001" customHeight="1" x14ac:dyDescent="0.25">
      <c r="AH1374" s="187"/>
      <c r="AI1374" s="181"/>
    </row>
    <row r="1375" spans="34:35" ht="17.100000000000001" customHeight="1" x14ac:dyDescent="0.25">
      <c r="AH1375" s="187"/>
      <c r="AI1375" s="181"/>
    </row>
    <row r="1376" spans="34:35" ht="17.100000000000001" customHeight="1" x14ac:dyDescent="0.25">
      <c r="AH1376" s="187"/>
      <c r="AI1376" s="181"/>
    </row>
    <row r="1377" spans="34:35" ht="17.100000000000001" customHeight="1" x14ac:dyDescent="0.25">
      <c r="AH1377" s="187"/>
      <c r="AI1377" s="181"/>
    </row>
    <row r="1378" spans="34:35" ht="17.100000000000001" customHeight="1" x14ac:dyDescent="0.25">
      <c r="AH1378" s="187"/>
      <c r="AI1378" s="181"/>
    </row>
    <row r="1379" spans="34:35" ht="17.100000000000001" customHeight="1" x14ac:dyDescent="0.25">
      <c r="AH1379" s="187"/>
      <c r="AI1379" s="181"/>
    </row>
    <row r="1380" spans="34:35" ht="17.100000000000001" customHeight="1" x14ac:dyDescent="0.25">
      <c r="AH1380" s="187"/>
      <c r="AI1380" s="181"/>
    </row>
    <row r="1381" spans="34:35" ht="17.100000000000001" customHeight="1" x14ac:dyDescent="0.25">
      <c r="AH1381" s="187"/>
      <c r="AI1381" s="181"/>
    </row>
    <row r="1382" spans="34:35" ht="17.100000000000001" customHeight="1" x14ac:dyDescent="0.25">
      <c r="AH1382" s="187"/>
      <c r="AI1382" s="181"/>
    </row>
    <row r="1383" spans="34:35" ht="17.100000000000001" customHeight="1" x14ac:dyDescent="0.25">
      <c r="AH1383" s="187"/>
      <c r="AI1383" s="181"/>
    </row>
    <row r="1384" spans="34:35" ht="17.100000000000001" customHeight="1" x14ac:dyDescent="0.25">
      <c r="AH1384" s="187"/>
      <c r="AI1384" s="181"/>
    </row>
    <row r="1385" spans="34:35" ht="17.100000000000001" customHeight="1" x14ac:dyDescent="0.25">
      <c r="AH1385" s="187"/>
      <c r="AI1385" s="181"/>
    </row>
    <row r="1386" spans="34:35" ht="17.100000000000001" customHeight="1" x14ac:dyDescent="0.25">
      <c r="AH1386" s="187"/>
      <c r="AI1386" s="181"/>
    </row>
    <row r="1387" spans="34:35" ht="17.100000000000001" customHeight="1" x14ac:dyDescent="0.25">
      <c r="AH1387" s="187"/>
      <c r="AI1387" s="181"/>
    </row>
    <row r="1388" spans="34:35" ht="17.100000000000001" customHeight="1" x14ac:dyDescent="0.25">
      <c r="AH1388" s="187"/>
      <c r="AI1388" s="181"/>
    </row>
    <row r="1389" spans="34:35" ht="17.100000000000001" customHeight="1" x14ac:dyDescent="0.25">
      <c r="AH1389" s="187"/>
      <c r="AI1389" s="181"/>
    </row>
    <row r="1390" spans="34:35" ht="17.100000000000001" customHeight="1" x14ac:dyDescent="0.25">
      <c r="AH1390" s="187"/>
      <c r="AI1390" s="181"/>
    </row>
    <row r="1391" spans="34:35" ht="17.100000000000001" customHeight="1" x14ac:dyDescent="0.25">
      <c r="AH1391" s="187"/>
      <c r="AI1391" s="181"/>
    </row>
    <row r="1392" spans="34:35" ht="17.100000000000001" customHeight="1" x14ac:dyDescent="0.25">
      <c r="AH1392" s="187"/>
      <c r="AI1392" s="181"/>
    </row>
    <row r="1393" spans="34:35" ht="17.100000000000001" customHeight="1" x14ac:dyDescent="0.25">
      <c r="AH1393" s="187"/>
      <c r="AI1393" s="181"/>
    </row>
    <row r="1394" spans="34:35" ht="17.100000000000001" customHeight="1" x14ac:dyDescent="0.25">
      <c r="AH1394" s="187"/>
      <c r="AI1394" s="181"/>
    </row>
    <row r="1395" spans="34:35" ht="17.100000000000001" customHeight="1" x14ac:dyDescent="0.25">
      <c r="AH1395" s="187"/>
      <c r="AI1395" s="181"/>
    </row>
    <row r="1396" spans="34:35" ht="17.100000000000001" customHeight="1" x14ac:dyDescent="0.25">
      <c r="AH1396" s="187"/>
      <c r="AI1396" s="181"/>
    </row>
    <row r="1397" spans="34:35" ht="17.100000000000001" customHeight="1" x14ac:dyDescent="0.25">
      <c r="AH1397" s="187"/>
      <c r="AI1397" s="181"/>
    </row>
    <row r="1398" spans="34:35" ht="17.100000000000001" customHeight="1" x14ac:dyDescent="0.25">
      <c r="AH1398" s="187"/>
      <c r="AI1398" s="181"/>
    </row>
    <row r="1399" spans="34:35" ht="17.100000000000001" customHeight="1" x14ac:dyDescent="0.25">
      <c r="AH1399" s="187"/>
      <c r="AI1399" s="181"/>
    </row>
    <row r="1400" spans="34:35" ht="17.100000000000001" customHeight="1" x14ac:dyDescent="0.25">
      <c r="AH1400" s="187"/>
      <c r="AI1400" s="181"/>
    </row>
    <row r="1401" spans="34:35" ht="17.100000000000001" customHeight="1" x14ac:dyDescent="0.25">
      <c r="AH1401" s="187"/>
      <c r="AI1401" s="181"/>
    </row>
    <row r="1402" spans="34:35" ht="17.100000000000001" customHeight="1" x14ac:dyDescent="0.25">
      <c r="AH1402" s="187"/>
      <c r="AI1402" s="181"/>
    </row>
    <row r="1403" spans="34:35" ht="17.100000000000001" customHeight="1" x14ac:dyDescent="0.25">
      <c r="AH1403" s="187"/>
      <c r="AI1403" s="181"/>
    </row>
    <row r="1404" spans="34:35" ht="17.100000000000001" customHeight="1" x14ac:dyDescent="0.25">
      <c r="AH1404" s="187"/>
      <c r="AI1404" s="181"/>
    </row>
    <row r="1405" spans="34:35" ht="17.100000000000001" customHeight="1" x14ac:dyDescent="0.25">
      <c r="AH1405" s="187"/>
      <c r="AI1405" s="181"/>
    </row>
    <row r="1406" spans="34:35" ht="17.100000000000001" customHeight="1" x14ac:dyDescent="0.25">
      <c r="AH1406" s="187"/>
      <c r="AI1406" s="181"/>
    </row>
    <row r="1407" spans="34:35" ht="17.100000000000001" customHeight="1" x14ac:dyDescent="0.25">
      <c r="AH1407" s="187"/>
      <c r="AI1407" s="181"/>
    </row>
    <row r="1408" spans="34:35" ht="17.100000000000001" customHeight="1" x14ac:dyDescent="0.25">
      <c r="AH1408" s="187"/>
      <c r="AI1408" s="181"/>
    </row>
    <row r="1409" spans="34:35" ht="17.100000000000001" customHeight="1" x14ac:dyDescent="0.25">
      <c r="AH1409" s="187"/>
      <c r="AI1409" s="181"/>
    </row>
    <row r="1410" spans="34:35" ht="17.100000000000001" customHeight="1" x14ac:dyDescent="0.25">
      <c r="AH1410" s="187"/>
      <c r="AI1410" s="181"/>
    </row>
    <row r="1411" spans="34:35" ht="17.100000000000001" customHeight="1" x14ac:dyDescent="0.25">
      <c r="AH1411" s="187"/>
      <c r="AI1411" s="181"/>
    </row>
    <row r="1412" spans="34:35" ht="17.100000000000001" customHeight="1" x14ac:dyDescent="0.25">
      <c r="AH1412" s="187"/>
      <c r="AI1412" s="181"/>
    </row>
    <row r="1413" spans="34:35" ht="17.100000000000001" customHeight="1" x14ac:dyDescent="0.25">
      <c r="AH1413" s="187"/>
      <c r="AI1413" s="181"/>
    </row>
    <row r="1414" spans="34:35" ht="17.100000000000001" customHeight="1" x14ac:dyDescent="0.25">
      <c r="AH1414" s="187"/>
      <c r="AI1414" s="181"/>
    </row>
    <row r="1415" spans="34:35" ht="17.100000000000001" customHeight="1" x14ac:dyDescent="0.25">
      <c r="AH1415" s="187"/>
      <c r="AI1415" s="181"/>
    </row>
    <row r="1416" spans="34:35" ht="17.100000000000001" customHeight="1" x14ac:dyDescent="0.25">
      <c r="AH1416" s="187"/>
      <c r="AI1416" s="181"/>
    </row>
    <row r="1417" spans="34:35" ht="17.100000000000001" customHeight="1" x14ac:dyDescent="0.25">
      <c r="AH1417" s="187"/>
      <c r="AI1417" s="181"/>
    </row>
    <row r="1418" spans="34:35" ht="17.100000000000001" customHeight="1" x14ac:dyDescent="0.25">
      <c r="AH1418" s="187"/>
      <c r="AI1418" s="181"/>
    </row>
    <row r="1419" spans="34:35" ht="17.100000000000001" customHeight="1" x14ac:dyDescent="0.25">
      <c r="AH1419" s="187"/>
      <c r="AI1419" s="181"/>
    </row>
    <row r="1420" spans="34:35" ht="17.100000000000001" customHeight="1" x14ac:dyDescent="0.25">
      <c r="AH1420" s="187"/>
      <c r="AI1420" s="181"/>
    </row>
    <row r="1421" spans="34:35" ht="17.100000000000001" customHeight="1" x14ac:dyDescent="0.25">
      <c r="AH1421" s="187"/>
      <c r="AI1421" s="181"/>
    </row>
    <row r="1422" spans="34:35" ht="17.100000000000001" customHeight="1" x14ac:dyDescent="0.25">
      <c r="AH1422" s="187"/>
      <c r="AI1422" s="181"/>
    </row>
    <row r="1423" spans="34:35" ht="17.100000000000001" customHeight="1" x14ac:dyDescent="0.25">
      <c r="AH1423" s="187"/>
      <c r="AI1423" s="181"/>
    </row>
    <row r="1424" spans="34:35" ht="17.100000000000001" customHeight="1" x14ac:dyDescent="0.25">
      <c r="AH1424" s="187"/>
      <c r="AI1424" s="181"/>
    </row>
    <row r="1425" spans="34:35" ht="17.100000000000001" customHeight="1" x14ac:dyDescent="0.25">
      <c r="AH1425" s="187"/>
      <c r="AI1425" s="181"/>
    </row>
    <row r="1426" spans="34:35" ht="17.100000000000001" customHeight="1" x14ac:dyDescent="0.25">
      <c r="AH1426" s="187"/>
      <c r="AI1426" s="181"/>
    </row>
    <row r="1427" spans="34:35" ht="17.100000000000001" customHeight="1" x14ac:dyDescent="0.25">
      <c r="AH1427" s="187"/>
      <c r="AI1427" s="181"/>
    </row>
    <row r="1428" spans="34:35" ht="17.100000000000001" customHeight="1" x14ac:dyDescent="0.25">
      <c r="AH1428" s="187"/>
      <c r="AI1428" s="181"/>
    </row>
    <row r="1429" spans="34:35" ht="17.100000000000001" customHeight="1" x14ac:dyDescent="0.25">
      <c r="AH1429" s="187"/>
      <c r="AI1429" s="181"/>
    </row>
    <row r="1430" spans="34:35" ht="17.100000000000001" customHeight="1" x14ac:dyDescent="0.25">
      <c r="AH1430" s="187"/>
      <c r="AI1430" s="181"/>
    </row>
    <row r="1431" spans="34:35" ht="17.100000000000001" customHeight="1" x14ac:dyDescent="0.25">
      <c r="AH1431" s="187"/>
      <c r="AI1431" s="181"/>
    </row>
    <row r="1432" spans="34:35" ht="17.100000000000001" customHeight="1" x14ac:dyDescent="0.25">
      <c r="AH1432" s="187"/>
      <c r="AI1432" s="181"/>
    </row>
    <row r="1433" spans="34:35" ht="17.100000000000001" customHeight="1" x14ac:dyDescent="0.25">
      <c r="AH1433" s="187"/>
      <c r="AI1433" s="181"/>
    </row>
    <row r="1434" spans="34:35" ht="17.100000000000001" customHeight="1" x14ac:dyDescent="0.25">
      <c r="AH1434" s="187"/>
      <c r="AI1434" s="181"/>
    </row>
    <row r="1435" spans="34:35" ht="17.100000000000001" customHeight="1" x14ac:dyDescent="0.25">
      <c r="AH1435" s="187"/>
      <c r="AI1435" s="181"/>
    </row>
    <row r="1436" spans="34:35" ht="17.100000000000001" customHeight="1" x14ac:dyDescent="0.25">
      <c r="AH1436" s="187"/>
      <c r="AI1436" s="181"/>
    </row>
    <row r="1437" spans="34:35" ht="17.100000000000001" customHeight="1" x14ac:dyDescent="0.25">
      <c r="AH1437" s="187"/>
      <c r="AI1437" s="181"/>
    </row>
    <row r="1438" spans="34:35" ht="17.100000000000001" customHeight="1" x14ac:dyDescent="0.25">
      <c r="AH1438" s="187"/>
      <c r="AI1438" s="181"/>
    </row>
    <row r="1439" spans="34:35" ht="17.100000000000001" customHeight="1" x14ac:dyDescent="0.25">
      <c r="AH1439" s="187"/>
      <c r="AI1439" s="181"/>
    </row>
    <row r="1440" spans="34:35" ht="17.100000000000001" customHeight="1" x14ac:dyDescent="0.25">
      <c r="AH1440" s="187"/>
      <c r="AI1440" s="181"/>
    </row>
    <row r="1441" spans="34:35" ht="17.100000000000001" customHeight="1" x14ac:dyDescent="0.25">
      <c r="AH1441" s="187"/>
      <c r="AI1441" s="181"/>
    </row>
    <row r="1442" spans="34:35" ht="17.100000000000001" customHeight="1" x14ac:dyDescent="0.25">
      <c r="AH1442" s="187"/>
      <c r="AI1442" s="181"/>
    </row>
    <row r="1443" spans="34:35" ht="17.100000000000001" customHeight="1" x14ac:dyDescent="0.25">
      <c r="AH1443" s="187"/>
      <c r="AI1443" s="181"/>
    </row>
    <row r="1444" spans="34:35" ht="17.100000000000001" customHeight="1" x14ac:dyDescent="0.25">
      <c r="AH1444" s="187"/>
      <c r="AI1444" s="181"/>
    </row>
    <row r="1445" spans="34:35" ht="17.100000000000001" customHeight="1" x14ac:dyDescent="0.25">
      <c r="AH1445" s="187"/>
      <c r="AI1445" s="181"/>
    </row>
    <row r="1446" spans="34:35" ht="17.100000000000001" customHeight="1" x14ac:dyDescent="0.25">
      <c r="AH1446" s="187"/>
      <c r="AI1446" s="181"/>
    </row>
    <row r="1447" spans="34:35" ht="17.100000000000001" customHeight="1" x14ac:dyDescent="0.25">
      <c r="AH1447" s="187"/>
      <c r="AI1447" s="181"/>
    </row>
    <row r="1448" spans="34:35" ht="17.100000000000001" customHeight="1" x14ac:dyDescent="0.25">
      <c r="AH1448" s="187"/>
      <c r="AI1448" s="181"/>
    </row>
    <row r="1449" spans="34:35" ht="17.100000000000001" customHeight="1" x14ac:dyDescent="0.25">
      <c r="AH1449" s="187"/>
      <c r="AI1449" s="181"/>
    </row>
    <row r="1450" spans="34:35" ht="17.100000000000001" customHeight="1" x14ac:dyDescent="0.25">
      <c r="AH1450" s="187"/>
      <c r="AI1450" s="181"/>
    </row>
    <row r="1451" spans="34:35" ht="17.100000000000001" customHeight="1" x14ac:dyDescent="0.25">
      <c r="AH1451" s="187"/>
      <c r="AI1451" s="181"/>
    </row>
    <row r="1452" spans="34:35" ht="17.100000000000001" customHeight="1" x14ac:dyDescent="0.25">
      <c r="AH1452" s="187"/>
      <c r="AI1452" s="181"/>
    </row>
    <row r="1453" spans="34:35" ht="17.100000000000001" customHeight="1" x14ac:dyDescent="0.25">
      <c r="AH1453" s="187"/>
      <c r="AI1453" s="181"/>
    </row>
    <row r="1454" spans="34:35" ht="17.100000000000001" customHeight="1" x14ac:dyDescent="0.25">
      <c r="AH1454" s="187"/>
      <c r="AI1454" s="181"/>
    </row>
    <row r="1455" spans="34:35" ht="17.100000000000001" customHeight="1" x14ac:dyDescent="0.25">
      <c r="AH1455" s="187"/>
      <c r="AI1455" s="181"/>
    </row>
    <row r="1456" spans="34:35" ht="17.100000000000001" customHeight="1" x14ac:dyDescent="0.25">
      <c r="AH1456" s="187"/>
      <c r="AI1456" s="181"/>
    </row>
    <row r="1457" spans="34:35" ht="17.100000000000001" customHeight="1" x14ac:dyDescent="0.25">
      <c r="AH1457" s="187"/>
      <c r="AI1457" s="181"/>
    </row>
    <row r="1458" spans="34:35" ht="17.100000000000001" customHeight="1" x14ac:dyDescent="0.25">
      <c r="AH1458" s="187"/>
      <c r="AI1458" s="181"/>
    </row>
    <row r="1459" spans="34:35" ht="17.100000000000001" customHeight="1" x14ac:dyDescent="0.25">
      <c r="AH1459" s="187"/>
      <c r="AI1459" s="181"/>
    </row>
    <row r="1460" spans="34:35" ht="17.100000000000001" customHeight="1" x14ac:dyDescent="0.25">
      <c r="AH1460" s="187"/>
      <c r="AI1460" s="181"/>
    </row>
    <row r="1461" spans="34:35" ht="17.100000000000001" customHeight="1" x14ac:dyDescent="0.25">
      <c r="AH1461" s="187"/>
      <c r="AI1461" s="181"/>
    </row>
    <row r="1462" spans="34:35" ht="17.100000000000001" customHeight="1" x14ac:dyDescent="0.25">
      <c r="AH1462" s="187"/>
      <c r="AI1462" s="181"/>
    </row>
    <row r="1463" spans="34:35" ht="17.100000000000001" customHeight="1" x14ac:dyDescent="0.25">
      <c r="AH1463" s="187"/>
      <c r="AI1463" s="181"/>
    </row>
    <row r="1464" spans="34:35" ht="17.100000000000001" customHeight="1" x14ac:dyDescent="0.25">
      <c r="AH1464" s="187"/>
      <c r="AI1464" s="181"/>
    </row>
    <row r="1465" spans="34:35" ht="17.100000000000001" customHeight="1" x14ac:dyDescent="0.25">
      <c r="AH1465" s="187"/>
      <c r="AI1465" s="181"/>
    </row>
    <row r="1466" spans="34:35" ht="17.100000000000001" customHeight="1" x14ac:dyDescent="0.25">
      <c r="AH1466" s="187"/>
      <c r="AI1466" s="181"/>
    </row>
    <row r="1467" spans="34:35" ht="17.100000000000001" customHeight="1" x14ac:dyDescent="0.25">
      <c r="AH1467" s="187"/>
      <c r="AI1467" s="181"/>
    </row>
    <row r="1468" spans="34:35" ht="17.100000000000001" customHeight="1" x14ac:dyDescent="0.25">
      <c r="AH1468" s="187"/>
      <c r="AI1468" s="181"/>
    </row>
    <row r="1469" spans="34:35" ht="17.100000000000001" customHeight="1" x14ac:dyDescent="0.25">
      <c r="AH1469" s="187"/>
      <c r="AI1469" s="181"/>
    </row>
    <row r="1470" spans="34:35" ht="17.100000000000001" customHeight="1" x14ac:dyDescent="0.25">
      <c r="AH1470" s="187"/>
      <c r="AI1470" s="181"/>
    </row>
    <row r="1471" spans="34:35" ht="17.100000000000001" customHeight="1" x14ac:dyDescent="0.25">
      <c r="AH1471" s="187"/>
      <c r="AI1471" s="181"/>
    </row>
    <row r="1472" spans="34:35" ht="17.100000000000001" customHeight="1" x14ac:dyDescent="0.25">
      <c r="AH1472" s="187"/>
      <c r="AI1472" s="181"/>
    </row>
    <row r="1473" spans="34:35" ht="17.100000000000001" customHeight="1" x14ac:dyDescent="0.25">
      <c r="AH1473" s="187"/>
      <c r="AI1473" s="181"/>
    </row>
    <row r="1474" spans="34:35" ht="17.100000000000001" customHeight="1" x14ac:dyDescent="0.25">
      <c r="AH1474" s="187"/>
      <c r="AI1474" s="181"/>
    </row>
    <row r="1475" spans="34:35" ht="17.100000000000001" customHeight="1" x14ac:dyDescent="0.25">
      <c r="AH1475" s="187"/>
      <c r="AI1475" s="181"/>
    </row>
    <row r="1476" spans="34:35" ht="17.100000000000001" customHeight="1" x14ac:dyDescent="0.25">
      <c r="AH1476" s="187"/>
      <c r="AI1476" s="181"/>
    </row>
    <row r="1477" spans="34:35" ht="17.100000000000001" customHeight="1" x14ac:dyDescent="0.25">
      <c r="AH1477" s="187"/>
      <c r="AI1477" s="181"/>
    </row>
    <row r="1478" spans="34:35" ht="17.100000000000001" customHeight="1" x14ac:dyDescent="0.25">
      <c r="AH1478" s="187"/>
      <c r="AI1478" s="181"/>
    </row>
    <row r="1479" spans="34:35" ht="17.100000000000001" customHeight="1" x14ac:dyDescent="0.25">
      <c r="AH1479" s="187"/>
      <c r="AI1479" s="181"/>
    </row>
    <row r="1480" spans="34:35" ht="17.100000000000001" customHeight="1" x14ac:dyDescent="0.25">
      <c r="AH1480" s="187"/>
      <c r="AI1480" s="181"/>
    </row>
    <row r="1481" spans="34:35" ht="17.100000000000001" customHeight="1" x14ac:dyDescent="0.25">
      <c r="AH1481" s="187"/>
      <c r="AI1481" s="181"/>
    </row>
    <row r="1482" spans="34:35" ht="17.100000000000001" customHeight="1" x14ac:dyDescent="0.25">
      <c r="AH1482" s="187"/>
      <c r="AI1482" s="181"/>
    </row>
    <row r="1483" spans="34:35" ht="17.100000000000001" customHeight="1" x14ac:dyDescent="0.25">
      <c r="AH1483" s="187"/>
      <c r="AI1483" s="181"/>
    </row>
    <row r="1484" spans="34:35" ht="17.100000000000001" customHeight="1" x14ac:dyDescent="0.25">
      <c r="AH1484" s="187"/>
      <c r="AI1484" s="181"/>
    </row>
    <row r="1485" spans="34:35" ht="17.100000000000001" customHeight="1" x14ac:dyDescent="0.25">
      <c r="AH1485" s="187"/>
      <c r="AI1485" s="181"/>
    </row>
    <row r="1486" spans="34:35" ht="17.100000000000001" customHeight="1" x14ac:dyDescent="0.25">
      <c r="AH1486" s="187"/>
      <c r="AI1486" s="181"/>
    </row>
    <row r="1487" spans="34:35" ht="17.100000000000001" customHeight="1" x14ac:dyDescent="0.25">
      <c r="AH1487" s="187"/>
      <c r="AI1487" s="181"/>
    </row>
    <row r="1488" spans="34:35" ht="17.100000000000001" customHeight="1" x14ac:dyDescent="0.25">
      <c r="AH1488" s="187"/>
      <c r="AI1488" s="181"/>
    </row>
    <row r="1489" spans="34:35" ht="17.100000000000001" customHeight="1" x14ac:dyDescent="0.25">
      <c r="AH1489" s="187"/>
      <c r="AI1489" s="181"/>
    </row>
    <row r="1490" spans="34:35" ht="17.100000000000001" customHeight="1" x14ac:dyDescent="0.25">
      <c r="AH1490" s="187"/>
      <c r="AI1490" s="181"/>
    </row>
    <row r="1491" spans="34:35" ht="17.100000000000001" customHeight="1" x14ac:dyDescent="0.25">
      <c r="AH1491" s="187"/>
      <c r="AI1491" s="181"/>
    </row>
    <row r="1492" spans="34:35" ht="17.100000000000001" customHeight="1" x14ac:dyDescent="0.25">
      <c r="AH1492" s="187"/>
      <c r="AI1492" s="181"/>
    </row>
    <row r="1493" spans="34:35" ht="17.100000000000001" customHeight="1" x14ac:dyDescent="0.25">
      <c r="AH1493" s="187"/>
      <c r="AI1493" s="181"/>
    </row>
    <row r="1494" spans="34:35" ht="17.100000000000001" customHeight="1" x14ac:dyDescent="0.25">
      <c r="AH1494" s="187"/>
      <c r="AI1494" s="181"/>
    </row>
    <row r="1495" spans="34:35" ht="17.100000000000001" customHeight="1" x14ac:dyDescent="0.25">
      <c r="AH1495" s="187"/>
      <c r="AI1495" s="181"/>
    </row>
    <row r="1496" spans="34:35" ht="17.100000000000001" customHeight="1" x14ac:dyDescent="0.25">
      <c r="AH1496" s="187"/>
      <c r="AI1496" s="181"/>
    </row>
    <row r="1497" spans="34:35" ht="17.100000000000001" customHeight="1" x14ac:dyDescent="0.25">
      <c r="AH1497" s="187"/>
      <c r="AI1497" s="181"/>
    </row>
    <row r="1498" spans="34:35" ht="17.100000000000001" customHeight="1" x14ac:dyDescent="0.25">
      <c r="AH1498" s="187"/>
      <c r="AI1498" s="181"/>
    </row>
    <row r="1499" spans="34:35" ht="17.100000000000001" customHeight="1" x14ac:dyDescent="0.25">
      <c r="AH1499" s="187"/>
      <c r="AI1499" s="181"/>
    </row>
    <row r="1500" spans="34:35" ht="17.100000000000001" customHeight="1" x14ac:dyDescent="0.25">
      <c r="AH1500" s="187"/>
      <c r="AI1500" s="181"/>
    </row>
    <row r="1501" spans="34:35" ht="17.100000000000001" customHeight="1" x14ac:dyDescent="0.25">
      <c r="AH1501" s="187"/>
      <c r="AI1501" s="181"/>
    </row>
    <row r="1502" spans="34:35" ht="17.100000000000001" customHeight="1" x14ac:dyDescent="0.25">
      <c r="AH1502" s="187"/>
      <c r="AI1502" s="181"/>
    </row>
    <row r="1503" spans="34:35" ht="17.100000000000001" customHeight="1" x14ac:dyDescent="0.25">
      <c r="AH1503" s="187"/>
      <c r="AI1503" s="181"/>
    </row>
    <row r="1504" spans="34:35" ht="17.100000000000001" customHeight="1" x14ac:dyDescent="0.25">
      <c r="AH1504" s="187"/>
      <c r="AI1504" s="181"/>
    </row>
    <row r="1505" spans="34:35" ht="17.100000000000001" customHeight="1" x14ac:dyDescent="0.25">
      <c r="AH1505" s="187"/>
      <c r="AI1505" s="181"/>
    </row>
    <row r="1506" spans="34:35" ht="17.100000000000001" customHeight="1" x14ac:dyDescent="0.25">
      <c r="AH1506" s="187"/>
      <c r="AI1506" s="181"/>
    </row>
    <row r="1507" spans="34:35" ht="17.100000000000001" customHeight="1" x14ac:dyDescent="0.25">
      <c r="AH1507" s="187"/>
      <c r="AI1507" s="181"/>
    </row>
    <row r="1508" spans="34:35" ht="17.100000000000001" customHeight="1" x14ac:dyDescent="0.25">
      <c r="AH1508" s="187"/>
      <c r="AI1508" s="181"/>
    </row>
    <row r="1509" spans="34:35" ht="17.100000000000001" customHeight="1" x14ac:dyDescent="0.25">
      <c r="AH1509" s="187"/>
      <c r="AI1509" s="181"/>
    </row>
    <row r="1510" spans="34:35" ht="17.100000000000001" customHeight="1" x14ac:dyDescent="0.25">
      <c r="AH1510" s="187"/>
      <c r="AI1510" s="181"/>
    </row>
    <row r="1511" spans="34:35" ht="17.100000000000001" customHeight="1" x14ac:dyDescent="0.25">
      <c r="AH1511" s="187"/>
      <c r="AI1511" s="181"/>
    </row>
    <row r="1512" spans="34:35" ht="17.100000000000001" customHeight="1" x14ac:dyDescent="0.25">
      <c r="AH1512" s="187"/>
      <c r="AI1512" s="181"/>
    </row>
    <row r="1513" spans="34:35" ht="17.100000000000001" customHeight="1" x14ac:dyDescent="0.25">
      <c r="AH1513" s="187"/>
      <c r="AI1513" s="181"/>
    </row>
    <row r="1514" spans="34:35" ht="17.100000000000001" customHeight="1" x14ac:dyDescent="0.25">
      <c r="AH1514" s="187"/>
      <c r="AI1514" s="181"/>
    </row>
    <row r="1515" spans="34:35" ht="17.100000000000001" customHeight="1" x14ac:dyDescent="0.25">
      <c r="AH1515" s="187"/>
      <c r="AI1515" s="181"/>
    </row>
    <row r="1516" spans="34:35" ht="17.100000000000001" customHeight="1" x14ac:dyDescent="0.25">
      <c r="AH1516" s="187"/>
      <c r="AI1516" s="181"/>
    </row>
    <row r="1517" spans="34:35" ht="17.100000000000001" customHeight="1" x14ac:dyDescent="0.25">
      <c r="AH1517" s="187"/>
      <c r="AI1517" s="181"/>
    </row>
    <row r="1518" spans="34:35" ht="17.100000000000001" customHeight="1" x14ac:dyDescent="0.25">
      <c r="AH1518" s="187"/>
      <c r="AI1518" s="181"/>
    </row>
    <row r="1519" spans="34:35" ht="17.100000000000001" customHeight="1" x14ac:dyDescent="0.25">
      <c r="AH1519" s="187"/>
      <c r="AI1519" s="181"/>
    </row>
    <row r="1520" spans="34:35" ht="17.100000000000001" customHeight="1" x14ac:dyDescent="0.25">
      <c r="AH1520" s="187"/>
      <c r="AI1520" s="181"/>
    </row>
    <row r="1521" spans="34:35" ht="17.100000000000001" customHeight="1" x14ac:dyDescent="0.25">
      <c r="AH1521" s="187"/>
      <c r="AI1521" s="181"/>
    </row>
    <row r="1522" spans="34:35" ht="17.100000000000001" customHeight="1" x14ac:dyDescent="0.25">
      <c r="AH1522" s="187"/>
      <c r="AI1522" s="181"/>
    </row>
    <row r="1523" spans="34:35" ht="17.100000000000001" customHeight="1" x14ac:dyDescent="0.25">
      <c r="AH1523" s="187"/>
      <c r="AI1523" s="181"/>
    </row>
    <row r="1524" spans="34:35" ht="17.100000000000001" customHeight="1" x14ac:dyDescent="0.25">
      <c r="AH1524" s="187"/>
      <c r="AI1524" s="181"/>
    </row>
    <row r="1525" spans="34:35" ht="17.100000000000001" customHeight="1" x14ac:dyDescent="0.25">
      <c r="AH1525" s="187"/>
      <c r="AI1525" s="181"/>
    </row>
    <row r="1526" spans="34:35" ht="17.100000000000001" customHeight="1" x14ac:dyDescent="0.25">
      <c r="AH1526" s="187"/>
      <c r="AI1526" s="181"/>
    </row>
    <row r="1527" spans="34:35" ht="17.100000000000001" customHeight="1" x14ac:dyDescent="0.25">
      <c r="AH1527" s="187"/>
      <c r="AI1527" s="181"/>
    </row>
    <row r="1528" spans="34:35" ht="17.100000000000001" customHeight="1" x14ac:dyDescent="0.25">
      <c r="AH1528" s="187"/>
      <c r="AI1528" s="181"/>
    </row>
    <row r="1529" spans="34:35" ht="17.100000000000001" customHeight="1" x14ac:dyDescent="0.25">
      <c r="AH1529" s="187"/>
      <c r="AI1529" s="181"/>
    </row>
    <row r="1530" spans="34:35" ht="17.100000000000001" customHeight="1" x14ac:dyDescent="0.25">
      <c r="AH1530" s="187"/>
      <c r="AI1530" s="181"/>
    </row>
    <row r="1531" spans="34:35" ht="17.100000000000001" customHeight="1" x14ac:dyDescent="0.25">
      <c r="AH1531" s="187"/>
      <c r="AI1531" s="181"/>
    </row>
    <row r="1532" spans="34:35" ht="17.100000000000001" customHeight="1" x14ac:dyDescent="0.25">
      <c r="AH1532" s="187"/>
      <c r="AI1532" s="181"/>
    </row>
    <row r="1533" spans="34:35" ht="17.100000000000001" customHeight="1" x14ac:dyDescent="0.25">
      <c r="AH1533" s="187"/>
      <c r="AI1533" s="181"/>
    </row>
    <row r="1534" spans="34:35" ht="17.100000000000001" customHeight="1" x14ac:dyDescent="0.25">
      <c r="AH1534" s="187"/>
      <c r="AI1534" s="181"/>
    </row>
    <row r="1535" spans="34:35" ht="17.100000000000001" customHeight="1" x14ac:dyDescent="0.25">
      <c r="AH1535" s="187"/>
      <c r="AI1535" s="181"/>
    </row>
    <row r="1536" spans="34:35" ht="17.100000000000001" customHeight="1" x14ac:dyDescent="0.25">
      <c r="AH1536" s="187"/>
      <c r="AI1536" s="181"/>
    </row>
    <row r="1537" spans="34:35" ht="17.100000000000001" customHeight="1" x14ac:dyDescent="0.25">
      <c r="AH1537" s="187"/>
      <c r="AI1537" s="181"/>
    </row>
    <row r="1538" spans="34:35" ht="17.100000000000001" customHeight="1" x14ac:dyDescent="0.25">
      <c r="AH1538" s="187"/>
      <c r="AI1538" s="181"/>
    </row>
    <row r="1539" spans="34:35" ht="17.100000000000001" customHeight="1" x14ac:dyDescent="0.25">
      <c r="AH1539" s="187"/>
      <c r="AI1539" s="181"/>
    </row>
    <row r="1540" spans="34:35" ht="17.100000000000001" customHeight="1" x14ac:dyDescent="0.25">
      <c r="AH1540" s="187"/>
      <c r="AI1540" s="181"/>
    </row>
    <row r="1541" spans="34:35" ht="17.100000000000001" customHeight="1" x14ac:dyDescent="0.25">
      <c r="AH1541" s="187"/>
      <c r="AI1541" s="181"/>
    </row>
    <row r="1542" spans="34:35" ht="17.100000000000001" customHeight="1" x14ac:dyDescent="0.25">
      <c r="AH1542" s="187"/>
      <c r="AI1542" s="181"/>
    </row>
    <row r="1543" spans="34:35" ht="17.100000000000001" customHeight="1" x14ac:dyDescent="0.25">
      <c r="AH1543" s="187"/>
      <c r="AI1543" s="181"/>
    </row>
    <row r="1544" spans="34:35" ht="17.100000000000001" customHeight="1" x14ac:dyDescent="0.25">
      <c r="AH1544" s="187"/>
      <c r="AI1544" s="181"/>
    </row>
    <row r="1545" spans="34:35" ht="17.100000000000001" customHeight="1" x14ac:dyDescent="0.25">
      <c r="AH1545" s="187"/>
      <c r="AI1545" s="181"/>
    </row>
    <row r="1546" spans="34:35" ht="17.100000000000001" customHeight="1" x14ac:dyDescent="0.25">
      <c r="AH1546" s="187"/>
      <c r="AI1546" s="181"/>
    </row>
    <row r="1547" spans="34:35" ht="17.100000000000001" customHeight="1" x14ac:dyDescent="0.25">
      <c r="AH1547" s="187"/>
      <c r="AI1547" s="181"/>
    </row>
    <row r="1548" spans="34:35" ht="17.100000000000001" customHeight="1" x14ac:dyDescent="0.25">
      <c r="AH1548" s="187"/>
      <c r="AI1548" s="181"/>
    </row>
    <row r="1549" spans="34:35" ht="17.100000000000001" customHeight="1" x14ac:dyDescent="0.25">
      <c r="AH1549" s="187"/>
      <c r="AI1549" s="181"/>
    </row>
    <row r="1550" spans="34:35" ht="17.100000000000001" customHeight="1" x14ac:dyDescent="0.25">
      <c r="AH1550" s="187"/>
      <c r="AI1550" s="181"/>
    </row>
    <row r="1551" spans="34:35" ht="17.100000000000001" customHeight="1" x14ac:dyDescent="0.25">
      <c r="AH1551" s="187"/>
      <c r="AI1551" s="181"/>
    </row>
    <row r="1552" spans="34:35" ht="17.100000000000001" customHeight="1" x14ac:dyDescent="0.25">
      <c r="AH1552" s="187"/>
      <c r="AI1552" s="181"/>
    </row>
    <row r="1553" spans="34:35" ht="17.100000000000001" customHeight="1" x14ac:dyDescent="0.25">
      <c r="AH1553" s="187"/>
      <c r="AI1553" s="181"/>
    </row>
    <row r="1554" spans="34:35" ht="17.100000000000001" customHeight="1" x14ac:dyDescent="0.25">
      <c r="AH1554" s="187"/>
      <c r="AI1554" s="181"/>
    </row>
    <row r="1555" spans="34:35" ht="17.100000000000001" customHeight="1" x14ac:dyDescent="0.25">
      <c r="AH1555" s="187"/>
      <c r="AI1555" s="181"/>
    </row>
    <row r="1556" spans="34:35" ht="17.100000000000001" customHeight="1" x14ac:dyDescent="0.25">
      <c r="AH1556" s="187"/>
      <c r="AI1556" s="181"/>
    </row>
    <row r="1557" spans="34:35" ht="17.100000000000001" customHeight="1" x14ac:dyDescent="0.25">
      <c r="AH1557" s="187"/>
      <c r="AI1557" s="181"/>
    </row>
    <row r="1558" spans="34:35" ht="17.100000000000001" customHeight="1" x14ac:dyDescent="0.25">
      <c r="AH1558" s="187"/>
      <c r="AI1558" s="181"/>
    </row>
    <row r="1559" spans="34:35" ht="17.100000000000001" customHeight="1" x14ac:dyDescent="0.25">
      <c r="AH1559" s="187"/>
      <c r="AI1559" s="181"/>
    </row>
    <row r="1560" spans="34:35" ht="17.100000000000001" customHeight="1" x14ac:dyDescent="0.25">
      <c r="AH1560" s="187"/>
      <c r="AI1560" s="181"/>
    </row>
    <row r="1561" spans="34:35" ht="17.100000000000001" customHeight="1" x14ac:dyDescent="0.25">
      <c r="AH1561" s="187"/>
      <c r="AI1561" s="181"/>
    </row>
    <row r="1562" spans="34:35" ht="17.100000000000001" customHeight="1" x14ac:dyDescent="0.25">
      <c r="AH1562" s="187"/>
      <c r="AI1562" s="181"/>
    </row>
    <row r="1563" spans="34:35" ht="17.100000000000001" customHeight="1" x14ac:dyDescent="0.25">
      <c r="AH1563" s="187"/>
      <c r="AI1563" s="181"/>
    </row>
    <row r="1564" spans="34:35" ht="17.100000000000001" customHeight="1" x14ac:dyDescent="0.25">
      <c r="AH1564" s="187"/>
      <c r="AI1564" s="181"/>
    </row>
    <row r="1565" spans="34:35" ht="17.100000000000001" customHeight="1" x14ac:dyDescent="0.25">
      <c r="AH1565" s="187"/>
      <c r="AI1565" s="181"/>
    </row>
    <row r="1566" spans="34:35" ht="17.100000000000001" customHeight="1" x14ac:dyDescent="0.25">
      <c r="AH1566" s="187"/>
      <c r="AI1566" s="181"/>
    </row>
    <row r="1567" spans="34:35" ht="17.100000000000001" customHeight="1" x14ac:dyDescent="0.25">
      <c r="AH1567" s="187"/>
      <c r="AI1567" s="181"/>
    </row>
    <row r="1568" spans="34:35" ht="17.100000000000001" customHeight="1" x14ac:dyDescent="0.25">
      <c r="AH1568" s="187"/>
      <c r="AI1568" s="181"/>
    </row>
    <row r="1569" spans="34:35" ht="17.100000000000001" customHeight="1" x14ac:dyDescent="0.25">
      <c r="AH1569" s="187"/>
      <c r="AI1569" s="181"/>
    </row>
    <row r="1570" spans="34:35" ht="17.100000000000001" customHeight="1" x14ac:dyDescent="0.25">
      <c r="AH1570" s="187"/>
      <c r="AI1570" s="181"/>
    </row>
    <row r="1571" spans="34:35" ht="17.100000000000001" customHeight="1" x14ac:dyDescent="0.25">
      <c r="AH1571" s="187"/>
      <c r="AI1571" s="181"/>
    </row>
    <row r="1572" spans="34:35" ht="17.100000000000001" customHeight="1" x14ac:dyDescent="0.25">
      <c r="AH1572" s="187"/>
      <c r="AI1572" s="181"/>
    </row>
    <row r="1573" spans="34:35" ht="17.100000000000001" customHeight="1" x14ac:dyDescent="0.25">
      <c r="AH1573" s="187"/>
      <c r="AI1573" s="181"/>
    </row>
    <row r="1574" spans="34:35" ht="17.100000000000001" customHeight="1" x14ac:dyDescent="0.25">
      <c r="AH1574" s="187"/>
      <c r="AI1574" s="181"/>
    </row>
    <row r="1575" spans="34:35" ht="17.100000000000001" customHeight="1" x14ac:dyDescent="0.25">
      <c r="AH1575" s="187"/>
      <c r="AI1575" s="181"/>
    </row>
    <row r="1576" spans="34:35" ht="17.100000000000001" customHeight="1" x14ac:dyDescent="0.25">
      <c r="AH1576" s="187"/>
      <c r="AI1576" s="181"/>
    </row>
    <row r="1577" spans="34:35" ht="17.100000000000001" customHeight="1" x14ac:dyDescent="0.25">
      <c r="AH1577" s="187"/>
      <c r="AI1577" s="181"/>
    </row>
    <row r="1578" spans="34:35" ht="17.100000000000001" customHeight="1" x14ac:dyDescent="0.25">
      <c r="AH1578" s="187"/>
      <c r="AI1578" s="181"/>
    </row>
    <row r="1579" spans="34:35" ht="17.100000000000001" customHeight="1" x14ac:dyDescent="0.25">
      <c r="AH1579" s="187"/>
      <c r="AI1579" s="181"/>
    </row>
    <row r="1580" spans="34:35" ht="17.100000000000001" customHeight="1" x14ac:dyDescent="0.25">
      <c r="AH1580" s="187"/>
      <c r="AI1580" s="181"/>
    </row>
    <row r="1581" spans="34:35" ht="17.100000000000001" customHeight="1" x14ac:dyDescent="0.25">
      <c r="AH1581" s="187"/>
      <c r="AI1581" s="181"/>
    </row>
    <row r="1582" spans="34:35" ht="17.100000000000001" customHeight="1" x14ac:dyDescent="0.25">
      <c r="AH1582" s="187"/>
      <c r="AI1582" s="181"/>
    </row>
    <row r="1583" spans="34:35" ht="17.100000000000001" customHeight="1" x14ac:dyDescent="0.25">
      <c r="AH1583" s="187"/>
      <c r="AI1583" s="181"/>
    </row>
    <row r="1584" spans="34:35" ht="17.100000000000001" customHeight="1" x14ac:dyDescent="0.25">
      <c r="AH1584" s="187"/>
      <c r="AI1584" s="181"/>
    </row>
    <row r="1585" spans="34:35" ht="17.100000000000001" customHeight="1" x14ac:dyDescent="0.25">
      <c r="AH1585" s="187"/>
      <c r="AI1585" s="181"/>
    </row>
    <row r="1586" spans="34:35" ht="17.100000000000001" customHeight="1" x14ac:dyDescent="0.25">
      <c r="AH1586" s="187"/>
      <c r="AI1586" s="181"/>
    </row>
    <row r="1587" spans="34:35" ht="17.100000000000001" customHeight="1" x14ac:dyDescent="0.25">
      <c r="AH1587" s="187"/>
      <c r="AI1587" s="181"/>
    </row>
    <row r="1588" spans="34:35" ht="17.100000000000001" customHeight="1" x14ac:dyDescent="0.25">
      <c r="AH1588" s="187"/>
      <c r="AI1588" s="181"/>
    </row>
    <row r="1589" spans="34:35" ht="17.100000000000001" customHeight="1" x14ac:dyDescent="0.25">
      <c r="AH1589" s="187"/>
      <c r="AI1589" s="181"/>
    </row>
    <row r="1590" spans="34:35" ht="17.100000000000001" customHeight="1" x14ac:dyDescent="0.25">
      <c r="AH1590" s="187"/>
      <c r="AI1590" s="181"/>
    </row>
    <row r="1591" spans="34:35" ht="17.100000000000001" customHeight="1" x14ac:dyDescent="0.25">
      <c r="AH1591" s="187"/>
      <c r="AI1591" s="181"/>
    </row>
    <row r="1592" spans="34:35" ht="17.100000000000001" customHeight="1" x14ac:dyDescent="0.25">
      <c r="AH1592" s="187"/>
      <c r="AI1592" s="181"/>
    </row>
    <row r="1593" spans="34:35" ht="17.100000000000001" customHeight="1" x14ac:dyDescent="0.25">
      <c r="AH1593" s="187"/>
      <c r="AI1593" s="181"/>
    </row>
    <row r="1594" spans="34:35" ht="17.100000000000001" customHeight="1" x14ac:dyDescent="0.25">
      <c r="AH1594" s="187"/>
      <c r="AI1594" s="181"/>
    </row>
    <row r="1595" spans="34:35" ht="17.100000000000001" customHeight="1" x14ac:dyDescent="0.25">
      <c r="AH1595" s="187"/>
      <c r="AI1595" s="181"/>
    </row>
    <row r="1596" spans="34:35" ht="17.100000000000001" customHeight="1" x14ac:dyDescent="0.25">
      <c r="AH1596" s="187"/>
      <c r="AI1596" s="181"/>
    </row>
    <row r="1597" spans="34:35" ht="17.100000000000001" customHeight="1" x14ac:dyDescent="0.25">
      <c r="AH1597" s="187"/>
      <c r="AI1597" s="181"/>
    </row>
    <row r="1598" spans="34:35" ht="17.100000000000001" customHeight="1" x14ac:dyDescent="0.25">
      <c r="AH1598" s="187"/>
      <c r="AI1598" s="181"/>
    </row>
    <row r="1599" spans="34:35" ht="17.100000000000001" customHeight="1" x14ac:dyDescent="0.25">
      <c r="AH1599" s="187"/>
      <c r="AI1599" s="181"/>
    </row>
    <row r="1600" spans="34:35" ht="17.100000000000001" customHeight="1" x14ac:dyDescent="0.25">
      <c r="AH1600" s="187"/>
      <c r="AI1600" s="181"/>
    </row>
    <row r="1601" spans="34:35" ht="17.100000000000001" customHeight="1" x14ac:dyDescent="0.25">
      <c r="AH1601" s="187"/>
      <c r="AI1601" s="181"/>
    </row>
    <row r="1602" spans="34:35" ht="17.100000000000001" customHeight="1" x14ac:dyDescent="0.25">
      <c r="AH1602" s="187"/>
      <c r="AI1602" s="181"/>
    </row>
    <row r="1603" spans="34:35" ht="17.100000000000001" customHeight="1" x14ac:dyDescent="0.25">
      <c r="AH1603" s="187"/>
      <c r="AI1603" s="181"/>
    </row>
    <row r="1604" spans="34:35" ht="17.100000000000001" customHeight="1" x14ac:dyDescent="0.25">
      <c r="AH1604" s="187"/>
      <c r="AI1604" s="181"/>
    </row>
    <row r="1605" spans="34:35" ht="17.100000000000001" customHeight="1" x14ac:dyDescent="0.25">
      <c r="AH1605" s="187"/>
      <c r="AI1605" s="181"/>
    </row>
    <row r="1606" spans="34:35" ht="17.100000000000001" customHeight="1" x14ac:dyDescent="0.25">
      <c r="AH1606" s="187"/>
      <c r="AI1606" s="181"/>
    </row>
    <row r="1607" spans="34:35" ht="17.100000000000001" customHeight="1" x14ac:dyDescent="0.25">
      <c r="AH1607" s="187"/>
      <c r="AI1607" s="181"/>
    </row>
    <row r="1608" spans="34:35" ht="17.100000000000001" customHeight="1" x14ac:dyDescent="0.25">
      <c r="AH1608" s="187"/>
      <c r="AI1608" s="181"/>
    </row>
    <row r="1609" spans="34:35" ht="17.100000000000001" customHeight="1" x14ac:dyDescent="0.25">
      <c r="AH1609" s="187"/>
      <c r="AI1609" s="181"/>
    </row>
    <row r="1610" spans="34:35" ht="17.100000000000001" customHeight="1" x14ac:dyDescent="0.25">
      <c r="AH1610" s="187"/>
      <c r="AI1610" s="181"/>
    </row>
    <row r="1611" spans="34:35" ht="17.100000000000001" customHeight="1" x14ac:dyDescent="0.25">
      <c r="AH1611" s="187"/>
      <c r="AI1611" s="181"/>
    </row>
    <row r="1612" spans="34:35" ht="17.100000000000001" customHeight="1" x14ac:dyDescent="0.25">
      <c r="AH1612" s="187"/>
      <c r="AI1612" s="181"/>
    </row>
    <row r="1613" spans="34:35" ht="17.100000000000001" customHeight="1" x14ac:dyDescent="0.25">
      <c r="AH1613" s="187"/>
      <c r="AI1613" s="181"/>
    </row>
    <row r="1614" spans="34:35" ht="17.100000000000001" customHeight="1" x14ac:dyDescent="0.25">
      <c r="AH1614" s="187"/>
      <c r="AI1614" s="181"/>
    </row>
    <row r="1615" spans="34:35" ht="17.100000000000001" customHeight="1" x14ac:dyDescent="0.25">
      <c r="AH1615" s="187"/>
      <c r="AI1615" s="181"/>
    </row>
    <row r="1616" spans="34:35" ht="17.100000000000001" customHeight="1" x14ac:dyDescent="0.25">
      <c r="AH1616" s="187"/>
      <c r="AI1616" s="181"/>
    </row>
    <row r="1617" spans="34:35" ht="17.100000000000001" customHeight="1" x14ac:dyDescent="0.25">
      <c r="AH1617" s="187"/>
      <c r="AI1617" s="181"/>
    </row>
    <row r="1618" spans="34:35" ht="17.100000000000001" customHeight="1" x14ac:dyDescent="0.25">
      <c r="AH1618" s="187"/>
      <c r="AI1618" s="181"/>
    </row>
    <row r="1619" spans="34:35" ht="17.100000000000001" customHeight="1" x14ac:dyDescent="0.25">
      <c r="AH1619" s="187"/>
      <c r="AI1619" s="181"/>
    </row>
    <row r="1620" spans="34:35" ht="17.100000000000001" customHeight="1" x14ac:dyDescent="0.25">
      <c r="AH1620" s="187"/>
      <c r="AI1620" s="181"/>
    </row>
    <row r="1621" spans="34:35" ht="17.100000000000001" customHeight="1" x14ac:dyDescent="0.25">
      <c r="AH1621" s="187"/>
      <c r="AI1621" s="181"/>
    </row>
    <row r="1622" spans="34:35" ht="17.100000000000001" customHeight="1" x14ac:dyDescent="0.25">
      <c r="AH1622" s="187"/>
      <c r="AI1622" s="181"/>
    </row>
    <row r="1623" spans="34:35" ht="17.100000000000001" customHeight="1" x14ac:dyDescent="0.25">
      <c r="AH1623" s="187"/>
      <c r="AI1623" s="181"/>
    </row>
    <row r="1624" spans="34:35" ht="17.100000000000001" customHeight="1" x14ac:dyDescent="0.25">
      <c r="AH1624" s="187"/>
      <c r="AI1624" s="181"/>
    </row>
    <row r="1625" spans="34:35" ht="17.100000000000001" customHeight="1" x14ac:dyDescent="0.25">
      <c r="AH1625" s="187"/>
      <c r="AI1625" s="181"/>
    </row>
    <row r="1626" spans="34:35" ht="17.100000000000001" customHeight="1" x14ac:dyDescent="0.25">
      <c r="AH1626" s="187"/>
      <c r="AI1626" s="181"/>
    </row>
    <row r="1627" spans="34:35" ht="17.100000000000001" customHeight="1" x14ac:dyDescent="0.25">
      <c r="AH1627" s="187"/>
      <c r="AI1627" s="181"/>
    </row>
    <row r="1628" spans="34:35" ht="17.100000000000001" customHeight="1" x14ac:dyDescent="0.25">
      <c r="AH1628" s="187"/>
      <c r="AI1628" s="181"/>
    </row>
    <row r="1629" spans="34:35" ht="17.100000000000001" customHeight="1" x14ac:dyDescent="0.25">
      <c r="AH1629" s="187"/>
      <c r="AI1629" s="181"/>
    </row>
    <row r="1630" spans="34:35" ht="17.100000000000001" customHeight="1" x14ac:dyDescent="0.25">
      <c r="AH1630" s="187"/>
      <c r="AI1630" s="181"/>
    </row>
    <row r="1631" spans="34:35" ht="17.100000000000001" customHeight="1" x14ac:dyDescent="0.25">
      <c r="AH1631" s="187"/>
      <c r="AI1631" s="181"/>
    </row>
    <row r="1632" spans="34:35" ht="17.100000000000001" customHeight="1" x14ac:dyDescent="0.25">
      <c r="AH1632" s="187"/>
      <c r="AI1632" s="181"/>
    </row>
    <row r="1633" spans="34:35" ht="17.100000000000001" customHeight="1" x14ac:dyDescent="0.25">
      <c r="AH1633" s="187"/>
      <c r="AI1633" s="181"/>
    </row>
    <row r="1634" spans="34:35" ht="17.100000000000001" customHeight="1" x14ac:dyDescent="0.25">
      <c r="AH1634" s="187"/>
      <c r="AI1634" s="181"/>
    </row>
    <row r="1635" spans="34:35" ht="17.100000000000001" customHeight="1" x14ac:dyDescent="0.25">
      <c r="AH1635" s="187"/>
      <c r="AI1635" s="181"/>
    </row>
    <row r="1636" spans="34:35" ht="17.100000000000001" customHeight="1" x14ac:dyDescent="0.25">
      <c r="AH1636" s="187"/>
      <c r="AI1636" s="181"/>
    </row>
    <row r="1637" spans="34:35" ht="17.100000000000001" customHeight="1" x14ac:dyDescent="0.25">
      <c r="AH1637" s="187"/>
      <c r="AI1637" s="181"/>
    </row>
    <row r="1638" spans="34:35" ht="17.100000000000001" customHeight="1" x14ac:dyDescent="0.25">
      <c r="AH1638" s="187"/>
      <c r="AI1638" s="181"/>
    </row>
    <row r="1639" spans="34:35" ht="17.100000000000001" customHeight="1" x14ac:dyDescent="0.25">
      <c r="AH1639" s="187"/>
      <c r="AI1639" s="181"/>
    </row>
    <row r="1640" spans="34:35" ht="17.100000000000001" customHeight="1" x14ac:dyDescent="0.25">
      <c r="AH1640" s="187"/>
      <c r="AI1640" s="181"/>
    </row>
    <row r="1641" spans="34:35" ht="17.100000000000001" customHeight="1" x14ac:dyDescent="0.25">
      <c r="AH1641" s="187"/>
      <c r="AI1641" s="181"/>
    </row>
    <row r="1642" spans="34:35" ht="17.100000000000001" customHeight="1" x14ac:dyDescent="0.25">
      <c r="AH1642" s="187"/>
      <c r="AI1642" s="181"/>
    </row>
    <row r="1643" spans="34:35" ht="17.100000000000001" customHeight="1" x14ac:dyDescent="0.25">
      <c r="AH1643" s="187"/>
      <c r="AI1643" s="181"/>
    </row>
    <row r="1644" spans="34:35" ht="17.100000000000001" customHeight="1" x14ac:dyDescent="0.25">
      <c r="AH1644" s="187"/>
      <c r="AI1644" s="181"/>
    </row>
    <row r="1645" spans="34:35" ht="17.100000000000001" customHeight="1" x14ac:dyDescent="0.25">
      <c r="AH1645" s="187"/>
      <c r="AI1645" s="181"/>
    </row>
    <row r="1646" spans="34:35" ht="17.100000000000001" customHeight="1" x14ac:dyDescent="0.25">
      <c r="AH1646" s="187"/>
      <c r="AI1646" s="181"/>
    </row>
    <row r="1647" spans="34:35" ht="17.100000000000001" customHeight="1" x14ac:dyDescent="0.25">
      <c r="AH1647" s="187"/>
      <c r="AI1647" s="181"/>
    </row>
    <row r="1648" spans="34:35" ht="17.100000000000001" customHeight="1" x14ac:dyDescent="0.25">
      <c r="AH1648" s="187"/>
      <c r="AI1648" s="181"/>
    </row>
    <row r="1649" spans="34:35" ht="17.100000000000001" customHeight="1" x14ac:dyDescent="0.25">
      <c r="AH1649" s="187"/>
      <c r="AI1649" s="181"/>
    </row>
    <row r="1650" spans="34:35" ht="17.100000000000001" customHeight="1" x14ac:dyDescent="0.25">
      <c r="AH1650" s="187"/>
      <c r="AI1650" s="181"/>
    </row>
    <row r="1651" spans="34:35" ht="17.100000000000001" customHeight="1" x14ac:dyDescent="0.25">
      <c r="AH1651" s="187"/>
      <c r="AI1651" s="181"/>
    </row>
    <row r="1652" spans="34:35" ht="17.100000000000001" customHeight="1" x14ac:dyDescent="0.25">
      <c r="AH1652" s="187"/>
      <c r="AI1652" s="181"/>
    </row>
    <row r="1653" spans="34:35" ht="17.100000000000001" customHeight="1" x14ac:dyDescent="0.25">
      <c r="AH1653" s="187"/>
      <c r="AI1653" s="181"/>
    </row>
    <row r="1654" spans="34:35" ht="17.100000000000001" customHeight="1" x14ac:dyDescent="0.25">
      <c r="AH1654" s="187"/>
      <c r="AI1654" s="181"/>
    </row>
    <row r="1655" spans="34:35" ht="17.100000000000001" customHeight="1" x14ac:dyDescent="0.25">
      <c r="AH1655" s="187"/>
      <c r="AI1655" s="181"/>
    </row>
    <row r="1656" spans="34:35" ht="17.100000000000001" customHeight="1" x14ac:dyDescent="0.25">
      <c r="AH1656" s="187"/>
      <c r="AI1656" s="181"/>
    </row>
    <row r="1657" spans="34:35" ht="17.100000000000001" customHeight="1" x14ac:dyDescent="0.25">
      <c r="AH1657" s="187"/>
      <c r="AI1657" s="181"/>
    </row>
    <row r="1658" spans="34:35" ht="17.100000000000001" customHeight="1" x14ac:dyDescent="0.25">
      <c r="AH1658" s="187"/>
      <c r="AI1658" s="181"/>
    </row>
    <row r="1659" spans="34:35" ht="17.100000000000001" customHeight="1" x14ac:dyDescent="0.25">
      <c r="AH1659" s="187"/>
      <c r="AI1659" s="181"/>
    </row>
    <row r="1660" spans="34:35" ht="17.100000000000001" customHeight="1" x14ac:dyDescent="0.25">
      <c r="AH1660" s="187"/>
      <c r="AI1660" s="181"/>
    </row>
    <row r="1661" spans="34:35" ht="17.100000000000001" customHeight="1" x14ac:dyDescent="0.25">
      <c r="AH1661" s="187"/>
      <c r="AI1661" s="181"/>
    </row>
    <row r="1662" spans="34:35" ht="17.100000000000001" customHeight="1" x14ac:dyDescent="0.25">
      <c r="AH1662" s="187"/>
      <c r="AI1662" s="181"/>
    </row>
    <row r="1663" spans="34:35" ht="17.100000000000001" customHeight="1" x14ac:dyDescent="0.25">
      <c r="AH1663" s="187"/>
      <c r="AI1663" s="181"/>
    </row>
    <row r="1664" spans="34:35" ht="17.100000000000001" customHeight="1" x14ac:dyDescent="0.25">
      <c r="AH1664" s="187"/>
      <c r="AI1664" s="181"/>
    </row>
    <row r="1665" spans="34:35" ht="17.100000000000001" customHeight="1" x14ac:dyDescent="0.25">
      <c r="AH1665" s="187"/>
      <c r="AI1665" s="181"/>
    </row>
    <row r="1666" spans="34:35" ht="17.100000000000001" customHeight="1" x14ac:dyDescent="0.25">
      <c r="AH1666" s="187"/>
      <c r="AI1666" s="181"/>
    </row>
    <row r="1667" spans="34:35" ht="17.100000000000001" customHeight="1" x14ac:dyDescent="0.25">
      <c r="AH1667" s="187"/>
      <c r="AI1667" s="181"/>
    </row>
    <row r="1668" spans="34:35" ht="17.100000000000001" customHeight="1" x14ac:dyDescent="0.25">
      <c r="AH1668" s="187"/>
      <c r="AI1668" s="181"/>
    </row>
    <row r="1669" spans="34:35" ht="17.100000000000001" customHeight="1" x14ac:dyDescent="0.25">
      <c r="AH1669" s="187"/>
      <c r="AI1669" s="181"/>
    </row>
    <row r="1670" spans="34:35" ht="17.100000000000001" customHeight="1" x14ac:dyDescent="0.25">
      <c r="AH1670" s="187"/>
      <c r="AI1670" s="181"/>
    </row>
    <row r="1671" spans="34:35" ht="17.100000000000001" customHeight="1" x14ac:dyDescent="0.25">
      <c r="AH1671" s="187"/>
      <c r="AI1671" s="181"/>
    </row>
    <row r="1672" spans="34:35" ht="17.100000000000001" customHeight="1" x14ac:dyDescent="0.25">
      <c r="AH1672" s="187"/>
      <c r="AI1672" s="181"/>
    </row>
    <row r="1673" spans="34:35" ht="17.100000000000001" customHeight="1" x14ac:dyDescent="0.25">
      <c r="AH1673" s="187"/>
      <c r="AI1673" s="181"/>
    </row>
    <row r="1674" spans="34:35" ht="17.100000000000001" customHeight="1" x14ac:dyDescent="0.25">
      <c r="AH1674" s="187"/>
      <c r="AI1674" s="181"/>
    </row>
    <row r="1675" spans="34:35" ht="17.100000000000001" customHeight="1" x14ac:dyDescent="0.25">
      <c r="AH1675" s="187"/>
      <c r="AI1675" s="181"/>
    </row>
    <row r="1676" spans="34:35" ht="17.100000000000001" customHeight="1" x14ac:dyDescent="0.25">
      <c r="AH1676" s="187"/>
      <c r="AI1676" s="181"/>
    </row>
    <row r="1677" spans="34:35" ht="17.100000000000001" customHeight="1" x14ac:dyDescent="0.25">
      <c r="AH1677" s="187"/>
      <c r="AI1677" s="181"/>
    </row>
    <row r="1678" spans="34:35" ht="17.100000000000001" customHeight="1" x14ac:dyDescent="0.25">
      <c r="AH1678" s="187"/>
      <c r="AI1678" s="181"/>
    </row>
    <row r="1679" spans="34:35" ht="17.100000000000001" customHeight="1" x14ac:dyDescent="0.25">
      <c r="AH1679" s="187"/>
      <c r="AI1679" s="181"/>
    </row>
    <row r="1680" spans="34:35" ht="17.100000000000001" customHeight="1" x14ac:dyDescent="0.25">
      <c r="AH1680" s="187"/>
      <c r="AI1680" s="181"/>
    </row>
    <row r="1681" spans="34:35" ht="17.100000000000001" customHeight="1" x14ac:dyDescent="0.25">
      <c r="AH1681" s="187"/>
      <c r="AI1681" s="181"/>
    </row>
    <row r="1682" spans="34:35" ht="17.100000000000001" customHeight="1" x14ac:dyDescent="0.25">
      <c r="AH1682" s="187"/>
      <c r="AI1682" s="181"/>
    </row>
    <row r="1683" spans="34:35" ht="17.100000000000001" customHeight="1" x14ac:dyDescent="0.25">
      <c r="AH1683" s="187"/>
      <c r="AI1683" s="181"/>
    </row>
    <row r="1684" spans="34:35" ht="17.100000000000001" customHeight="1" x14ac:dyDescent="0.25">
      <c r="AH1684" s="187"/>
      <c r="AI1684" s="181"/>
    </row>
    <row r="1685" spans="34:35" ht="17.100000000000001" customHeight="1" x14ac:dyDescent="0.25">
      <c r="AH1685" s="187"/>
      <c r="AI1685" s="181"/>
    </row>
    <row r="1686" spans="34:35" ht="17.100000000000001" customHeight="1" x14ac:dyDescent="0.25">
      <c r="AH1686" s="187"/>
      <c r="AI1686" s="181"/>
    </row>
    <row r="1687" spans="34:35" ht="17.100000000000001" customHeight="1" x14ac:dyDescent="0.25">
      <c r="AH1687" s="187"/>
      <c r="AI1687" s="181"/>
    </row>
    <row r="1688" spans="34:35" ht="17.100000000000001" customHeight="1" x14ac:dyDescent="0.25">
      <c r="AH1688" s="187"/>
      <c r="AI1688" s="181"/>
    </row>
    <row r="1689" spans="34:35" ht="17.100000000000001" customHeight="1" x14ac:dyDescent="0.25">
      <c r="AH1689" s="187"/>
      <c r="AI1689" s="181"/>
    </row>
    <row r="1690" spans="34:35" ht="17.100000000000001" customHeight="1" x14ac:dyDescent="0.25">
      <c r="AH1690" s="187"/>
      <c r="AI1690" s="181"/>
    </row>
    <row r="1691" spans="34:35" ht="17.100000000000001" customHeight="1" x14ac:dyDescent="0.25">
      <c r="AH1691" s="187"/>
      <c r="AI1691" s="181"/>
    </row>
    <row r="1692" spans="34:35" ht="17.100000000000001" customHeight="1" x14ac:dyDescent="0.25">
      <c r="AH1692" s="187"/>
      <c r="AI1692" s="181"/>
    </row>
    <row r="1693" spans="34:35" ht="17.100000000000001" customHeight="1" x14ac:dyDescent="0.25">
      <c r="AH1693" s="187"/>
      <c r="AI1693" s="181"/>
    </row>
    <row r="1694" spans="34:35" ht="17.100000000000001" customHeight="1" x14ac:dyDescent="0.25">
      <c r="AH1694" s="187"/>
      <c r="AI1694" s="181"/>
    </row>
    <row r="1695" spans="34:35" ht="17.100000000000001" customHeight="1" x14ac:dyDescent="0.25">
      <c r="AH1695" s="187"/>
      <c r="AI1695" s="181"/>
    </row>
    <row r="1696" spans="34:35" ht="17.100000000000001" customHeight="1" x14ac:dyDescent="0.25">
      <c r="AH1696" s="187"/>
      <c r="AI1696" s="181"/>
    </row>
    <row r="1697" spans="34:35" ht="17.100000000000001" customHeight="1" x14ac:dyDescent="0.25">
      <c r="AH1697" s="187"/>
      <c r="AI1697" s="181"/>
    </row>
    <row r="1698" spans="34:35" ht="17.100000000000001" customHeight="1" x14ac:dyDescent="0.25">
      <c r="AH1698" s="187"/>
      <c r="AI1698" s="181"/>
    </row>
    <row r="1699" spans="34:35" ht="17.100000000000001" customHeight="1" x14ac:dyDescent="0.25">
      <c r="AH1699" s="187"/>
      <c r="AI1699" s="181"/>
    </row>
    <row r="1700" spans="34:35" ht="17.100000000000001" customHeight="1" x14ac:dyDescent="0.25">
      <c r="AH1700" s="187"/>
      <c r="AI1700" s="181"/>
    </row>
    <row r="1701" spans="34:35" ht="17.100000000000001" customHeight="1" x14ac:dyDescent="0.25">
      <c r="AH1701" s="187"/>
      <c r="AI1701" s="181"/>
    </row>
    <row r="1702" spans="34:35" ht="17.100000000000001" customHeight="1" x14ac:dyDescent="0.25">
      <c r="AH1702" s="187"/>
      <c r="AI1702" s="181"/>
    </row>
    <row r="1703" spans="34:35" ht="17.100000000000001" customHeight="1" x14ac:dyDescent="0.25">
      <c r="AH1703" s="187"/>
      <c r="AI1703" s="181"/>
    </row>
    <row r="1704" spans="34:35" ht="17.100000000000001" customHeight="1" x14ac:dyDescent="0.25">
      <c r="AH1704" s="187"/>
      <c r="AI1704" s="181"/>
    </row>
    <row r="1705" spans="34:35" ht="17.100000000000001" customHeight="1" x14ac:dyDescent="0.25">
      <c r="AH1705" s="187"/>
      <c r="AI1705" s="181"/>
    </row>
    <row r="1706" spans="34:35" ht="17.100000000000001" customHeight="1" x14ac:dyDescent="0.25">
      <c r="AH1706" s="187"/>
      <c r="AI1706" s="181"/>
    </row>
    <row r="1707" spans="34:35" ht="17.100000000000001" customHeight="1" x14ac:dyDescent="0.25">
      <c r="AH1707" s="187"/>
      <c r="AI1707" s="181"/>
    </row>
    <row r="1708" spans="34:35" ht="17.100000000000001" customHeight="1" x14ac:dyDescent="0.25">
      <c r="AH1708" s="187"/>
      <c r="AI1708" s="181"/>
    </row>
    <row r="1709" spans="34:35" ht="17.100000000000001" customHeight="1" x14ac:dyDescent="0.25">
      <c r="AH1709" s="187"/>
      <c r="AI1709" s="181"/>
    </row>
    <row r="1710" spans="34:35" ht="17.100000000000001" customHeight="1" x14ac:dyDescent="0.25">
      <c r="AH1710" s="187"/>
      <c r="AI1710" s="181"/>
    </row>
    <row r="1711" spans="34:35" ht="17.100000000000001" customHeight="1" x14ac:dyDescent="0.25">
      <c r="AH1711" s="187"/>
      <c r="AI1711" s="181"/>
    </row>
    <row r="1712" spans="34:35" ht="17.100000000000001" customHeight="1" x14ac:dyDescent="0.25">
      <c r="AH1712" s="187"/>
      <c r="AI1712" s="181"/>
    </row>
    <row r="1713" spans="34:35" ht="17.100000000000001" customHeight="1" x14ac:dyDescent="0.25">
      <c r="AH1713" s="187"/>
      <c r="AI1713" s="181"/>
    </row>
    <row r="1714" spans="34:35" ht="17.100000000000001" customHeight="1" x14ac:dyDescent="0.25">
      <c r="AH1714" s="187"/>
      <c r="AI1714" s="181"/>
    </row>
    <row r="1715" spans="34:35" ht="17.100000000000001" customHeight="1" x14ac:dyDescent="0.25">
      <c r="AH1715" s="187"/>
      <c r="AI1715" s="181"/>
    </row>
    <row r="1716" spans="34:35" ht="17.100000000000001" customHeight="1" x14ac:dyDescent="0.25">
      <c r="AH1716" s="187"/>
      <c r="AI1716" s="181"/>
    </row>
    <row r="1717" spans="34:35" ht="17.100000000000001" customHeight="1" x14ac:dyDescent="0.25">
      <c r="AH1717" s="187"/>
      <c r="AI1717" s="181"/>
    </row>
    <row r="1718" spans="34:35" ht="17.100000000000001" customHeight="1" x14ac:dyDescent="0.25">
      <c r="AH1718" s="187"/>
      <c r="AI1718" s="181"/>
    </row>
    <row r="1719" spans="34:35" ht="17.100000000000001" customHeight="1" x14ac:dyDescent="0.25">
      <c r="AH1719" s="187"/>
      <c r="AI1719" s="181"/>
    </row>
    <row r="1720" spans="34:35" ht="17.100000000000001" customHeight="1" x14ac:dyDescent="0.25">
      <c r="AH1720" s="187"/>
      <c r="AI1720" s="181"/>
    </row>
    <row r="1721" spans="34:35" ht="17.100000000000001" customHeight="1" x14ac:dyDescent="0.25">
      <c r="AH1721" s="187"/>
      <c r="AI1721" s="181"/>
    </row>
    <row r="1722" spans="34:35" ht="17.100000000000001" customHeight="1" x14ac:dyDescent="0.25">
      <c r="AH1722" s="187"/>
      <c r="AI1722" s="181"/>
    </row>
    <row r="1723" spans="34:35" ht="17.100000000000001" customHeight="1" x14ac:dyDescent="0.25">
      <c r="AH1723" s="187"/>
      <c r="AI1723" s="181"/>
    </row>
    <row r="1724" spans="34:35" ht="17.100000000000001" customHeight="1" x14ac:dyDescent="0.25">
      <c r="AH1724" s="187"/>
      <c r="AI1724" s="181"/>
    </row>
    <row r="1725" spans="34:35" ht="17.100000000000001" customHeight="1" x14ac:dyDescent="0.25">
      <c r="AH1725" s="187"/>
      <c r="AI1725" s="181"/>
    </row>
    <row r="1726" spans="34:35" ht="17.100000000000001" customHeight="1" x14ac:dyDescent="0.25">
      <c r="AH1726" s="187"/>
      <c r="AI1726" s="181"/>
    </row>
    <row r="1727" spans="34:35" ht="17.100000000000001" customHeight="1" x14ac:dyDescent="0.25">
      <c r="AH1727" s="187"/>
      <c r="AI1727" s="181"/>
    </row>
    <row r="1728" spans="34:35" ht="17.100000000000001" customHeight="1" x14ac:dyDescent="0.25">
      <c r="AH1728" s="187"/>
      <c r="AI1728" s="181"/>
    </row>
    <row r="1729" spans="34:35" ht="17.100000000000001" customHeight="1" x14ac:dyDescent="0.25">
      <c r="AH1729" s="187"/>
      <c r="AI1729" s="181"/>
    </row>
    <row r="1730" spans="34:35" ht="17.100000000000001" customHeight="1" x14ac:dyDescent="0.25">
      <c r="AH1730" s="187"/>
      <c r="AI1730" s="181"/>
    </row>
    <row r="1731" spans="34:35" ht="17.100000000000001" customHeight="1" x14ac:dyDescent="0.25">
      <c r="AH1731" s="187"/>
      <c r="AI1731" s="181"/>
    </row>
    <row r="1732" spans="34:35" ht="17.100000000000001" customHeight="1" x14ac:dyDescent="0.25">
      <c r="AH1732" s="187"/>
      <c r="AI1732" s="181"/>
    </row>
    <row r="1733" spans="34:35" ht="17.100000000000001" customHeight="1" x14ac:dyDescent="0.25">
      <c r="AH1733" s="187"/>
      <c r="AI1733" s="181"/>
    </row>
    <row r="1734" spans="34:35" ht="17.100000000000001" customHeight="1" x14ac:dyDescent="0.25">
      <c r="AH1734" s="187"/>
      <c r="AI1734" s="181"/>
    </row>
    <row r="1735" spans="34:35" ht="17.100000000000001" customHeight="1" x14ac:dyDescent="0.25">
      <c r="AH1735" s="187"/>
      <c r="AI1735" s="181"/>
    </row>
    <row r="1736" spans="34:35" ht="17.100000000000001" customHeight="1" x14ac:dyDescent="0.25">
      <c r="AH1736" s="187"/>
      <c r="AI1736" s="181"/>
    </row>
    <row r="1737" spans="34:35" ht="17.100000000000001" customHeight="1" x14ac:dyDescent="0.25">
      <c r="AH1737" s="187"/>
      <c r="AI1737" s="181"/>
    </row>
    <row r="1738" spans="34:35" ht="17.100000000000001" customHeight="1" x14ac:dyDescent="0.25">
      <c r="AH1738" s="187"/>
      <c r="AI1738" s="181"/>
    </row>
    <row r="1739" spans="34:35" ht="17.100000000000001" customHeight="1" x14ac:dyDescent="0.25">
      <c r="AH1739" s="187"/>
      <c r="AI1739" s="181"/>
    </row>
    <row r="1740" spans="34:35" ht="17.100000000000001" customHeight="1" x14ac:dyDescent="0.25">
      <c r="AH1740" s="187"/>
      <c r="AI1740" s="181"/>
    </row>
    <row r="1741" spans="34:35" ht="17.100000000000001" customHeight="1" x14ac:dyDescent="0.25">
      <c r="AH1741" s="187"/>
      <c r="AI1741" s="181"/>
    </row>
    <row r="1742" spans="34:35" ht="17.100000000000001" customHeight="1" x14ac:dyDescent="0.25">
      <c r="AH1742" s="187"/>
      <c r="AI1742" s="181"/>
    </row>
    <row r="1743" spans="34:35" ht="17.100000000000001" customHeight="1" x14ac:dyDescent="0.25">
      <c r="AH1743" s="187"/>
      <c r="AI1743" s="181"/>
    </row>
    <row r="1744" spans="34:35" ht="17.100000000000001" customHeight="1" x14ac:dyDescent="0.25">
      <c r="AH1744" s="187"/>
      <c r="AI1744" s="181"/>
    </row>
    <row r="1745" spans="34:35" ht="17.100000000000001" customHeight="1" x14ac:dyDescent="0.25">
      <c r="AH1745" s="187"/>
      <c r="AI1745" s="181"/>
    </row>
    <row r="1746" spans="34:35" ht="17.100000000000001" customHeight="1" x14ac:dyDescent="0.25">
      <c r="AH1746" s="187"/>
      <c r="AI1746" s="181"/>
    </row>
    <row r="1747" spans="34:35" ht="17.100000000000001" customHeight="1" x14ac:dyDescent="0.25">
      <c r="AH1747" s="187"/>
      <c r="AI1747" s="181"/>
    </row>
    <row r="1748" spans="34:35" ht="17.100000000000001" customHeight="1" x14ac:dyDescent="0.25">
      <c r="AH1748" s="187"/>
      <c r="AI1748" s="181"/>
    </row>
    <row r="1749" spans="34:35" ht="17.100000000000001" customHeight="1" x14ac:dyDescent="0.25">
      <c r="AH1749" s="187"/>
      <c r="AI1749" s="181"/>
    </row>
    <row r="1750" spans="34:35" ht="17.100000000000001" customHeight="1" x14ac:dyDescent="0.25">
      <c r="AH1750" s="187"/>
      <c r="AI1750" s="181"/>
    </row>
    <row r="1751" spans="34:35" ht="17.100000000000001" customHeight="1" x14ac:dyDescent="0.25">
      <c r="AH1751" s="187"/>
      <c r="AI1751" s="181"/>
    </row>
    <row r="1752" spans="34:35" ht="17.100000000000001" customHeight="1" x14ac:dyDescent="0.25">
      <c r="AH1752" s="187"/>
      <c r="AI1752" s="181"/>
    </row>
    <row r="1753" spans="34:35" ht="17.100000000000001" customHeight="1" x14ac:dyDescent="0.25">
      <c r="AH1753" s="187"/>
      <c r="AI1753" s="181"/>
    </row>
    <row r="1754" spans="34:35" ht="17.100000000000001" customHeight="1" x14ac:dyDescent="0.25">
      <c r="AH1754" s="187"/>
      <c r="AI1754" s="181"/>
    </row>
    <row r="1755" spans="34:35" ht="17.100000000000001" customHeight="1" x14ac:dyDescent="0.25">
      <c r="AH1755" s="187"/>
      <c r="AI1755" s="181"/>
    </row>
    <row r="1756" spans="34:35" ht="17.100000000000001" customHeight="1" x14ac:dyDescent="0.25">
      <c r="AH1756" s="187"/>
      <c r="AI1756" s="181"/>
    </row>
    <row r="1757" spans="34:35" ht="17.100000000000001" customHeight="1" x14ac:dyDescent="0.25">
      <c r="AH1757" s="187"/>
      <c r="AI1757" s="181"/>
    </row>
    <row r="1758" spans="34:35" ht="17.100000000000001" customHeight="1" x14ac:dyDescent="0.25">
      <c r="AH1758" s="187"/>
      <c r="AI1758" s="181"/>
    </row>
    <row r="1759" spans="34:35" ht="17.100000000000001" customHeight="1" x14ac:dyDescent="0.25">
      <c r="AH1759" s="187"/>
      <c r="AI1759" s="181"/>
    </row>
    <row r="1760" spans="34:35" ht="17.100000000000001" customHeight="1" x14ac:dyDescent="0.25">
      <c r="AH1760" s="187"/>
      <c r="AI1760" s="181"/>
    </row>
    <row r="1761" spans="34:35" ht="17.100000000000001" customHeight="1" x14ac:dyDescent="0.25">
      <c r="AH1761" s="187"/>
      <c r="AI1761" s="181"/>
    </row>
    <row r="1762" spans="34:35" ht="17.100000000000001" customHeight="1" x14ac:dyDescent="0.25">
      <c r="AH1762" s="187"/>
      <c r="AI1762" s="181"/>
    </row>
    <row r="1763" spans="34:35" ht="17.100000000000001" customHeight="1" x14ac:dyDescent="0.25">
      <c r="AH1763" s="187"/>
      <c r="AI1763" s="181"/>
    </row>
    <row r="1764" spans="34:35" ht="17.100000000000001" customHeight="1" x14ac:dyDescent="0.25">
      <c r="AH1764" s="187"/>
      <c r="AI1764" s="181"/>
    </row>
    <row r="1765" spans="34:35" ht="17.100000000000001" customHeight="1" x14ac:dyDescent="0.25">
      <c r="AH1765" s="187"/>
      <c r="AI1765" s="181"/>
    </row>
    <row r="1766" spans="34:35" ht="17.100000000000001" customHeight="1" x14ac:dyDescent="0.25">
      <c r="AH1766" s="187"/>
      <c r="AI1766" s="181"/>
    </row>
    <row r="1767" spans="34:35" ht="17.100000000000001" customHeight="1" x14ac:dyDescent="0.25">
      <c r="AH1767" s="187"/>
      <c r="AI1767" s="181"/>
    </row>
    <row r="1768" spans="34:35" ht="17.100000000000001" customHeight="1" x14ac:dyDescent="0.25">
      <c r="AH1768" s="187"/>
      <c r="AI1768" s="181"/>
    </row>
    <row r="1769" spans="34:35" ht="17.100000000000001" customHeight="1" x14ac:dyDescent="0.25">
      <c r="AH1769" s="187"/>
      <c r="AI1769" s="181"/>
    </row>
    <row r="1770" spans="34:35" ht="17.100000000000001" customHeight="1" x14ac:dyDescent="0.25">
      <c r="AH1770" s="187"/>
      <c r="AI1770" s="181"/>
    </row>
    <row r="1771" spans="34:35" ht="17.100000000000001" customHeight="1" x14ac:dyDescent="0.25">
      <c r="AH1771" s="187"/>
      <c r="AI1771" s="181"/>
    </row>
    <row r="1772" spans="34:35" ht="17.100000000000001" customHeight="1" x14ac:dyDescent="0.25">
      <c r="AH1772" s="187"/>
      <c r="AI1772" s="181"/>
    </row>
    <row r="1773" spans="34:35" ht="17.100000000000001" customHeight="1" x14ac:dyDescent="0.25">
      <c r="AH1773" s="187"/>
      <c r="AI1773" s="181"/>
    </row>
    <row r="1774" spans="34:35" ht="17.100000000000001" customHeight="1" x14ac:dyDescent="0.25">
      <c r="AH1774" s="187"/>
      <c r="AI1774" s="181"/>
    </row>
    <row r="1775" spans="34:35" ht="17.100000000000001" customHeight="1" x14ac:dyDescent="0.25">
      <c r="AH1775" s="187"/>
      <c r="AI1775" s="181"/>
    </row>
    <row r="1776" spans="34:35" ht="17.100000000000001" customHeight="1" x14ac:dyDescent="0.25">
      <c r="AH1776" s="187"/>
      <c r="AI1776" s="181"/>
    </row>
    <row r="1777" spans="34:35" ht="17.100000000000001" customHeight="1" x14ac:dyDescent="0.25">
      <c r="AH1777" s="187"/>
      <c r="AI1777" s="181"/>
    </row>
    <row r="1778" spans="34:35" ht="17.100000000000001" customHeight="1" x14ac:dyDescent="0.25">
      <c r="AH1778" s="187"/>
      <c r="AI1778" s="181"/>
    </row>
    <row r="1779" spans="34:35" ht="17.100000000000001" customHeight="1" x14ac:dyDescent="0.25">
      <c r="AH1779" s="187"/>
      <c r="AI1779" s="181"/>
    </row>
    <row r="1780" spans="34:35" ht="17.100000000000001" customHeight="1" x14ac:dyDescent="0.25">
      <c r="AH1780" s="187"/>
      <c r="AI1780" s="181"/>
    </row>
    <row r="1781" spans="34:35" ht="17.100000000000001" customHeight="1" x14ac:dyDescent="0.25">
      <c r="AH1781" s="187"/>
      <c r="AI1781" s="181"/>
    </row>
    <row r="1782" spans="34:35" ht="17.100000000000001" customHeight="1" x14ac:dyDescent="0.25">
      <c r="AH1782" s="187"/>
      <c r="AI1782" s="181"/>
    </row>
    <row r="1783" spans="34:35" ht="17.100000000000001" customHeight="1" x14ac:dyDescent="0.25">
      <c r="AH1783" s="187"/>
      <c r="AI1783" s="181"/>
    </row>
    <row r="1784" spans="34:35" ht="17.100000000000001" customHeight="1" x14ac:dyDescent="0.25">
      <c r="AH1784" s="187"/>
      <c r="AI1784" s="181"/>
    </row>
    <row r="1785" spans="34:35" ht="17.100000000000001" customHeight="1" x14ac:dyDescent="0.25">
      <c r="AH1785" s="187"/>
      <c r="AI1785" s="181"/>
    </row>
    <row r="1786" spans="34:35" ht="17.100000000000001" customHeight="1" x14ac:dyDescent="0.25">
      <c r="AH1786" s="187"/>
      <c r="AI1786" s="181"/>
    </row>
    <row r="1787" spans="34:35" ht="17.100000000000001" customHeight="1" x14ac:dyDescent="0.25">
      <c r="AH1787" s="187"/>
      <c r="AI1787" s="181"/>
    </row>
    <row r="1788" spans="34:35" ht="17.100000000000001" customHeight="1" x14ac:dyDescent="0.25">
      <c r="AH1788" s="187"/>
      <c r="AI1788" s="181"/>
    </row>
    <row r="1789" spans="34:35" ht="17.100000000000001" customHeight="1" x14ac:dyDescent="0.25">
      <c r="AH1789" s="187"/>
      <c r="AI1789" s="181"/>
    </row>
    <row r="1790" spans="34:35" ht="17.100000000000001" customHeight="1" x14ac:dyDescent="0.25">
      <c r="AH1790" s="187"/>
      <c r="AI1790" s="181"/>
    </row>
    <row r="1791" spans="34:35" ht="17.100000000000001" customHeight="1" x14ac:dyDescent="0.25">
      <c r="AH1791" s="187"/>
      <c r="AI1791" s="181"/>
    </row>
    <row r="1792" spans="34:35" ht="17.100000000000001" customHeight="1" x14ac:dyDescent="0.25">
      <c r="AH1792" s="187"/>
      <c r="AI1792" s="181"/>
    </row>
    <row r="1793" spans="34:35" ht="17.100000000000001" customHeight="1" x14ac:dyDescent="0.25">
      <c r="AH1793" s="187"/>
      <c r="AI1793" s="181"/>
    </row>
    <row r="1794" spans="34:35" ht="17.100000000000001" customHeight="1" x14ac:dyDescent="0.25">
      <c r="AH1794" s="187"/>
      <c r="AI1794" s="181"/>
    </row>
    <row r="1795" spans="34:35" ht="17.100000000000001" customHeight="1" x14ac:dyDescent="0.25">
      <c r="AH1795" s="187"/>
      <c r="AI1795" s="181"/>
    </row>
    <row r="1796" spans="34:35" ht="17.100000000000001" customHeight="1" x14ac:dyDescent="0.25">
      <c r="AH1796" s="187"/>
      <c r="AI1796" s="181"/>
    </row>
    <row r="1797" spans="34:35" ht="17.100000000000001" customHeight="1" x14ac:dyDescent="0.25">
      <c r="AH1797" s="187"/>
      <c r="AI1797" s="181"/>
    </row>
    <row r="1798" spans="34:35" ht="17.100000000000001" customHeight="1" x14ac:dyDescent="0.25">
      <c r="AH1798" s="187"/>
      <c r="AI1798" s="181"/>
    </row>
    <row r="1799" spans="34:35" ht="17.100000000000001" customHeight="1" x14ac:dyDescent="0.25">
      <c r="AH1799" s="187"/>
      <c r="AI1799" s="181"/>
    </row>
    <row r="1800" spans="34:35" ht="17.100000000000001" customHeight="1" x14ac:dyDescent="0.25">
      <c r="AH1800" s="187"/>
      <c r="AI1800" s="181"/>
    </row>
    <row r="1801" spans="34:35" ht="17.100000000000001" customHeight="1" x14ac:dyDescent="0.25">
      <c r="AH1801" s="187"/>
      <c r="AI1801" s="181"/>
    </row>
    <row r="1802" spans="34:35" ht="17.100000000000001" customHeight="1" x14ac:dyDescent="0.25">
      <c r="AH1802" s="187"/>
      <c r="AI1802" s="181"/>
    </row>
    <row r="1803" spans="34:35" ht="17.100000000000001" customHeight="1" x14ac:dyDescent="0.25">
      <c r="AH1803" s="187"/>
      <c r="AI1803" s="181"/>
    </row>
    <row r="1804" spans="34:35" ht="17.100000000000001" customHeight="1" x14ac:dyDescent="0.25">
      <c r="AH1804" s="187"/>
      <c r="AI1804" s="181"/>
    </row>
    <row r="1805" spans="34:35" ht="17.100000000000001" customHeight="1" x14ac:dyDescent="0.25">
      <c r="AH1805" s="187"/>
      <c r="AI1805" s="181"/>
    </row>
    <row r="1806" spans="34:35" ht="17.100000000000001" customHeight="1" x14ac:dyDescent="0.25">
      <c r="AH1806" s="187"/>
      <c r="AI1806" s="181"/>
    </row>
    <row r="1807" spans="34:35" ht="17.100000000000001" customHeight="1" x14ac:dyDescent="0.25">
      <c r="AH1807" s="187"/>
      <c r="AI1807" s="181"/>
    </row>
    <row r="1808" spans="34:35" ht="17.100000000000001" customHeight="1" x14ac:dyDescent="0.25">
      <c r="AH1808" s="187"/>
      <c r="AI1808" s="181"/>
    </row>
    <row r="1809" spans="34:35" ht="17.100000000000001" customHeight="1" x14ac:dyDescent="0.25">
      <c r="AH1809" s="187"/>
      <c r="AI1809" s="181"/>
    </row>
    <row r="1810" spans="34:35" ht="17.100000000000001" customHeight="1" x14ac:dyDescent="0.25">
      <c r="AH1810" s="187"/>
      <c r="AI1810" s="181"/>
    </row>
    <row r="1811" spans="34:35" ht="17.100000000000001" customHeight="1" x14ac:dyDescent="0.25">
      <c r="AH1811" s="187"/>
      <c r="AI1811" s="181"/>
    </row>
    <row r="1812" spans="34:35" ht="17.100000000000001" customHeight="1" x14ac:dyDescent="0.25">
      <c r="AH1812" s="187"/>
      <c r="AI1812" s="181"/>
    </row>
    <row r="1813" spans="34:35" ht="17.100000000000001" customHeight="1" x14ac:dyDescent="0.25">
      <c r="AH1813" s="187"/>
      <c r="AI1813" s="181"/>
    </row>
    <row r="1814" spans="34:35" ht="17.100000000000001" customHeight="1" x14ac:dyDescent="0.25">
      <c r="AH1814" s="187"/>
      <c r="AI1814" s="181"/>
    </row>
    <row r="1815" spans="34:35" ht="17.100000000000001" customHeight="1" x14ac:dyDescent="0.25">
      <c r="AH1815" s="187"/>
      <c r="AI1815" s="181"/>
    </row>
    <row r="1816" spans="34:35" ht="17.100000000000001" customHeight="1" x14ac:dyDescent="0.25">
      <c r="AH1816" s="187"/>
      <c r="AI1816" s="181"/>
    </row>
    <row r="1817" spans="34:35" ht="17.100000000000001" customHeight="1" x14ac:dyDescent="0.25">
      <c r="AH1817" s="187"/>
      <c r="AI1817" s="181"/>
    </row>
    <row r="1818" spans="34:35" ht="17.100000000000001" customHeight="1" x14ac:dyDescent="0.25">
      <c r="AH1818" s="187"/>
      <c r="AI1818" s="181"/>
    </row>
    <row r="1819" spans="34:35" ht="17.100000000000001" customHeight="1" x14ac:dyDescent="0.25">
      <c r="AH1819" s="187"/>
      <c r="AI1819" s="181"/>
    </row>
    <row r="1820" spans="34:35" ht="17.100000000000001" customHeight="1" x14ac:dyDescent="0.25">
      <c r="AH1820" s="187"/>
      <c r="AI1820" s="181"/>
    </row>
    <row r="1821" spans="34:35" ht="17.100000000000001" customHeight="1" x14ac:dyDescent="0.25">
      <c r="AH1821" s="187"/>
      <c r="AI1821" s="181"/>
    </row>
    <row r="1822" spans="34:35" ht="17.100000000000001" customHeight="1" x14ac:dyDescent="0.25">
      <c r="AH1822" s="187"/>
      <c r="AI1822" s="181"/>
    </row>
    <row r="1823" spans="34:35" ht="17.100000000000001" customHeight="1" x14ac:dyDescent="0.25">
      <c r="AH1823" s="187"/>
      <c r="AI1823" s="181"/>
    </row>
    <row r="1824" spans="34:35" ht="17.100000000000001" customHeight="1" x14ac:dyDescent="0.25">
      <c r="AH1824" s="187"/>
      <c r="AI1824" s="181"/>
    </row>
    <row r="1825" spans="34:35" ht="17.100000000000001" customHeight="1" x14ac:dyDescent="0.25">
      <c r="AH1825" s="187"/>
      <c r="AI1825" s="181"/>
    </row>
    <row r="1826" spans="34:35" ht="17.100000000000001" customHeight="1" x14ac:dyDescent="0.25">
      <c r="AH1826" s="187"/>
      <c r="AI1826" s="181"/>
    </row>
    <row r="1827" spans="34:35" ht="17.100000000000001" customHeight="1" x14ac:dyDescent="0.25">
      <c r="AH1827" s="187"/>
      <c r="AI1827" s="181"/>
    </row>
    <row r="1828" spans="34:35" ht="17.100000000000001" customHeight="1" x14ac:dyDescent="0.25">
      <c r="AH1828" s="187"/>
      <c r="AI1828" s="181"/>
    </row>
    <row r="1829" spans="34:35" ht="17.100000000000001" customHeight="1" x14ac:dyDescent="0.25">
      <c r="AH1829" s="187"/>
      <c r="AI1829" s="181"/>
    </row>
    <row r="1830" spans="34:35" ht="17.100000000000001" customHeight="1" x14ac:dyDescent="0.25">
      <c r="AH1830" s="187"/>
      <c r="AI1830" s="181"/>
    </row>
    <row r="1831" spans="34:35" ht="17.100000000000001" customHeight="1" x14ac:dyDescent="0.25">
      <c r="AH1831" s="187"/>
      <c r="AI1831" s="181"/>
    </row>
    <row r="1832" spans="34:35" ht="17.100000000000001" customHeight="1" x14ac:dyDescent="0.25">
      <c r="AH1832" s="187"/>
      <c r="AI1832" s="181"/>
    </row>
    <row r="1833" spans="34:35" ht="17.100000000000001" customHeight="1" x14ac:dyDescent="0.25">
      <c r="AH1833" s="187"/>
      <c r="AI1833" s="181"/>
    </row>
    <row r="1834" spans="34:35" ht="17.100000000000001" customHeight="1" x14ac:dyDescent="0.25">
      <c r="AH1834" s="187"/>
      <c r="AI1834" s="181"/>
    </row>
    <row r="1835" spans="34:35" ht="17.100000000000001" customHeight="1" x14ac:dyDescent="0.25">
      <c r="AH1835" s="187"/>
      <c r="AI1835" s="181"/>
    </row>
    <row r="1836" spans="34:35" ht="17.100000000000001" customHeight="1" x14ac:dyDescent="0.25">
      <c r="AH1836" s="187"/>
      <c r="AI1836" s="181"/>
    </row>
    <row r="1837" spans="34:35" ht="17.100000000000001" customHeight="1" x14ac:dyDescent="0.25">
      <c r="AH1837" s="187"/>
      <c r="AI1837" s="181"/>
    </row>
    <row r="1838" spans="34:35" ht="17.100000000000001" customHeight="1" x14ac:dyDescent="0.25">
      <c r="AH1838" s="187"/>
      <c r="AI1838" s="181"/>
    </row>
    <row r="1839" spans="34:35" ht="17.100000000000001" customHeight="1" x14ac:dyDescent="0.25">
      <c r="AH1839" s="187"/>
      <c r="AI1839" s="181"/>
    </row>
    <row r="1840" spans="34:35" ht="17.100000000000001" customHeight="1" x14ac:dyDescent="0.25">
      <c r="AH1840" s="187"/>
      <c r="AI1840" s="181"/>
    </row>
    <row r="1841" spans="34:35" ht="17.100000000000001" customHeight="1" x14ac:dyDescent="0.25">
      <c r="AH1841" s="187"/>
      <c r="AI1841" s="181"/>
    </row>
    <row r="1842" spans="34:35" ht="17.100000000000001" customHeight="1" x14ac:dyDescent="0.25">
      <c r="AH1842" s="187"/>
      <c r="AI1842" s="181"/>
    </row>
    <row r="1843" spans="34:35" ht="17.100000000000001" customHeight="1" x14ac:dyDescent="0.25">
      <c r="AH1843" s="187"/>
      <c r="AI1843" s="181"/>
    </row>
    <row r="1844" spans="34:35" ht="17.100000000000001" customHeight="1" x14ac:dyDescent="0.25">
      <c r="AH1844" s="187"/>
      <c r="AI1844" s="181"/>
    </row>
    <row r="1845" spans="34:35" ht="17.100000000000001" customHeight="1" x14ac:dyDescent="0.25">
      <c r="AH1845" s="187"/>
      <c r="AI1845" s="181"/>
    </row>
    <row r="1846" spans="34:35" ht="17.100000000000001" customHeight="1" x14ac:dyDescent="0.25">
      <c r="AH1846" s="187"/>
      <c r="AI1846" s="181"/>
    </row>
    <row r="1847" spans="34:35" ht="17.100000000000001" customHeight="1" x14ac:dyDescent="0.25">
      <c r="AH1847" s="187"/>
      <c r="AI1847" s="181"/>
    </row>
    <row r="1848" spans="34:35" ht="17.100000000000001" customHeight="1" x14ac:dyDescent="0.25">
      <c r="AH1848" s="187"/>
      <c r="AI1848" s="181"/>
    </row>
    <row r="1849" spans="34:35" ht="17.100000000000001" customHeight="1" x14ac:dyDescent="0.25">
      <c r="AH1849" s="187"/>
      <c r="AI1849" s="181"/>
    </row>
    <row r="1850" spans="34:35" ht="17.100000000000001" customHeight="1" x14ac:dyDescent="0.25">
      <c r="AH1850" s="187"/>
      <c r="AI1850" s="181"/>
    </row>
    <row r="1851" spans="34:35" ht="17.100000000000001" customHeight="1" x14ac:dyDescent="0.25">
      <c r="AH1851" s="187"/>
      <c r="AI1851" s="181"/>
    </row>
    <row r="1852" spans="34:35" ht="17.100000000000001" customHeight="1" x14ac:dyDescent="0.25">
      <c r="AH1852" s="187"/>
      <c r="AI1852" s="181"/>
    </row>
    <row r="1853" spans="34:35" ht="17.100000000000001" customHeight="1" x14ac:dyDescent="0.25">
      <c r="AH1853" s="187"/>
      <c r="AI1853" s="181"/>
    </row>
    <row r="1854" spans="34:35" ht="17.100000000000001" customHeight="1" x14ac:dyDescent="0.25">
      <c r="AH1854" s="187"/>
      <c r="AI1854" s="181"/>
    </row>
    <row r="1855" spans="34:35" ht="17.100000000000001" customHeight="1" x14ac:dyDescent="0.25">
      <c r="AH1855" s="187"/>
      <c r="AI1855" s="181"/>
    </row>
    <row r="1856" spans="34:35" ht="17.100000000000001" customHeight="1" x14ac:dyDescent="0.25">
      <c r="AH1856" s="187"/>
      <c r="AI1856" s="181"/>
    </row>
    <row r="1857" spans="34:35" ht="17.100000000000001" customHeight="1" x14ac:dyDescent="0.25">
      <c r="AH1857" s="187"/>
      <c r="AI1857" s="181"/>
    </row>
    <row r="1858" spans="34:35" ht="17.100000000000001" customHeight="1" x14ac:dyDescent="0.25">
      <c r="AH1858" s="187"/>
      <c r="AI1858" s="181"/>
    </row>
    <row r="1859" spans="34:35" ht="17.100000000000001" customHeight="1" x14ac:dyDescent="0.25">
      <c r="AH1859" s="187"/>
      <c r="AI1859" s="181"/>
    </row>
    <row r="1860" spans="34:35" ht="17.100000000000001" customHeight="1" x14ac:dyDescent="0.25">
      <c r="AH1860" s="187"/>
      <c r="AI1860" s="181"/>
    </row>
    <row r="1861" spans="34:35" ht="17.100000000000001" customHeight="1" x14ac:dyDescent="0.25">
      <c r="AH1861" s="187"/>
      <c r="AI1861" s="181"/>
    </row>
    <row r="1862" spans="34:35" ht="17.100000000000001" customHeight="1" x14ac:dyDescent="0.25">
      <c r="AH1862" s="187"/>
      <c r="AI1862" s="181"/>
    </row>
    <row r="1863" spans="34:35" ht="17.100000000000001" customHeight="1" x14ac:dyDescent="0.25">
      <c r="AH1863" s="187"/>
      <c r="AI1863" s="181"/>
    </row>
    <row r="1864" spans="34:35" ht="17.100000000000001" customHeight="1" x14ac:dyDescent="0.25">
      <c r="AH1864" s="187"/>
      <c r="AI1864" s="181"/>
    </row>
    <row r="1865" spans="34:35" ht="17.100000000000001" customHeight="1" x14ac:dyDescent="0.25">
      <c r="AH1865" s="187"/>
      <c r="AI1865" s="181"/>
    </row>
    <row r="1866" spans="34:35" ht="17.100000000000001" customHeight="1" x14ac:dyDescent="0.25">
      <c r="AH1866" s="187"/>
      <c r="AI1866" s="181"/>
    </row>
    <row r="1867" spans="34:35" ht="17.100000000000001" customHeight="1" x14ac:dyDescent="0.25">
      <c r="AH1867" s="187"/>
      <c r="AI1867" s="181"/>
    </row>
    <row r="1868" spans="34:35" ht="17.100000000000001" customHeight="1" x14ac:dyDescent="0.25">
      <c r="AH1868" s="187"/>
      <c r="AI1868" s="181"/>
    </row>
    <row r="1869" spans="34:35" ht="17.100000000000001" customHeight="1" x14ac:dyDescent="0.25">
      <c r="AH1869" s="187"/>
      <c r="AI1869" s="181"/>
    </row>
    <row r="1870" spans="34:35" ht="17.100000000000001" customHeight="1" x14ac:dyDescent="0.25">
      <c r="AH1870" s="187"/>
      <c r="AI1870" s="181"/>
    </row>
    <row r="1871" spans="34:35" ht="17.100000000000001" customHeight="1" x14ac:dyDescent="0.25">
      <c r="AH1871" s="187"/>
      <c r="AI1871" s="181"/>
    </row>
    <row r="1872" spans="34:35" ht="17.100000000000001" customHeight="1" x14ac:dyDescent="0.25">
      <c r="AH1872" s="187"/>
      <c r="AI1872" s="181"/>
    </row>
    <row r="1873" spans="34:35" ht="17.100000000000001" customHeight="1" x14ac:dyDescent="0.25">
      <c r="AH1873" s="187"/>
      <c r="AI1873" s="181"/>
    </row>
    <row r="1874" spans="34:35" ht="17.100000000000001" customHeight="1" x14ac:dyDescent="0.25">
      <c r="AH1874" s="187"/>
      <c r="AI1874" s="181"/>
    </row>
    <row r="1875" spans="34:35" ht="17.100000000000001" customHeight="1" x14ac:dyDescent="0.25">
      <c r="AH1875" s="187"/>
      <c r="AI1875" s="181"/>
    </row>
    <row r="1876" spans="34:35" ht="17.100000000000001" customHeight="1" x14ac:dyDescent="0.25">
      <c r="AH1876" s="187"/>
      <c r="AI1876" s="181"/>
    </row>
    <row r="1877" spans="34:35" ht="17.100000000000001" customHeight="1" x14ac:dyDescent="0.25">
      <c r="AH1877" s="187"/>
      <c r="AI1877" s="181"/>
    </row>
    <row r="1878" spans="34:35" ht="17.100000000000001" customHeight="1" x14ac:dyDescent="0.25">
      <c r="AH1878" s="187"/>
      <c r="AI1878" s="181"/>
    </row>
    <row r="1879" spans="34:35" ht="17.100000000000001" customHeight="1" x14ac:dyDescent="0.25">
      <c r="AH1879" s="187"/>
      <c r="AI1879" s="181"/>
    </row>
    <row r="1880" spans="34:35" ht="17.100000000000001" customHeight="1" x14ac:dyDescent="0.25">
      <c r="AH1880" s="187"/>
      <c r="AI1880" s="181"/>
    </row>
    <row r="1881" spans="34:35" ht="17.100000000000001" customHeight="1" x14ac:dyDescent="0.25">
      <c r="AH1881" s="187"/>
      <c r="AI1881" s="181"/>
    </row>
    <row r="1882" spans="34:35" ht="17.100000000000001" customHeight="1" x14ac:dyDescent="0.25">
      <c r="AH1882" s="187"/>
      <c r="AI1882" s="181"/>
    </row>
    <row r="1883" spans="34:35" ht="17.100000000000001" customHeight="1" x14ac:dyDescent="0.25">
      <c r="AH1883" s="187"/>
      <c r="AI1883" s="181"/>
    </row>
    <row r="1884" spans="34:35" ht="17.100000000000001" customHeight="1" x14ac:dyDescent="0.25">
      <c r="AH1884" s="187"/>
      <c r="AI1884" s="181"/>
    </row>
    <row r="1885" spans="34:35" ht="17.100000000000001" customHeight="1" x14ac:dyDescent="0.25">
      <c r="AH1885" s="187"/>
      <c r="AI1885" s="181"/>
    </row>
    <row r="1886" spans="34:35" ht="17.100000000000001" customHeight="1" x14ac:dyDescent="0.25">
      <c r="AH1886" s="187"/>
      <c r="AI1886" s="181"/>
    </row>
    <row r="1887" spans="34:35" ht="17.100000000000001" customHeight="1" x14ac:dyDescent="0.25">
      <c r="AH1887" s="187"/>
      <c r="AI1887" s="181"/>
    </row>
    <row r="1888" spans="34:35" ht="17.100000000000001" customHeight="1" x14ac:dyDescent="0.25">
      <c r="AH1888" s="187"/>
      <c r="AI1888" s="181"/>
    </row>
    <row r="1889" spans="34:35" ht="17.100000000000001" customHeight="1" x14ac:dyDescent="0.25">
      <c r="AH1889" s="187"/>
      <c r="AI1889" s="181"/>
    </row>
    <row r="1890" spans="34:35" ht="17.100000000000001" customHeight="1" x14ac:dyDescent="0.25">
      <c r="AH1890" s="187"/>
      <c r="AI1890" s="181"/>
    </row>
    <row r="1891" spans="34:35" ht="17.100000000000001" customHeight="1" x14ac:dyDescent="0.25">
      <c r="AH1891" s="187"/>
      <c r="AI1891" s="181"/>
    </row>
    <row r="1892" spans="34:35" ht="17.100000000000001" customHeight="1" x14ac:dyDescent="0.25">
      <c r="AH1892" s="187"/>
      <c r="AI1892" s="181"/>
    </row>
    <row r="1893" spans="34:35" ht="17.100000000000001" customHeight="1" x14ac:dyDescent="0.25">
      <c r="AH1893" s="187"/>
      <c r="AI1893" s="181"/>
    </row>
    <row r="1894" spans="34:35" ht="17.100000000000001" customHeight="1" x14ac:dyDescent="0.25">
      <c r="AH1894" s="187"/>
      <c r="AI1894" s="181"/>
    </row>
    <row r="1895" spans="34:35" ht="17.100000000000001" customHeight="1" x14ac:dyDescent="0.25">
      <c r="AH1895" s="187"/>
      <c r="AI1895" s="181"/>
    </row>
    <row r="1896" spans="34:35" ht="17.100000000000001" customHeight="1" x14ac:dyDescent="0.25">
      <c r="AH1896" s="187"/>
      <c r="AI1896" s="181"/>
    </row>
    <row r="1897" spans="34:35" ht="17.100000000000001" customHeight="1" x14ac:dyDescent="0.25">
      <c r="AH1897" s="187"/>
      <c r="AI1897" s="181"/>
    </row>
    <row r="1898" spans="34:35" ht="17.100000000000001" customHeight="1" x14ac:dyDescent="0.25">
      <c r="AH1898" s="187"/>
      <c r="AI1898" s="181"/>
    </row>
    <row r="1899" spans="34:35" ht="17.100000000000001" customHeight="1" x14ac:dyDescent="0.25">
      <c r="AH1899" s="187"/>
      <c r="AI1899" s="181"/>
    </row>
    <row r="1900" spans="34:35" ht="17.100000000000001" customHeight="1" x14ac:dyDescent="0.25">
      <c r="AH1900" s="187"/>
      <c r="AI1900" s="181"/>
    </row>
    <row r="1901" spans="34:35" ht="17.100000000000001" customHeight="1" x14ac:dyDescent="0.25">
      <c r="AH1901" s="187"/>
      <c r="AI1901" s="181"/>
    </row>
    <row r="1902" spans="34:35" ht="17.100000000000001" customHeight="1" x14ac:dyDescent="0.25">
      <c r="AH1902" s="187"/>
      <c r="AI1902" s="181"/>
    </row>
    <row r="1903" spans="34:35" ht="17.100000000000001" customHeight="1" x14ac:dyDescent="0.25">
      <c r="AH1903" s="187"/>
      <c r="AI1903" s="181"/>
    </row>
    <row r="1904" spans="34:35" ht="17.100000000000001" customHeight="1" x14ac:dyDescent="0.25">
      <c r="AH1904" s="187"/>
      <c r="AI1904" s="181"/>
    </row>
    <row r="1905" spans="34:35" ht="17.100000000000001" customHeight="1" x14ac:dyDescent="0.25">
      <c r="AH1905" s="187"/>
      <c r="AI1905" s="181"/>
    </row>
    <row r="1906" spans="34:35" ht="17.100000000000001" customHeight="1" x14ac:dyDescent="0.25">
      <c r="AH1906" s="187"/>
      <c r="AI1906" s="181"/>
    </row>
    <row r="1907" spans="34:35" ht="17.100000000000001" customHeight="1" x14ac:dyDescent="0.25">
      <c r="AH1907" s="187"/>
      <c r="AI1907" s="181"/>
    </row>
    <row r="1908" spans="34:35" ht="17.100000000000001" customHeight="1" x14ac:dyDescent="0.25">
      <c r="AH1908" s="187"/>
      <c r="AI1908" s="181"/>
    </row>
    <row r="1909" spans="34:35" ht="17.100000000000001" customHeight="1" x14ac:dyDescent="0.25">
      <c r="AH1909" s="187"/>
      <c r="AI1909" s="181"/>
    </row>
    <row r="1910" spans="34:35" ht="17.100000000000001" customHeight="1" x14ac:dyDescent="0.25">
      <c r="AH1910" s="187"/>
      <c r="AI1910" s="181"/>
    </row>
    <row r="1911" spans="34:35" ht="17.100000000000001" customHeight="1" x14ac:dyDescent="0.25">
      <c r="AH1911" s="187"/>
      <c r="AI1911" s="181"/>
    </row>
    <row r="1912" spans="34:35" ht="17.100000000000001" customHeight="1" x14ac:dyDescent="0.25">
      <c r="AH1912" s="187"/>
      <c r="AI1912" s="181"/>
    </row>
    <row r="1913" spans="34:35" ht="17.100000000000001" customHeight="1" x14ac:dyDescent="0.25">
      <c r="AH1913" s="187"/>
      <c r="AI1913" s="181"/>
    </row>
    <row r="1914" spans="34:35" ht="17.100000000000001" customHeight="1" x14ac:dyDescent="0.25">
      <c r="AH1914" s="187"/>
      <c r="AI1914" s="181"/>
    </row>
    <row r="1915" spans="34:35" ht="17.100000000000001" customHeight="1" x14ac:dyDescent="0.25">
      <c r="AH1915" s="187"/>
      <c r="AI1915" s="181"/>
    </row>
    <row r="1916" spans="34:35" ht="17.100000000000001" customHeight="1" x14ac:dyDescent="0.25">
      <c r="AH1916" s="187"/>
      <c r="AI1916" s="181"/>
    </row>
    <row r="1917" spans="34:35" ht="17.100000000000001" customHeight="1" x14ac:dyDescent="0.25">
      <c r="AH1917" s="187"/>
      <c r="AI1917" s="181"/>
    </row>
    <row r="1918" spans="34:35" ht="17.100000000000001" customHeight="1" x14ac:dyDescent="0.25">
      <c r="AH1918" s="187"/>
      <c r="AI1918" s="181"/>
    </row>
    <row r="1919" spans="34:35" ht="17.100000000000001" customHeight="1" x14ac:dyDescent="0.25">
      <c r="AH1919" s="187"/>
      <c r="AI1919" s="181"/>
    </row>
    <row r="1920" spans="34:35" ht="17.100000000000001" customHeight="1" x14ac:dyDescent="0.25">
      <c r="AH1920" s="187"/>
      <c r="AI1920" s="181"/>
    </row>
    <row r="1921" spans="34:35" ht="17.100000000000001" customHeight="1" x14ac:dyDescent="0.25">
      <c r="AH1921" s="187"/>
      <c r="AI1921" s="181"/>
    </row>
    <row r="1922" spans="34:35" ht="17.100000000000001" customHeight="1" x14ac:dyDescent="0.25">
      <c r="AH1922" s="187"/>
      <c r="AI1922" s="181"/>
    </row>
    <row r="1923" spans="34:35" ht="17.100000000000001" customHeight="1" x14ac:dyDescent="0.25">
      <c r="AH1923" s="187"/>
      <c r="AI1923" s="181"/>
    </row>
    <row r="1924" spans="34:35" ht="17.100000000000001" customHeight="1" x14ac:dyDescent="0.25">
      <c r="AH1924" s="187"/>
      <c r="AI1924" s="181"/>
    </row>
    <row r="1925" spans="34:35" ht="17.100000000000001" customHeight="1" x14ac:dyDescent="0.25">
      <c r="AH1925" s="187"/>
      <c r="AI1925" s="181"/>
    </row>
    <row r="1926" spans="34:35" ht="17.100000000000001" customHeight="1" x14ac:dyDescent="0.25">
      <c r="AH1926" s="187"/>
      <c r="AI1926" s="181"/>
    </row>
    <row r="1927" spans="34:35" ht="17.100000000000001" customHeight="1" x14ac:dyDescent="0.25">
      <c r="AH1927" s="187"/>
      <c r="AI1927" s="181"/>
    </row>
    <row r="1928" spans="34:35" ht="17.100000000000001" customHeight="1" x14ac:dyDescent="0.25">
      <c r="AH1928" s="187"/>
      <c r="AI1928" s="181"/>
    </row>
    <row r="1929" spans="34:35" ht="17.100000000000001" customHeight="1" x14ac:dyDescent="0.25">
      <c r="AH1929" s="187"/>
      <c r="AI1929" s="181"/>
    </row>
    <row r="1930" spans="34:35" ht="17.100000000000001" customHeight="1" x14ac:dyDescent="0.25">
      <c r="AH1930" s="187"/>
      <c r="AI1930" s="181"/>
    </row>
    <row r="1931" spans="34:35" ht="17.100000000000001" customHeight="1" x14ac:dyDescent="0.25">
      <c r="AH1931" s="187"/>
      <c r="AI1931" s="181"/>
    </row>
    <row r="1932" spans="34:35" ht="17.100000000000001" customHeight="1" x14ac:dyDescent="0.25">
      <c r="AH1932" s="187"/>
      <c r="AI1932" s="181"/>
    </row>
    <row r="1933" spans="34:35" ht="17.100000000000001" customHeight="1" x14ac:dyDescent="0.25">
      <c r="AH1933" s="187"/>
      <c r="AI1933" s="181"/>
    </row>
    <row r="1934" spans="34:35" ht="17.100000000000001" customHeight="1" x14ac:dyDescent="0.25">
      <c r="AH1934" s="187"/>
      <c r="AI1934" s="181"/>
    </row>
    <row r="1935" spans="34:35" ht="17.100000000000001" customHeight="1" x14ac:dyDescent="0.25">
      <c r="AH1935" s="187"/>
      <c r="AI1935" s="181"/>
    </row>
    <row r="1936" spans="34:35" ht="17.100000000000001" customHeight="1" x14ac:dyDescent="0.25">
      <c r="AH1936" s="187"/>
      <c r="AI1936" s="181"/>
    </row>
    <row r="1937" spans="34:35" ht="17.100000000000001" customHeight="1" x14ac:dyDescent="0.25">
      <c r="AH1937" s="187"/>
      <c r="AI1937" s="181"/>
    </row>
    <row r="1938" spans="34:35" ht="17.100000000000001" customHeight="1" x14ac:dyDescent="0.25">
      <c r="AH1938" s="187"/>
      <c r="AI1938" s="181"/>
    </row>
    <row r="1939" spans="34:35" ht="17.100000000000001" customHeight="1" x14ac:dyDescent="0.25">
      <c r="AH1939" s="187"/>
      <c r="AI1939" s="181"/>
    </row>
    <row r="1940" spans="34:35" ht="17.100000000000001" customHeight="1" x14ac:dyDescent="0.25">
      <c r="AH1940" s="187"/>
      <c r="AI1940" s="181"/>
    </row>
    <row r="1941" spans="34:35" ht="17.100000000000001" customHeight="1" x14ac:dyDescent="0.25">
      <c r="AH1941" s="187"/>
      <c r="AI1941" s="181"/>
    </row>
    <row r="1942" spans="34:35" ht="17.100000000000001" customHeight="1" x14ac:dyDescent="0.25">
      <c r="AH1942" s="187"/>
      <c r="AI1942" s="181"/>
    </row>
    <row r="1943" spans="34:35" ht="17.100000000000001" customHeight="1" x14ac:dyDescent="0.25">
      <c r="AH1943" s="187"/>
      <c r="AI1943" s="181"/>
    </row>
    <row r="1944" spans="34:35" ht="17.100000000000001" customHeight="1" x14ac:dyDescent="0.25">
      <c r="AH1944" s="187"/>
      <c r="AI1944" s="181"/>
    </row>
    <row r="1945" spans="34:35" ht="17.100000000000001" customHeight="1" x14ac:dyDescent="0.25">
      <c r="AH1945" s="187"/>
      <c r="AI1945" s="181"/>
    </row>
    <row r="1946" spans="34:35" ht="17.100000000000001" customHeight="1" x14ac:dyDescent="0.25">
      <c r="AH1946" s="187"/>
      <c r="AI1946" s="181"/>
    </row>
    <row r="1947" spans="34:35" ht="17.100000000000001" customHeight="1" x14ac:dyDescent="0.25">
      <c r="AH1947" s="187"/>
      <c r="AI1947" s="181"/>
    </row>
    <row r="1948" spans="34:35" ht="17.100000000000001" customHeight="1" x14ac:dyDescent="0.25">
      <c r="AH1948" s="187"/>
      <c r="AI1948" s="181"/>
    </row>
    <row r="1949" spans="34:35" ht="17.100000000000001" customHeight="1" x14ac:dyDescent="0.25">
      <c r="AH1949" s="187"/>
      <c r="AI1949" s="181"/>
    </row>
    <row r="1950" spans="34:35" ht="17.100000000000001" customHeight="1" x14ac:dyDescent="0.25">
      <c r="AH1950" s="187"/>
      <c r="AI1950" s="181"/>
    </row>
    <row r="1951" spans="34:35" ht="17.100000000000001" customHeight="1" x14ac:dyDescent="0.25">
      <c r="AH1951" s="187"/>
      <c r="AI1951" s="181"/>
    </row>
    <row r="1952" spans="34:35" ht="17.100000000000001" customHeight="1" x14ac:dyDescent="0.25">
      <c r="AH1952" s="187"/>
      <c r="AI1952" s="181"/>
    </row>
    <row r="1953" spans="34:35" ht="17.100000000000001" customHeight="1" x14ac:dyDescent="0.25">
      <c r="AH1953" s="187"/>
      <c r="AI1953" s="181"/>
    </row>
    <row r="1954" spans="34:35" ht="17.100000000000001" customHeight="1" x14ac:dyDescent="0.25">
      <c r="AH1954" s="187"/>
      <c r="AI1954" s="181"/>
    </row>
    <row r="1955" spans="34:35" ht="17.100000000000001" customHeight="1" x14ac:dyDescent="0.25">
      <c r="AH1955" s="187"/>
      <c r="AI1955" s="181"/>
    </row>
    <row r="1956" spans="34:35" ht="17.100000000000001" customHeight="1" x14ac:dyDescent="0.25">
      <c r="AH1956" s="187"/>
      <c r="AI1956" s="181"/>
    </row>
    <row r="1957" spans="34:35" ht="17.100000000000001" customHeight="1" x14ac:dyDescent="0.25">
      <c r="AH1957" s="187"/>
      <c r="AI1957" s="181"/>
    </row>
    <row r="1958" spans="34:35" ht="17.100000000000001" customHeight="1" x14ac:dyDescent="0.25">
      <c r="AH1958" s="187"/>
      <c r="AI1958" s="181"/>
    </row>
    <row r="1959" spans="34:35" ht="17.100000000000001" customHeight="1" x14ac:dyDescent="0.25">
      <c r="AH1959" s="187"/>
      <c r="AI1959" s="181"/>
    </row>
    <row r="1960" spans="34:35" ht="17.100000000000001" customHeight="1" x14ac:dyDescent="0.25">
      <c r="AH1960" s="187"/>
      <c r="AI1960" s="181"/>
    </row>
    <row r="1961" spans="34:35" ht="17.100000000000001" customHeight="1" x14ac:dyDescent="0.25">
      <c r="AH1961" s="187"/>
      <c r="AI1961" s="181"/>
    </row>
    <row r="1962" spans="34:35" ht="17.100000000000001" customHeight="1" x14ac:dyDescent="0.25">
      <c r="AH1962" s="187"/>
      <c r="AI1962" s="181"/>
    </row>
    <row r="1963" spans="34:35" ht="17.100000000000001" customHeight="1" x14ac:dyDescent="0.25">
      <c r="AH1963" s="187"/>
      <c r="AI1963" s="181"/>
    </row>
    <row r="1964" spans="34:35" ht="17.100000000000001" customHeight="1" x14ac:dyDescent="0.25">
      <c r="AH1964" s="187"/>
      <c r="AI1964" s="181"/>
    </row>
    <row r="1965" spans="34:35" ht="17.100000000000001" customHeight="1" x14ac:dyDescent="0.25">
      <c r="AH1965" s="187"/>
      <c r="AI1965" s="181"/>
    </row>
    <row r="1966" spans="34:35" ht="17.100000000000001" customHeight="1" x14ac:dyDescent="0.25">
      <c r="AH1966" s="187"/>
      <c r="AI1966" s="181"/>
    </row>
    <row r="1967" spans="34:35" ht="17.100000000000001" customHeight="1" x14ac:dyDescent="0.25">
      <c r="AH1967" s="187"/>
      <c r="AI1967" s="181"/>
    </row>
    <row r="1968" spans="34:35" ht="17.100000000000001" customHeight="1" x14ac:dyDescent="0.25">
      <c r="AH1968" s="187"/>
      <c r="AI1968" s="181"/>
    </row>
    <row r="1969" spans="34:35" ht="17.100000000000001" customHeight="1" x14ac:dyDescent="0.25">
      <c r="AH1969" s="187"/>
      <c r="AI1969" s="181"/>
    </row>
    <row r="1970" spans="34:35" ht="17.100000000000001" customHeight="1" x14ac:dyDescent="0.25">
      <c r="AH1970" s="187"/>
      <c r="AI1970" s="181"/>
    </row>
    <row r="1971" spans="34:35" ht="17.100000000000001" customHeight="1" x14ac:dyDescent="0.25">
      <c r="AH1971" s="187"/>
      <c r="AI1971" s="181"/>
    </row>
    <row r="1972" spans="34:35" ht="17.100000000000001" customHeight="1" x14ac:dyDescent="0.25">
      <c r="AH1972" s="187"/>
      <c r="AI1972" s="181"/>
    </row>
    <row r="1973" spans="34:35" ht="17.100000000000001" customHeight="1" x14ac:dyDescent="0.25">
      <c r="AH1973" s="187"/>
      <c r="AI1973" s="181"/>
    </row>
    <row r="1974" spans="34:35" ht="17.100000000000001" customHeight="1" x14ac:dyDescent="0.25">
      <c r="AH1974" s="187"/>
      <c r="AI1974" s="181"/>
    </row>
    <row r="1975" spans="34:35" ht="17.100000000000001" customHeight="1" x14ac:dyDescent="0.25">
      <c r="AH1975" s="187"/>
      <c r="AI1975" s="181"/>
    </row>
    <row r="1976" spans="34:35" ht="17.100000000000001" customHeight="1" x14ac:dyDescent="0.25">
      <c r="AH1976" s="187"/>
      <c r="AI1976" s="181"/>
    </row>
    <row r="1977" spans="34:35" ht="17.100000000000001" customHeight="1" x14ac:dyDescent="0.25">
      <c r="AH1977" s="187"/>
      <c r="AI1977" s="181"/>
    </row>
    <row r="1978" spans="34:35" ht="17.100000000000001" customHeight="1" x14ac:dyDescent="0.25">
      <c r="AH1978" s="187"/>
      <c r="AI1978" s="181"/>
    </row>
    <row r="1979" spans="34:35" ht="17.100000000000001" customHeight="1" x14ac:dyDescent="0.25">
      <c r="AH1979" s="187"/>
      <c r="AI1979" s="181"/>
    </row>
    <row r="1980" spans="34:35" ht="17.100000000000001" customHeight="1" x14ac:dyDescent="0.25">
      <c r="AH1980" s="187"/>
      <c r="AI1980" s="181"/>
    </row>
    <row r="1981" spans="34:35" ht="17.100000000000001" customHeight="1" x14ac:dyDescent="0.25">
      <c r="AH1981" s="187"/>
      <c r="AI1981" s="181"/>
    </row>
    <row r="1982" spans="34:35" ht="17.100000000000001" customHeight="1" x14ac:dyDescent="0.25">
      <c r="AH1982" s="187"/>
      <c r="AI1982" s="181"/>
    </row>
    <row r="1983" spans="34:35" ht="17.100000000000001" customHeight="1" x14ac:dyDescent="0.25">
      <c r="AH1983" s="187"/>
      <c r="AI1983" s="181"/>
    </row>
    <row r="1984" spans="34:35" ht="17.100000000000001" customHeight="1" x14ac:dyDescent="0.25">
      <c r="AH1984" s="187"/>
      <c r="AI1984" s="181"/>
    </row>
    <row r="1985" spans="34:35" ht="17.100000000000001" customHeight="1" x14ac:dyDescent="0.25">
      <c r="AH1985" s="187"/>
      <c r="AI1985" s="181"/>
    </row>
    <row r="1986" spans="34:35" ht="17.100000000000001" customHeight="1" x14ac:dyDescent="0.25">
      <c r="AH1986" s="187"/>
      <c r="AI1986" s="181"/>
    </row>
    <row r="1987" spans="34:35" ht="17.100000000000001" customHeight="1" x14ac:dyDescent="0.25">
      <c r="AH1987" s="187"/>
      <c r="AI1987" s="181"/>
    </row>
    <row r="1988" spans="34:35" ht="17.100000000000001" customHeight="1" x14ac:dyDescent="0.25">
      <c r="AH1988" s="187"/>
      <c r="AI1988" s="181"/>
    </row>
    <row r="1989" spans="34:35" ht="17.100000000000001" customHeight="1" x14ac:dyDescent="0.25">
      <c r="AH1989" s="187"/>
      <c r="AI1989" s="181"/>
    </row>
    <row r="1990" spans="34:35" ht="17.100000000000001" customHeight="1" x14ac:dyDescent="0.25">
      <c r="AH1990" s="187"/>
      <c r="AI1990" s="181"/>
    </row>
    <row r="1991" spans="34:35" ht="17.100000000000001" customHeight="1" x14ac:dyDescent="0.25">
      <c r="AH1991" s="187"/>
      <c r="AI1991" s="181"/>
    </row>
    <row r="1992" spans="34:35" ht="17.100000000000001" customHeight="1" x14ac:dyDescent="0.25">
      <c r="AH1992" s="187"/>
      <c r="AI1992" s="181"/>
    </row>
    <row r="1993" spans="34:35" ht="17.100000000000001" customHeight="1" x14ac:dyDescent="0.25">
      <c r="AH1993" s="187"/>
      <c r="AI1993" s="181"/>
    </row>
    <row r="1994" spans="34:35" ht="17.100000000000001" customHeight="1" x14ac:dyDescent="0.25">
      <c r="AH1994" s="187"/>
      <c r="AI1994" s="181"/>
    </row>
    <row r="1995" spans="34:35" ht="17.100000000000001" customHeight="1" x14ac:dyDescent="0.25">
      <c r="AH1995" s="187"/>
      <c r="AI1995" s="181"/>
    </row>
    <row r="1996" spans="34:35" ht="17.100000000000001" customHeight="1" x14ac:dyDescent="0.25">
      <c r="AH1996" s="187"/>
      <c r="AI1996" s="181"/>
    </row>
    <row r="1997" spans="34:35" ht="17.100000000000001" customHeight="1" x14ac:dyDescent="0.25">
      <c r="AH1997" s="187"/>
      <c r="AI1997" s="181"/>
    </row>
    <row r="1998" spans="34:35" ht="17.100000000000001" customHeight="1" x14ac:dyDescent="0.25">
      <c r="AH1998" s="187"/>
      <c r="AI1998" s="181"/>
    </row>
    <row r="1999" spans="34:35" ht="17.100000000000001" customHeight="1" x14ac:dyDescent="0.25">
      <c r="AH1999" s="187"/>
      <c r="AI1999" s="181"/>
    </row>
    <row r="2000" spans="34:35" ht="17.100000000000001" customHeight="1" x14ac:dyDescent="0.25">
      <c r="AH2000" s="187"/>
      <c r="AI2000" s="181"/>
    </row>
    <row r="2001" spans="34:35" ht="17.100000000000001" customHeight="1" x14ac:dyDescent="0.25">
      <c r="AH2001" s="187"/>
      <c r="AI2001" s="181"/>
    </row>
    <row r="2002" spans="34:35" ht="17.100000000000001" customHeight="1" x14ac:dyDescent="0.25">
      <c r="AH2002" s="187"/>
      <c r="AI2002" s="181"/>
    </row>
    <row r="2003" spans="34:35" ht="17.100000000000001" customHeight="1" x14ac:dyDescent="0.25">
      <c r="AH2003" s="187"/>
      <c r="AI2003" s="181"/>
    </row>
    <row r="2004" spans="34:35" ht="17.100000000000001" customHeight="1" x14ac:dyDescent="0.25">
      <c r="AH2004" s="187"/>
      <c r="AI2004" s="181"/>
    </row>
    <row r="2005" spans="34:35" ht="17.100000000000001" customHeight="1" x14ac:dyDescent="0.25">
      <c r="AH2005" s="187"/>
      <c r="AI2005" s="181"/>
    </row>
    <row r="2006" spans="34:35" ht="17.100000000000001" customHeight="1" x14ac:dyDescent="0.25">
      <c r="AH2006" s="187"/>
      <c r="AI2006" s="181"/>
    </row>
    <row r="2007" spans="34:35" ht="17.100000000000001" customHeight="1" x14ac:dyDescent="0.25">
      <c r="AH2007" s="187"/>
      <c r="AI2007" s="181"/>
    </row>
    <row r="2008" spans="34:35" ht="17.100000000000001" customHeight="1" x14ac:dyDescent="0.25">
      <c r="AH2008" s="187"/>
      <c r="AI2008" s="181"/>
    </row>
    <row r="2009" spans="34:35" ht="17.100000000000001" customHeight="1" x14ac:dyDescent="0.25">
      <c r="AH2009" s="187"/>
      <c r="AI2009" s="181"/>
    </row>
    <row r="2010" spans="34:35" ht="17.100000000000001" customHeight="1" x14ac:dyDescent="0.25">
      <c r="AH2010" s="187"/>
      <c r="AI2010" s="181"/>
    </row>
    <row r="2011" spans="34:35" ht="17.100000000000001" customHeight="1" x14ac:dyDescent="0.25">
      <c r="AH2011" s="187"/>
      <c r="AI2011" s="181"/>
    </row>
    <row r="2012" spans="34:35" ht="17.100000000000001" customHeight="1" x14ac:dyDescent="0.25">
      <c r="AH2012" s="187"/>
      <c r="AI2012" s="181"/>
    </row>
    <row r="2013" spans="34:35" ht="17.100000000000001" customHeight="1" x14ac:dyDescent="0.25">
      <c r="AH2013" s="187"/>
      <c r="AI2013" s="181"/>
    </row>
    <row r="2014" spans="34:35" ht="17.100000000000001" customHeight="1" x14ac:dyDescent="0.25">
      <c r="AH2014" s="187"/>
      <c r="AI2014" s="181"/>
    </row>
    <row r="2015" spans="34:35" ht="17.100000000000001" customHeight="1" x14ac:dyDescent="0.25">
      <c r="AH2015" s="187"/>
      <c r="AI2015" s="181"/>
    </row>
    <row r="2016" spans="34:35" ht="17.100000000000001" customHeight="1" x14ac:dyDescent="0.25">
      <c r="AH2016" s="187"/>
      <c r="AI2016" s="181"/>
    </row>
    <row r="2017" spans="34:35" ht="17.100000000000001" customHeight="1" x14ac:dyDescent="0.25">
      <c r="AH2017" s="187"/>
      <c r="AI2017" s="181"/>
    </row>
  </sheetData>
  <mergeCells count="4">
    <mergeCell ref="AK1:AL1"/>
    <mergeCell ref="AG1:AI1"/>
    <mergeCell ref="AM1:AN1"/>
    <mergeCell ref="AO1:AP1"/>
  </mergeCells>
  <phoneticPr fontId="21" type="noConversion"/>
  <conditionalFormatting sqref="D1:E1048576">
    <cfRule type="cellIs" dxfId="19" priority="18" operator="equal">
      <formula>"y"</formula>
    </cfRule>
  </conditionalFormatting>
  <conditionalFormatting sqref="G1:G1048576">
    <cfRule type="containsText" dxfId="18" priority="17" operator="containsText" text="*">
      <formula>NOT(ISERROR(SEARCH("*",G1)))</formula>
    </cfRule>
  </conditionalFormatting>
  <conditionalFormatting sqref="N1:N1048576">
    <cfRule type="cellIs" dxfId="17" priority="16" operator="equal">
      <formula>"y"</formula>
    </cfRule>
  </conditionalFormatting>
  <conditionalFormatting sqref="A1:A1048576">
    <cfRule type="duplicateValues" dxfId="16" priority="15"/>
  </conditionalFormatting>
  <conditionalFormatting sqref="O1:O1048576">
    <cfRule type="duplicateValues" dxfId="15" priority="14"/>
  </conditionalFormatting>
  <conditionalFormatting sqref="P1:P1048576">
    <cfRule type="duplicateValues" dxfId="14" priority="13"/>
  </conditionalFormatting>
  <conditionalFormatting sqref="Q1:Q1048576">
    <cfRule type="duplicateValues" dxfId="13" priority="12"/>
  </conditionalFormatting>
  <conditionalFormatting sqref="T1:T1048576">
    <cfRule type="duplicateValues" dxfId="12" priority="11"/>
  </conditionalFormatting>
  <conditionalFormatting sqref="U1:U1048576">
    <cfRule type="duplicateValues" dxfId="11" priority="10"/>
  </conditionalFormatting>
  <conditionalFormatting sqref="X1:X1048576">
    <cfRule type="duplicateValues" dxfId="10" priority="9"/>
  </conditionalFormatting>
  <conditionalFormatting sqref="Y1:Y1048576">
    <cfRule type="duplicateValues" dxfId="9" priority="8"/>
  </conditionalFormatting>
  <conditionalFormatting sqref="O1:Q1048576">
    <cfRule type="containsText" dxfId="8" priority="7" operator="containsText" text=" ">
      <formula>NOT(ISERROR(SEARCH(" ",O1)))</formula>
    </cfRule>
  </conditionalFormatting>
  <conditionalFormatting sqref="A1:AI1048576">
    <cfRule type="cellIs" dxfId="6" priority="6" operator="equal">
      <formula>"n"</formula>
    </cfRule>
    <cfRule type="cellIs" dxfId="5" priority="4" operator="equal">
      <formula>"n/a"</formula>
    </cfRule>
  </conditionalFormatting>
  <conditionalFormatting sqref="I1:I1048576">
    <cfRule type="expression" dxfId="7" priority="5">
      <formula>LEN(TRIM(I1))=0</formula>
    </cfRule>
  </conditionalFormatting>
  <conditionalFormatting sqref="G6">
    <cfRule type="containsText" dxfId="3" priority="3" operator="containsText" text="*">
      <formula>NOT(ISERROR(SEARCH("*",G6)))</formula>
    </cfRule>
  </conditionalFormatting>
  <conditionalFormatting sqref="G4:G5">
    <cfRule type="containsText" dxfId="2" priority="2" operator="containsText" text="*">
      <formula>NOT(ISERROR(SEARCH("*",G4)))</formula>
    </cfRule>
  </conditionalFormatting>
  <conditionalFormatting sqref="G4:M5">
    <cfRule type="cellIs" dxfId="1" priority="1" operator="equal">
      <formula>"y"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0" r:id="rId4" name="Button 46">
              <controlPr defaultSize="0" print="0" autoFill="0" autoPict="0" macro="[0]!Convert_CJK_Currencies.Convert_CJK_Currencies">
                <anchor moveWithCells="1">
                  <from>
                    <xdr:col>36</xdr:col>
                    <xdr:colOff>142875</xdr:colOff>
                    <xdr:row>5</xdr:row>
                    <xdr:rowOff>142875</xdr:rowOff>
                  </from>
                  <to>
                    <xdr:col>37</xdr:col>
                    <xdr:colOff>714375</xdr:colOff>
                    <xdr:row>5</xdr:row>
                    <xdr:rowOff>381000</xdr:rowOff>
                  </to>
                </anchor>
              </controlPr>
            </control>
          </mc:Choice>
        </mc:AlternateContent>
        <mc:AlternateContent xmlns:mc="http://schemas.openxmlformats.org/markup-compatibility/2006">
          <mc:Choice Requires="x14">
            <control shapeId="1117" r:id="rId5" name="Button 93">
              <controlPr defaultSize="0" print="0" autoFill="0" autoPict="0" macro="[0]!Reset_Donations_Formatting.Reset_Donations_Formatting">
                <anchor moveWithCells="1">
                  <from>
                    <xdr:col>38</xdr:col>
                    <xdr:colOff>142875</xdr:colOff>
                    <xdr:row>5</xdr:row>
                    <xdr:rowOff>142875</xdr:rowOff>
                  </from>
                  <to>
                    <xdr:col>39</xdr:col>
                    <xdr:colOff>714375</xdr:colOff>
                    <xdr:row>5</xdr:row>
                    <xdr:rowOff>381000</xdr:rowOff>
                  </to>
                </anchor>
              </controlPr>
            </control>
          </mc:Choice>
        </mc:AlternateContent>
        <mc:AlternateContent xmlns:mc="http://schemas.openxmlformats.org/markup-compatibility/2006">
          <mc:Choice Requires="x14">
            <control shapeId="1119" r:id="rId6" name="Button 95">
              <controlPr defaultSize="0" print="0" autoFill="0" autoPict="0" macro="[0]!CheckAndCopyRows">
                <anchor moveWithCells="1">
                  <from>
                    <xdr:col>17</xdr:col>
                    <xdr:colOff>28575</xdr:colOff>
                    <xdr:row>0</xdr:row>
                    <xdr:rowOff>142875</xdr:rowOff>
                  </from>
                  <to>
                    <xdr:col>18</xdr:col>
                    <xdr:colOff>228600</xdr:colOff>
                    <xdr:row>1</xdr:row>
                    <xdr:rowOff>133350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C5659-FB42-4A9E-A631-93A7B0576981}">
  <sheetPr codeName="Sheet12">
    <tabColor theme="9" tint="0.79998168889431442"/>
  </sheetPr>
  <dimension ref="A1:N11"/>
  <sheetViews>
    <sheetView view="pageLayout" topLeftCell="A5" zoomScaleNormal="100" workbookViewId="0">
      <selection activeCell="A11" sqref="A1:A11"/>
    </sheetView>
  </sheetViews>
  <sheetFormatPr defaultColWidth="9.140625" defaultRowHeight="36" x14ac:dyDescent="0.55000000000000004"/>
  <cols>
    <col min="1" max="1" width="4" bestFit="1" customWidth="1"/>
    <col min="2" max="2" width="5" style="21" customWidth="1"/>
    <col min="3" max="3" width="5" customWidth="1"/>
    <col min="4" max="4" width="10.140625" style="31" customWidth="1"/>
    <col min="5" max="5" width="2.5703125" customWidth="1"/>
    <col min="6" max="6" width="6.42578125" customWidth="1"/>
    <col min="7" max="7" width="2.5703125" customWidth="1"/>
    <col min="8" max="8" width="6.42578125" customWidth="1"/>
    <col min="9" max="9" width="3.7109375" customWidth="1"/>
    <col min="10" max="10" width="12.140625" customWidth="1"/>
    <col min="11" max="11" width="6.42578125" customWidth="1"/>
    <col min="12" max="12" width="3.7109375" customWidth="1"/>
    <col min="13" max="13" width="6.42578125" customWidth="1"/>
    <col min="14" max="14" width="26.7109375" customWidth="1"/>
  </cols>
  <sheetData>
    <row r="1" spans="1:14" ht="69" customHeight="1" x14ac:dyDescent="0.25">
      <c r="A1" s="20" t="s">
        <v>88</v>
      </c>
      <c r="B1" s="45" t="s">
        <v>89</v>
      </c>
      <c r="C1" s="22" t="s">
        <v>90</v>
      </c>
      <c r="D1" s="30"/>
      <c r="E1" s="22" t="s">
        <v>91</v>
      </c>
      <c r="F1" s="25"/>
      <c r="G1" s="23" t="s">
        <v>92</v>
      </c>
      <c r="H1" s="27" t="s">
        <v>93</v>
      </c>
      <c r="I1" s="26"/>
      <c r="J1" s="24" t="s">
        <v>94</v>
      </c>
      <c r="K1" s="29"/>
      <c r="L1" s="28" t="s">
        <v>95</v>
      </c>
      <c r="M1" s="29"/>
      <c r="N1" s="46"/>
    </row>
    <row r="2" spans="1:14" ht="69" customHeight="1" x14ac:dyDescent="0.25">
      <c r="A2" s="20" t="s">
        <v>88</v>
      </c>
      <c r="B2" s="45" t="s">
        <v>89</v>
      </c>
      <c r="C2" s="22" t="s">
        <v>90</v>
      </c>
      <c r="D2" s="30"/>
      <c r="E2" s="22" t="s">
        <v>91</v>
      </c>
      <c r="F2" s="25"/>
      <c r="G2" s="23" t="s">
        <v>92</v>
      </c>
      <c r="H2" s="27" t="s">
        <v>93</v>
      </c>
      <c r="I2" s="26"/>
      <c r="J2" s="24" t="s">
        <v>94</v>
      </c>
      <c r="K2" s="29"/>
      <c r="L2" s="28" t="s">
        <v>95</v>
      </c>
      <c r="M2" s="29"/>
      <c r="N2" s="47"/>
    </row>
    <row r="3" spans="1:14" ht="69" customHeight="1" x14ac:dyDescent="0.25">
      <c r="A3" s="20" t="s">
        <v>88</v>
      </c>
      <c r="B3" s="45" t="s">
        <v>89</v>
      </c>
      <c r="C3" s="22" t="s">
        <v>90</v>
      </c>
      <c r="D3" s="30"/>
      <c r="E3" s="22" t="s">
        <v>91</v>
      </c>
      <c r="F3" s="25"/>
      <c r="G3" s="23" t="s">
        <v>92</v>
      </c>
      <c r="H3" s="27" t="s">
        <v>93</v>
      </c>
      <c r="I3" s="26"/>
      <c r="J3" s="24" t="s">
        <v>94</v>
      </c>
      <c r="K3" s="29"/>
      <c r="L3" s="28" t="s">
        <v>95</v>
      </c>
      <c r="M3" s="29"/>
      <c r="N3" s="47"/>
    </row>
    <row r="4" spans="1:14" ht="69" customHeight="1" x14ac:dyDescent="0.25">
      <c r="A4" s="20" t="s">
        <v>88</v>
      </c>
      <c r="B4" s="45" t="s">
        <v>89</v>
      </c>
      <c r="C4" s="22" t="s">
        <v>90</v>
      </c>
      <c r="D4" s="30"/>
      <c r="E4" s="22" t="s">
        <v>91</v>
      </c>
      <c r="F4" s="25"/>
      <c r="G4" s="23" t="s">
        <v>92</v>
      </c>
      <c r="H4" s="27" t="s">
        <v>93</v>
      </c>
      <c r="I4" s="26"/>
      <c r="J4" s="24" t="s">
        <v>94</v>
      </c>
      <c r="K4" s="29"/>
      <c r="L4" s="28" t="s">
        <v>95</v>
      </c>
      <c r="M4" s="29"/>
      <c r="N4" s="47"/>
    </row>
    <row r="5" spans="1:14" ht="69" customHeight="1" x14ac:dyDescent="0.25">
      <c r="A5" s="20" t="s">
        <v>88</v>
      </c>
      <c r="B5" s="45" t="s">
        <v>89</v>
      </c>
      <c r="C5" s="22" t="s">
        <v>90</v>
      </c>
      <c r="D5" s="30"/>
      <c r="E5" s="22" t="s">
        <v>91</v>
      </c>
      <c r="F5" s="25"/>
      <c r="G5" s="23" t="s">
        <v>92</v>
      </c>
      <c r="H5" s="27" t="s">
        <v>93</v>
      </c>
      <c r="I5" s="26"/>
      <c r="J5" s="24" t="s">
        <v>94</v>
      </c>
      <c r="K5" s="29"/>
      <c r="L5" s="28" t="s">
        <v>95</v>
      </c>
      <c r="M5" s="29"/>
      <c r="N5" s="47"/>
    </row>
    <row r="6" spans="1:14" ht="69" customHeight="1" x14ac:dyDescent="0.25">
      <c r="A6" s="20" t="s">
        <v>88</v>
      </c>
      <c r="B6" s="45" t="s">
        <v>89</v>
      </c>
      <c r="C6" s="22" t="s">
        <v>90</v>
      </c>
      <c r="D6" s="30"/>
      <c r="E6" s="22" t="s">
        <v>91</v>
      </c>
      <c r="F6" s="25"/>
      <c r="G6" s="23" t="s">
        <v>92</v>
      </c>
      <c r="H6" s="27" t="s">
        <v>93</v>
      </c>
      <c r="I6" s="26"/>
      <c r="J6" s="24" t="s">
        <v>94</v>
      </c>
      <c r="K6" s="29"/>
      <c r="L6" s="28" t="s">
        <v>95</v>
      </c>
      <c r="M6" s="29"/>
      <c r="N6" s="47"/>
    </row>
    <row r="7" spans="1:14" ht="69" customHeight="1" x14ac:dyDescent="0.25">
      <c r="A7" s="20" t="s">
        <v>88</v>
      </c>
      <c r="B7" s="45" t="s">
        <v>89</v>
      </c>
      <c r="C7" s="22" t="s">
        <v>90</v>
      </c>
      <c r="D7" s="30"/>
      <c r="E7" s="22" t="s">
        <v>91</v>
      </c>
      <c r="F7" s="25"/>
      <c r="G7" s="23" t="s">
        <v>92</v>
      </c>
      <c r="H7" s="27" t="s">
        <v>93</v>
      </c>
      <c r="I7" s="26"/>
      <c r="J7" s="24" t="s">
        <v>94</v>
      </c>
      <c r="K7" s="29"/>
      <c r="L7" s="28" t="s">
        <v>95</v>
      </c>
      <c r="M7" s="29"/>
      <c r="N7" s="47"/>
    </row>
    <row r="8" spans="1:14" ht="69" customHeight="1" x14ac:dyDescent="0.25">
      <c r="A8" s="20" t="s">
        <v>88</v>
      </c>
      <c r="B8" s="45" t="s">
        <v>89</v>
      </c>
      <c r="C8" s="22" t="s">
        <v>90</v>
      </c>
      <c r="D8" s="30"/>
      <c r="E8" s="22" t="s">
        <v>91</v>
      </c>
      <c r="F8" s="25"/>
      <c r="G8" s="23" t="s">
        <v>92</v>
      </c>
      <c r="H8" s="27" t="s">
        <v>93</v>
      </c>
      <c r="I8" s="26"/>
      <c r="J8" s="24" t="s">
        <v>94</v>
      </c>
      <c r="K8" s="29"/>
      <c r="L8" s="28" t="s">
        <v>95</v>
      </c>
      <c r="M8" s="29"/>
      <c r="N8" s="47"/>
    </row>
    <row r="9" spans="1:14" ht="69" customHeight="1" x14ac:dyDescent="0.25">
      <c r="A9" s="20" t="s">
        <v>88</v>
      </c>
      <c r="B9" s="45" t="s">
        <v>89</v>
      </c>
      <c r="C9" s="22" t="s">
        <v>90</v>
      </c>
      <c r="D9" s="30"/>
      <c r="E9" s="22" t="s">
        <v>91</v>
      </c>
      <c r="F9" s="25"/>
      <c r="G9" s="23" t="s">
        <v>92</v>
      </c>
      <c r="H9" s="27" t="s">
        <v>93</v>
      </c>
      <c r="I9" s="26"/>
      <c r="J9" s="24" t="s">
        <v>94</v>
      </c>
      <c r="K9" s="29"/>
      <c r="L9" s="28" t="s">
        <v>95</v>
      </c>
      <c r="M9" s="29"/>
      <c r="N9" s="47"/>
    </row>
    <row r="10" spans="1:14" ht="69" customHeight="1" x14ac:dyDescent="0.25">
      <c r="A10" s="20" t="s">
        <v>88</v>
      </c>
      <c r="B10" s="45" t="s">
        <v>89</v>
      </c>
      <c r="C10" s="22" t="s">
        <v>90</v>
      </c>
      <c r="D10" s="30"/>
      <c r="E10" s="22" t="s">
        <v>91</v>
      </c>
      <c r="F10" s="25"/>
      <c r="G10" s="23" t="s">
        <v>92</v>
      </c>
      <c r="H10" s="27" t="s">
        <v>93</v>
      </c>
      <c r="I10" s="26"/>
      <c r="J10" s="24" t="s">
        <v>94</v>
      </c>
      <c r="K10" s="29"/>
      <c r="L10" s="28" t="s">
        <v>95</v>
      </c>
      <c r="M10" s="29"/>
      <c r="N10" s="47"/>
    </row>
    <row r="11" spans="1:14" ht="69" customHeight="1" x14ac:dyDescent="0.25">
      <c r="A11" s="20" t="s">
        <v>88</v>
      </c>
      <c r="B11" s="22" t="s">
        <v>89</v>
      </c>
      <c r="C11" s="22" t="s">
        <v>90</v>
      </c>
      <c r="D11" s="30"/>
      <c r="E11" s="22" t="s">
        <v>91</v>
      </c>
      <c r="F11" s="25"/>
      <c r="G11" s="23" t="s">
        <v>92</v>
      </c>
      <c r="H11" s="27" t="s">
        <v>93</v>
      </c>
      <c r="I11" s="26"/>
      <c r="J11" s="24" t="s">
        <v>94</v>
      </c>
      <c r="K11" s="29"/>
      <c r="L11" s="28" t="s">
        <v>95</v>
      </c>
      <c r="M11" s="29"/>
      <c r="N11" s="48"/>
    </row>
  </sheetData>
  <pageMargins left="0.25" right="0.25" top="0.25" bottom="0.25" header="0" footer="0"/>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0CE09-35B9-4934-9649-917BFA36AFD1}">
  <sheetPr codeName="Sheet11"/>
  <dimension ref="A1:M33"/>
  <sheetViews>
    <sheetView view="pageLayout" zoomScaleNormal="100" workbookViewId="0">
      <selection activeCell="D10" sqref="D10:D12"/>
    </sheetView>
  </sheetViews>
  <sheetFormatPr defaultColWidth="9.140625" defaultRowHeight="15" x14ac:dyDescent="0.25"/>
  <cols>
    <col min="1" max="1" width="3.7109375" customWidth="1"/>
    <col min="2" max="3" width="5" customWidth="1"/>
    <col min="4" max="4" width="8.85546875" customWidth="1"/>
    <col min="6" max="6" width="16" customWidth="1"/>
    <col min="7" max="8" width="6.42578125" customWidth="1"/>
    <col min="9" max="9" width="2.5703125" customWidth="1"/>
    <col min="10" max="10" width="6.42578125" customWidth="1"/>
    <col min="13" max="13" width="11.42578125" customWidth="1"/>
  </cols>
  <sheetData>
    <row r="1" spans="1:13" ht="20.85" customHeight="1" x14ac:dyDescent="0.25">
      <c r="A1" s="167" t="s">
        <v>152</v>
      </c>
      <c r="B1" s="154" t="s">
        <v>151</v>
      </c>
      <c r="C1" s="157" t="s">
        <v>90</v>
      </c>
      <c r="D1" s="160"/>
      <c r="E1" s="50" t="s">
        <v>91</v>
      </c>
      <c r="F1" s="47"/>
      <c r="G1" s="50" t="s">
        <v>96</v>
      </c>
      <c r="H1" s="51"/>
      <c r="I1" s="52" t="s">
        <v>97</v>
      </c>
      <c r="J1" s="51"/>
      <c r="K1" s="50" t="s">
        <v>98</v>
      </c>
      <c r="L1" s="52"/>
      <c r="M1" s="47"/>
    </row>
    <row r="2" spans="1:13" ht="20.85" customHeight="1" x14ac:dyDescent="0.25">
      <c r="A2" s="168"/>
      <c r="B2" s="155"/>
      <c r="C2" s="158"/>
      <c r="D2" s="161"/>
      <c r="E2" s="53"/>
      <c r="G2" s="49" t="s">
        <v>99</v>
      </c>
      <c r="H2" s="163"/>
      <c r="I2" s="163"/>
      <c r="J2" s="163"/>
      <c r="K2" s="163"/>
      <c r="L2" s="163"/>
      <c r="M2" s="164"/>
    </row>
    <row r="3" spans="1:13" ht="20.85" customHeight="1" x14ac:dyDescent="0.25">
      <c r="A3" s="169"/>
      <c r="B3" s="156"/>
      <c r="C3" s="159"/>
      <c r="D3" s="162"/>
      <c r="E3" s="54" t="s">
        <v>100</v>
      </c>
      <c r="F3" s="44"/>
      <c r="G3" s="55"/>
      <c r="H3" s="165"/>
      <c r="I3" s="165"/>
      <c r="J3" s="165"/>
      <c r="K3" s="165"/>
      <c r="L3" s="165"/>
      <c r="M3" s="166"/>
    </row>
    <row r="4" spans="1:13" ht="20.85" customHeight="1" x14ac:dyDescent="0.25">
      <c r="A4" s="167" t="s">
        <v>152</v>
      </c>
      <c r="B4" s="154" t="s">
        <v>151</v>
      </c>
      <c r="C4" s="157" t="s">
        <v>90</v>
      </c>
      <c r="D4" s="160"/>
      <c r="E4" s="50" t="s">
        <v>91</v>
      </c>
      <c r="F4" s="47"/>
      <c r="G4" s="50" t="s">
        <v>96</v>
      </c>
      <c r="H4" s="51"/>
      <c r="I4" s="52" t="s">
        <v>97</v>
      </c>
      <c r="J4" s="51"/>
      <c r="K4" s="50" t="s">
        <v>98</v>
      </c>
      <c r="L4" s="47"/>
      <c r="M4" s="47"/>
    </row>
    <row r="5" spans="1:13" ht="20.85" customHeight="1" x14ac:dyDescent="0.25">
      <c r="A5" s="168"/>
      <c r="B5" s="155"/>
      <c r="C5" s="158"/>
      <c r="D5" s="161"/>
      <c r="E5" s="53"/>
      <c r="G5" s="49" t="s">
        <v>99</v>
      </c>
      <c r="H5" s="163"/>
      <c r="I5" s="163"/>
      <c r="J5" s="163"/>
      <c r="K5" s="163"/>
      <c r="L5" s="163"/>
      <c r="M5" s="164"/>
    </row>
    <row r="6" spans="1:13" ht="20.85" customHeight="1" x14ac:dyDescent="0.25">
      <c r="A6" s="169"/>
      <c r="B6" s="156"/>
      <c r="C6" s="159"/>
      <c r="D6" s="162"/>
      <c r="E6" s="54" t="s">
        <v>100</v>
      </c>
      <c r="F6" s="44"/>
      <c r="G6" s="55"/>
      <c r="H6" s="165"/>
      <c r="I6" s="165"/>
      <c r="J6" s="165"/>
      <c r="K6" s="165"/>
      <c r="L6" s="165"/>
      <c r="M6" s="166"/>
    </row>
    <row r="7" spans="1:13" ht="20.85" customHeight="1" x14ac:dyDescent="0.25">
      <c r="A7" s="167" t="s">
        <v>152</v>
      </c>
      <c r="B7" s="154" t="s">
        <v>151</v>
      </c>
      <c r="C7" s="157" t="s">
        <v>90</v>
      </c>
      <c r="D7" s="160"/>
      <c r="E7" s="50" t="s">
        <v>91</v>
      </c>
      <c r="F7" s="47"/>
      <c r="G7" s="50" t="s">
        <v>96</v>
      </c>
      <c r="H7" s="51"/>
      <c r="I7" s="52" t="s">
        <v>97</v>
      </c>
      <c r="J7" s="51"/>
      <c r="K7" s="50" t="s">
        <v>98</v>
      </c>
      <c r="L7" s="47"/>
      <c r="M7" s="47"/>
    </row>
    <row r="8" spans="1:13" ht="20.85" customHeight="1" x14ac:dyDescent="0.25">
      <c r="A8" s="168"/>
      <c r="B8" s="155"/>
      <c r="C8" s="158"/>
      <c r="D8" s="161"/>
      <c r="E8" s="53"/>
      <c r="G8" s="49" t="s">
        <v>99</v>
      </c>
      <c r="H8" s="163"/>
      <c r="I8" s="163"/>
      <c r="J8" s="163"/>
      <c r="K8" s="163"/>
      <c r="L8" s="163"/>
      <c r="M8" s="164"/>
    </row>
    <row r="9" spans="1:13" ht="20.85" customHeight="1" x14ac:dyDescent="0.25">
      <c r="A9" s="169"/>
      <c r="B9" s="156"/>
      <c r="C9" s="159"/>
      <c r="D9" s="162"/>
      <c r="E9" s="54" t="s">
        <v>100</v>
      </c>
      <c r="F9" s="44"/>
      <c r="G9" s="55"/>
      <c r="H9" s="165"/>
      <c r="I9" s="165"/>
      <c r="J9" s="165"/>
      <c r="K9" s="165"/>
      <c r="L9" s="165"/>
      <c r="M9" s="166"/>
    </row>
    <row r="10" spans="1:13" ht="20.85" customHeight="1" x14ac:dyDescent="0.25">
      <c r="A10" s="167" t="s">
        <v>152</v>
      </c>
      <c r="B10" s="154" t="s">
        <v>151</v>
      </c>
      <c r="C10" s="157" t="s">
        <v>90</v>
      </c>
      <c r="D10" s="160"/>
      <c r="E10" s="50" t="s">
        <v>91</v>
      </c>
      <c r="F10" s="47"/>
      <c r="G10" s="50" t="s">
        <v>96</v>
      </c>
      <c r="H10" s="51"/>
      <c r="I10" s="52" t="s">
        <v>97</v>
      </c>
      <c r="J10" s="51"/>
      <c r="K10" s="50" t="s">
        <v>98</v>
      </c>
      <c r="L10" s="47"/>
      <c r="M10" s="47"/>
    </row>
    <row r="11" spans="1:13" ht="20.85" customHeight="1" x14ac:dyDescent="0.25">
      <c r="A11" s="168"/>
      <c r="B11" s="155"/>
      <c r="C11" s="158"/>
      <c r="D11" s="161"/>
      <c r="E11" s="53"/>
      <c r="G11" s="49" t="s">
        <v>99</v>
      </c>
      <c r="H11" s="163"/>
      <c r="I11" s="163"/>
      <c r="J11" s="163"/>
      <c r="K11" s="163"/>
      <c r="L11" s="163"/>
      <c r="M11" s="164"/>
    </row>
    <row r="12" spans="1:13" ht="20.85" customHeight="1" x14ac:dyDescent="0.25">
      <c r="A12" s="169"/>
      <c r="B12" s="156"/>
      <c r="C12" s="159"/>
      <c r="D12" s="162"/>
      <c r="E12" s="54" t="s">
        <v>100</v>
      </c>
      <c r="F12" s="44"/>
      <c r="G12" s="55"/>
      <c r="H12" s="165"/>
      <c r="I12" s="165"/>
      <c r="J12" s="165"/>
      <c r="K12" s="165"/>
      <c r="L12" s="165"/>
      <c r="M12" s="166"/>
    </row>
    <row r="13" spans="1:13" ht="20.85" customHeight="1" x14ac:dyDescent="0.25">
      <c r="A13" s="167" t="s">
        <v>152</v>
      </c>
      <c r="B13" s="154" t="s">
        <v>151</v>
      </c>
      <c r="C13" s="157" t="s">
        <v>90</v>
      </c>
      <c r="D13" s="160"/>
      <c r="E13" s="50" t="s">
        <v>91</v>
      </c>
      <c r="F13" s="47"/>
      <c r="G13" s="50" t="s">
        <v>96</v>
      </c>
      <c r="H13" s="51"/>
      <c r="I13" s="52" t="s">
        <v>97</v>
      </c>
      <c r="J13" s="51"/>
      <c r="K13" s="50" t="s">
        <v>98</v>
      </c>
      <c r="L13" s="47"/>
      <c r="M13" s="47"/>
    </row>
    <row r="14" spans="1:13" ht="20.85" customHeight="1" x14ac:dyDescent="0.25">
      <c r="A14" s="168"/>
      <c r="B14" s="155"/>
      <c r="C14" s="158"/>
      <c r="D14" s="161"/>
      <c r="E14" s="53"/>
      <c r="G14" s="49" t="s">
        <v>99</v>
      </c>
      <c r="H14" s="163"/>
      <c r="I14" s="163"/>
      <c r="J14" s="163"/>
      <c r="K14" s="163"/>
      <c r="L14" s="163"/>
      <c r="M14" s="164"/>
    </row>
    <row r="15" spans="1:13" ht="20.85" customHeight="1" x14ac:dyDescent="0.25">
      <c r="A15" s="169"/>
      <c r="B15" s="156"/>
      <c r="C15" s="159"/>
      <c r="D15" s="162"/>
      <c r="E15" s="54" t="s">
        <v>100</v>
      </c>
      <c r="F15" s="44"/>
      <c r="G15" s="55"/>
      <c r="H15" s="165"/>
      <c r="I15" s="165"/>
      <c r="J15" s="165"/>
      <c r="K15" s="165"/>
      <c r="L15" s="165"/>
      <c r="M15" s="166"/>
    </row>
    <row r="16" spans="1:13" ht="20.85" customHeight="1" x14ac:dyDescent="0.25">
      <c r="A16" s="167" t="s">
        <v>152</v>
      </c>
      <c r="B16" s="154" t="s">
        <v>151</v>
      </c>
      <c r="C16" s="157" t="s">
        <v>90</v>
      </c>
      <c r="D16" s="160"/>
      <c r="E16" s="50" t="s">
        <v>91</v>
      </c>
      <c r="F16" s="47"/>
      <c r="G16" s="50" t="s">
        <v>96</v>
      </c>
      <c r="H16" s="51"/>
      <c r="I16" s="52" t="s">
        <v>97</v>
      </c>
      <c r="J16" s="51"/>
      <c r="K16" s="50" t="s">
        <v>98</v>
      </c>
      <c r="L16" s="47"/>
      <c r="M16" s="47"/>
    </row>
    <row r="17" spans="1:13" ht="20.85" customHeight="1" x14ac:dyDescent="0.25">
      <c r="A17" s="168"/>
      <c r="B17" s="155"/>
      <c r="C17" s="158"/>
      <c r="D17" s="161"/>
      <c r="E17" s="53"/>
      <c r="G17" s="49" t="s">
        <v>99</v>
      </c>
      <c r="H17" s="163"/>
      <c r="I17" s="163"/>
      <c r="J17" s="163"/>
      <c r="K17" s="163"/>
      <c r="L17" s="163"/>
      <c r="M17" s="164"/>
    </row>
    <row r="18" spans="1:13" ht="20.85" customHeight="1" x14ac:dyDescent="0.25">
      <c r="A18" s="169"/>
      <c r="B18" s="156"/>
      <c r="C18" s="159"/>
      <c r="D18" s="162"/>
      <c r="E18" s="54" t="s">
        <v>100</v>
      </c>
      <c r="F18" s="44"/>
      <c r="G18" s="55"/>
      <c r="H18" s="165"/>
      <c r="I18" s="165"/>
      <c r="J18" s="165"/>
      <c r="K18" s="165"/>
      <c r="L18" s="165"/>
      <c r="M18" s="166"/>
    </row>
    <row r="19" spans="1:13" ht="20.85" customHeight="1" x14ac:dyDescent="0.25">
      <c r="A19" s="167" t="s">
        <v>152</v>
      </c>
      <c r="B19" s="154" t="s">
        <v>151</v>
      </c>
      <c r="C19" s="157" t="s">
        <v>90</v>
      </c>
      <c r="D19" s="160"/>
      <c r="E19" s="50" t="s">
        <v>91</v>
      </c>
      <c r="F19" s="47"/>
      <c r="G19" s="50" t="s">
        <v>96</v>
      </c>
      <c r="H19" s="51"/>
      <c r="I19" s="52" t="s">
        <v>97</v>
      </c>
      <c r="J19" s="51"/>
      <c r="K19" s="50" t="s">
        <v>98</v>
      </c>
      <c r="L19" s="47"/>
      <c r="M19" s="47"/>
    </row>
    <row r="20" spans="1:13" ht="20.85" customHeight="1" x14ac:dyDescent="0.25">
      <c r="A20" s="168"/>
      <c r="B20" s="155"/>
      <c r="C20" s="158"/>
      <c r="D20" s="161"/>
      <c r="E20" s="53"/>
      <c r="G20" s="49" t="s">
        <v>99</v>
      </c>
      <c r="H20" s="163"/>
      <c r="I20" s="163"/>
      <c r="J20" s="163"/>
      <c r="K20" s="163"/>
      <c r="L20" s="163"/>
      <c r="M20" s="164"/>
    </row>
    <row r="21" spans="1:13" ht="20.85" customHeight="1" x14ac:dyDescent="0.25">
      <c r="A21" s="169"/>
      <c r="B21" s="156"/>
      <c r="C21" s="159"/>
      <c r="D21" s="162"/>
      <c r="E21" s="54" t="s">
        <v>100</v>
      </c>
      <c r="F21" s="44"/>
      <c r="G21" s="55"/>
      <c r="H21" s="165"/>
      <c r="I21" s="165"/>
      <c r="J21" s="165"/>
      <c r="K21" s="165"/>
      <c r="L21" s="165"/>
      <c r="M21" s="166"/>
    </row>
    <row r="22" spans="1:13" ht="20.85" customHeight="1" x14ac:dyDescent="0.25">
      <c r="A22" s="167" t="s">
        <v>152</v>
      </c>
      <c r="B22" s="154" t="s">
        <v>151</v>
      </c>
      <c r="C22" s="157" t="s">
        <v>90</v>
      </c>
      <c r="D22" s="160"/>
      <c r="E22" s="50" t="s">
        <v>91</v>
      </c>
      <c r="F22" s="47"/>
      <c r="G22" s="50" t="s">
        <v>96</v>
      </c>
      <c r="H22" s="51"/>
      <c r="I22" s="52" t="s">
        <v>97</v>
      </c>
      <c r="J22" s="51"/>
      <c r="K22" s="50" t="s">
        <v>98</v>
      </c>
      <c r="L22" s="47"/>
      <c r="M22" s="47"/>
    </row>
    <row r="23" spans="1:13" ht="20.85" customHeight="1" x14ac:dyDescent="0.25">
      <c r="A23" s="168"/>
      <c r="B23" s="155"/>
      <c r="C23" s="158"/>
      <c r="D23" s="161"/>
      <c r="E23" s="53"/>
      <c r="G23" s="49" t="s">
        <v>99</v>
      </c>
      <c r="H23" s="163"/>
      <c r="I23" s="163"/>
      <c r="J23" s="163"/>
      <c r="K23" s="163"/>
      <c r="L23" s="163"/>
      <c r="M23" s="164"/>
    </row>
    <row r="24" spans="1:13" ht="20.85" customHeight="1" x14ac:dyDescent="0.25">
      <c r="A24" s="169"/>
      <c r="B24" s="156"/>
      <c r="C24" s="159"/>
      <c r="D24" s="162"/>
      <c r="E24" s="54" t="s">
        <v>100</v>
      </c>
      <c r="F24" s="44"/>
      <c r="G24" s="55"/>
      <c r="H24" s="165"/>
      <c r="I24" s="165"/>
      <c r="J24" s="165"/>
      <c r="K24" s="165"/>
      <c r="L24" s="165"/>
      <c r="M24" s="166"/>
    </row>
    <row r="25" spans="1:13" ht="20.85" customHeight="1" x14ac:dyDescent="0.25">
      <c r="A25" s="167" t="s">
        <v>152</v>
      </c>
      <c r="B25" s="154" t="s">
        <v>151</v>
      </c>
      <c r="C25" s="157" t="s">
        <v>90</v>
      </c>
      <c r="D25" s="160"/>
      <c r="E25" s="50" t="s">
        <v>91</v>
      </c>
      <c r="F25" s="47"/>
      <c r="G25" s="50" t="s">
        <v>96</v>
      </c>
      <c r="H25" s="51"/>
      <c r="I25" s="52" t="s">
        <v>97</v>
      </c>
      <c r="J25" s="51"/>
      <c r="K25" s="50" t="s">
        <v>98</v>
      </c>
      <c r="L25" s="47"/>
      <c r="M25" s="47"/>
    </row>
    <row r="26" spans="1:13" ht="20.85" customHeight="1" x14ac:dyDescent="0.25">
      <c r="A26" s="168"/>
      <c r="B26" s="155"/>
      <c r="C26" s="158"/>
      <c r="D26" s="161"/>
      <c r="E26" s="53"/>
      <c r="G26" s="49" t="s">
        <v>99</v>
      </c>
      <c r="H26" s="163"/>
      <c r="I26" s="163"/>
      <c r="J26" s="163"/>
      <c r="K26" s="163"/>
      <c r="L26" s="163"/>
      <c r="M26" s="164"/>
    </row>
    <row r="27" spans="1:13" ht="20.85" customHeight="1" x14ac:dyDescent="0.25">
      <c r="A27" s="169"/>
      <c r="B27" s="156"/>
      <c r="C27" s="159"/>
      <c r="D27" s="162"/>
      <c r="E27" s="54" t="s">
        <v>100</v>
      </c>
      <c r="F27" s="44"/>
      <c r="G27" s="55"/>
      <c r="H27" s="165"/>
      <c r="I27" s="165"/>
      <c r="J27" s="165"/>
      <c r="K27" s="165"/>
      <c r="L27" s="165"/>
      <c r="M27" s="166"/>
    </row>
    <row r="28" spans="1:13" ht="20.85" customHeight="1" x14ac:dyDescent="0.25">
      <c r="A28" s="167" t="s">
        <v>152</v>
      </c>
      <c r="B28" s="154" t="s">
        <v>151</v>
      </c>
      <c r="C28" s="157" t="s">
        <v>90</v>
      </c>
      <c r="D28" s="160"/>
      <c r="E28" s="50" t="s">
        <v>91</v>
      </c>
      <c r="F28" s="47"/>
      <c r="G28" s="50" t="s">
        <v>96</v>
      </c>
      <c r="H28" s="51"/>
      <c r="I28" s="52" t="s">
        <v>97</v>
      </c>
      <c r="J28" s="51"/>
      <c r="K28" s="50" t="s">
        <v>98</v>
      </c>
      <c r="L28" s="47"/>
      <c r="M28" s="47"/>
    </row>
    <row r="29" spans="1:13" ht="20.85" customHeight="1" x14ac:dyDescent="0.25">
      <c r="A29" s="168"/>
      <c r="B29" s="155"/>
      <c r="C29" s="158"/>
      <c r="D29" s="161"/>
      <c r="E29" s="53"/>
      <c r="G29" s="49" t="s">
        <v>99</v>
      </c>
      <c r="H29" s="163"/>
      <c r="I29" s="163"/>
      <c r="J29" s="163"/>
      <c r="K29" s="163"/>
      <c r="L29" s="163"/>
      <c r="M29" s="164"/>
    </row>
    <row r="30" spans="1:13" ht="20.85" customHeight="1" x14ac:dyDescent="0.25">
      <c r="A30" s="169"/>
      <c r="B30" s="156"/>
      <c r="C30" s="159"/>
      <c r="D30" s="162"/>
      <c r="E30" s="54" t="s">
        <v>100</v>
      </c>
      <c r="F30" s="44"/>
      <c r="G30" s="55"/>
      <c r="H30" s="165"/>
      <c r="I30" s="165"/>
      <c r="J30" s="165"/>
      <c r="K30" s="165"/>
      <c r="L30" s="165"/>
      <c r="M30" s="166"/>
    </row>
    <row r="31" spans="1:13" ht="20.85" customHeight="1" x14ac:dyDescent="0.25">
      <c r="A31" s="167" t="s">
        <v>152</v>
      </c>
      <c r="B31" s="154" t="s">
        <v>151</v>
      </c>
      <c r="C31" s="157" t="s">
        <v>90</v>
      </c>
      <c r="D31" s="160"/>
      <c r="E31" s="50" t="s">
        <v>91</v>
      </c>
      <c r="F31" s="47"/>
      <c r="G31" s="50" t="s">
        <v>96</v>
      </c>
      <c r="H31" s="51"/>
      <c r="I31" s="52" t="s">
        <v>97</v>
      </c>
      <c r="J31" s="51"/>
      <c r="K31" s="50" t="s">
        <v>98</v>
      </c>
      <c r="L31" s="47"/>
      <c r="M31" s="47"/>
    </row>
    <row r="32" spans="1:13" ht="20.85" customHeight="1" x14ac:dyDescent="0.25">
      <c r="A32" s="168"/>
      <c r="B32" s="155"/>
      <c r="C32" s="158"/>
      <c r="D32" s="161"/>
      <c r="E32" s="53"/>
      <c r="G32" s="49" t="s">
        <v>99</v>
      </c>
      <c r="H32" s="163"/>
      <c r="I32" s="163"/>
      <c r="J32" s="163"/>
      <c r="K32" s="163"/>
      <c r="L32" s="163"/>
      <c r="M32" s="164"/>
    </row>
    <row r="33" spans="1:13" ht="20.85" customHeight="1" x14ac:dyDescent="0.25">
      <c r="A33" s="169"/>
      <c r="B33" s="156"/>
      <c r="C33" s="159"/>
      <c r="D33" s="162"/>
      <c r="E33" s="54" t="s">
        <v>100</v>
      </c>
      <c r="F33" s="44"/>
      <c r="G33" s="55"/>
      <c r="H33" s="165"/>
      <c r="I33" s="165"/>
      <c r="J33" s="165"/>
      <c r="K33" s="165"/>
      <c r="L33" s="165"/>
      <c r="M33" s="166"/>
    </row>
  </sheetData>
  <mergeCells count="55">
    <mergeCell ref="A31:A33"/>
    <mergeCell ref="B31:B33"/>
    <mergeCell ref="C31:C33"/>
    <mergeCell ref="D31:D33"/>
    <mergeCell ref="H32:M33"/>
    <mergeCell ref="A25:A27"/>
    <mergeCell ref="B25:B27"/>
    <mergeCell ref="C25:C27"/>
    <mergeCell ref="D25:D27"/>
    <mergeCell ref="H26:M27"/>
    <mergeCell ref="A28:A30"/>
    <mergeCell ref="B28:B30"/>
    <mergeCell ref="C28:C30"/>
    <mergeCell ref="D28:D30"/>
    <mergeCell ref="H29:M30"/>
    <mergeCell ref="A19:A21"/>
    <mergeCell ref="B19:B21"/>
    <mergeCell ref="C19:C21"/>
    <mergeCell ref="D19:D21"/>
    <mergeCell ref="H20:M21"/>
    <mergeCell ref="A22:A24"/>
    <mergeCell ref="B22:B24"/>
    <mergeCell ref="C22:C24"/>
    <mergeCell ref="D22:D24"/>
    <mergeCell ref="H23:M24"/>
    <mergeCell ref="A13:A15"/>
    <mergeCell ref="B13:B15"/>
    <mergeCell ref="C13:C15"/>
    <mergeCell ref="D13:D15"/>
    <mergeCell ref="H14:M15"/>
    <mergeCell ref="A16:A18"/>
    <mergeCell ref="B16:B18"/>
    <mergeCell ref="C16:C18"/>
    <mergeCell ref="D16:D18"/>
    <mergeCell ref="H17:M18"/>
    <mergeCell ref="A7:A9"/>
    <mergeCell ref="B7:B9"/>
    <mergeCell ref="C7:C9"/>
    <mergeCell ref="D7:D9"/>
    <mergeCell ref="H8:M9"/>
    <mergeCell ref="A10:A12"/>
    <mergeCell ref="B10:B12"/>
    <mergeCell ref="C10:C12"/>
    <mergeCell ref="D10:D12"/>
    <mergeCell ref="H11:M12"/>
    <mergeCell ref="B1:B3"/>
    <mergeCell ref="C1:C3"/>
    <mergeCell ref="D1:D3"/>
    <mergeCell ref="H2:M3"/>
    <mergeCell ref="A4:A6"/>
    <mergeCell ref="B4:B6"/>
    <mergeCell ref="C4:C6"/>
    <mergeCell ref="D4:D6"/>
    <mergeCell ref="H5:M6"/>
    <mergeCell ref="A1:A3"/>
  </mergeCells>
  <pageMargins left="0.25" right="0.25" top="0.75" bottom="0.75" header="0.3" footer="0.3"/>
  <pageSetup orientation="portrait" r:id="rId1"/>
  <headerFooter>
    <oddHeader>&amp;C&amp;K00-049manual slips</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E3049-30CC-44D9-B475-B83E5C652911}">
  <sheetPr codeName="Sheet5"/>
  <dimension ref="A1:J12"/>
  <sheetViews>
    <sheetView view="pageLayout" zoomScaleNormal="100" workbookViewId="0">
      <selection activeCell="B1" sqref="B1"/>
    </sheetView>
  </sheetViews>
  <sheetFormatPr defaultColWidth="9.140625" defaultRowHeight="64.7" customHeight="1" x14ac:dyDescent="0.25"/>
  <cols>
    <col min="1" max="1" width="3.7109375" style="179" customWidth="1"/>
    <col min="2" max="2" width="5" style="173" customWidth="1"/>
    <col min="3" max="3" width="3.7109375" style="171" customWidth="1"/>
    <col min="4" max="4" width="7.5703125" style="178" customWidth="1"/>
    <col min="5" max="5" width="3.140625" style="20" customWidth="1"/>
    <col min="6" max="6" width="7.42578125" style="177" customWidth="1"/>
    <col min="7" max="7" width="3.140625" style="20" customWidth="1"/>
    <col min="8" max="8" width="7.42578125" style="171" customWidth="1"/>
    <col min="9" max="9" width="3.140625" style="20" customWidth="1"/>
    <col min="10" max="10" width="57.42578125" style="174" customWidth="1"/>
  </cols>
  <sheetData>
    <row r="1" spans="1:10" ht="64.7" customHeight="1" x14ac:dyDescent="0.25">
      <c r="A1" s="134" t="s">
        <v>152</v>
      </c>
      <c r="B1" s="136" t="s">
        <v>151</v>
      </c>
      <c r="C1" s="172" t="s">
        <v>101</v>
      </c>
      <c r="D1" s="148">
        <v>279</v>
      </c>
      <c r="E1" s="170" t="s">
        <v>102</v>
      </c>
      <c r="F1" s="176" t="s">
        <v>86</v>
      </c>
      <c r="G1" s="170" t="s">
        <v>103</v>
      </c>
      <c r="H1" s="175">
        <v>498821</v>
      </c>
      <c r="I1" s="170" t="s">
        <v>104</v>
      </c>
      <c r="J1" s="142" t="s">
        <v>486</v>
      </c>
    </row>
    <row r="2" spans="1:10" ht="64.900000000000006" customHeight="1" x14ac:dyDescent="0.25">
      <c r="A2" s="134" t="s">
        <v>152</v>
      </c>
      <c r="B2" s="136" t="s">
        <v>151</v>
      </c>
      <c r="C2" s="172" t="s">
        <v>101</v>
      </c>
      <c r="D2" s="148">
        <v>1</v>
      </c>
      <c r="E2" s="170" t="s">
        <v>102</v>
      </c>
      <c r="F2" s="176" t="s">
        <v>82</v>
      </c>
      <c r="G2" s="170" t="s">
        <v>103</v>
      </c>
      <c r="H2" s="175">
        <v>39917744</v>
      </c>
      <c r="I2" s="170" t="s">
        <v>104</v>
      </c>
      <c r="J2" s="142" t="s">
        <v>185</v>
      </c>
    </row>
    <row r="3" spans="1:10" ht="64.900000000000006" customHeight="1" x14ac:dyDescent="0.25">
      <c r="A3" s="134" t="s">
        <v>152</v>
      </c>
      <c r="B3" s="136" t="s">
        <v>151</v>
      </c>
      <c r="C3" s="172" t="s">
        <v>101</v>
      </c>
      <c r="D3" s="148">
        <v>1</v>
      </c>
      <c r="E3" s="170" t="s">
        <v>102</v>
      </c>
      <c r="F3" s="176" t="s">
        <v>82</v>
      </c>
      <c r="G3" s="170" t="s">
        <v>103</v>
      </c>
      <c r="H3" s="175">
        <v>39917744</v>
      </c>
      <c r="I3" s="170" t="s">
        <v>104</v>
      </c>
      <c r="J3" s="142" t="s">
        <v>185</v>
      </c>
    </row>
    <row r="4" spans="1:10" ht="64.900000000000006" customHeight="1" x14ac:dyDescent="0.25">
      <c r="A4" s="134" t="s">
        <v>152</v>
      </c>
      <c r="B4" s="136" t="s">
        <v>151</v>
      </c>
      <c r="C4" s="172" t="s">
        <v>101</v>
      </c>
      <c r="D4" s="148">
        <v>1</v>
      </c>
      <c r="E4" s="170" t="s">
        <v>102</v>
      </c>
      <c r="F4" s="176" t="s">
        <v>82</v>
      </c>
      <c r="G4" s="170" t="s">
        <v>103</v>
      </c>
      <c r="H4" s="175">
        <v>39917744</v>
      </c>
      <c r="I4" s="170" t="s">
        <v>104</v>
      </c>
      <c r="J4" s="142" t="s">
        <v>185</v>
      </c>
    </row>
    <row r="5" spans="1:10" ht="64.900000000000006" customHeight="1" x14ac:dyDescent="0.25">
      <c r="A5" s="134" t="s">
        <v>152</v>
      </c>
      <c r="B5" s="136" t="s">
        <v>151</v>
      </c>
      <c r="C5" s="172" t="s">
        <v>101</v>
      </c>
      <c r="D5" s="148">
        <v>1</v>
      </c>
      <c r="E5" s="170" t="s">
        <v>102</v>
      </c>
      <c r="F5" s="176" t="s">
        <v>82</v>
      </c>
      <c r="G5" s="170" t="s">
        <v>103</v>
      </c>
      <c r="H5" s="175">
        <v>39917744</v>
      </c>
      <c r="I5" s="170" t="s">
        <v>104</v>
      </c>
      <c r="J5" s="142" t="s">
        <v>185</v>
      </c>
    </row>
    <row r="6" spans="1:10" ht="64.900000000000006" customHeight="1" x14ac:dyDescent="0.25">
      <c r="A6" s="134" t="s">
        <v>152</v>
      </c>
      <c r="B6" s="136" t="s">
        <v>151</v>
      </c>
      <c r="C6" s="172" t="s">
        <v>101</v>
      </c>
      <c r="D6" s="148">
        <v>1</v>
      </c>
      <c r="E6" s="170" t="s">
        <v>102</v>
      </c>
      <c r="F6" s="176" t="s">
        <v>82</v>
      </c>
      <c r="G6" s="170" t="s">
        <v>103</v>
      </c>
      <c r="H6" s="175">
        <v>39917744</v>
      </c>
      <c r="I6" s="170" t="s">
        <v>104</v>
      </c>
      <c r="J6" s="142" t="s">
        <v>185</v>
      </c>
    </row>
    <row r="7" spans="1:10" ht="64.900000000000006" customHeight="1" x14ac:dyDescent="0.25">
      <c r="A7" s="134" t="s">
        <v>152</v>
      </c>
      <c r="B7" s="136" t="s">
        <v>151</v>
      </c>
      <c r="C7" s="172" t="s">
        <v>101</v>
      </c>
      <c r="D7" s="148">
        <v>1</v>
      </c>
      <c r="E7" s="170" t="s">
        <v>102</v>
      </c>
      <c r="F7" s="176" t="s">
        <v>82</v>
      </c>
      <c r="G7" s="170" t="s">
        <v>103</v>
      </c>
      <c r="H7" s="175">
        <v>39917744</v>
      </c>
      <c r="I7" s="170" t="s">
        <v>104</v>
      </c>
      <c r="J7" s="142" t="s">
        <v>185</v>
      </c>
    </row>
    <row r="8" spans="1:10" ht="64.900000000000006" customHeight="1" x14ac:dyDescent="0.25">
      <c r="A8" s="134" t="s">
        <v>152</v>
      </c>
      <c r="B8" s="136" t="s">
        <v>151</v>
      </c>
      <c r="C8" s="172" t="s">
        <v>101</v>
      </c>
      <c r="D8" s="148">
        <v>1</v>
      </c>
      <c r="E8" s="170" t="s">
        <v>102</v>
      </c>
      <c r="F8" s="176" t="s">
        <v>82</v>
      </c>
      <c r="G8" s="170" t="s">
        <v>103</v>
      </c>
      <c r="H8" s="175">
        <v>39917744</v>
      </c>
      <c r="I8" s="170" t="s">
        <v>104</v>
      </c>
      <c r="J8" s="142" t="s">
        <v>185</v>
      </c>
    </row>
    <row r="9" spans="1:10" ht="64.900000000000006" customHeight="1" x14ac:dyDescent="0.25">
      <c r="A9" s="134" t="s">
        <v>152</v>
      </c>
      <c r="B9" s="136" t="s">
        <v>151</v>
      </c>
      <c r="C9" s="172" t="s">
        <v>101</v>
      </c>
      <c r="D9" s="148">
        <v>1</v>
      </c>
      <c r="E9" s="170" t="s">
        <v>102</v>
      </c>
      <c r="F9" s="176" t="s">
        <v>82</v>
      </c>
      <c r="G9" s="170" t="s">
        <v>103</v>
      </c>
      <c r="H9" s="175">
        <v>39917744</v>
      </c>
      <c r="I9" s="170" t="s">
        <v>104</v>
      </c>
      <c r="J9" s="142" t="s">
        <v>185</v>
      </c>
    </row>
    <row r="10" spans="1:10" ht="64.900000000000006" customHeight="1" x14ac:dyDescent="0.25">
      <c r="A10" s="134" t="s">
        <v>152</v>
      </c>
      <c r="B10" s="136" t="s">
        <v>151</v>
      </c>
      <c r="C10" s="172" t="s">
        <v>101</v>
      </c>
      <c r="D10" s="148">
        <v>1</v>
      </c>
      <c r="E10" s="170" t="s">
        <v>102</v>
      </c>
      <c r="F10" s="176" t="s">
        <v>82</v>
      </c>
      <c r="G10" s="170" t="s">
        <v>103</v>
      </c>
      <c r="H10" s="175">
        <v>39917744</v>
      </c>
      <c r="I10" s="170" t="s">
        <v>104</v>
      </c>
      <c r="J10" s="142" t="s">
        <v>185</v>
      </c>
    </row>
    <row r="11" spans="1:10" ht="64.900000000000006" customHeight="1" x14ac:dyDescent="0.25">
      <c r="A11" s="134" t="s">
        <v>152</v>
      </c>
      <c r="B11" s="136" t="s">
        <v>151</v>
      </c>
      <c r="C11" s="172" t="s">
        <v>101</v>
      </c>
      <c r="D11" s="148">
        <v>1</v>
      </c>
      <c r="E11" s="170" t="s">
        <v>102</v>
      </c>
      <c r="F11" s="176" t="s">
        <v>82</v>
      </c>
      <c r="G11" s="170" t="s">
        <v>103</v>
      </c>
      <c r="H11" s="175">
        <v>39917744</v>
      </c>
      <c r="I11" s="170" t="s">
        <v>104</v>
      </c>
      <c r="J11" s="142" t="s">
        <v>185</v>
      </c>
    </row>
    <row r="12" spans="1:10" ht="64.900000000000006" customHeight="1" x14ac:dyDescent="0.25">
      <c r="A12" s="134" t="s">
        <v>152</v>
      </c>
      <c r="B12" s="136" t="s">
        <v>151</v>
      </c>
      <c r="C12" s="172" t="s">
        <v>101</v>
      </c>
      <c r="D12" s="148">
        <v>1</v>
      </c>
      <c r="E12" s="170" t="s">
        <v>102</v>
      </c>
      <c r="F12" s="176" t="s">
        <v>82</v>
      </c>
      <c r="G12" s="170" t="s">
        <v>103</v>
      </c>
      <c r="H12" s="175">
        <v>39917744</v>
      </c>
      <c r="I12" s="170" t="s">
        <v>104</v>
      </c>
      <c r="J12" s="142" t="s">
        <v>185</v>
      </c>
    </row>
  </sheetData>
  <pageMargins left="0.25" right="0.25" top="0" bottom="0" header="0" footer="0"/>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CA13F-0D9D-458A-A659-240C3DAC3834}">
  <sheetPr codeName="Sheet4"/>
  <dimension ref="A1:J16"/>
  <sheetViews>
    <sheetView view="pageLayout" zoomScaleNormal="100" workbookViewId="0"/>
  </sheetViews>
  <sheetFormatPr defaultColWidth="9.140625" defaultRowHeight="15" x14ac:dyDescent="0.25"/>
  <cols>
    <col min="1" max="1" width="3.7109375" customWidth="1"/>
    <col min="2" max="2" width="5" customWidth="1"/>
    <col min="3" max="3" width="3.7109375" customWidth="1"/>
    <col min="4" max="4" width="7.5703125" customWidth="1"/>
    <col min="5" max="5" width="3.140625" customWidth="1"/>
    <col min="6" max="6" width="7.42578125" customWidth="1"/>
    <col min="7" max="7" width="3.140625" customWidth="1"/>
    <col min="8" max="8" width="7.42578125" customWidth="1"/>
    <col min="9" max="9" width="3.140625" customWidth="1"/>
    <col min="10" max="10" width="57.42578125" customWidth="1"/>
  </cols>
  <sheetData>
    <row r="1" spans="1:10" ht="64.7" customHeight="1" x14ac:dyDescent="0.25">
      <c r="A1" s="134" t="s">
        <v>152</v>
      </c>
      <c r="B1" s="136" t="s">
        <v>151</v>
      </c>
      <c r="C1" s="137" t="s">
        <v>101</v>
      </c>
      <c r="D1" s="138"/>
      <c r="E1" s="139" t="s">
        <v>102</v>
      </c>
      <c r="F1" s="140"/>
      <c r="G1" s="141" t="s">
        <v>103</v>
      </c>
      <c r="H1" s="146"/>
      <c r="I1" s="141" t="s">
        <v>104</v>
      </c>
      <c r="J1" s="142"/>
    </row>
    <row r="2" spans="1:10" ht="64.7" customHeight="1" x14ac:dyDescent="0.25">
      <c r="A2" s="134" t="s">
        <v>152</v>
      </c>
      <c r="B2" s="136" t="s">
        <v>151</v>
      </c>
      <c r="C2" s="137" t="s">
        <v>101</v>
      </c>
      <c r="D2" s="138"/>
      <c r="E2" s="139" t="s">
        <v>102</v>
      </c>
      <c r="F2" s="140"/>
      <c r="G2" s="141" t="s">
        <v>103</v>
      </c>
      <c r="H2" s="146"/>
      <c r="I2" s="141" t="s">
        <v>104</v>
      </c>
      <c r="J2" s="142"/>
    </row>
    <row r="3" spans="1:10" ht="64.7" customHeight="1" x14ac:dyDescent="0.25">
      <c r="A3" s="134" t="s">
        <v>152</v>
      </c>
      <c r="B3" s="136" t="s">
        <v>151</v>
      </c>
      <c r="C3" s="137" t="s">
        <v>101</v>
      </c>
      <c r="D3" s="138"/>
      <c r="E3" s="139" t="s">
        <v>102</v>
      </c>
      <c r="F3" s="140"/>
      <c r="G3" s="141" t="s">
        <v>103</v>
      </c>
      <c r="H3" s="146"/>
      <c r="I3" s="141" t="s">
        <v>104</v>
      </c>
      <c r="J3" s="142"/>
    </row>
    <row r="4" spans="1:10" ht="64.7" customHeight="1" x14ac:dyDescent="0.25">
      <c r="A4" s="134" t="s">
        <v>152</v>
      </c>
      <c r="B4" s="136" t="s">
        <v>151</v>
      </c>
      <c r="C4" s="137" t="s">
        <v>101</v>
      </c>
      <c r="D4" s="138"/>
      <c r="E4" s="139" t="s">
        <v>102</v>
      </c>
      <c r="F4" s="140"/>
      <c r="G4" s="141" t="s">
        <v>103</v>
      </c>
      <c r="H4" s="146"/>
      <c r="I4" s="141" t="s">
        <v>104</v>
      </c>
      <c r="J4" s="142"/>
    </row>
    <row r="5" spans="1:10" ht="64.7" customHeight="1" x14ac:dyDescent="0.25">
      <c r="A5" s="134" t="s">
        <v>152</v>
      </c>
      <c r="B5" s="136" t="s">
        <v>151</v>
      </c>
      <c r="C5" s="137" t="s">
        <v>101</v>
      </c>
      <c r="D5" s="138"/>
      <c r="E5" s="139" t="s">
        <v>102</v>
      </c>
      <c r="F5" s="140"/>
      <c r="G5" s="141" t="s">
        <v>103</v>
      </c>
      <c r="H5" s="146"/>
      <c r="I5" s="141" t="s">
        <v>104</v>
      </c>
      <c r="J5" s="142"/>
    </row>
    <row r="6" spans="1:10" ht="64.7" customHeight="1" x14ac:dyDescent="0.25">
      <c r="A6" s="134" t="s">
        <v>152</v>
      </c>
      <c r="B6" s="136" t="s">
        <v>151</v>
      </c>
      <c r="C6" s="137" t="s">
        <v>101</v>
      </c>
      <c r="D6" s="138"/>
      <c r="E6" s="139" t="s">
        <v>102</v>
      </c>
      <c r="F6" s="140"/>
      <c r="G6" s="141" t="s">
        <v>103</v>
      </c>
      <c r="H6" s="146"/>
      <c r="I6" s="141" t="s">
        <v>104</v>
      </c>
      <c r="J6" s="142"/>
    </row>
    <row r="7" spans="1:10" ht="64.7" customHeight="1" x14ac:dyDescent="0.25">
      <c r="A7" s="134" t="s">
        <v>152</v>
      </c>
      <c r="B7" s="136" t="s">
        <v>151</v>
      </c>
      <c r="C7" s="137" t="s">
        <v>101</v>
      </c>
      <c r="D7" s="138"/>
      <c r="E7" s="139" t="s">
        <v>102</v>
      </c>
      <c r="F7" s="140"/>
      <c r="G7" s="141" t="s">
        <v>103</v>
      </c>
      <c r="H7" s="146"/>
      <c r="I7" s="141" t="s">
        <v>104</v>
      </c>
      <c r="J7" s="142"/>
    </row>
    <row r="8" spans="1:10" ht="64.7" customHeight="1" x14ac:dyDescent="0.25">
      <c r="A8" s="134" t="s">
        <v>152</v>
      </c>
      <c r="B8" s="136" t="s">
        <v>151</v>
      </c>
      <c r="C8" s="137" t="s">
        <v>101</v>
      </c>
      <c r="D8" s="138"/>
      <c r="E8" s="139" t="s">
        <v>102</v>
      </c>
      <c r="F8" s="140"/>
      <c r="G8" s="141" t="s">
        <v>103</v>
      </c>
      <c r="H8" s="146"/>
      <c r="I8" s="141" t="s">
        <v>104</v>
      </c>
      <c r="J8" s="142"/>
    </row>
    <row r="9" spans="1:10" ht="64.7" customHeight="1" x14ac:dyDescent="0.25">
      <c r="A9" s="134" t="s">
        <v>152</v>
      </c>
      <c r="B9" s="136" t="s">
        <v>151</v>
      </c>
      <c r="C9" s="137" t="s">
        <v>101</v>
      </c>
      <c r="D9" s="138"/>
      <c r="E9" s="139" t="s">
        <v>102</v>
      </c>
      <c r="F9" s="140"/>
      <c r="G9" s="141" t="s">
        <v>103</v>
      </c>
      <c r="H9" s="146"/>
      <c r="I9" s="141" t="s">
        <v>104</v>
      </c>
      <c r="J9" s="142"/>
    </row>
    <row r="10" spans="1:10" ht="64.7" customHeight="1" x14ac:dyDescent="0.25">
      <c r="A10" s="134" t="s">
        <v>152</v>
      </c>
      <c r="B10" s="136" t="s">
        <v>151</v>
      </c>
      <c r="C10" s="137" t="s">
        <v>101</v>
      </c>
      <c r="D10" s="138"/>
      <c r="E10" s="139" t="s">
        <v>102</v>
      </c>
      <c r="F10" s="140"/>
      <c r="G10" s="141" t="s">
        <v>103</v>
      </c>
      <c r="H10" s="146"/>
      <c r="I10" s="141" t="s">
        <v>104</v>
      </c>
      <c r="J10" s="142"/>
    </row>
    <row r="11" spans="1:10" ht="64.7" customHeight="1" x14ac:dyDescent="0.25">
      <c r="A11" s="134" t="s">
        <v>152</v>
      </c>
      <c r="B11" s="136" t="s">
        <v>151</v>
      </c>
      <c r="C11" s="137" t="s">
        <v>101</v>
      </c>
      <c r="D11" s="138"/>
      <c r="E11" s="139" t="s">
        <v>102</v>
      </c>
      <c r="F11" s="140"/>
      <c r="G11" s="141" t="s">
        <v>103</v>
      </c>
      <c r="H11" s="146"/>
      <c r="I11" s="141" t="s">
        <v>104</v>
      </c>
      <c r="J11" s="142"/>
    </row>
    <row r="12" spans="1:10" ht="64.7" customHeight="1" x14ac:dyDescent="0.25">
      <c r="A12" s="134" t="s">
        <v>152</v>
      </c>
      <c r="B12" s="136" t="s">
        <v>151</v>
      </c>
      <c r="C12" s="137" t="s">
        <v>101</v>
      </c>
      <c r="D12" s="138"/>
      <c r="E12" s="139" t="s">
        <v>102</v>
      </c>
      <c r="F12" s="140"/>
      <c r="G12" s="141" t="s">
        <v>103</v>
      </c>
      <c r="H12" s="146"/>
      <c r="I12" s="141" t="s">
        <v>104</v>
      </c>
      <c r="J12" s="142"/>
    </row>
    <row r="13" spans="1:10" ht="64.7" customHeight="1" x14ac:dyDescent="0.25"/>
    <row r="14" spans="1:10" ht="64.7" customHeight="1" x14ac:dyDescent="0.25"/>
    <row r="15" spans="1:10" ht="64.7" customHeight="1" x14ac:dyDescent="0.25"/>
    <row r="16" spans="1:10" ht="64.7" customHeight="1" x14ac:dyDescent="0.25"/>
  </sheetData>
  <pageMargins left="0.25" right="0.25" top="0" bottom="0" header="0" footer="0"/>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1D92-954E-4468-A78C-D788B37DBE2B}">
  <sheetPr codeName="Sheet10">
    <tabColor theme="4"/>
  </sheetPr>
  <dimension ref="A1:C7"/>
  <sheetViews>
    <sheetView zoomScaleNormal="100" workbookViewId="0">
      <selection activeCell="P10" sqref="P10"/>
    </sheetView>
  </sheetViews>
  <sheetFormatPr defaultRowHeight="15" x14ac:dyDescent="0.25"/>
  <cols>
    <col min="1" max="1" width="12.28515625" bestFit="1" customWidth="1"/>
    <col min="2" max="2" width="7.140625" bestFit="1" customWidth="1"/>
  </cols>
  <sheetData>
    <row r="1" spans="1:3" s="2" customFormat="1" ht="20.100000000000001" customHeight="1" x14ac:dyDescent="0.25">
      <c r="A1" s="95" t="s">
        <v>53</v>
      </c>
      <c r="B1" t="s">
        <v>105</v>
      </c>
      <c r="C1"/>
    </row>
    <row r="2" spans="1:3" x14ac:dyDescent="0.25">
      <c r="A2" s="18" t="s">
        <v>86</v>
      </c>
      <c r="B2">
        <v>1</v>
      </c>
    </row>
    <row r="3" spans="1:3" x14ac:dyDescent="0.25">
      <c r="A3" s="18" t="s">
        <v>81</v>
      </c>
      <c r="B3">
        <v>19</v>
      </c>
    </row>
    <row r="4" spans="1:3" x14ac:dyDescent="0.25">
      <c r="A4" s="18" t="s">
        <v>85</v>
      </c>
      <c r="B4">
        <v>66</v>
      </c>
    </row>
    <row r="5" spans="1:3" x14ac:dyDescent="0.25">
      <c r="A5" s="18" t="s">
        <v>82</v>
      </c>
      <c r="B5">
        <v>108</v>
      </c>
    </row>
    <row r="6" spans="1:3" x14ac:dyDescent="0.25">
      <c r="A6" s="18" t="s">
        <v>83</v>
      </c>
      <c r="B6">
        <v>191</v>
      </c>
    </row>
    <row r="7" spans="1:3" x14ac:dyDescent="0.25">
      <c r="A7" s="18" t="s">
        <v>106</v>
      </c>
      <c r="B7">
        <v>385</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Refresh_Collection_Data">
                <anchor moveWithCells="1">
                  <from>
                    <xdr:col>3</xdr:col>
                    <xdr:colOff>0</xdr:colOff>
                    <xdr:row>0</xdr:row>
                    <xdr:rowOff>200025</xdr:rowOff>
                  </from>
                  <to>
                    <xdr:col>4</xdr:col>
                    <xdr:colOff>304800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9E80B-C41D-4F74-881C-19DADE76573F}">
  <sheetPr codeName="Sheet15">
    <tabColor theme="4"/>
  </sheetPr>
  <dimension ref="A1:V387"/>
  <sheetViews>
    <sheetView topLeftCell="D1" workbookViewId="0">
      <selection activeCell="P9" sqref="P9"/>
    </sheetView>
  </sheetViews>
  <sheetFormatPr defaultRowHeight="15" x14ac:dyDescent="0.25"/>
  <cols>
    <col min="1" max="1" width="15.7109375" hidden="1" customWidth="1"/>
    <col min="2" max="2" width="15.7109375" style="2" hidden="1" customWidth="1"/>
    <col min="3" max="3" width="9.140625" style="2" hidden="1" customWidth="1"/>
    <col min="4" max="4" width="40.7109375" style="2" customWidth="1"/>
    <col min="5" max="5" width="7.140625" style="2" bestFit="1" customWidth="1"/>
    <col min="6" max="6" width="20.7109375" style="2" customWidth="1"/>
    <col min="7" max="16" width="9.140625" style="2"/>
    <col min="17" max="18" width="15.7109375" hidden="1" customWidth="1"/>
    <col min="19" max="19" width="9.140625" style="2" hidden="1" customWidth="1"/>
    <col min="20" max="20" width="16.5703125" style="2" bestFit="1" customWidth="1"/>
    <col min="21" max="21" width="7.140625" style="2" bestFit="1" customWidth="1"/>
    <col min="22" max="22" width="20.7109375" style="2" customWidth="1"/>
    <col min="23" max="16384" width="9.140625" style="2"/>
  </cols>
  <sheetData>
    <row r="1" spans="1:22" ht="20.100000000000001" customHeight="1" x14ac:dyDescent="0.25">
      <c r="A1" s="86" t="s">
        <v>107</v>
      </c>
      <c r="B1" t="str">
        <f t="shared" ref="B1:B66" si="0">IFERROR(REPLACE(A1,FIND(" ; ",A1),20,""),A1)</f>
        <v>Source - ST (RE)</v>
      </c>
      <c r="D1" s="95" t="s">
        <v>108</v>
      </c>
      <c r="E1" t="s">
        <v>105</v>
      </c>
      <c r="F1"/>
      <c r="Q1" s="87" t="s">
        <v>109</v>
      </c>
      <c r="R1" s="2" t="str">
        <f t="shared" ref="R1:R66" si="1">IFERROR(REPLACE(Q1,FIND(" ; ",Q1),20,""),Q1)</f>
        <v>Source - ST (N)</v>
      </c>
      <c r="T1" s="95" t="s">
        <v>110</v>
      </c>
      <c r="U1" t="s">
        <v>105</v>
      </c>
      <c r="V1"/>
    </row>
    <row r="2" spans="1:22" x14ac:dyDescent="0.25">
      <c r="A2" s="96" cm="1">
        <f t="array" ref="A2:A16">Donation[Series (R/E)]</f>
        <v>0</v>
      </c>
      <c r="B2">
        <f t="shared" si="0"/>
        <v>0</v>
      </c>
      <c r="D2" s="18" t="s">
        <v>490</v>
      </c>
      <c r="E2">
        <v>1</v>
      </c>
      <c r="F2"/>
      <c r="Q2" s="96" cm="1">
        <f t="array" ref="Q2:Q16">Donation[Series (N)]</f>
        <v>0</v>
      </c>
      <c r="R2" s="2">
        <f t="shared" si="1"/>
        <v>0</v>
      </c>
      <c r="T2"/>
      <c r="U2"/>
      <c r="V2"/>
    </row>
    <row r="3" spans="1:22" x14ac:dyDescent="0.25">
      <c r="A3">
        <v>0</v>
      </c>
      <c r="B3">
        <f t="shared" si="0"/>
        <v>0</v>
      </c>
      <c r="D3" s="18" t="s">
        <v>483</v>
      </c>
      <c r="E3">
        <v>1</v>
      </c>
      <c r="F3"/>
      <c r="Q3">
        <v>0</v>
      </c>
      <c r="R3" s="2">
        <f t="shared" si="1"/>
        <v>0</v>
      </c>
      <c r="T3"/>
      <c r="U3"/>
      <c r="V3"/>
    </row>
    <row r="4" spans="1:22" x14ac:dyDescent="0.25">
      <c r="A4">
        <v>0</v>
      </c>
      <c r="B4">
        <f t="shared" si="0"/>
        <v>0</v>
      </c>
      <c r="D4" s="18" t="s">
        <v>491</v>
      </c>
      <c r="E4">
        <v>1</v>
      </c>
      <c r="F4"/>
      <c r="Q4">
        <v>0</v>
      </c>
      <c r="R4" s="2">
        <f t="shared" si="1"/>
        <v>0</v>
      </c>
      <c r="T4"/>
      <c r="U4"/>
      <c r="V4"/>
    </row>
    <row r="5" spans="1:22" x14ac:dyDescent="0.25">
      <c r="A5">
        <v>0</v>
      </c>
      <c r="B5">
        <f t="shared" si="0"/>
        <v>0</v>
      </c>
      <c r="D5" s="18" t="s">
        <v>161</v>
      </c>
      <c r="E5">
        <v>1</v>
      </c>
      <c r="F5"/>
      <c r="Q5">
        <v>0</v>
      </c>
      <c r="R5" s="2">
        <f t="shared" si="1"/>
        <v>0</v>
      </c>
      <c r="T5"/>
      <c r="U5"/>
      <c r="V5"/>
    </row>
    <row r="6" spans="1:22" x14ac:dyDescent="0.25">
      <c r="A6">
        <v>0</v>
      </c>
      <c r="B6">
        <f t="shared" si="0"/>
        <v>0</v>
      </c>
      <c r="D6" s="18" t="s">
        <v>485</v>
      </c>
      <c r="E6">
        <v>1</v>
      </c>
      <c r="F6"/>
      <c r="Q6">
        <v>0</v>
      </c>
      <c r="R6" s="2">
        <f t="shared" si="1"/>
        <v>0</v>
      </c>
      <c r="T6"/>
      <c r="U6"/>
      <c r="V6"/>
    </row>
    <row r="7" spans="1:22" x14ac:dyDescent="0.25">
      <c r="A7">
        <v>0</v>
      </c>
      <c r="B7">
        <f t="shared" si="0"/>
        <v>0</v>
      </c>
      <c r="D7" s="18" t="s">
        <v>492</v>
      </c>
      <c r="E7">
        <v>1</v>
      </c>
      <c r="F7"/>
      <c r="Q7">
        <v>0</v>
      </c>
      <c r="R7" s="2">
        <f t="shared" si="1"/>
        <v>0</v>
      </c>
      <c r="T7"/>
      <c r="U7"/>
      <c r="V7"/>
    </row>
    <row r="8" spans="1:22" x14ac:dyDescent="0.25">
      <c r="A8">
        <v>0</v>
      </c>
      <c r="B8">
        <f t="shared" si="0"/>
        <v>0</v>
      </c>
      <c r="D8" s="18" t="s">
        <v>346</v>
      </c>
      <c r="E8">
        <v>1</v>
      </c>
      <c r="F8"/>
      <c r="Q8">
        <v>0</v>
      </c>
      <c r="R8" s="2">
        <f t="shared" si="1"/>
        <v>0</v>
      </c>
      <c r="T8"/>
      <c r="U8"/>
      <c r="V8"/>
    </row>
    <row r="9" spans="1:22" x14ac:dyDescent="0.25">
      <c r="A9">
        <v>0</v>
      </c>
      <c r="B9">
        <f t="shared" si="0"/>
        <v>0</v>
      </c>
      <c r="D9" s="18" t="s">
        <v>493</v>
      </c>
      <c r="E9">
        <v>1</v>
      </c>
      <c r="F9"/>
      <c r="Q9">
        <v>0</v>
      </c>
      <c r="R9" s="2">
        <f t="shared" si="1"/>
        <v>0</v>
      </c>
      <c r="T9"/>
      <c r="U9"/>
      <c r="V9"/>
    </row>
    <row r="10" spans="1:22" x14ac:dyDescent="0.25">
      <c r="A10">
        <v>0</v>
      </c>
      <c r="B10">
        <f t="shared" si="0"/>
        <v>0</v>
      </c>
      <c r="D10" s="18" t="s">
        <v>494</v>
      </c>
      <c r="E10">
        <v>1</v>
      </c>
      <c r="F10"/>
      <c r="Q10">
        <v>0</v>
      </c>
      <c r="R10" s="2">
        <f t="shared" si="1"/>
        <v>0</v>
      </c>
      <c r="T10"/>
      <c r="U10"/>
      <c r="V10"/>
    </row>
    <row r="11" spans="1:22" x14ac:dyDescent="0.25">
      <c r="A11">
        <v>0</v>
      </c>
      <c r="B11">
        <f t="shared" si="0"/>
        <v>0</v>
      </c>
      <c r="D11" s="18" t="s">
        <v>495</v>
      </c>
      <c r="E11">
        <v>1</v>
      </c>
      <c r="F11"/>
      <c r="Q11">
        <v>0</v>
      </c>
      <c r="R11" s="2">
        <f t="shared" si="1"/>
        <v>0</v>
      </c>
      <c r="T11"/>
      <c r="U11"/>
      <c r="V11"/>
    </row>
    <row r="12" spans="1:22" x14ac:dyDescent="0.25">
      <c r="A12">
        <v>0</v>
      </c>
      <c r="B12">
        <f t="shared" si="0"/>
        <v>0</v>
      </c>
      <c r="D12" s="18" t="s">
        <v>356</v>
      </c>
      <c r="E12">
        <v>1</v>
      </c>
      <c r="F12"/>
      <c r="Q12">
        <v>0</v>
      </c>
      <c r="R12" s="2">
        <f t="shared" si="1"/>
        <v>0</v>
      </c>
      <c r="T12"/>
      <c r="U12"/>
      <c r="V12"/>
    </row>
    <row r="13" spans="1:22" x14ac:dyDescent="0.25">
      <c r="A13">
        <v>0</v>
      </c>
      <c r="B13">
        <f t="shared" si="0"/>
        <v>0</v>
      </c>
      <c r="D13" s="18" t="s">
        <v>496</v>
      </c>
      <c r="E13">
        <v>1</v>
      </c>
      <c r="F13"/>
      <c r="Q13">
        <v>0</v>
      </c>
      <c r="R13" s="2">
        <f t="shared" si="1"/>
        <v>0</v>
      </c>
      <c r="T13"/>
      <c r="U13"/>
      <c r="V13"/>
    </row>
    <row r="14" spans="1:22" x14ac:dyDescent="0.25">
      <c r="A14">
        <v>0</v>
      </c>
      <c r="B14">
        <f t="shared" si="0"/>
        <v>0</v>
      </c>
      <c r="D14" s="18" t="s">
        <v>362</v>
      </c>
      <c r="E14">
        <v>1</v>
      </c>
      <c r="F14"/>
      <c r="Q14">
        <v>0</v>
      </c>
      <c r="R14" s="2">
        <f t="shared" si="1"/>
        <v>0</v>
      </c>
      <c r="T14"/>
      <c r="U14"/>
      <c r="V14"/>
    </row>
    <row r="15" spans="1:22" x14ac:dyDescent="0.25">
      <c r="A15">
        <v>0</v>
      </c>
      <c r="B15">
        <f t="shared" si="0"/>
        <v>0</v>
      </c>
      <c r="D15" s="18" t="s">
        <v>226</v>
      </c>
      <c r="E15">
        <v>1</v>
      </c>
      <c r="F15"/>
      <c r="Q15">
        <v>0</v>
      </c>
      <c r="R15" s="2">
        <f t="shared" si="1"/>
        <v>0</v>
      </c>
      <c r="T15"/>
      <c r="U15"/>
      <c r="V15"/>
    </row>
    <row r="16" spans="1:22" x14ac:dyDescent="0.25">
      <c r="A16">
        <v>0</v>
      </c>
      <c r="B16">
        <f t="shared" si="0"/>
        <v>0</v>
      </c>
      <c r="D16" s="18" t="s">
        <v>497</v>
      </c>
      <c r="E16">
        <v>1</v>
      </c>
      <c r="F16"/>
      <c r="Q16">
        <v>0</v>
      </c>
      <c r="R16" s="2">
        <f t="shared" si="1"/>
        <v>0</v>
      </c>
      <c r="T16"/>
      <c r="U16"/>
      <c r="V16"/>
    </row>
    <row r="17" spans="2:22" x14ac:dyDescent="0.25">
      <c r="B17">
        <f t="shared" si="0"/>
        <v>0</v>
      </c>
      <c r="D17" s="18" t="s">
        <v>231</v>
      </c>
      <c r="E17">
        <v>1</v>
      </c>
      <c r="F17"/>
      <c r="R17" s="2">
        <f t="shared" si="1"/>
        <v>0</v>
      </c>
      <c r="T17"/>
      <c r="U17"/>
      <c r="V17"/>
    </row>
    <row r="18" spans="2:22" x14ac:dyDescent="0.25">
      <c r="B18">
        <f t="shared" si="0"/>
        <v>0</v>
      </c>
      <c r="D18" s="18" t="s">
        <v>384</v>
      </c>
      <c r="E18">
        <v>1</v>
      </c>
      <c r="F18"/>
      <c r="R18" s="2">
        <f t="shared" si="1"/>
        <v>0</v>
      </c>
      <c r="T18"/>
      <c r="U18"/>
      <c r="V18"/>
    </row>
    <row r="19" spans="2:22" x14ac:dyDescent="0.25">
      <c r="B19">
        <f t="shared" si="0"/>
        <v>0</v>
      </c>
      <c r="D19" s="18" t="s">
        <v>505</v>
      </c>
      <c r="E19">
        <v>1</v>
      </c>
      <c r="F19"/>
      <c r="R19" s="2">
        <f t="shared" si="1"/>
        <v>0</v>
      </c>
      <c r="T19"/>
      <c r="U19"/>
    </row>
    <row r="20" spans="2:22" x14ac:dyDescent="0.25">
      <c r="B20">
        <f t="shared" si="0"/>
        <v>0</v>
      </c>
      <c r="D20" s="18" t="s">
        <v>394</v>
      </c>
      <c r="E20">
        <v>1</v>
      </c>
      <c r="F20"/>
      <c r="R20" s="2">
        <f t="shared" si="1"/>
        <v>0</v>
      </c>
      <c r="T20"/>
      <c r="U20"/>
    </row>
    <row r="21" spans="2:22" x14ac:dyDescent="0.25">
      <c r="B21">
        <f t="shared" si="0"/>
        <v>0</v>
      </c>
      <c r="D21" s="18" t="s">
        <v>267</v>
      </c>
      <c r="E21">
        <v>1</v>
      </c>
      <c r="F21"/>
      <c r="R21" s="2">
        <f t="shared" si="1"/>
        <v>0</v>
      </c>
      <c r="T21"/>
      <c r="U21"/>
    </row>
    <row r="22" spans="2:22" x14ac:dyDescent="0.25">
      <c r="B22">
        <f t="shared" si="0"/>
        <v>0</v>
      </c>
      <c r="D22" s="18" t="s">
        <v>404</v>
      </c>
      <c r="E22">
        <v>1</v>
      </c>
      <c r="F22"/>
      <c r="R22" s="2">
        <f t="shared" si="1"/>
        <v>0</v>
      </c>
      <c r="T22"/>
      <c r="U22"/>
    </row>
    <row r="23" spans="2:22" x14ac:dyDescent="0.25">
      <c r="B23">
        <f t="shared" si="0"/>
        <v>0</v>
      </c>
      <c r="D23" s="18" t="s">
        <v>509</v>
      </c>
      <c r="E23">
        <v>1</v>
      </c>
      <c r="F23"/>
      <c r="R23" s="2">
        <f t="shared" si="1"/>
        <v>0</v>
      </c>
      <c r="T23"/>
      <c r="U23"/>
    </row>
    <row r="24" spans="2:22" x14ac:dyDescent="0.25">
      <c r="B24">
        <f t="shared" si="0"/>
        <v>0</v>
      </c>
      <c r="D24" s="18" t="s">
        <v>414</v>
      </c>
      <c r="E24">
        <v>1</v>
      </c>
      <c r="F24"/>
      <c r="R24" s="2">
        <f t="shared" si="1"/>
        <v>0</v>
      </c>
      <c r="T24"/>
      <c r="U24"/>
    </row>
    <row r="25" spans="2:22" x14ac:dyDescent="0.25">
      <c r="B25">
        <f t="shared" si="0"/>
        <v>0</v>
      </c>
      <c r="D25" s="18" t="s">
        <v>314</v>
      </c>
      <c r="E25">
        <v>1</v>
      </c>
      <c r="F25"/>
      <c r="R25" s="2">
        <f t="shared" si="1"/>
        <v>0</v>
      </c>
      <c r="T25"/>
      <c r="U25"/>
    </row>
    <row r="26" spans="2:22" x14ac:dyDescent="0.25">
      <c r="B26">
        <f t="shared" si="0"/>
        <v>0</v>
      </c>
      <c r="D26" s="18" t="s">
        <v>500</v>
      </c>
      <c r="E26">
        <v>1</v>
      </c>
      <c r="F26"/>
      <c r="R26" s="2">
        <f t="shared" si="1"/>
        <v>0</v>
      </c>
      <c r="T26"/>
      <c r="U26"/>
    </row>
    <row r="27" spans="2:22" x14ac:dyDescent="0.25">
      <c r="B27">
        <f t="shared" si="0"/>
        <v>0</v>
      </c>
      <c r="D27" s="18" t="s">
        <v>501</v>
      </c>
      <c r="E27">
        <v>1</v>
      </c>
      <c r="F27"/>
      <c r="R27" s="2">
        <f t="shared" si="1"/>
        <v>0</v>
      </c>
      <c r="T27"/>
      <c r="U27"/>
    </row>
    <row r="28" spans="2:22" x14ac:dyDescent="0.25">
      <c r="B28">
        <f t="shared" si="0"/>
        <v>0</v>
      </c>
      <c r="D28" s="18" t="s">
        <v>427</v>
      </c>
      <c r="E28">
        <v>1</v>
      </c>
      <c r="F28"/>
      <c r="R28" s="2">
        <f t="shared" si="1"/>
        <v>0</v>
      </c>
      <c r="T28"/>
      <c r="U28"/>
    </row>
    <row r="29" spans="2:22" x14ac:dyDescent="0.25">
      <c r="B29">
        <f t="shared" si="0"/>
        <v>0</v>
      </c>
      <c r="D29" s="18" t="s">
        <v>174</v>
      </c>
      <c r="E29">
        <v>1</v>
      </c>
      <c r="F29"/>
      <c r="R29" s="2">
        <f t="shared" si="1"/>
        <v>0</v>
      </c>
    </row>
    <row r="30" spans="2:22" x14ac:dyDescent="0.25">
      <c r="B30">
        <f t="shared" si="0"/>
        <v>0</v>
      </c>
      <c r="D30" s="18" t="s">
        <v>440</v>
      </c>
      <c r="E30">
        <v>1</v>
      </c>
      <c r="R30" s="2">
        <f t="shared" si="1"/>
        <v>0</v>
      </c>
    </row>
    <row r="31" spans="2:22" x14ac:dyDescent="0.25">
      <c r="B31">
        <f t="shared" si="0"/>
        <v>0</v>
      </c>
      <c r="D31" s="18" t="s">
        <v>502</v>
      </c>
      <c r="E31">
        <v>1</v>
      </c>
      <c r="R31" s="2">
        <f t="shared" si="1"/>
        <v>0</v>
      </c>
    </row>
    <row r="32" spans="2:22" x14ac:dyDescent="0.25">
      <c r="B32">
        <f t="shared" si="0"/>
        <v>0</v>
      </c>
      <c r="D32" s="18" t="s">
        <v>503</v>
      </c>
      <c r="E32">
        <v>1</v>
      </c>
      <c r="R32" s="2">
        <f t="shared" si="1"/>
        <v>0</v>
      </c>
    </row>
    <row r="33" spans="2:18" x14ac:dyDescent="0.25">
      <c r="B33">
        <f t="shared" si="0"/>
        <v>0</v>
      </c>
      <c r="D33" s="18" t="s">
        <v>498</v>
      </c>
      <c r="E33">
        <v>1</v>
      </c>
      <c r="R33" s="2">
        <f t="shared" si="1"/>
        <v>0</v>
      </c>
    </row>
    <row r="34" spans="2:18" x14ac:dyDescent="0.25">
      <c r="B34">
        <f t="shared" si="0"/>
        <v>0</v>
      </c>
      <c r="D34" s="18" t="s">
        <v>449</v>
      </c>
      <c r="E34">
        <v>1</v>
      </c>
      <c r="R34" s="2">
        <f t="shared" si="1"/>
        <v>0</v>
      </c>
    </row>
    <row r="35" spans="2:18" x14ac:dyDescent="0.25">
      <c r="B35">
        <f t="shared" si="0"/>
        <v>0</v>
      </c>
      <c r="D35" s="18" t="s">
        <v>499</v>
      </c>
      <c r="E35">
        <v>1</v>
      </c>
      <c r="R35" s="2">
        <f t="shared" si="1"/>
        <v>0</v>
      </c>
    </row>
    <row r="36" spans="2:18" x14ac:dyDescent="0.25">
      <c r="B36">
        <f t="shared" si="0"/>
        <v>0</v>
      </c>
      <c r="D36" s="18" t="s">
        <v>504</v>
      </c>
      <c r="E36">
        <v>1</v>
      </c>
      <c r="R36" s="2">
        <f t="shared" si="1"/>
        <v>0</v>
      </c>
    </row>
    <row r="37" spans="2:18" x14ac:dyDescent="0.25">
      <c r="B37">
        <f t="shared" si="0"/>
        <v>0</v>
      </c>
      <c r="D37" s="18" t="s">
        <v>157</v>
      </c>
      <c r="E37">
        <v>1</v>
      </c>
      <c r="R37" s="2">
        <f t="shared" si="1"/>
        <v>0</v>
      </c>
    </row>
    <row r="38" spans="2:18" x14ac:dyDescent="0.25">
      <c r="B38">
        <f t="shared" si="0"/>
        <v>0</v>
      </c>
      <c r="D38" s="18" t="s">
        <v>455</v>
      </c>
      <c r="E38">
        <v>1</v>
      </c>
      <c r="R38" s="2">
        <f t="shared" si="1"/>
        <v>0</v>
      </c>
    </row>
    <row r="39" spans="2:18" x14ac:dyDescent="0.25">
      <c r="B39">
        <f t="shared" si="0"/>
        <v>0</v>
      </c>
      <c r="D39" s="18" t="s">
        <v>181</v>
      </c>
      <c r="E39">
        <v>1</v>
      </c>
      <c r="R39" s="2">
        <f t="shared" si="1"/>
        <v>0</v>
      </c>
    </row>
    <row r="40" spans="2:18" x14ac:dyDescent="0.25">
      <c r="B40">
        <f t="shared" si="0"/>
        <v>0</v>
      </c>
      <c r="D40" s="18" t="s">
        <v>456</v>
      </c>
      <c r="E40">
        <v>1</v>
      </c>
      <c r="R40" s="2">
        <f t="shared" si="1"/>
        <v>0</v>
      </c>
    </row>
    <row r="41" spans="2:18" x14ac:dyDescent="0.25">
      <c r="B41">
        <f t="shared" si="0"/>
        <v>0</v>
      </c>
      <c r="D41" s="18" t="s">
        <v>242</v>
      </c>
      <c r="E41">
        <v>1</v>
      </c>
      <c r="R41" s="2">
        <f t="shared" si="1"/>
        <v>0</v>
      </c>
    </row>
    <row r="42" spans="2:18" x14ac:dyDescent="0.25">
      <c r="B42">
        <f t="shared" si="0"/>
        <v>0</v>
      </c>
      <c r="D42" s="18" t="s">
        <v>506</v>
      </c>
      <c r="E42">
        <v>1</v>
      </c>
      <c r="R42" s="2">
        <f t="shared" si="1"/>
        <v>0</v>
      </c>
    </row>
    <row r="43" spans="2:18" x14ac:dyDescent="0.25">
      <c r="B43">
        <f t="shared" si="0"/>
        <v>0</v>
      </c>
      <c r="D43" s="18" t="s">
        <v>507</v>
      </c>
      <c r="E43">
        <v>1</v>
      </c>
      <c r="R43" s="2">
        <f t="shared" si="1"/>
        <v>0</v>
      </c>
    </row>
    <row r="44" spans="2:18" x14ac:dyDescent="0.25">
      <c r="B44">
        <f t="shared" si="0"/>
        <v>0</v>
      </c>
      <c r="D44" s="18" t="s">
        <v>508</v>
      </c>
      <c r="E44">
        <v>1</v>
      </c>
      <c r="R44" s="2">
        <f t="shared" si="1"/>
        <v>0</v>
      </c>
    </row>
    <row r="45" spans="2:18" x14ac:dyDescent="0.25">
      <c r="B45">
        <f t="shared" si="0"/>
        <v>0</v>
      </c>
      <c r="D45" s="18" t="s">
        <v>489</v>
      </c>
      <c r="E45">
        <v>1</v>
      </c>
      <c r="R45" s="2">
        <f t="shared" si="1"/>
        <v>0</v>
      </c>
    </row>
    <row r="46" spans="2:18" x14ac:dyDescent="0.25">
      <c r="B46">
        <f t="shared" si="0"/>
        <v>0</v>
      </c>
      <c r="D46" s="18" t="s">
        <v>469</v>
      </c>
      <c r="E46">
        <v>1</v>
      </c>
      <c r="R46" s="2">
        <f t="shared" si="1"/>
        <v>0</v>
      </c>
    </row>
    <row r="47" spans="2:18" x14ac:dyDescent="0.25">
      <c r="B47">
        <f t="shared" si="0"/>
        <v>0</v>
      </c>
      <c r="D47" s="18" t="s">
        <v>227</v>
      </c>
      <c r="E47">
        <v>1</v>
      </c>
      <c r="R47" s="2">
        <f t="shared" si="1"/>
        <v>0</v>
      </c>
    </row>
    <row r="48" spans="2:18" x14ac:dyDescent="0.25">
      <c r="B48">
        <f t="shared" si="0"/>
        <v>0</v>
      </c>
      <c r="D48" s="18" t="s">
        <v>510</v>
      </c>
      <c r="E48">
        <v>1</v>
      </c>
      <c r="R48" s="2">
        <f t="shared" si="1"/>
        <v>0</v>
      </c>
    </row>
    <row r="49" spans="2:18" x14ac:dyDescent="0.25">
      <c r="B49">
        <f t="shared" si="0"/>
        <v>0</v>
      </c>
      <c r="D49" s="18" t="s">
        <v>320</v>
      </c>
      <c r="E49">
        <v>2</v>
      </c>
      <c r="R49" s="2">
        <f t="shared" si="1"/>
        <v>0</v>
      </c>
    </row>
    <row r="50" spans="2:18" x14ac:dyDescent="0.25">
      <c r="B50">
        <f t="shared" si="0"/>
        <v>0</v>
      </c>
      <c r="D50" s="18" t="s">
        <v>408</v>
      </c>
      <c r="E50">
        <v>2</v>
      </c>
      <c r="R50" s="2">
        <f t="shared" si="1"/>
        <v>0</v>
      </c>
    </row>
    <row r="51" spans="2:18" x14ac:dyDescent="0.25">
      <c r="B51">
        <f t="shared" si="0"/>
        <v>0</v>
      </c>
      <c r="D51" s="18" t="s">
        <v>442</v>
      </c>
      <c r="E51">
        <v>2</v>
      </c>
      <c r="R51" s="2">
        <f t="shared" si="1"/>
        <v>0</v>
      </c>
    </row>
    <row r="52" spans="2:18" x14ac:dyDescent="0.25">
      <c r="B52">
        <f t="shared" si="0"/>
        <v>0</v>
      </c>
      <c r="D52" s="18" t="s">
        <v>409</v>
      </c>
      <c r="E52">
        <v>2</v>
      </c>
      <c r="R52" s="2">
        <f t="shared" si="1"/>
        <v>0</v>
      </c>
    </row>
    <row r="53" spans="2:18" x14ac:dyDescent="0.25">
      <c r="B53">
        <f t="shared" si="0"/>
        <v>0</v>
      </c>
      <c r="D53" s="18" t="s">
        <v>243</v>
      </c>
      <c r="E53">
        <v>2</v>
      </c>
      <c r="R53" s="2">
        <f t="shared" si="1"/>
        <v>0</v>
      </c>
    </row>
    <row r="54" spans="2:18" x14ac:dyDescent="0.25">
      <c r="B54">
        <f t="shared" si="0"/>
        <v>0</v>
      </c>
      <c r="D54" s="18" t="s">
        <v>212</v>
      </c>
      <c r="E54">
        <v>2</v>
      </c>
      <c r="R54" s="2">
        <f t="shared" si="1"/>
        <v>0</v>
      </c>
    </row>
    <row r="55" spans="2:18" x14ac:dyDescent="0.25">
      <c r="B55">
        <f t="shared" si="0"/>
        <v>0</v>
      </c>
      <c r="D55" s="18" t="s">
        <v>266</v>
      </c>
      <c r="E55">
        <v>2</v>
      </c>
      <c r="R55" s="2">
        <f t="shared" si="1"/>
        <v>0</v>
      </c>
    </row>
    <row r="56" spans="2:18" x14ac:dyDescent="0.25">
      <c r="B56">
        <f t="shared" si="0"/>
        <v>0</v>
      </c>
      <c r="D56" s="18" t="s">
        <v>512</v>
      </c>
      <c r="E56">
        <v>2</v>
      </c>
      <c r="R56" s="2">
        <f t="shared" si="1"/>
        <v>0</v>
      </c>
    </row>
    <row r="57" spans="2:18" x14ac:dyDescent="0.25">
      <c r="B57">
        <f t="shared" si="0"/>
        <v>0</v>
      </c>
      <c r="D57" s="18" t="s">
        <v>511</v>
      </c>
      <c r="E57">
        <v>2</v>
      </c>
      <c r="R57" s="2">
        <f t="shared" si="1"/>
        <v>0</v>
      </c>
    </row>
    <row r="58" spans="2:18" x14ac:dyDescent="0.25">
      <c r="B58">
        <f t="shared" si="0"/>
        <v>0</v>
      </c>
      <c r="D58" s="18" t="s">
        <v>513</v>
      </c>
      <c r="E58">
        <v>2</v>
      </c>
      <c r="R58" s="2">
        <f t="shared" si="1"/>
        <v>0</v>
      </c>
    </row>
    <row r="59" spans="2:18" x14ac:dyDescent="0.25">
      <c r="B59">
        <f t="shared" si="0"/>
        <v>0</v>
      </c>
      <c r="D59" s="18" t="s">
        <v>473</v>
      </c>
      <c r="E59">
        <v>2</v>
      </c>
      <c r="R59" s="2">
        <f t="shared" si="1"/>
        <v>0</v>
      </c>
    </row>
    <row r="60" spans="2:18" x14ac:dyDescent="0.25">
      <c r="B60">
        <f t="shared" si="0"/>
        <v>0</v>
      </c>
      <c r="D60" s="18" t="s">
        <v>418</v>
      </c>
      <c r="E60">
        <v>3</v>
      </c>
      <c r="R60" s="2">
        <f t="shared" si="1"/>
        <v>0</v>
      </c>
    </row>
    <row r="61" spans="2:18" x14ac:dyDescent="0.25">
      <c r="B61">
        <f t="shared" si="0"/>
        <v>0</v>
      </c>
      <c r="D61" s="18" t="s">
        <v>168</v>
      </c>
      <c r="E61">
        <v>3</v>
      </c>
      <c r="R61" s="2">
        <f t="shared" si="1"/>
        <v>0</v>
      </c>
    </row>
    <row r="62" spans="2:18" x14ac:dyDescent="0.25">
      <c r="B62">
        <f t="shared" si="0"/>
        <v>0</v>
      </c>
      <c r="D62" s="18" t="s">
        <v>452</v>
      </c>
      <c r="E62">
        <v>3</v>
      </c>
      <c r="R62" s="2">
        <f t="shared" si="1"/>
        <v>0</v>
      </c>
    </row>
    <row r="63" spans="2:18" x14ac:dyDescent="0.25">
      <c r="B63">
        <f t="shared" si="0"/>
        <v>0</v>
      </c>
      <c r="D63" s="18" t="s">
        <v>306</v>
      </c>
      <c r="E63">
        <v>4</v>
      </c>
      <c r="R63" s="2">
        <f t="shared" si="1"/>
        <v>0</v>
      </c>
    </row>
    <row r="64" spans="2:18" x14ac:dyDescent="0.25">
      <c r="B64">
        <f t="shared" si="0"/>
        <v>0</v>
      </c>
      <c r="D64" s="18" t="s">
        <v>210</v>
      </c>
      <c r="E64">
        <v>4</v>
      </c>
      <c r="R64" s="2">
        <f t="shared" si="1"/>
        <v>0</v>
      </c>
    </row>
    <row r="65" spans="2:18" x14ac:dyDescent="0.25">
      <c r="B65">
        <f t="shared" si="0"/>
        <v>0</v>
      </c>
      <c r="D65" s="18" t="s">
        <v>514</v>
      </c>
      <c r="E65">
        <v>4</v>
      </c>
      <c r="R65" s="2">
        <f t="shared" si="1"/>
        <v>0</v>
      </c>
    </row>
    <row r="66" spans="2:18" x14ac:dyDescent="0.25">
      <c r="B66">
        <f t="shared" si="0"/>
        <v>0</v>
      </c>
      <c r="D66" s="18" t="s">
        <v>214</v>
      </c>
      <c r="E66">
        <v>5</v>
      </c>
      <c r="R66" s="2">
        <f t="shared" si="1"/>
        <v>0</v>
      </c>
    </row>
    <row r="67" spans="2:18" x14ac:dyDescent="0.25">
      <c r="B67">
        <f t="shared" ref="B67:B130" si="2">IFERROR(REPLACE(A67,FIND(" ; ",A67),20,""),A67)</f>
        <v>0</v>
      </c>
      <c r="D67" s="18" t="s">
        <v>515</v>
      </c>
      <c r="E67">
        <v>5</v>
      </c>
      <c r="R67" s="2">
        <f t="shared" ref="R67:R130" si="3">IFERROR(REPLACE(Q67,FIND(" ; ",Q67),20,""),Q67)</f>
        <v>0</v>
      </c>
    </row>
    <row r="68" spans="2:18" x14ac:dyDescent="0.25">
      <c r="B68">
        <f t="shared" si="2"/>
        <v>0</v>
      </c>
      <c r="D68" s="18" t="s">
        <v>216</v>
      </c>
      <c r="E68">
        <v>8</v>
      </c>
      <c r="R68" s="2">
        <f t="shared" si="3"/>
        <v>0</v>
      </c>
    </row>
    <row r="69" spans="2:18" x14ac:dyDescent="0.25">
      <c r="B69">
        <f t="shared" si="2"/>
        <v>0</v>
      </c>
      <c r="D69" s="18" t="s">
        <v>221</v>
      </c>
      <c r="E69">
        <v>9</v>
      </c>
      <c r="R69" s="2">
        <f t="shared" si="3"/>
        <v>0</v>
      </c>
    </row>
    <row r="70" spans="2:18" x14ac:dyDescent="0.25">
      <c r="B70">
        <f t="shared" si="2"/>
        <v>0</v>
      </c>
      <c r="D70" s="18" t="s">
        <v>261</v>
      </c>
      <c r="E70">
        <v>13</v>
      </c>
      <c r="R70" s="2">
        <f t="shared" si="3"/>
        <v>0</v>
      </c>
    </row>
    <row r="71" spans="2:18" x14ac:dyDescent="0.25">
      <c r="B71">
        <f t="shared" si="2"/>
        <v>0</v>
      </c>
      <c r="D71" s="18" t="s">
        <v>516</v>
      </c>
      <c r="E71">
        <v>14</v>
      </c>
      <c r="R71" s="2">
        <f t="shared" si="3"/>
        <v>0</v>
      </c>
    </row>
    <row r="72" spans="2:18" x14ac:dyDescent="0.25">
      <c r="B72">
        <f t="shared" si="2"/>
        <v>0</v>
      </c>
      <c r="D72" s="18" t="s">
        <v>235</v>
      </c>
      <c r="E72">
        <v>15</v>
      </c>
      <c r="R72" s="2">
        <f t="shared" si="3"/>
        <v>0</v>
      </c>
    </row>
    <row r="73" spans="2:18" x14ac:dyDescent="0.25">
      <c r="B73">
        <f t="shared" si="2"/>
        <v>0</v>
      </c>
      <c r="D73" s="18" t="s">
        <v>517</v>
      </c>
      <c r="E73">
        <v>17</v>
      </c>
      <c r="R73" s="2">
        <f t="shared" si="3"/>
        <v>0</v>
      </c>
    </row>
    <row r="74" spans="2:18" x14ac:dyDescent="0.25">
      <c r="B74">
        <f t="shared" si="2"/>
        <v>0</v>
      </c>
      <c r="D74"/>
      <c r="E74"/>
      <c r="R74" s="2">
        <f t="shared" si="3"/>
        <v>0</v>
      </c>
    </row>
    <row r="75" spans="2:18" x14ac:dyDescent="0.25">
      <c r="B75">
        <f t="shared" si="2"/>
        <v>0</v>
      </c>
      <c r="D75"/>
      <c r="E75"/>
      <c r="R75" s="2">
        <f t="shared" si="3"/>
        <v>0</v>
      </c>
    </row>
    <row r="76" spans="2:18" x14ac:dyDescent="0.25">
      <c r="B76">
        <f t="shared" si="2"/>
        <v>0</v>
      </c>
      <c r="D76"/>
      <c r="E76"/>
      <c r="R76" s="2">
        <f t="shared" si="3"/>
        <v>0</v>
      </c>
    </row>
    <row r="77" spans="2:18" x14ac:dyDescent="0.25">
      <c r="B77">
        <f t="shared" si="2"/>
        <v>0</v>
      </c>
      <c r="R77" s="2">
        <f t="shared" si="3"/>
        <v>0</v>
      </c>
    </row>
    <row r="78" spans="2:18" x14ac:dyDescent="0.25">
      <c r="B78">
        <f t="shared" si="2"/>
        <v>0</v>
      </c>
      <c r="R78" s="2">
        <f t="shared" si="3"/>
        <v>0</v>
      </c>
    </row>
    <row r="79" spans="2:18" x14ac:dyDescent="0.25">
      <c r="B79">
        <f t="shared" si="2"/>
        <v>0</v>
      </c>
      <c r="R79" s="2">
        <f t="shared" si="3"/>
        <v>0</v>
      </c>
    </row>
    <row r="80" spans="2:18" x14ac:dyDescent="0.25">
      <c r="B80">
        <f t="shared" si="2"/>
        <v>0</v>
      </c>
      <c r="R80" s="2">
        <f t="shared" si="3"/>
        <v>0</v>
      </c>
    </row>
    <row r="81" spans="2:18" x14ac:dyDescent="0.25">
      <c r="B81">
        <f t="shared" si="2"/>
        <v>0</v>
      </c>
      <c r="R81" s="2">
        <f t="shared" si="3"/>
        <v>0</v>
      </c>
    </row>
    <row r="82" spans="2:18" x14ac:dyDescent="0.25">
      <c r="B82">
        <f t="shared" si="2"/>
        <v>0</v>
      </c>
      <c r="R82" s="2">
        <f t="shared" si="3"/>
        <v>0</v>
      </c>
    </row>
    <row r="83" spans="2:18" x14ac:dyDescent="0.25">
      <c r="B83">
        <f t="shared" si="2"/>
        <v>0</v>
      </c>
      <c r="R83" s="2">
        <f t="shared" si="3"/>
        <v>0</v>
      </c>
    </row>
    <row r="84" spans="2:18" x14ac:dyDescent="0.25">
      <c r="B84">
        <f t="shared" si="2"/>
        <v>0</v>
      </c>
      <c r="R84" s="2">
        <f t="shared" si="3"/>
        <v>0</v>
      </c>
    </row>
    <row r="85" spans="2:18" x14ac:dyDescent="0.25">
      <c r="B85">
        <f t="shared" si="2"/>
        <v>0</v>
      </c>
      <c r="R85" s="2">
        <f t="shared" si="3"/>
        <v>0</v>
      </c>
    </row>
    <row r="86" spans="2:18" x14ac:dyDescent="0.25">
      <c r="B86">
        <f t="shared" si="2"/>
        <v>0</v>
      </c>
      <c r="R86" s="2">
        <f t="shared" si="3"/>
        <v>0</v>
      </c>
    </row>
    <row r="87" spans="2:18" x14ac:dyDescent="0.25">
      <c r="B87">
        <f t="shared" si="2"/>
        <v>0</v>
      </c>
      <c r="R87" s="2">
        <f t="shared" si="3"/>
        <v>0</v>
      </c>
    </row>
    <row r="88" spans="2:18" x14ac:dyDescent="0.25">
      <c r="B88">
        <f t="shared" si="2"/>
        <v>0</v>
      </c>
      <c r="R88" s="2">
        <f t="shared" si="3"/>
        <v>0</v>
      </c>
    </row>
    <row r="89" spans="2:18" x14ac:dyDescent="0.25">
      <c r="B89">
        <f t="shared" si="2"/>
        <v>0</v>
      </c>
      <c r="R89" s="2">
        <f t="shared" si="3"/>
        <v>0</v>
      </c>
    </row>
    <row r="90" spans="2:18" x14ac:dyDescent="0.25">
      <c r="B90">
        <f t="shared" si="2"/>
        <v>0</v>
      </c>
      <c r="R90" s="2">
        <f t="shared" si="3"/>
        <v>0</v>
      </c>
    </row>
    <row r="91" spans="2:18" x14ac:dyDescent="0.25">
      <c r="B91">
        <f t="shared" si="2"/>
        <v>0</v>
      </c>
      <c r="R91" s="2">
        <f t="shared" si="3"/>
        <v>0</v>
      </c>
    </row>
    <row r="92" spans="2:18" x14ac:dyDescent="0.25">
      <c r="B92">
        <f t="shared" si="2"/>
        <v>0</v>
      </c>
      <c r="R92" s="2">
        <f t="shared" si="3"/>
        <v>0</v>
      </c>
    </row>
    <row r="93" spans="2:18" x14ac:dyDescent="0.25">
      <c r="B93">
        <f t="shared" si="2"/>
        <v>0</v>
      </c>
      <c r="R93" s="2">
        <f t="shared" si="3"/>
        <v>0</v>
      </c>
    </row>
    <row r="94" spans="2:18" x14ac:dyDescent="0.25">
      <c r="B94">
        <f t="shared" si="2"/>
        <v>0</v>
      </c>
      <c r="R94" s="2">
        <f t="shared" si="3"/>
        <v>0</v>
      </c>
    </row>
    <row r="95" spans="2:18" x14ac:dyDescent="0.25">
      <c r="B95">
        <f t="shared" si="2"/>
        <v>0</v>
      </c>
      <c r="R95" s="2">
        <f t="shared" si="3"/>
        <v>0</v>
      </c>
    </row>
    <row r="96" spans="2:18" x14ac:dyDescent="0.25">
      <c r="B96">
        <f t="shared" si="2"/>
        <v>0</v>
      </c>
      <c r="R96" s="2">
        <f t="shared" si="3"/>
        <v>0</v>
      </c>
    </row>
    <row r="97" spans="2:18" x14ac:dyDescent="0.25">
      <c r="B97">
        <f t="shared" si="2"/>
        <v>0</v>
      </c>
      <c r="R97" s="2">
        <f t="shared" si="3"/>
        <v>0</v>
      </c>
    </row>
    <row r="98" spans="2:18" x14ac:dyDescent="0.25">
      <c r="B98">
        <f t="shared" si="2"/>
        <v>0</v>
      </c>
      <c r="R98" s="2">
        <f t="shared" si="3"/>
        <v>0</v>
      </c>
    </row>
    <row r="99" spans="2:18" x14ac:dyDescent="0.25">
      <c r="B99">
        <f t="shared" si="2"/>
        <v>0</v>
      </c>
      <c r="R99" s="2">
        <f t="shared" si="3"/>
        <v>0</v>
      </c>
    </row>
    <row r="100" spans="2:18" x14ac:dyDescent="0.25">
      <c r="B100">
        <f t="shared" si="2"/>
        <v>0</v>
      </c>
      <c r="R100" s="2">
        <f t="shared" si="3"/>
        <v>0</v>
      </c>
    </row>
    <row r="101" spans="2:18" x14ac:dyDescent="0.25">
      <c r="B101">
        <f t="shared" si="2"/>
        <v>0</v>
      </c>
      <c r="R101" s="2">
        <f t="shared" si="3"/>
        <v>0</v>
      </c>
    </row>
    <row r="102" spans="2:18" x14ac:dyDescent="0.25">
      <c r="B102">
        <f t="shared" si="2"/>
        <v>0</v>
      </c>
      <c r="R102" s="2">
        <f t="shared" si="3"/>
        <v>0</v>
      </c>
    </row>
    <row r="103" spans="2:18" x14ac:dyDescent="0.25">
      <c r="B103">
        <f t="shared" si="2"/>
        <v>0</v>
      </c>
      <c r="R103" s="2">
        <f t="shared" si="3"/>
        <v>0</v>
      </c>
    </row>
    <row r="104" spans="2:18" x14ac:dyDescent="0.25">
      <c r="B104">
        <f t="shared" si="2"/>
        <v>0</v>
      </c>
      <c r="R104" s="2">
        <f t="shared" si="3"/>
        <v>0</v>
      </c>
    </row>
    <row r="105" spans="2:18" x14ac:dyDescent="0.25">
      <c r="B105">
        <f t="shared" si="2"/>
        <v>0</v>
      </c>
      <c r="R105" s="2">
        <f t="shared" si="3"/>
        <v>0</v>
      </c>
    </row>
    <row r="106" spans="2:18" x14ac:dyDescent="0.25">
      <c r="B106">
        <f t="shared" si="2"/>
        <v>0</v>
      </c>
      <c r="R106" s="2">
        <f t="shared" si="3"/>
        <v>0</v>
      </c>
    </row>
    <row r="107" spans="2:18" x14ac:dyDescent="0.25">
      <c r="B107">
        <f t="shared" si="2"/>
        <v>0</v>
      </c>
      <c r="R107" s="2">
        <f t="shared" si="3"/>
        <v>0</v>
      </c>
    </row>
    <row r="108" spans="2:18" x14ac:dyDescent="0.25">
      <c r="B108">
        <f t="shared" si="2"/>
        <v>0</v>
      </c>
      <c r="R108" s="2">
        <f t="shared" si="3"/>
        <v>0</v>
      </c>
    </row>
    <row r="109" spans="2:18" x14ac:dyDescent="0.25">
      <c r="B109">
        <f t="shared" si="2"/>
        <v>0</v>
      </c>
      <c r="R109" s="2">
        <f t="shared" si="3"/>
        <v>0</v>
      </c>
    </row>
    <row r="110" spans="2:18" x14ac:dyDescent="0.25">
      <c r="B110">
        <f t="shared" si="2"/>
        <v>0</v>
      </c>
      <c r="R110" s="2">
        <f t="shared" si="3"/>
        <v>0</v>
      </c>
    </row>
    <row r="111" spans="2:18" x14ac:dyDescent="0.25">
      <c r="B111">
        <f t="shared" si="2"/>
        <v>0</v>
      </c>
      <c r="R111" s="2">
        <f t="shared" si="3"/>
        <v>0</v>
      </c>
    </row>
    <row r="112" spans="2:18" x14ac:dyDescent="0.25">
      <c r="B112">
        <f t="shared" si="2"/>
        <v>0</v>
      </c>
      <c r="R112" s="2">
        <f t="shared" si="3"/>
        <v>0</v>
      </c>
    </row>
    <row r="113" spans="2:18" x14ac:dyDescent="0.25">
      <c r="B113">
        <f t="shared" si="2"/>
        <v>0</v>
      </c>
      <c r="R113" s="2">
        <f t="shared" si="3"/>
        <v>0</v>
      </c>
    </row>
    <row r="114" spans="2:18" x14ac:dyDescent="0.25">
      <c r="B114">
        <f t="shared" si="2"/>
        <v>0</v>
      </c>
      <c r="R114" s="2">
        <f t="shared" si="3"/>
        <v>0</v>
      </c>
    </row>
    <row r="115" spans="2:18" x14ac:dyDescent="0.25">
      <c r="B115">
        <f t="shared" si="2"/>
        <v>0</v>
      </c>
      <c r="R115" s="2">
        <f t="shared" si="3"/>
        <v>0</v>
      </c>
    </row>
    <row r="116" spans="2:18" x14ac:dyDescent="0.25">
      <c r="B116">
        <f t="shared" si="2"/>
        <v>0</v>
      </c>
      <c r="R116" s="2">
        <f t="shared" si="3"/>
        <v>0</v>
      </c>
    </row>
    <row r="117" spans="2:18" x14ac:dyDescent="0.25">
      <c r="B117">
        <f t="shared" si="2"/>
        <v>0</v>
      </c>
      <c r="R117" s="2">
        <f t="shared" si="3"/>
        <v>0</v>
      </c>
    </row>
    <row r="118" spans="2:18" x14ac:dyDescent="0.25">
      <c r="B118">
        <f t="shared" si="2"/>
        <v>0</v>
      </c>
      <c r="R118" s="2">
        <f t="shared" si="3"/>
        <v>0</v>
      </c>
    </row>
    <row r="119" spans="2:18" x14ac:dyDescent="0.25">
      <c r="B119">
        <f t="shared" si="2"/>
        <v>0</v>
      </c>
      <c r="R119" s="2">
        <f t="shared" si="3"/>
        <v>0</v>
      </c>
    </row>
    <row r="120" spans="2:18" x14ac:dyDescent="0.25">
      <c r="B120">
        <f t="shared" si="2"/>
        <v>0</v>
      </c>
      <c r="R120" s="2">
        <f t="shared" si="3"/>
        <v>0</v>
      </c>
    </row>
    <row r="121" spans="2:18" x14ac:dyDescent="0.25">
      <c r="B121">
        <f t="shared" si="2"/>
        <v>0</v>
      </c>
      <c r="R121" s="2">
        <f t="shared" si="3"/>
        <v>0</v>
      </c>
    </row>
    <row r="122" spans="2:18" x14ac:dyDescent="0.25">
      <c r="B122">
        <f t="shared" si="2"/>
        <v>0</v>
      </c>
      <c r="R122" s="2">
        <f t="shared" si="3"/>
        <v>0</v>
      </c>
    </row>
    <row r="123" spans="2:18" x14ac:dyDescent="0.25">
      <c r="B123">
        <f t="shared" si="2"/>
        <v>0</v>
      </c>
      <c r="R123" s="2">
        <f t="shared" si="3"/>
        <v>0</v>
      </c>
    </row>
    <row r="124" spans="2:18" x14ac:dyDescent="0.25">
      <c r="B124">
        <f t="shared" si="2"/>
        <v>0</v>
      </c>
      <c r="R124" s="2">
        <f t="shared" si="3"/>
        <v>0</v>
      </c>
    </row>
    <row r="125" spans="2:18" x14ac:dyDescent="0.25">
      <c r="B125">
        <f t="shared" si="2"/>
        <v>0</v>
      </c>
      <c r="R125" s="2">
        <f t="shared" si="3"/>
        <v>0</v>
      </c>
    </row>
    <row r="126" spans="2:18" x14ac:dyDescent="0.25">
      <c r="B126">
        <f t="shared" si="2"/>
        <v>0</v>
      </c>
      <c r="R126" s="2">
        <f t="shared" si="3"/>
        <v>0</v>
      </c>
    </row>
    <row r="127" spans="2:18" x14ac:dyDescent="0.25">
      <c r="B127">
        <f t="shared" si="2"/>
        <v>0</v>
      </c>
      <c r="R127" s="2">
        <f t="shared" si="3"/>
        <v>0</v>
      </c>
    </row>
    <row r="128" spans="2:18" x14ac:dyDescent="0.25">
      <c r="B128">
        <f t="shared" si="2"/>
        <v>0</v>
      </c>
      <c r="R128" s="2">
        <f t="shared" si="3"/>
        <v>0</v>
      </c>
    </row>
    <row r="129" spans="2:18" x14ac:dyDescent="0.25">
      <c r="B129">
        <f t="shared" si="2"/>
        <v>0</v>
      </c>
      <c r="R129" s="2">
        <f t="shared" si="3"/>
        <v>0</v>
      </c>
    </row>
    <row r="130" spans="2:18" x14ac:dyDescent="0.25">
      <c r="B130">
        <f t="shared" si="2"/>
        <v>0</v>
      </c>
      <c r="R130" s="2">
        <f t="shared" si="3"/>
        <v>0</v>
      </c>
    </row>
    <row r="131" spans="2:18" x14ac:dyDescent="0.25">
      <c r="B131">
        <f t="shared" ref="B131:B194" si="4">IFERROR(REPLACE(A131,FIND(" ; ",A131),20,""),A131)</f>
        <v>0</v>
      </c>
      <c r="R131" s="2">
        <f t="shared" ref="R131:R194" si="5">IFERROR(REPLACE(Q131,FIND(" ; ",Q131),20,""),Q131)</f>
        <v>0</v>
      </c>
    </row>
    <row r="132" spans="2:18" x14ac:dyDescent="0.25">
      <c r="B132">
        <f t="shared" si="4"/>
        <v>0</v>
      </c>
      <c r="R132" s="2">
        <f t="shared" si="5"/>
        <v>0</v>
      </c>
    </row>
    <row r="133" spans="2:18" x14ac:dyDescent="0.25">
      <c r="B133">
        <f t="shared" si="4"/>
        <v>0</v>
      </c>
      <c r="R133" s="2">
        <f t="shared" si="5"/>
        <v>0</v>
      </c>
    </row>
    <row r="134" spans="2:18" x14ac:dyDescent="0.25">
      <c r="B134">
        <f t="shared" si="4"/>
        <v>0</v>
      </c>
      <c r="R134" s="2">
        <f t="shared" si="5"/>
        <v>0</v>
      </c>
    </row>
    <row r="135" spans="2:18" x14ac:dyDescent="0.25">
      <c r="B135">
        <f t="shared" si="4"/>
        <v>0</v>
      </c>
      <c r="R135" s="2">
        <f t="shared" si="5"/>
        <v>0</v>
      </c>
    </row>
    <row r="136" spans="2:18" x14ac:dyDescent="0.25">
      <c r="B136">
        <f t="shared" si="4"/>
        <v>0</v>
      </c>
      <c r="R136" s="2">
        <f t="shared" si="5"/>
        <v>0</v>
      </c>
    </row>
    <row r="137" spans="2:18" x14ac:dyDescent="0.25">
      <c r="B137">
        <f t="shared" si="4"/>
        <v>0</v>
      </c>
      <c r="R137" s="2">
        <f t="shared" si="5"/>
        <v>0</v>
      </c>
    </row>
    <row r="138" spans="2:18" x14ac:dyDescent="0.25">
      <c r="B138">
        <f t="shared" si="4"/>
        <v>0</v>
      </c>
      <c r="R138" s="2">
        <f t="shared" si="5"/>
        <v>0</v>
      </c>
    </row>
    <row r="139" spans="2:18" x14ac:dyDescent="0.25">
      <c r="B139">
        <f t="shared" si="4"/>
        <v>0</v>
      </c>
      <c r="R139" s="2">
        <f t="shared" si="5"/>
        <v>0</v>
      </c>
    </row>
    <row r="140" spans="2:18" x14ac:dyDescent="0.25">
      <c r="B140">
        <f t="shared" si="4"/>
        <v>0</v>
      </c>
      <c r="R140" s="2">
        <f t="shared" si="5"/>
        <v>0</v>
      </c>
    </row>
    <row r="141" spans="2:18" x14ac:dyDescent="0.25">
      <c r="B141">
        <f t="shared" si="4"/>
        <v>0</v>
      </c>
      <c r="R141" s="2">
        <f t="shared" si="5"/>
        <v>0</v>
      </c>
    </row>
    <row r="142" spans="2:18" x14ac:dyDescent="0.25">
      <c r="B142">
        <f t="shared" si="4"/>
        <v>0</v>
      </c>
      <c r="R142" s="2">
        <f t="shared" si="5"/>
        <v>0</v>
      </c>
    </row>
    <row r="143" spans="2:18" x14ac:dyDescent="0.25">
      <c r="B143">
        <f t="shared" si="4"/>
        <v>0</v>
      </c>
      <c r="R143" s="2">
        <f t="shared" si="5"/>
        <v>0</v>
      </c>
    </row>
    <row r="144" spans="2:18" x14ac:dyDescent="0.25">
      <c r="B144">
        <f t="shared" si="4"/>
        <v>0</v>
      </c>
      <c r="R144" s="2">
        <f t="shared" si="5"/>
        <v>0</v>
      </c>
    </row>
    <row r="145" spans="2:18" x14ac:dyDescent="0.25">
      <c r="B145">
        <f t="shared" si="4"/>
        <v>0</v>
      </c>
      <c r="R145" s="2">
        <f t="shared" si="5"/>
        <v>0</v>
      </c>
    </row>
    <row r="146" spans="2:18" x14ac:dyDescent="0.25">
      <c r="B146">
        <f t="shared" si="4"/>
        <v>0</v>
      </c>
      <c r="R146" s="2">
        <f t="shared" si="5"/>
        <v>0</v>
      </c>
    </row>
    <row r="147" spans="2:18" x14ac:dyDescent="0.25">
      <c r="B147">
        <f t="shared" si="4"/>
        <v>0</v>
      </c>
      <c r="R147" s="2">
        <f t="shared" si="5"/>
        <v>0</v>
      </c>
    </row>
    <row r="148" spans="2:18" x14ac:dyDescent="0.25">
      <c r="B148">
        <f t="shared" si="4"/>
        <v>0</v>
      </c>
      <c r="R148" s="2">
        <f t="shared" si="5"/>
        <v>0</v>
      </c>
    </row>
    <row r="149" spans="2:18" x14ac:dyDescent="0.25">
      <c r="B149">
        <f t="shared" si="4"/>
        <v>0</v>
      </c>
      <c r="R149" s="2">
        <f t="shared" si="5"/>
        <v>0</v>
      </c>
    </row>
    <row r="150" spans="2:18" x14ac:dyDescent="0.25">
      <c r="B150">
        <f t="shared" si="4"/>
        <v>0</v>
      </c>
      <c r="R150" s="2">
        <f t="shared" si="5"/>
        <v>0</v>
      </c>
    </row>
    <row r="151" spans="2:18" x14ac:dyDescent="0.25">
      <c r="B151">
        <f t="shared" si="4"/>
        <v>0</v>
      </c>
      <c r="R151" s="2">
        <f t="shared" si="5"/>
        <v>0</v>
      </c>
    </row>
    <row r="152" spans="2:18" x14ac:dyDescent="0.25">
      <c r="B152">
        <f t="shared" si="4"/>
        <v>0</v>
      </c>
      <c r="R152" s="2">
        <f t="shared" si="5"/>
        <v>0</v>
      </c>
    </row>
    <row r="153" spans="2:18" x14ac:dyDescent="0.25">
      <c r="B153">
        <f t="shared" si="4"/>
        <v>0</v>
      </c>
      <c r="R153" s="2">
        <f t="shared" si="5"/>
        <v>0</v>
      </c>
    </row>
    <row r="154" spans="2:18" x14ac:dyDescent="0.25">
      <c r="B154">
        <f t="shared" si="4"/>
        <v>0</v>
      </c>
      <c r="R154" s="2">
        <f t="shared" si="5"/>
        <v>0</v>
      </c>
    </row>
    <row r="155" spans="2:18" x14ac:dyDescent="0.25">
      <c r="B155">
        <f t="shared" si="4"/>
        <v>0</v>
      </c>
      <c r="R155" s="2">
        <f t="shared" si="5"/>
        <v>0</v>
      </c>
    </row>
    <row r="156" spans="2:18" x14ac:dyDescent="0.25">
      <c r="B156">
        <f t="shared" si="4"/>
        <v>0</v>
      </c>
      <c r="R156" s="2">
        <f t="shared" si="5"/>
        <v>0</v>
      </c>
    </row>
    <row r="157" spans="2:18" x14ac:dyDescent="0.25">
      <c r="B157">
        <f t="shared" si="4"/>
        <v>0</v>
      </c>
      <c r="R157" s="2">
        <f t="shared" si="5"/>
        <v>0</v>
      </c>
    </row>
    <row r="158" spans="2:18" x14ac:dyDescent="0.25">
      <c r="B158">
        <f t="shared" si="4"/>
        <v>0</v>
      </c>
      <c r="R158" s="2">
        <f t="shared" si="5"/>
        <v>0</v>
      </c>
    </row>
    <row r="159" spans="2:18" x14ac:dyDescent="0.25">
      <c r="B159">
        <f t="shared" si="4"/>
        <v>0</v>
      </c>
      <c r="R159" s="2">
        <f t="shared" si="5"/>
        <v>0</v>
      </c>
    </row>
    <row r="160" spans="2:18" x14ac:dyDescent="0.25">
      <c r="B160">
        <f t="shared" si="4"/>
        <v>0</v>
      </c>
      <c r="R160" s="2">
        <f t="shared" si="5"/>
        <v>0</v>
      </c>
    </row>
    <row r="161" spans="2:18" x14ac:dyDescent="0.25">
      <c r="B161">
        <f t="shared" si="4"/>
        <v>0</v>
      </c>
      <c r="R161" s="2">
        <f t="shared" si="5"/>
        <v>0</v>
      </c>
    </row>
    <row r="162" spans="2:18" x14ac:dyDescent="0.25">
      <c r="B162">
        <f t="shared" si="4"/>
        <v>0</v>
      </c>
      <c r="R162" s="2">
        <f t="shared" si="5"/>
        <v>0</v>
      </c>
    </row>
    <row r="163" spans="2:18" x14ac:dyDescent="0.25">
      <c r="B163">
        <f t="shared" si="4"/>
        <v>0</v>
      </c>
      <c r="R163" s="2">
        <f t="shared" si="5"/>
        <v>0</v>
      </c>
    </row>
    <row r="164" spans="2:18" x14ac:dyDescent="0.25">
      <c r="B164">
        <f t="shared" si="4"/>
        <v>0</v>
      </c>
      <c r="R164" s="2">
        <f t="shared" si="5"/>
        <v>0</v>
      </c>
    </row>
    <row r="165" spans="2:18" x14ac:dyDescent="0.25">
      <c r="B165">
        <f t="shared" si="4"/>
        <v>0</v>
      </c>
      <c r="R165" s="2">
        <f t="shared" si="5"/>
        <v>0</v>
      </c>
    </row>
    <row r="166" spans="2:18" x14ac:dyDescent="0.25">
      <c r="B166">
        <f t="shared" si="4"/>
        <v>0</v>
      </c>
      <c r="R166" s="2">
        <f t="shared" si="5"/>
        <v>0</v>
      </c>
    </row>
    <row r="167" spans="2:18" x14ac:dyDescent="0.25">
      <c r="B167">
        <f t="shared" si="4"/>
        <v>0</v>
      </c>
      <c r="R167" s="2">
        <f t="shared" si="5"/>
        <v>0</v>
      </c>
    </row>
    <row r="168" spans="2:18" x14ac:dyDescent="0.25">
      <c r="B168">
        <f t="shared" si="4"/>
        <v>0</v>
      </c>
      <c r="R168" s="2">
        <f t="shared" si="5"/>
        <v>0</v>
      </c>
    </row>
    <row r="169" spans="2:18" x14ac:dyDescent="0.25">
      <c r="B169">
        <f t="shared" si="4"/>
        <v>0</v>
      </c>
      <c r="R169" s="2">
        <f t="shared" si="5"/>
        <v>0</v>
      </c>
    </row>
    <row r="170" spans="2:18" x14ac:dyDescent="0.25">
      <c r="B170">
        <f t="shared" si="4"/>
        <v>0</v>
      </c>
      <c r="R170" s="2">
        <f t="shared" si="5"/>
        <v>0</v>
      </c>
    </row>
    <row r="171" spans="2:18" x14ac:dyDescent="0.25">
      <c r="B171">
        <f t="shared" si="4"/>
        <v>0</v>
      </c>
      <c r="R171" s="2">
        <f t="shared" si="5"/>
        <v>0</v>
      </c>
    </row>
    <row r="172" spans="2:18" x14ac:dyDescent="0.25">
      <c r="B172">
        <f t="shared" si="4"/>
        <v>0</v>
      </c>
      <c r="R172" s="2">
        <f t="shared" si="5"/>
        <v>0</v>
      </c>
    </row>
    <row r="173" spans="2:18" x14ac:dyDescent="0.25">
      <c r="B173">
        <f t="shared" si="4"/>
        <v>0</v>
      </c>
      <c r="R173" s="2">
        <f t="shared" si="5"/>
        <v>0</v>
      </c>
    </row>
    <row r="174" spans="2:18" x14ac:dyDescent="0.25">
      <c r="B174">
        <f t="shared" si="4"/>
        <v>0</v>
      </c>
      <c r="R174" s="2">
        <f t="shared" si="5"/>
        <v>0</v>
      </c>
    </row>
    <row r="175" spans="2:18" x14ac:dyDescent="0.25">
      <c r="B175">
        <f t="shared" si="4"/>
        <v>0</v>
      </c>
      <c r="R175" s="2">
        <f t="shared" si="5"/>
        <v>0</v>
      </c>
    </row>
    <row r="176" spans="2:18" x14ac:dyDescent="0.25">
      <c r="B176">
        <f t="shared" si="4"/>
        <v>0</v>
      </c>
      <c r="R176" s="2">
        <f t="shared" si="5"/>
        <v>0</v>
      </c>
    </row>
    <row r="177" spans="2:18" x14ac:dyDescent="0.25">
      <c r="B177">
        <f t="shared" si="4"/>
        <v>0</v>
      </c>
      <c r="R177" s="2">
        <f t="shared" si="5"/>
        <v>0</v>
      </c>
    </row>
    <row r="178" spans="2:18" x14ac:dyDescent="0.25">
      <c r="B178">
        <f t="shared" si="4"/>
        <v>0</v>
      </c>
      <c r="R178" s="2">
        <f t="shared" si="5"/>
        <v>0</v>
      </c>
    </row>
    <row r="179" spans="2:18" x14ac:dyDescent="0.25">
      <c r="B179">
        <f t="shared" si="4"/>
        <v>0</v>
      </c>
      <c r="R179" s="2">
        <f t="shared" si="5"/>
        <v>0</v>
      </c>
    </row>
    <row r="180" spans="2:18" x14ac:dyDescent="0.25">
      <c r="B180">
        <f t="shared" si="4"/>
        <v>0</v>
      </c>
      <c r="R180" s="2">
        <f t="shared" si="5"/>
        <v>0</v>
      </c>
    </row>
    <row r="181" spans="2:18" x14ac:dyDescent="0.25">
      <c r="B181">
        <f t="shared" si="4"/>
        <v>0</v>
      </c>
      <c r="R181" s="2">
        <f t="shared" si="5"/>
        <v>0</v>
      </c>
    </row>
    <row r="182" spans="2:18" x14ac:dyDescent="0.25">
      <c r="B182">
        <f t="shared" si="4"/>
        <v>0</v>
      </c>
      <c r="R182" s="2">
        <f t="shared" si="5"/>
        <v>0</v>
      </c>
    </row>
    <row r="183" spans="2:18" x14ac:dyDescent="0.25">
      <c r="B183">
        <f t="shared" si="4"/>
        <v>0</v>
      </c>
      <c r="R183" s="2">
        <f t="shared" si="5"/>
        <v>0</v>
      </c>
    </row>
    <row r="184" spans="2:18" x14ac:dyDescent="0.25">
      <c r="B184">
        <f t="shared" si="4"/>
        <v>0</v>
      </c>
      <c r="R184" s="2">
        <f t="shared" si="5"/>
        <v>0</v>
      </c>
    </row>
    <row r="185" spans="2:18" x14ac:dyDescent="0.25">
      <c r="B185">
        <f t="shared" si="4"/>
        <v>0</v>
      </c>
      <c r="R185" s="2">
        <f t="shared" si="5"/>
        <v>0</v>
      </c>
    </row>
    <row r="186" spans="2:18" x14ac:dyDescent="0.25">
      <c r="B186">
        <f t="shared" si="4"/>
        <v>0</v>
      </c>
      <c r="R186" s="2">
        <f t="shared" si="5"/>
        <v>0</v>
      </c>
    </row>
    <row r="187" spans="2:18" x14ac:dyDescent="0.25">
      <c r="B187">
        <f t="shared" si="4"/>
        <v>0</v>
      </c>
      <c r="R187" s="2">
        <f t="shared" si="5"/>
        <v>0</v>
      </c>
    </row>
    <row r="188" spans="2:18" x14ac:dyDescent="0.25">
      <c r="B188">
        <f t="shared" si="4"/>
        <v>0</v>
      </c>
      <c r="R188" s="2">
        <f t="shared" si="5"/>
        <v>0</v>
      </c>
    </row>
    <row r="189" spans="2:18" x14ac:dyDescent="0.25">
      <c r="B189">
        <f t="shared" si="4"/>
        <v>0</v>
      </c>
      <c r="R189" s="2">
        <f t="shared" si="5"/>
        <v>0</v>
      </c>
    </row>
    <row r="190" spans="2:18" x14ac:dyDescent="0.25">
      <c r="B190">
        <f t="shared" si="4"/>
        <v>0</v>
      </c>
      <c r="R190" s="2">
        <f t="shared" si="5"/>
        <v>0</v>
      </c>
    </row>
    <row r="191" spans="2:18" x14ac:dyDescent="0.25">
      <c r="B191">
        <f t="shared" si="4"/>
        <v>0</v>
      </c>
      <c r="R191" s="2">
        <f t="shared" si="5"/>
        <v>0</v>
      </c>
    </row>
    <row r="192" spans="2:18" x14ac:dyDescent="0.25">
      <c r="B192">
        <f t="shared" si="4"/>
        <v>0</v>
      </c>
      <c r="R192" s="2">
        <f t="shared" si="5"/>
        <v>0</v>
      </c>
    </row>
    <row r="193" spans="2:18" x14ac:dyDescent="0.25">
      <c r="B193">
        <f t="shared" si="4"/>
        <v>0</v>
      </c>
      <c r="R193" s="2">
        <f t="shared" si="5"/>
        <v>0</v>
      </c>
    </row>
    <row r="194" spans="2:18" x14ac:dyDescent="0.25">
      <c r="B194">
        <f t="shared" si="4"/>
        <v>0</v>
      </c>
      <c r="R194" s="2">
        <f t="shared" si="5"/>
        <v>0</v>
      </c>
    </row>
    <row r="195" spans="2:18" x14ac:dyDescent="0.25">
      <c r="B195">
        <f t="shared" ref="B195:B258" si="6">IFERROR(REPLACE(A195,FIND(" ; ",A195),20,""),A195)</f>
        <v>0</v>
      </c>
      <c r="R195" s="2">
        <f t="shared" ref="R195:R258" si="7">IFERROR(REPLACE(Q195,FIND(" ; ",Q195),20,""),Q195)</f>
        <v>0</v>
      </c>
    </row>
    <row r="196" spans="2:18" x14ac:dyDescent="0.25">
      <c r="B196">
        <f t="shared" si="6"/>
        <v>0</v>
      </c>
      <c r="R196" s="2">
        <f t="shared" si="7"/>
        <v>0</v>
      </c>
    </row>
    <row r="197" spans="2:18" x14ac:dyDescent="0.25">
      <c r="B197">
        <f t="shared" si="6"/>
        <v>0</v>
      </c>
      <c r="R197" s="2">
        <f t="shared" si="7"/>
        <v>0</v>
      </c>
    </row>
    <row r="198" spans="2:18" x14ac:dyDescent="0.25">
      <c r="B198">
        <f t="shared" si="6"/>
        <v>0</v>
      </c>
      <c r="R198" s="2">
        <f t="shared" si="7"/>
        <v>0</v>
      </c>
    </row>
    <row r="199" spans="2:18" x14ac:dyDescent="0.25">
      <c r="B199">
        <f t="shared" si="6"/>
        <v>0</v>
      </c>
      <c r="R199" s="2">
        <f t="shared" si="7"/>
        <v>0</v>
      </c>
    </row>
    <row r="200" spans="2:18" x14ac:dyDescent="0.25">
      <c r="B200">
        <f t="shared" si="6"/>
        <v>0</v>
      </c>
      <c r="R200" s="2">
        <f t="shared" si="7"/>
        <v>0</v>
      </c>
    </row>
    <row r="201" spans="2:18" x14ac:dyDescent="0.25">
      <c r="B201">
        <f t="shared" si="6"/>
        <v>0</v>
      </c>
      <c r="R201" s="2">
        <f t="shared" si="7"/>
        <v>0</v>
      </c>
    </row>
    <row r="202" spans="2:18" x14ac:dyDescent="0.25">
      <c r="B202">
        <f t="shared" si="6"/>
        <v>0</v>
      </c>
      <c r="R202" s="2">
        <f t="shared" si="7"/>
        <v>0</v>
      </c>
    </row>
    <row r="203" spans="2:18" x14ac:dyDescent="0.25">
      <c r="B203">
        <f t="shared" si="6"/>
        <v>0</v>
      </c>
      <c r="R203" s="2">
        <f t="shared" si="7"/>
        <v>0</v>
      </c>
    </row>
    <row r="204" spans="2:18" x14ac:dyDescent="0.25">
      <c r="B204">
        <f t="shared" si="6"/>
        <v>0</v>
      </c>
      <c r="R204" s="2">
        <f t="shared" si="7"/>
        <v>0</v>
      </c>
    </row>
    <row r="205" spans="2:18" x14ac:dyDescent="0.25">
      <c r="B205">
        <f t="shared" si="6"/>
        <v>0</v>
      </c>
      <c r="R205" s="2">
        <f t="shared" si="7"/>
        <v>0</v>
      </c>
    </row>
    <row r="206" spans="2:18" x14ac:dyDescent="0.25">
      <c r="B206">
        <f t="shared" si="6"/>
        <v>0</v>
      </c>
      <c r="R206" s="2">
        <f t="shared" si="7"/>
        <v>0</v>
      </c>
    </row>
    <row r="207" spans="2:18" x14ac:dyDescent="0.25">
      <c r="B207">
        <f t="shared" si="6"/>
        <v>0</v>
      </c>
      <c r="R207" s="2">
        <f t="shared" si="7"/>
        <v>0</v>
      </c>
    </row>
    <row r="208" spans="2:18" x14ac:dyDescent="0.25">
      <c r="B208">
        <f t="shared" si="6"/>
        <v>0</v>
      </c>
      <c r="R208" s="2">
        <f t="shared" si="7"/>
        <v>0</v>
      </c>
    </row>
    <row r="209" spans="2:18" x14ac:dyDescent="0.25">
      <c r="B209">
        <f t="shared" si="6"/>
        <v>0</v>
      </c>
      <c r="R209" s="2">
        <f t="shared" si="7"/>
        <v>0</v>
      </c>
    </row>
    <row r="210" spans="2:18" x14ac:dyDescent="0.25">
      <c r="B210">
        <f t="shared" si="6"/>
        <v>0</v>
      </c>
      <c r="R210" s="2">
        <f t="shared" si="7"/>
        <v>0</v>
      </c>
    </row>
    <row r="211" spans="2:18" x14ac:dyDescent="0.25">
      <c r="B211">
        <f t="shared" si="6"/>
        <v>0</v>
      </c>
      <c r="R211" s="2">
        <f t="shared" si="7"/>
        <v>0</v>
      </c>
    </row>
    <row r="212" spans="2:18" x14ac:dyDescent="0.25">
      <c r="B212">
        <f t="shared" si="6"/>
        <v>0</v>
      </c>
      <c r="R212" s="2">
        <f t="shared" si="7"/>
        <v>0</v>
      </c>
    </row>
    <row r="213" spans="2:18" x14ac:dyDescent="0.25">
      <c r="B213">
        <f t="shared" si="6"/>
        <v>0</v>
      </c>
      <c r="R213" s="2">
        <f t="shared" si="7"/>
        <v>0</v>
      </c>
    </row>
    <row r="214" spans="2:18" x14ac:dyDescent="0.25">
      <c r="B214">
        <f t="shared" si="6"/>
        <v>0</v>
      </c>
      <c r="R214" s="2">
        <f t="shared" si="7"/>
        <v>0</v>
      </c>
    </row>
    <row r="215" spans="2:18" x14ac:dyDescent="0.25">
      <c r="B215">
        <f t="shared" si="6"/>
        <v>0</v>
      </c>
      <c r="R215" s="2">
        <f t="shared" si="7"/>
        <v>0</v>
      </c>
    </row>
    <row r="216" spans="2:18" x14ac:dyDescent="0.25">
      <c r="B216">
        <f t="shared" si="6"/>
        <v>0</v>
      </c>
      <c r="R216" s="2">
        <f t="shared" si="7"/>
        <v>0</v>
      </c>
    </row>
    <row r="217" spans="2:18" x14ac:dyDescent="0.25">
      <c r="B217">
        <f t="shared" si="6"/>
        <v>0</v>
      </c>
      <c r="R217" s="2">
        <f t="shared" si="7"/>
        <v>0</v>
      </c>
    </row>
    <row r="218" spans="2:18" x14ac:dyDescent="0.25">
      <c r="B218">
        <f t="shared" si="6"/>
        <v>0</v>
      </c>
      <c r="R218" s="2">
        <f t="shared" si="7"/>
        <v>0</v>
      </c>
    </row>
    <row r="219" spans="2:18" x14ac:dyDescent="0.25">
      <c r="B219">
        <f t="shared" si="6"/>
        <v>0</v>
      </c>
      <c r="R219" s="2">
        <f t="shared" si="7"/>
        <v>0</v>
      </c>
    </row>
    <row r="220" spans="2:18" x14ac:dyDescent="0.25">
      <c r="B220">
        <f t="shared" si="6"/>
        <v>0</v>
      </c>
      <c r="R220" s="2">
        <f t="shared" si="7"/>
        <v>0</v>
      </c>
    </row>
    <row r="221" spans="2:18" x14ac:dyDescent="0.25">
      <c r="B221">
        <f t="shared" si="6"/>
        <v>0</v>
      </c>
      <c r="R221" s="2">
        <f t="shared" si="7"/>
        <v>0</v>
      </c>
    </row>
    <row r="222" spans="2:18" x14ac:dyDescent="0.25">
      <c r="B222">
        <f t="shared" si="6"/>
        <v>0</v>
      </c>
      <c r="R222" s="2">
        <f t="shared" si="7"/>
        <v>0</v>
      </c>
    </row>
    <row r="223" spans="2:18" x14ac:dyDescent="0.25">
      <c r="B223">
        <f t="shared" si="6"/>
        <v>0</v>
      </c>
      <c r="R223" s="2">
        <f t="shared" si="7"/>
        <v>0</v>
      </c>
    </row>
    <row r="224" spans="2:18" x14ac:dyDescent="0.25">
      <c r="B224">
        <f t="shared" si="6"/>
        <v>0</v>
      </c>
      <c r="R224" s="2">
        <f t="shared" si="7"/>
        <v>0</v>
      </c>
    </row>
    <row r="225" spans="2:18" x14ac:dyDescent="0.25">
      <c r="B225">
        <f t="shared" si="6"/>
        <v>0</v>
      </c>
      <c r="R225" s="2">
        <f t="shared" si="7"/>
        <v>0</v>
      </c>
    </row>
    <row r="226" spans="2:18" x14ac:dyDescent="0.25">
      <c r="B226">
        <f t="shared" si="6"/>
        <v>0</v>
      </c>
      <c r="R226" s="2">
        <f t="shared" si="7"/>
        <v>0</v>
      </c>
    </row>
    <row r="227" spans="2:18" x14ac:dyDescent="0.25">
      <c r="B227">
        <f t="shared" si="6"/>
        <v>0</v>
      </c>
      <c r="R227" s="2">
        <f t="shared" si="7"/>
        <v>0</v>
      </c>
    </row>
    <row r="228" spans="2:18" x14ac:dyDescent="0.25">
      <c r="B228">
        <f t="shared" si="6"/>
        <v>0</v>
      </c>
      <c r="R228" s="2">
        <f t="shared" si="7"/>
        <v>0</v>
      </c>
    </row>
    <row r="229" spans="2:18" x14ac:dyDescent="0.25">
      <c r="B229">
        <f t="shared" si="6"/>
        <v>0</v>
      </c>
      <c r="R229" s="2">
        <f t="shared" si="7"/>
        <v>0</v>
      </c>
    </row>
    <row r="230" spans="2:18" x14ac:dyDescent="0.25">
      <c r="B230">
        <f t="shared" si="6"/>
        <v>0</v>
      </c>
      <c r="R230" s="2">
        <f t="shared" si="7"/>
        <v>0</v>
      </c>
    </row>
    <row r="231" spans="2:18" x14ac:dyDescent="0.25">
      <c r="B231">
        <f t="shared" si="6"/>
        <v>0</v>
      </c>
      <c r="R231" s="2">
        <f t="shared" si="7"/>
        <v>0</v>
      </c>
    </row>
    <row r="232" spans="2:18" x14ac:dyDescent="0.25">
      <c r="B232">
        <f t="shared" si="6"/>
        <v>0</v>
      </c>
      <c r="R232" s="2">
        <f t="shared" si="7"/>
        <v>0</v>
      </c>
    </row>
    <row r="233" spans="2:18" x14ac:dyDescent="0.25">
      <c r="B233">
        <f t="shared" si="6"/>
        <v>0</v>
      </c>
      <c r="R233" s="2">
        <f t="shared" si="7"/>
        <v>0</v>
      </c>
    </row>
    <row r="234" spans="2:18" x14ac:dyDescent="0.25">
      <c r="B234">
        <f t="shared" si="6"/>
        <v>0</v>
      </c>
      <c r="R234" s="2">
        <f t="shared" si="7"/>
        <v>0</v>
      </c>
    </row>
    <row r="235" spans="2:18" x14ac:dyDescent="0.25">
      <c r="B235">
        <f t="shared" si="6"/>
        <v>0</v>
      </c>
      <c r="R235" s="2">
        <f t="shared" si="7"/>
        <v>0</v>
      </c>
    </row>
    <row r="236" spans="2:18" x14ac:dyDescent="0.25">
      <c r="B236">
        <f t="shared" si="6"/>
        <v>0</v>
      </c>
      <c r="R236" s="2">
        <f t="shared" si="7"/>
        <v>0</v>
      </c>
    </row>
    <row r="237" spans="2:18" x14ac:dyDescent="0.25">
      <c r="B237">
        <f t="shared" si="6"/>
        <v>0</v>
      </c>
      <c r="R237" s="2">
        <f t="shared" si="7"/>
        <v>0</v>
      </c>
    </row>
    <row r="238" spans="2:18" x14ac:dyDescent="0.25">
      <c r="B238">
        <f t="shared" si="6"/>
        <v>0</v>
      </c>
      <c r="R238" s="2">
        <f t="shared" si="7"/>
        <v>0</v>
      </c>
    </row>
    <row r="239" spans="2:18" x14ac:dyDescent="0.25">
      <c r="B239">
        <f t="shared" si="6"/>
        <v>0</v>
      </c>
      <c r="R239" s="2">
        <f t="shared" si="7"/>
        <v>0</v>
      </c>
    </row>
    <row r="240" spans="2:18" x14ac:dyDescent="0.25">
      <c r="B240">
        <f t="shared" si="6"/>
        <v>0</v>
      </c>
      <c r="R240" s="2">
        <f t="shared" si="7"/>
        <v>0</v>
      </c>
    </row>
    <row r="241" spans="2:18" x14ac:dyDescent="0.25">
      <c r="B241">
        <f t="shared" si="6"/>
        <v>0</v>
      </c>
      <c r="R241" s="2">
        <f t="shared" si="7"/>
        <v>0</v>
      </c>
    </row>
    <row r="242" spans="2:18" x14ac:dyDescent="0.25">
      <c r="B242">
        <f t="shared" si="6"/>
        <v>0</v>
      </c>
      <c r="R242" s="2">
        <f t="shared" si="7"/>
        <v>0</v>
      </c>
    </row>
    <row r="243" spans="2:18" x14ac:dyDescent="0.25">
      <c r="B243">
        <f t="shared" si="6"/>
        <v>0</v>
      </c>
      <c r="R243" s="2">
        <f t="shared" si="7"/>
        <v>0</v>
      </c>
    </row>
    <row r="244" spans="2:18" x14ac:dyDescent="0.25">
      <c r="B244">
        <f t="shared" si="6"/>
        <v>0</v>
      </c>
      <c r="R244" s="2">
        <f t="shared" si="7"/>
        <v>0</v>
      </c>
    </row>
    <row r="245" spans="2:18" x14ac:dyDescent="0.25">
      <c r="B245">
        <f t="shared" si="6"/>
        <v>0</v>
      </c>
      <c r="R245" s="2">
        <f t="shared" si="7"/>
        <v>0</v>
      </c>
    </row>
    <row r="246" spans="2:18" x14ac:dyDescent="0.25">
      <c r="B246">
        <f t="shared" si="6"/>
        <v>0</v>
      </c>
      <c r="R246" s="2">
        <f t="shared" si="7"/>
        <v>0</v>
      </c>
    </row>
    <row r="247" spans="2:18" x14ac:dyDescent="0.25">
      <c r="B247">
        <f t="shared" si="6"/>
        <v>0</v>
      </c>
      <c r="R247" s="2">
        <f t="shared" si="7"/>
        <v>0</v>
      </c>
    </row>
    <row r="248" spans="2:18" x14ac:dyDescent="0.25">
      <c r="B248">
        <f t="shared" si="6"/>
        <v>0</v>
      </c>
      <c r="R248" s="2">
        <f t="shared" si="7"/>
        <v>0</v>
      </c>
    </row>
    <row r="249" spans="2:18" x14ac:dyDescent="0.25">
      <c r="B249">
        <f t="shared" si="6"/>
        <v>0</v>
      </c>
      <c r="R249" s="2">
        <f t="shared" si="7"/>
        <v>0</v>
      </c>
    </row>
    <row r="250" spans="2:18" x14ac:dyDescent="0.25">
      <c r="B250">
        <f t="shared" si="6"/>
        <v>0</v>
      </c>
      <c r="R250" s="2">
        <f t="shared" si="7"/>
        <v>0</v>
      </c>
    </row>
    <row r="251" spans="2:18" x14ac:dyDescent="0.25">
      <c r="B251">
        <f t="shared" si="6"/>
        <v>0</v>
      </c>
      <c r="R251" s="2">
        <f t="shared" si="7"/>
        <v>0</v>
      </c>
    </row>
    <row r="252" spans="2:18" x14ac:dyDescent="0.25">
      <c r="B252">
        <f t="shared" si="6"/>
        <v>0</v>
      </c>
      <c r="R252" s="2">
        <f t="shared" si="7"/>
        <v>0</v>
      </c>
    </row>
    <row r="253" spans="2:18" x14ac:dyDescent="0.25">
      <c r="B253">
        <f t="shared" si="6"/>
        <v>0</v>
      </c>
      <c r="R253" s="2">
        <f t="shared" si="7"/>
        <v>0</v>
      </c>
    </row>
    <row r="254" spans="2:18" x14ac:dyDescent="0.25">
      <c r="B254">
        <f t="shared" si="6"/>
        <v>0</v>
      </c>
      <c r="R254" s="2">
        <f t="shared" si="7"/>
        <v>0</v>
      </c>
    </row>
    <row r="255" spans="2:18" x14ac:dyDescent="0.25">
      <c r="B255">
        <f t="shared" si="6"/>
        <v>0</v>
      </c>
      <c r="R255" s="2">
        <f t="shared" si="7"/>
        <v>0</v>
      </c>
    </row>
    <row r="256" spans="2:18" x14ac:dyDescent="0.25">
      <c r="B256">
        <f t="shared" si="6"/>
        <v>0</v>
      </c>
      <c r="R256" s="2">
        <f t="shared" si="7"/>
        <v>0</v>
      </c>
    </row>
    <row r="257" spans="2:18" x14ac:dyDescent="0.25">
      <c r="B257">
        <f t="shared" si="6"/>
        <v>0</v>
      </c>
      <c r="R257" s="2">
        <f t="shared" si="7"/>
        <v>0</v>
      </c>
    </row>
    <row r="258" spans="2:18" x14ac:dyDescent="0.25">
      <c r="B258">
        <f t="shared" si="6"/>
        <v>0</v>
      </c>
      <c r="R258" s="2">
        <f t="shared" si="7"/>
        <v>0</v>
      </c>
    </row>
    <row r="259" spans="2:18" x14ac:dyDescent="0.25">
      <c r="B259">
        <f t="shared" ref="B259:B322" si="8">IFERROR(REPLACE(A259,FIND(" ; ",A259),20,""),A259)</f>
        <v>0</v>
      </c>
      <c r="R259" s="2">
        <f t="shared" ref="R259:R322" si="9">IFERROR(REPLACE(Q259,FIND(" ; ",Q259),20,""),Q259)</f>
        <v>0</v>
      </c>
    </row>
    <row r="260" spans="2:18" x14ac:dyDescent="0.25">
      <c r="B260">
        <f t="shared" si="8"/>
        <v>0</v>
      </c>
      <c r="R260" s="2">
        <f t="shared" si="9"/>
        <v>0</v>
      </c>
    </row>
    <row r="261" spans="2:18" x14ac:dyDescent="0.25">
      <c r="B261">
        <f t="shared" si="8"/>
        <v>0</v>
      </c>
      <c r="R261" s="2">
        <f t="shared" si="9"/>
        <v>0</v>
      </c>
    </row>
    <row r="262" spans="2:18" x14ac:dyDescent="0.25">
      <c r="B262">
        <f t="shared" si="8"/>
        <v>0</v>
      </c>
      <c r="R262" s="2">
        <f t="shared" si="9"/>
        <v>0</v>
      </c>
    </row>
    <row r="263" spans="2:18" x14ac:dyDescent="0.25">
      <c r="B263">
        <f t="shared" si="8"/>
        <v>0</v>
      </c>
      <c r="R263" s="2">
        <f t="shared" si="9"/>
        <v>0</v>
      </c>
    </row>
    <row r="264" spans="2:18" x14ac:dyDescent="0.25">
      <c r="B264">
        <f t="shared" si="8"/>
        <v>0</v>
      </c>
      <c r="R264" s="2">
        <f t="shared" si="9"/>
        <v>0</v>
      </c>
    </row>
    <row r="265" spans="2:18" x14ac:dyDescent="0.25">
      <c r="B265">
        <f t="shared" si="8"/>
        <v>0</v>
      </c>
      <c r="R265" s="2">
        <f t="shared" si="9"/>
        <v>0</v>
      </c>
    </row>
    <row r="266" spans="2:18" x14ac:dyDescent="0.25">
      <c r="B266">
        <f t="shared" si="8"/>
        <v>0</v>
      </c>
      <c r="R266" s="2">
        <f t="shared" si="9"/>
        <v>0</v>
      </c>
    </row>
    <row r="267" spans="2:18" x14ac:dyDescent="0.25">
      <c r="B267">
        <f t="shared" si="8"/>
        <v>0</v>
      </c>
      <c r="R267" s="2">
        <f t="shared" si="9"/>
        <v>0</v>
      </c>
    </row>
    <row r="268" spans="2:18" x14ac:dyDescent="0.25">
      <c r="B268">
        <f t="shared" si="8"/>
        <v>0</v>
      </c>
      <c r="R268" s="2">
        <f t="shared" si="9"/>
        <v>0</v>
      </c>
    </row>
    <row r="269" spans="2:18" x14ac:dyDescent="0.25">
      <c r="B269">
        <f t="shared" si="8"/>
        <v>0</v>
      </c>
      <c r="R269" s="2">
        <f t="shared" si="9"/>
        <v>0</v>
      </c>
    </row>
    <row r="270" spans="2:18" x14ac:dyDescent="0.25">
      <c r="B270">
        <f t="shared" si="8"/>
        <v>0</v>
      </c>
      <c r="R270" s="2">
        <f t="shared" si="9"/>
        <v>0</v>
      </c>
    </row>
    <row r="271" spans="2:18" x14ac:dyDescent="0.25">
      <c r="B271">
        <f t="shared" si="8"/>
        <v>0</v>
      </c>
      <c r="R271" s="2">
        <f t="shared" si="9"/>
        <v>0</v>
      </c>
    </row>
    <row r="272" spans="2:18" x14ac:dyDescent="0.25">
      <c r="B272">
        <f t="shared" si="8"/>
        <v>0</v>
      </c>
      <c r="R272" s="2">
        <f t="shared" si="9"/>
        <v>0</v>
      </c>
    </row>
    <row r="273" spans="2:18" x14ac:dyDescent="0.25">
      <c r="B273">
        <f t="shared" si="8"/>
        <v>0</v>
      </c>
      <c r="R273" s="2">
        <f t="shared" si="9"/>
        <v>0</v>
      </c>
    </row>
    <row r="274" spans="2:18" x14ac:dyDescent="0.25">
      <c r="B274">
        <f t="shared" si="8"/>
        <v>0</v>
      </c>
      <c r="R274" s="2">
        <f t="shared" si="9"/>
        <v>0</v>
      </c>
    </row>
    <row r="275" spans="2:18" x14ac:dyDescent="0.25">
      <c r="B275">
        <f t="shared" si="8"/>
        <v>0</v>
      </c>
      <c r="R275" s="2">
        <f t="shared" si="9"/>
        <v>0</v>
      </c>
    </row>
    <row r="276" spans="2:18" x14ac:dyDescent="0.25">
      <c r="B276">
        <f t="shared" si="8"/>
        <v>0</v>
      </c>
      <c r="R276" s="2">
        <f t="shared" si="9"/>
        <v>0</v>
      </c>
    </row>
    <row r="277" spans="2:18" x14ac:dyDescent="0.25">
      <c r="B277">
        <f t="shared" si="8"/>
        <v>0</v>
      </c>
      <c r="R277" s="2">
        <f t="shared" si="9"/>
        <v>0</v>
      </c>
    </row>
    <row r="278" spans="2:18" x14ac:dyDescent="0.25">
      <c r="B278">
        <f t="shared" si="8"/>
        <v>0</v>
      </c>
      <c r="R278" s="2">
        <f t="shared" si="9"/>
        <v>0</v>
      </c>
    </row>
    <row r="279" spans="2:18" x14ac:dyDescent="0.25">
      <c r="B279">
        <f t="shared" si="8"/>
        <v>0</v>
      </c>
      <c r="R279" s="2">
        <f t="shared" si="9"/>
        <v>0</v>
      </c>
    </row>
    <row r="280" spans="2:18" x14ac:dyDescent="0.25">
      <c r="B280">
        <f t="shared" si="8"/>
        <v>0</v>
      </c>
      <c r="R280" s="2">
        <f t="shared" si="9"/>
        <v>0</v>
      </c>
    </row>
    <row r="281" spans="2:18" x14ac:dyDescent="0.25">
      <c r="B281">
        <f t="shared" si="8"/>
        <v>0</v>
      </c>
      <c r="R281" s="2">
        <f t="shared" si="9"/>
        <v>0</v>
      </c>
    </row>
    <row r="282" spans="2:18" x14ac:dyDescent="0.25">
      <c r="B282">
        <f t="shared" si="8"/>
        <v>0</v>
      </c>
      <c r="R282" s="2">
        <f t="shared" si="9"/>
        <v>0</v>
      </c>
    </row>
    <row r="283" spans="2:18" x14ac:dyDescent="0.25">
      <c r="B283">
        <f t="shared" si="8"/>
        <v>0</v>
      </c>
      <c r="R283" s="2">
        <f t="shared" si="9"/>
        <v>0</v>
      </c>
    </row>
    <row r="284" spans="2:18" x14ac:dyDescent="0.25">
      <c r="B284">
        <f t="shared" si="8"/>
        <v>0</v>
      </c>
      <c r="R284" s="2">
        <f t="shared" si="9"/>
        <v>0</v>
      </c>
    </row>
    <row r="285" spans="2:18" x14ac:dyDescent="0.25">
      <c r="B285">
        <f t="shared" si="8"/>
        <v>0</v>
      </c>
      <c r="R285" s="2">
        <f t="shared" si="9"/>
        <v>0</v>
      </c>
    </row>
    <row r="286" spans="2:18" x14ac:dyDescent="0.25">
      <c r="B286">
        <f t="shared" si="8"/>
        <v>0</v>
      </c>
      <c r="R286" s="2">
        <f t="shared" si="9"/>
        <v>0</v>
      </c>
    </row>
    <row r="287" spans="2:18" x14ac:dyDescent="0.25">
      <c r="B287">
        <f t="shared" si="8"/>
        <v>0</v>
      </c>
      <c r="R287" s="2">
        <f t="shared" si="9"/>
        <v>0</v>
      </c>
    </row>
    <row r="288" spans="2:18" x14ac:dyDescent="0.25">
      <c r="B288">
        <f t="shared" si="8"/>
        <v>0</v>
      </c>
      <c r="R288" s="2">
        <f t="shared" si="9"/>
        <v>0</v>
      </c>
    </row>
    <row r="289" spans="2:18" x14ac:dyDescent="0.25">
      <c r="B289">
        <f t="shared" si="8"/>
        <v>0</v>
      </c>
      <c r="R289" s="2">
        <f t="shared" si="9"/>
        <v>0</v>
      </c>
    </row>
    <row r="290" spans="2:18" x14ac:dyDescent="0.25">
      <c r="B290">
        <f t="shared" si="8"/>
        <v>0</v>
      </c>
      <c r="R290" s="2">
        <f t="shared" si="9"/>
        <v>0</v>
      </c>
    </row>
    <row r="291" spans="2:18" x14ac:dyDescent="0.25">
      <c r="B291">
        <f t="shared" si="8"/>
        <v>0</v>
      </c>
      <c r="R291" s="2">
        <f t="shared" si="9"/>
        <v>0</v>
      </c>
    </row>
    <row r="292" spans="2:18" x14ac:dyDescent="0.25">
      <c r="B292">
        <f t="shared" si="8"/>
        <v>0</v>
      </c>
      <c r="R292" s="2">
        <f t="shared" si="9"/>
        <v>0</v>
      </c>
    </row>
    <row r="293" spans="2:18" x14ac:dyDescent="0.25">
      <c r="B293">
        <f t="shared" si="8"/>
        <v>0</v>
      </c>
      <c r="R293" s="2">
        <f t="shared" si="9"/>
        <v>0</v>
      </c>
    </row>
    <row r="294" spans="2:18" x14ac:dyDescent="0.25">
      <c r="B294">
        <f t="shared" si="8"/>
        <v>0</v>
      </c>
      <c r="R294" s="2">
        <f t="shared" si="9"/>
        <v>0</v>
      </c>
    </row>
    <row r="295" spans="2:18" x14ac:dyDescent="0.25">
      <c r="B295">
        <f t="shared" si="8"/>
        <v>0</v>
      </c>
      <c r="R295" s="2">
        <f t="shared" si="9"/>
        <v>0</v>
      </c>
    </row>
    <row r="296" spans="2:18" x14ac:dyDescent="0.25">
      <c r="B296">
        <f t="shared" si="8"/>
        <v>0</v>
      </c>
      <c r="R296" s="2">
        <f t="shared" si="9"/>
        <v>0</v>
      </c>
    </row>
    <row r="297" spans="2:18" x14ac:dyDescent="0.25">
      <c r="B297">
        <f t="shared" si="8"/>
        <v>0</v>
      </c>
      <c r="R297" s="2">
        <f t="shared" si="9"/>
        <v>0</v>
      </c>
    </row>
    <row r="298" spans="2:18" x14ac:dyDescent="0.25">
      <c r="B298">
        <f t="shared" si="8"/>
        <v>0</v>
      </c>
      <c r="R298" s="2">
        <f t="shared" si="9"/>
        <v>0</v>
      </c>
    </row>
    <row r="299" spans="2:18" x14ac:dyDescent="0.25">
      <c r="B299">
        <f t="shared" si="8"/>
        <v>0</v>
      </c>
      <c r="R299" s="2">
        <f t="shared" si="9"/>
        <v>0</v>
      </c>
    </row>
    <row r="300" spans="2:18" x14ac:dyDescent="0.25">
      <c r="B300">
        <f t="shared" si="8"/>
        <v>0</v>
      </c>
      <c r="R300" s="2">
        <f t="shared" si="9"/>
        <v>0</v>
      </c>
    </row>
    <row r="301" spans="2:18" x14ac:dyDescent="0.25">
      <c r="B301">
        <f t="shared" si="8"/>
        <v>0</v>
      </c>
      <c r="R301" s="2">
        <f t="shared" si="9"/>
        <v>0</v>
      </c>
    </row>
    <row r="302" spans="2:18" x14ac:dyDescent="0.25">
      <c r="B302">
        <f t="shared" si="8"/>
        <v>0</v>
      </c>
      <c r="R302" s="2">
        <f t="shared" si="9"/>
        <v>0</v>
      </c>
    </row>
    <row r="303" spans="2:18" x14ac:dyDescent="0.25">
      <c r="B303">
        <f t="shared" si="8"/>
        <v>0</v>
      </c>
      <c r="R303" s="2">
        <f t="shared" si="9"/>
        <v>0</v>
      </c>
    </row>
    <row r="304" spans="2:18" x14ac:dyDescent="0.25">
      <c r="B304">
        <f t="shared" si="8"/>
        <v>0</v>
      </c>
      <c r="R304" s="2">
        <f t="shared" si="9"/>
        <v>0</v>
      </c>
    </row>
    <row r="305" spans="2:18" x14ac:dyDescent="0.25">
      <c r="B305">
        <f t="shared" si="8"/>
        <v>0</v>
      </c>
      <c r="R305" s="2">
        <f t="shared" si="9"/>
        <v>0</v>
      </c>
    </row>
    <row r="306" spans="2:18" x14ac:dyDescent="0.25">
      <c r="B306">
        <f t="shared" si="8"/>
        <v>0</v>
      </c>
      <c r="R306" s="2">
        <f t="shared" si="9"/>
        <v>0</v>
      </c>
    </row>
    <row r="307" spans="2:18" x14ac:dyDescent="0.25">
      <c r="B307">
        <f t="shared" si="8"/>
        <v>0</v>
      </c>
      <c r="R307" s="2">
        <f t="shared" si="9"/>
        <v>0</v>
      </c>
    </row>
    <row r="308" spans="2:18" x14ac:dyDescent="0.25">
      <c r="B308">
        <f t="shared" si="8"/>
        <v>0</v>
      </c>
      <c r="R308" s="2">
        <f t="shared" si="9"/>
        <v>0</v>
      </c>
    </row>
    <row r="309" spans="2:18" x14ac:dyDescent="0.25">
      <c r="B309">
        <f t="shared" si="8"/>
        <v>0</v>
      </c>
      <c r="R309" s="2">
        <f t="shared" si="9"/>
        <v>0</v>
      </c>
    </row>
    <row r="310" spans="2:18" x14ac:dyDescent="0.25">
      <c r="B310">
        <f t="shared" si="8"/>
        <v>0</v>
      </c>
      <c r="R310" s="2">
        <f t="shared" si="9"/>
        <v>0</v>
      </c>
    </row>
    <row r="311" spans="2:18" x14ac:dyDescent="0.25">
      <c r="B311">
        <f t="shared" si="8"/>
        <v>0</v>
      </c>
      <c r="R311" s="2">
        <f t="shared" si="9"/>
        <v>0</v>
      </c>
    </row>
    <row r="312" spans="2:18" x14ac:dyDescent="0.25">
      <c r="B312">
        <f t="shared" si="8"/>
        <v>0</v>
      </c>
      <c r="R312" s="2">
        <f t="shared" si="9"/>
        <v>0</v>
      </c>
    </row>
    <row r="313" spans="2:18" x14ac:dyDescent="0.25">
      <c r="B313">
        <f t="shared" si="8"/>
        <v>0</v>
      </c>
      <c r="R313" s="2">
        <f t="shared" si="9"/>
        <v>0</v>
      </c>
    </row>
    <row r="314" spans="2:18" x14ac:dyDescent="0.25">
      <c r="B314">
        <f t="shared" si="8"/>
        <v>0</v>
      </c>
      <c r="R314" s="2">
        <f t="shared" si="9"/>
        <v>0</v>
      </c>
    </row>
    <row r="315" spans="2:18" x14ac:dyDescent="0.25">
      <c r="B315">
        <f t="shared" si="8"/>
        <v>0</v>
      </c>
      <c r="R315" s="2">
        <f t="shared" si="9"/>
        <v>0</v>
      </c>
    </row>
    <row r="316" spans="2:18" x14ac:dyDescent="0.25">
      <c r="B316">
        <f t="shared" si="8"/>
        <v>0</v>
      </c>
      <c r="R316" s="2">
        <f t="shared" si="9"/>
        <v>0</v>
      </c>
    </row>
    <row r="317" spans="2:18" x14ac:dyDescent="0.25">
      <c r="B317">
        <f t="shared" si="8"/>
        <v>0</v>
      </c>
      <c r="R317" s="2">
        <f t="shared" si="9"/>
        <v>0</v>
      </c>
    </row>
    <row r="318" spans="2:18" x14ac:dyDescent="0.25">
      <c r="B318">
        <f t="shared" si="8"/>
        <v>0</v>
      </c>
      <c r="R318" s="2">
        <f t="shared" si="9"/>
        <v>0</v>
      </c>
    </row>
    <row r="319" spans="2:18" x14ac:dyDescent="0.25">
      <c r="B319">
        <f t="shared" si="8"/>
        <v>0</v>
      </c>
      <c r="R319" s="2">
        <f t="shared" si="9"/>
        <v>0</v>
      </c>
    </row>
    <row r="320" spans="2:18" x14ac:dyDescent="0.25">
      <c r="B320">
        <f t="shared" si="8"/>
        <v>0</v>
      </c>
      <c r="R320" s="2">
        <f t="shared" si="9"/>
        <v>0</v>
      </c>
    </row>
    <row r="321" spans="2:18" x14ac:dyDescent="0.25">
      <c r="B321">
        <f t="shared" si="8"/>
        <v>0</v>
      </c>
      <c r="R321" s="2">
        <f t="shared" si="9"/>
        <v>0</v>
      </c>
    </row>
    <row r="322" spans="2:18" x14ac:dyDescent="0.25">
      <c r="B322">
        <f t="shared" si="8"/>
        <v>0</v>
      </c>
      <c r="R322" s="2">
        <f t="shared" si="9"/>
        <v>0</v>
      </c>
    </row>
    <row r="323" spans="2:18" x14ac:dyDescent="0.25">
      <c r="B323">
        <f t="shared" ref="B323:B386" si="10">IFERROR(REPLACE(A323,FIND(" ; ",A323),20,""),A323)</f>
        <v>0</v>
      </c>
      <c r="R323" s="2">
        <f t="shared" ref="R323:R386" si="11">IFERROR(REPLACE(Q323,FIND(" ; ",Q323),20,""),Q323)</f>
        <v>0</v>
      </c>
    </row>
    <row r="324" spans="2:18" x14ac:dyDescent="0.25">
      <c r="B324">
        <f t="shared" si="10"/>
        <v>0</v>
      </c>
      <c r="R324" s="2">
        <f t="shared" si="11"/>
        <v>0</v>
      </c>
    </row>
    <row r="325" spans="2:18" x14ac:dyDescent="0.25">
      <c r="B325">
        <f t="shared" si="10"/>
        <v>0</v>
      </c>
      <c r="R325" s="2">
        <f t="shared" si="11"/>
        <v>0</v>
      </c>
    </row>
    <row r="326" spans="2:18" x14ac:dyDescent="0.25">
      <c r="B326">
        <f t="shared" si="10"/>
        <v>0</v>
      </c>
      <c r="R326" s="2">
        <f t="shared" si="11"/>
        <v>0</v>
      </c>
    </row>
    <row r="327" spans="2:18" x14ac:dyDescent="0.25">
      <c r="B327">
        <f t="shared" si="10"/>
        <v>0</v>
      </c>
      <c r="R327" s="2">
        <f t="shared" si="11"/>
        <v>0</v>
      </c>
    </row>
    <row r="328" spans="2:18" x14ac:dyDescent="0.25">
      <c r="B328">
        <f t="shared" si="10"/>
        <v>0</v>
      </c>
      <c r="R328" s="2">
        <f t="shared" si="11"/>
        <v>0</v>
      </c>
    </row>
    <row r="329" spans="2:18" x14ac:dyDescent="0.25">
      <c r="B329">
        <f t="shared" si="10"/>
        <v>0</v>
      </c>
      <c r="R329" s="2">
        <f t="shared" si="11"/>
        <v>0</v>
      </c>
    </row>
    <row r="330" spans="2:18" x14ac:dyDescent="0.25">
      <c r="B330">
        <f t="shared" si="10"/>
        <v>0</v>
      </c>
      <c r="R330" s="2">
        <f t="shared" si="11"/>
        <v>0</v>
      </c>
    </row>
    <row r="331" spans="2:18" x14ac:dyDescent="0.25">
      <c r="B331">
        <f t="shared" si="10"/>
        <v>0</v>
      </c>
      <c r="R331" s="2">
        <f t="shared" si="11"/>
        <v>0</v>
      </c>
    </row>
    <row r="332" spans="2:18" x14ac:dyDescent="0.25">
      <c r="B332">
        <f t="shared" si="10"/>
        <v>0</v>
      </c>
      <c r="R332" s="2">
        <f t="shared" si="11"/>
        <v>0</v>
      </c>
    </row>
    <row r="333" spans="2:18" x14ac:dyDescent="0.25">
      <c r="B333">
        <f t="shared" si="10"/>
        <v>0</v>
      </c>
      <c r="R333" s="2">
        <f t="shared" si="11"/>
        <v>0</v>
      </c>
    </row>
    <row r="334" spans="2:18" x14ac:dyDescent="0.25">
      <c r="B334">
        <f t="shared" si="10"/>
        <v>0</v>
      </c>
      <c r="R334" s="2">
        <f t="shared" si="11"/>
        <v>0</v>
      </c>
    </row>
    <row r="335" spans="2:18" x14ac:dyDescent="0.25">
      <c r="B335">
        <f t="shared" si="10"/>
        <v>0</v>
      </c>
      <c r="R335" s="2">
        <f t="shared" si="11"/>
        <v>0</v>
      </c>
    </row>
    <row r="336" spans="2:18" x14ac:dyDescent="0.25">
      <c r="B336">
        <f t="shared" si="10"/>
        <v>0</v>
      </c>
      <c r="R336" s="2">
        <f t="shared" si="11"/>
        <v>0</v>
      </c>
    </row>
    <row r="337" spans="2:18" x14ac:dyDescent="0.25">
      <c r="B337">
        <f t="shared" si="10"/>
        <v>0</v>
      </c>
      <c r="R337" s="2">
        <f t="shared" si="11"/>
        <v>0</v>
      </c>
    </row>
    <row r="338" spans="2:18" x14ac:dyDescent="0.25">
      <c r="B338">
        <f t="shared" si="10"/>
        <v>0</v>
      </c>
      <c r="R338" s="2">
        <f t="shared" si="11"/>
        <v>0</v>
      </c>
    </row>
    <row r="339" spans="2:18" x14ac:dyDescent="0.25">
      <c r="B339">
        <f t="shared" si="10"/>
        <v>0</v>
      </c>
      <c r="R339" s="2">
        <f t="shared" si="11"/>
        <v>0</v>
      </c>
    </row>
    <row r="340" spans="2:18" x14ac:dyDescent="0.25">
      <c r="B340">
        <f t="shared" si="10"/>
        <v>0</v>
      </c>
      <c r="R340" s="2">
        <f t="shared" si="11"/>
        <v>0</v>
      </c>
    </row>
    <row r="341" spans="2:18" x14ac:dyDescent="0.25">
      <c r="B341">
        <f t="shared" si="10"/>
        <v>0</v>
      </c>
      <c r="R341" s="2">
        <f t="shared" si="11"/>
        <v>0</v>
      </c>
    </row>
    <row r="342" spans="2:18" x14ac:dyDescent="0.25">
      <c r="B342">
        <f t="shared" si="10"/>
        <v>0</v>
      </c>
      <c r="R342" s="2">
        <f t="shared" si="11"/>
        <v>0</v>
      </c>
    </row>
    <row r="343" spans="2:18" x14ac:dyDescent="0.25">
      <c r="B343">
        <f t="shared" si="10"/>
        <v>0</v>
      </c>
      <c r="R343" s="2">
        <f t="shared" si="11"/>
        <v>0</v>
      </c>
    </row>
    <row r="344" spans="2:18" x14ac:dyDescent="0.25">
      <c r="B344">
        <f t="shared" si="10"/>
        <v>0</v>
      </c>
      <c r="R344" s="2">
        <f t="shared" si="11"/>
        <v>0</v>
      </c>
    </row>
    <row r="345" spans="2:18" x14ac:dyDescent="0.25">
      <c r="B345">
        <f t="shared" si="10"/>
        <v>0</v>
      </c>
      <c r="R345" s="2">
        <f t="shared" si="11"/>
        <v>0</v>
      </c>
    </row>
    <row r="346" spans="2:18" x14ac:dyDescent="0.25">
      <c r="B346">
        <f t="shared" si="10"/>
        <v>0</v>
      </c>
      <c r="R346" s="2">
        <f t="shared" si="11"/>
        <v>0</v>
      </c>
    </row>
    <row r="347" spans="2:18" x14ac:dyDescent="0.25">
      <c r="B347">
        <f t="shared" si="10"/>
        <v>0</v>
      </c>
      <c r="R347" s="2">
        <f t="shared" si="11"/>
        <v>0</v>
      </c>
    </row>
    <row r="348" spans="2:18" x14ac:dyDescent="0.25">
      <c r="B348">
        <f t="shared" si="10"/>
        <v>0</v>
      </c>
      <c r="R348" s="2">
        <f t="shared" si="11"/>
        <v>0</v>
      </c>
    </row>
    <row r="349" spans="2:18" x14ac:dyDescent="0.25">
      <c r="B349">
        <f t="shared" si="10"/>
        <v>0</v>
      </c>
      <c r="R349" s="2">
        <f t="shared" si="11"/>
        <v>0</v>
      </c>
    </row>
    <row r="350" spans="2:18" x14ac:dyDescent="0.25">
      <c r="B350">
        <f t="shared" si="10"/>
        <v>0</v>
      </c>
      <c r="R350" s="2">
        <f t="shared" si="11"/>
        <v>0</v>
      </c>
    </row>
    <row r="351" spans="2:18" x14ac:dyDescent="0.25">
      <c r="B351">
        <f t="shared" si="10"/>
        <v>0</v>
      </c>
      <c r="R351" s="2">
        <f t="shared" si="11"/>
        <v>0</v>
      </c>
    </row>
    <row r="352" spans="2:18" x14ac:dyDescent="0.25">
      <c r="B352">
        <f t="shared" si="10"/>
        <v>0</v>
      </c>
      <c r="R352" s="2">
        <f t="shared" si="11"/>
        <v>0</v>
      </c>
    </row>
    <row r="353" spans="2:18" x14ac:dyDescent="0.25">
      <c r="B353">
        <f t="shared" si="10"/>
        <v>0</v>
      </c>
      <c r="R353" s="2">
        <f t="shared" si="11"/>
        <v>0</v>
      </c>
    </row>
    <row r="354" spans="2:18" x14ac:dyDescent="0.25">
      <c r="B354">
        <f t="shared" si="10"/>
        <v>0</v>
      </c>
      <c r="R354" s="2">
        <f t="shared" si="11"/>
        <v>0</v>
      </c>
    </row>
    <row r="355" spans="2:18" x14ac:dyDescent="0.25">
      <c r="B355">
        <f t="shared" si="10"/>
        <v>0</v>
      </c>
      <c r="R355" s="2">
        <f t="shared" si="11"/>
        <v>0</v>
      </c>
    </row>
    <row r="356" spans="2:18" x14ac:dyDescent="0.25">
      <c r="B356">
        <f t="shared" si="10"/>
        <v>0</v>
      </c>
      <c r="R356" s="2">
        <f t="shared" si="11"/>
        <v>0</v>
      </c>
    </row>
    <row r="357" spans="2:18" x14ac:dyDescent="0.25">
      <c r="B357">
        <f t="shared" si="10"/>
        <v>0</v>
      </c>
      <c r="R357" s="2">
        <f t="shared" si="11"/>
        <v>0</v>
      </c>
    </row>
    <row r="358" spans="2:18" x14ac:dyDescent="0.25">
      <c r="B358">
        <f t="shared" si="10"/>
        <v>0</v>
      </c>
      <c r="R358" s="2">
        <f t="shared" si="11"/>
        <v>0</v>
      </c>
    </row>
    <row r="359" spans="2:18" x14ac:dyDescent="0.25">
      <c r="B359">
        <f t="shared" si="10"/>
        <v>0</v>
      </c>
      <c r="R359" s="2">
        <f t="shared" si="11"/>
        <v>0</v>
      </c>
    </row>
    <row r="360" spans="2:18" x14ac:dyDescent="0.25">
      <c r="B360">
        <f t="shared" si="10"/>
        <v>0</v>
      </c>
      <c r="R360" s="2">
        <f t="shared" si="11"/>
        <v>0</v>
      </c>
    </row>
    <row r="361" spans="2:18" x14ac:dyDescent="0.25">
      <c r="B361">
        <f t="shared" si="10"/>
        <v>0</v>
      </c>
      <c r="R361" s="2">
        <f t="shared" si="11"/>
        <v>0</v>
      </c>
    </row>
    <row r="362" spans="2:18" x14ac:dyDescent="0.25">
      <c r="B362">
        <f t="shared" si="10"/>
        <v>0</v>
      </c>
      <c r="R362" s="2">
        <f t="shared" si="11"/>
        <v>0</v>
      </c>
    </row>
    <row r="363" spans="2:18" x14ac:dyDescent="0.25">
      <c r="B363">
        <f t="shared" si="10"/>
        <v>0</v>
      </c>
      <c r="R363" s="2">
        <f t="shared" si="11"/>
        <v>0</v>
      </c>
    </row>
    <row r="364" spans="2:18" x14ac:dyDescent="0.25">
      <c r="B364">
        <f t="shared" si="10"/>
        <v>0</v>
      </c>
      <c r="R364" s="2">
        <f t="shared" si="11"/>
        <v>0</v>
      </c>
    </row>
    <row r="365" spans="2:18" x14ac:dyDescent="0.25">
      <c r="B365">
        <f t="shared" si="10"/>
        <v>0</v>
      </c>
      <c r="R365" s="2">
        <f t="shared" si="11"/>
        <v>0</v>
      </c>
    </row>
    <row r="366" spans="2:18" x14ac:dyDescent="0.25">
      <c r="B366">
        <f t="shared" si="10"/>
        <v>0</v>
      </c>
      <c r="R366" s="2">
        <f t="shared" si="11"/>
        <v>0</v>
      </c>
    </row>
    <row r="367" spans="2:18" x14ac:dyDescent="0.25">
      <c r="B367">
        <f t="shared" si="10"/>
        <v>0</v>
      </c>
      <c r="R367" s="2">
        <f t="shared" si="11"/>
        <v>0</v>
      </c>
    </row>
    <row r="368" spans="2:18" x14ac:dyDescent="0.25">
      <c r="B368">
        <f t="shared" si="10"/>
        <v>0</v>
      </c>
      <c r="R368" s="2">
        <f t="shared" si="11"/>
        <v>0</v>
      </c>
    </row>
    <row r="369" spans="2:18" x14ac:dyDescent="0.25">
      <c r="B369">
        <f t="shared" si="10"/>
        <v>0</v>
      </c>
      <c r="R369" s="2">
        <f t="shared" si="11"/>
        <v>0</v>
      </c>
    </row>
    <row r="370" spans="2:18" x14ac:dyDescent="0.25">
      <c r="B370">
        <f t="shared" si="10"/>
        <v>0</v>
      </c>
      <c r="R370" s="2">
        <f t="shared" si="11"/>
        <v>0</v>
      </c>
    </row>
    <row r="371" spans="2:18" x14ac:dyDescent="0.25">
      <c r="B371">
        <f t="shared" si="10"/>
        <v>0</v>
      </c>
      <c r="R371" s="2">
        <f t="shared" si="11"/>
        <v>0</v>
      </c>
    </row>
    <row r="372" spans="2:18" x14ac:dyDescent="0.25">
      <c r="B372">
        <f t="shared" si="10"/>
        <v>0</v>
      </c>
      <c r="R372" s="2">
        <f t="shared" si="11"/>
        <v>0</v>
      </c>
    </row>
    <row r="373" spans="2:18" x14ac:dyDescent="0.25">
      <c r="B373">
        <f t="shared" si="10"/>
        <v>0</v>
      </c>
      <c r="R373" s="2">
        <f t="shared" si="11"/>
        <v>0</v>
      </c>
    </row>
    <row r="374" spans="2:18" x14ac:dyDescent="0.25">
      <c r="B374">
        <f t="shared" si="10"/>
        <v>0</v>
      </c>
      <c r="R374" s="2">
        <f t="shared" si="11"/>
        <v>0</v>
      </c>
    </row>
    <row r="375" spans="2:18" x14ac:dyDescent="0.25">
      <c r="B375">
        <f t="shared" si="10"/>
        <v>0</v>
      </c>
      <c r="R375" s="2">
        <f t="shared" si="11"/>
        <v>0</v>
      </c>
    </row>
    <row r="376" spans="2:18" x14ac:dyDescent="0.25">
      <c r="B376">
        <f t="shared" si="10"/>
        <v>0</v>
      </c>
      <c r="R376" s="2">
        <f t="shared" si="11"/>
        <v>0</v>
      </c>
    </row>
    <row r="377" spans="2:18" x14ac:dyDescent="0.25">
      <c r="B377">
        <f t="shared" si="10"/>
        <v>0</v>
      </c>
      <c r="R377" s="2">
        <f t="shared" si="11"/>
        <v>0</v>
      </c>
    </row>
    <row r="378" spans="2:18" x14ac:dyDescent="0.25">
      <c r="B378">
        <f t="shared" si="10"/>
        <v>0</v>
      </c>
      <c r="R378" s="2">
        <f t="shared" si="11"/>
        <v>0</v>
      </c>
    </row>
    <row r="379" spans="2:18" x14ac:dyDescent="0.25">
      <c r="B379">
        <f t="shared" si="10"/>
        <v>0</v>
      </c>
      <c r="R379" s="2">
        <f t="shared" si="11"/>
        <v>0</v>
      </c>
    </row>
    <row r="380" spans="2:18" x14ac:dyDescent="0.25">
      <c r="B380">
        <f t="shared" si="10"/>
        <v>0</v>
      </c>
      <c r="R380" s="2">
        <f t="shared" si="11"/>
        <v>0</v>
      </c>
    </row>
    <row r="381" spans="2:18" x14ac:dyDescent="0.25">
      <c r="B381">
        <f t="shared" si="10"/>
        <v>0</v>
      </c>
      <c r="R381" s="2">
        <f t="shared" si="11"/>
        <v>0</v>
      </c>
    </row>
    <row r="382" spans="2:18" x14ac:dyDescent="0.25">
      <c r="B382">
        <f t="shared" si="10"/>
        <v>0</v>
      </c>
      <c r="R382" s="2">
        <f t="shared" si="11"/>
        <v>0</v>
      </c>
    </row>
    <row r="383" spans="2:18" x14ac:dyDescent="0.25">
      <c r="B383">
        <f t="shared" si="10"/>
        <v>0</v>
      </c>
      <c r="R383" s="2">
        <f t="shared" si="11"/>
        <v>0</v>
      </c>
    </row>
    <row r="384" spans="2:18" x14ac:dyDescent="0.25">
      <c r="B384">
        <f t="shared" si="10"/>
        <v>0</v>
      </c>
      <c r="R384" s="2">
        <f t="shared" si="11"/>
        <v>0</v>
      </c>
    </row>
    <row r="385" spans="2:18" x14ac:dyDescent="0.25">
      <c r="B385">
        <f t="shared" si="10"/>
        <v>0</v>
      </c>
      <c r="R385" s="2">
        <f t="shared" si="11"/>
        <v>0</v>
      </c>
    </row>
    <row r="386" spans="2:18" x14ac:dyDescent="0.25">
      <c r="B386">
        <f t="shared" si="10"/>
        <v>0</v>
      </c>
      <c r="R386" s="2">
        <f t="shared" si="11"/>
        <v>0</v>
      </c>
    </row>
    <row r="387" spans="2:18" x14ac:dyDescent="0.25">
      <c r="B387">
        <f t="shared" ref="B387" si="12">IFERROR(REPLACE(A387,FIND(" ; ",A387),20,""),A387)</f>
        <v>0</v>
      </c>
      <c r="R387" s="2">
        <f t="shared" ref="R387" si="13">IFERROR(REPLACE(Q387,FIND(" ; ",Q387),20,""),Q387)</f>
        <v>0</v>
      </c>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Refresh_Series_Data">
                <anchor moveWithCells="1">
                  <from>
                    <xdr:col>6</xdr:col>
                    <xdr:colOff>0</xdr:colOff>
                    <xdr:row>0</xdr:row>
                    <xdr:rowOff>200025</xdr:rowOff>
                  </from>
                  <to>
                    <xdr:col>7</xdr:col>
                    <xdr:colOff>304800</xdr:colOff>
                    <xdr:row>2</xdr:row>
                    <xdr:rowOff>0</xdr:rowOff>
                  </to>
                </anchor>
              </controlPr>
            </control>
          </mc:Choice>
        </mc:AlternateContent>
        <mc:AlternateContent xmlns:mc="http://schemas.openxmlformats.org/markup-compatibility/2006">
          <mc:Choice Requires="x14">
            <control shapeId="16386" r:id="rId7" name="Button 2">
              <controlPr defaultSize="0" print="0" autoFill="0" autoPict="0" macro="[0]!SeriesRE_ChartUp">
                <anchor moveWithCells="1">
                  <from>
                    <xdr:col>5</xdr:col>
                    <xdr:colOff>457200</xdr:colOff>
                    <xdr:row>4</xdr:row>
                    <xdr:rowOff>0</xdr:rowOff>
                  </from>
                  <to>
                    <xdr:col>5</xdr:col>
                    <xdr:colOff>1371600</xdr:colOff>
                    <xdr:row>5</xdr:row>
                    <xdr:rowOff>47625</xdr:rowOff>
                  </to>
                </anchor>
              </controlPr>
            </control>
          </mc:Choice>
        </mc:AlternateContent>
        <mc:AlternateContent xmlns:mc="http://schemas.openxmlformats.org/markup-compatibility/2006">
          <mc:Choice Requires="x14">
            <control shapeId="16387" r:id="rId8" name="Button 3">
              <controlPr defaultSize="0" print="0" autoFill="0" autoPict="0" macro="[0]!SeriesRE_ChartDown">
                <anchor moveWithCells="1">
                  <from>
                    <xdr:col>5</xdr:col>
                    <xdr:colOff>466725</xdr:colOff>
                    <xdr:row>6</xdr:row>
                    <xdr:rowOff>0</xdr:rowOff>
                  </from>
                  <to>
                    <xdr:col>6</xdr:col>
                    <xdr:colOff>0</xdr:colOff>
                    <xdr:row>7</xdr:row>
                    <xdr:rowOff>47625</xdr:rowOff>
                  </to>
                </anchor>
              </controlPr>
            </control>
          </mc:Choice>
        </mc:AlternateContent>
        <mc:AlternateContent xmlns:mc="http://schemas.openxmlformats.org/markup-compatibility/2006">
          <mc:Choice Requires="x14">
            <control shapeId="16388" r:id="rId9" name="Button 4">
              <controlPr defaultSize="0" print="0" autoFill="0" autoPict="0" macro="[0]!SeriesN_ChartUp">
                <anchor moveWithCells="1">
                  <from>
                    <xdr:col>21</xdr:col>
                    <xdr:colOff>466725</xdr:colOff>
                    <xdr:row>4</xdr:row>
                    <xdr:rowOff>0</xdr:rowOff>
                  </from>
                  <to>
                    <xdr:col>22</xdr:col>
                    <xdr:colOff>0</xdr:colOff>
                    <xdr:row>5</xdr:row>
                    <xdr:rowOff>47625</xdr:rowOff>
                  </to>
                </anchor>
              </controlPr>
            </control>
          </mc:Choice>
        </mc:AlternateContent>
        <mc:AlternateContent xmlns:mc="http://schemas.openxmlformats.org/markup-compatibility/2006">
          <mc:Choice Requires="x14">
            <control shapeId="16389" r:id="rId10" name="Button 5">
              <controlPr defaultSize="0" print="0" autoFill="0" autoPict="0" macro="[0]!SeriesN_ChartDown">
                <anchor moveWithCells="1">
                  <from>
                    <xdr:col>21</xdr:col>
                    <xdr:colOff>466725</xdr:colOff>
                    <xdr:row>6</xdr:row>
                    <xdr:rowOff>0</xdr:rowOff>
                  </from>
                  <to>
                    <xdr:col>22</xdr:col>
                    <xdr:colOff>0</xdr:colOff>
                    <xdr:row>7</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A298A-3B5B-47A0-AEC9-E938C3A75779}">
  <sheetPr codeName="Sheet7">
    <tabColor theme="4"/>
  </sheetPr>
  <dimension ref="A1:O115"/>
  <sheetViews>
    <sheetView workbookViewId="0">
      <selection activeCell="O17" sqref="O17"/>
    </sheetView>
  </sheetViews>
  <sheetFormatPr defaultRowHeight="15" x14ac:dyDescent="0.25"/>
  <cols>
    <col min="1" max="1" width="40.7109375" style="2" customWidth="1"/>
    <col min="2" max="2" width="7.140625" style="2" bestFit="1" customWidth="1"/>
    <col min="3" max="3" width="20.7109375" style="2" customWidth="1"/>
    <col min="4" max="12" width="9.140625" style="2"/>
    <col min="13" max="13" width="30.28515625" style="2" bestFit="1" customWidth="1"/>
    <col min="14" max="14" width="7.140625" style="2" bestFit="1" customWidth="1"/>
    <col min="15" max="15" width="20.7109375" style="2" customWidth="1"/>
    <col min="16" max="16384" width="9.140625" style="2"/>
  </cols>
  <sheetData>
    <row r="1" spans="1:15" ht="20.100000000000001" customHeight="1" x14ac:dyDescent="0.25">
      <c r="A1" s="95" t="s">
        <v>111</v>
      </c>
      <c r="B1" t="s">
        <v>105</v>
      </c>
      <c r="C1"/>
      <c r="M1" s="95" t="s">
        <v>112</v>
      </c>
      <c r="N1" t="s">
        <v>105</v>
      </c>
      <c r="O1"/>
    </row>
    <row r="2" spans="1:15" x14ac:dyDescent="0.25">
      <c r="A2" s="18" t="s">
        <v>322</v>
      </c>
      <c r="B2">
        <v>1</v>
      </c>
      <c r="C2"/>
      <c r="M2" s="18" t="s">
        <v>333</v>
      </c>
      <c r="N2">
        <v>1</v>
      </c>
      <c r="O2"/>
    </row>
    <row r="3" spans="1:15" x14ac:dyDescent="0.25">
      <c r="A3" s="18" t="s">
        <v>436</v>
      </c>
      <c r="B3">
        <v>1</v>
      </c>
      <c r="C3"/>
      <c r="M3" s="18" t="s">
        <v>348</v>
      </c>
      <c r="N3">
        <v>1</v>
      </c>
      <c r="O3"/>
    </row>
    <row r="4" spans="1:15" x14ac:dyDescent="0.25">
      <c r="A4" s="18" t="s">
        <v>457</v>
      </c>
      <c r="B4">
        <v>1</v>
      </c>
      <c r="C4"/>
      <c r="M4" s="18" t="s">
        <v>350</v>
      </c>
      <c r="N4">
        <v>1</v>
      </c>
      <c r="O4"/>
    </row>
    <row r="5" spans="1:15" x14ac:dyDescent="0.25">
      <c r="A5" s="18" t="s">
        <v>478</v>
      </c>
      <c r="B5">
        <v>1</v>
      </c>
      <c r="C5"/>
      <c r="M5" s="18" t="s">
        <v>162</v>
      </c>
      <c r="N5">
        <v>1</v>
      </c>
      <c r="O5"/>
    </row>
    <row r="6" spans="1:15" x14ac:dyDescent="0.25">
      <c r="A6" s="18" t="s">
        <v>430</v>
      </c>
      <c r="B6">
        <v>1</v>
      </c>
      <c r="C6"/>
      <c r="M6" s="18" t="s">
        <v>371</v>
      </c>
      <c r="N6">
        <v>1</v>
      </c>
      <c r="O6"/>
    </row>
    <row r="7" spans="1:15" x14ac:dyDescent="0.25">
      <c r="A7" s="18" t="s">
        <v>293</v>
      </c>
      <c r="B7">
        <v>1</v>
      </c>
      <c r="C7"/>
      <c r="M7" s="18" t="s">
        <v>352</v>
      </c>
      <c r="N7">
        <v>1</v>
      </c>
      <c r="O7"/>
    </row>
    <row r="8" spans="1:15" x14ac:dyDescent="0.25">
      <c r="A8" s="18" t="s">
        <v>349</v>
      </c>
      <c r="B8">
        <v>1</v>
      </c>
      <c r="C8"/>
      <c r="M8" s="18" t="s">
        <v>353</v>
      </c>
      <c r="N8">
        <v>1</v>
      </c>
      <c r="O8"/>
    </row>
    <row r="9" spans="1:15" x14ac:dyDescent="0.25">
      <c r="A9" s="18" t="s">
        <v>239</v>
      </c>
      <c r="B9">
        <v>1</v>
      </c>
      <c r="C9"/>
      <c r="M9" s="18" t="s">
        <v>173</v>
      </c>
      <c r="N9">
        <v>1</v>
      </c>
      <c r="O9"/>
    </row>
    <row r="10" spans="1:15" x14ac:dyDescent="0.25">
      <c r="A10" s="18" t="s">
        <v>412</v>
      </c>
      <c r="B10">
        <v>1</v>
      </c>
      <c r="C10"/>
      <c r="M10" s="18" t="s">
        <v>373</v>
      </c>
      <c r="N10">
        <v>1</v>
      </c>
      <c r="O10"/>
    </row>
    <row r="11" spans="1:15" x14ac:dyDescent="0.25">
      <c r="A11" s="18" t="s">
        <v>202</v>
      </c>
      <c r="B11">
        <v>1</v>
      </c>
      <c r="C11"/>
      <c r="M11" s="18" t="s">
        <v>179</v>
      </c>
      <c r="N11">
        <v>1</v>
      </c>
      <c r="O11"/>
    </row>
    <row r="12" spans="1:15" x14ac:dyDescent="0.25">
      <c r="A12" s="18" t="s">
        <v>284</v>
      </c>
      <c r="B12">
        <v>1</v>
      </c>
      <c r="C12"/>
      <c r="M12" s="18" t="s">
        <v>183</v>
      </c>
      <c r="N12">
        <v>1</v>
      </c>
      <c r="O12"/>
    </row>
    <row r="13" spans="1:15" x14ac:dyDescent="0.25">
      <c r="A13" s="18" t="s">
        <v>274</v>
      </c>
      <c r="B13">
        <v>1</v>
      </c>
      <c r="C13"/>
      <c r="M13" s="18" t="s">
        <v>432</v>
      </c>
      <c r="N13">
        <v>1</v>
      </c>
      <c r="O13"/>
    </row>
    <row r="14" spans="1:15" x14ac:dyDescent="0.25">
      <c r="A14" s="18" t="s">
        <v>467</v>
      </c>
      <c r="B14">
        <v>1</v>
      </c>
      <c r="C14"/>
      <c r="M14" s="18" t="s">
        <v>205</v>
      </c>
      <c r="N14">
        <v>1</v>
      </c>
      <c r="O14"/>
    </row>
    <row r="15" spans="1:15" x14ac:dyDescent="0.25">
      <c r="A15" s="18" t="s">
        <v>328</v>
      </c>
      <c r="B15">
        <v>1</v>
      </c>
      <c r="C15"/>
      <c r="M15" s="18" t="s">
        <v>237</v>
      </c>
      <c r="N15">
        <v>1</v>
      </c>
      <c r="O15"/>
    </row>
    <row r="16" spans="1:15" x14ac:dyDescent="0.25">
      <c r="A16" s="18" t="s">
        <v>423</v>
      </c>
      <c r="B16">
        <v>1</v>
      </c>
      <c r="C16"/>
      <c r="M16" s="18" t="s">
        <v>355</v>
      </c>
      <c r="N16">
        <v>1</v>
      </c>
      <c r="O16"/>
    </row>
    <row r="17" spans="1:15" x14ac:dyDescent="0.25">
      <c r="A17" s="18" t="s">
        <v>204</v>
      </c>
      <c r="B17">
        <v>1</v>
      </c>
      <c r="C17"/>
      <c r="M17" s="18" t="s">
        <v>258</v>
      </c>
      <c r="N17">
        <v>1</v>
      </c>
      <c r="O17"/>
    </row>
    <row r="18" spans="1:15" x14ac:dyDescent="0.25">
      <c r="A18" s="18" t="s">
        <v>454</v>
      </c>
      <c r="B18">
        <v>1</v>
      </c>
      <c r="C18"/>
      <c r="M18" s="18" t="s">
        <v>378</v>
      </c>
      <c r="N18">
        <v>1</v>
      </c>
      <c r="O18"/>
    </row>
    <row r="19" spans="1:15" x14ac:dyDescent="0.25">
      <c r="A19" s="18" t="s">
        <v>461</v>
      </c>
      <c r="B19">
        <v>1</v>
      </c>
      <c r="M19" s="18" t="s">
        <v>272</v>
      </c>
      <c r="N19">
        <v>1</v>
      </c>
    </row>
    <row r="20" spans="1:15" x14ac:dyDescent="0.25">
      <c r="A20" s="18" t="s">
        <v>341</v>
      </c>
      <c r="B20">
        <v>1</v>
      </c>
      <c r="M20" s="18" t="s">
        <v>358</v>
      </c>
      <c r="N20">
        <v>1</v>
      </c>
    </row>
    <row r="21" spans="1:15" x14ac:dyDescent="0.25">
      <c r="A21" s="18" t="s">
        <v>439</v>
      </c>
      <c r="B21">
        <v>1</v>
      </c>
      <c r="M21" s="18" t="s">
        <v>276</v>
      </c>
      <c r="N21">
        <v>1</v>
      </c>
    </row>
    <row r="22" spans="1:15" x14ac:dyDescent="0.25">
      <c r="A22" s="18" t="s">
        <v>447</v>
      </c>
      <c r="B22">
        <v>1</v>
      </c>
      <c r="M22" s="18" t="s">
        <v>379</v>
      </c>
      <c r="N22">
        <v>1</v>
      </c>
    </row>
    <row r="23" spans="1:15" x14ac:dyDescent="0.25">
      <c r="A23" s="18" t="s">
        <v>347</v>
      </c>
      <c r="B23">
        <v>1</v>
      </c>
      <c r="M23" s="18" t="s">
        <v>294</v>
      </c>
      <c r="N23">
        <v>1</v>
      </c>
    </row>
    <row r="24" spans="1:15" x14ac:dyDescent="0.25">
      <c r="A24" s="18" t="s">
        <v>451</v>
      </c>
      <c r="B24">
        <v>1</v>
      </c>
      <c r="M24" s="18" t="s">
        <v>361</v>
      </c>
      <c r="N24">
        <v>1</v>
      </c>
    </row>
    <row r="25" spans="1:15" x14ac:dyDescent="0.25">
      <c r="A25" s="18" t="s">
        <v>476</v>
      </c>
      <c r="B25">
        <v>1</v>
      </c>
      <c r="M25" s="18" t="s">
        <v>307</v>
      </c>
      <c r="N25">
        <v>1</v>
      </c>
    </row>
    <row r="26" spans="1:15" x14ac:dyDescent="0.25">
      <c r="A26" s="18" t="s">
        <v>337</v>
      </c>
      <c r="B26">
        <v>1</v>
      </c>
      <c r="M26" s="18" t="s">
        <v>364</v>
      </c>
      <c r="N26">
        <v>1</v>
      </c>
    </row>
    <row r="27" spans="1:15" x14ac:dyDescent="0.25">
      <c r="A27" s="18" t="s">
        <v>470</v>
      </c>
      <c r="B27">
        <v>1</v>
      </c>
      <c r="M27" s="18" t="s">
        <v>315</v>
      </c>
      <c r="N27">
        <v>1</v>
      </c>
    </row>
    <row r="28" spans="1:15" x14ac:dyDescent="0.25">
      <c r="A28" s="18" t="s">
        <v>477</v>
      </c>
      <c r="B28">
        <v>1</v>
      </c>
      <c r="M28" s="18" t="s">
        <v>365</v>
      </c>
      <c r="N28">
        <v>1</v>
      </c>
    </row>
    <row r="29" spans="1:15" x14ac:dyDescent="0.25">
      <c r="A29" s="18" t="s">
        <v>487</v>
      </c>
      <c r="B29">
        <v>1</v>
      </c>
      <c r="M29" s="18" t="s">
        <v>323</v>
      </c>
      <c r="N29">
        <v>1</v>
      </c>
    </row>
    <row r="30" spans="1:15" x14ac:dyDescent="0.25">
      <c r="A30" s="18" t="s">
        <v>438</v>
      </c>
      <c r="B30">
        <v>1</v>
      </c>
      <c r="M30" s="18" t="s">
        <v>368</v>
      </c>
      <c r="N30">
        <v>1</v>
      </c>
    </row>
    <row r="31" spans="1:15" x14ac:dyDescent="0.25">
      <c r="A31" s="18" t="s">
        <v>395</v>
      </c>
      <c r="B31">
        <v>1</v>
      </c>
      <c r="M31" s="18" t="s">
        <v>329</v>
      </c>
      <c r="N31">
        <v>1</v>
      </c>
    </row>
    <row r="32" spans="1:15" x14ac:dyDescent="0.25">
      <c r="A32" s="18" t="s">
        <v>372</v>
      </c>
      <c r="B32">
        <v>1</v>
      </c>
      <c r="M32" s="18" t="s">
        <v>367</v>
      </c>
      <c r="N32">
        <v>1</v>
      </c>
    </row>
    <row r="33" spans="1:14" x14ac:dyDescent="0.25">
      <c r="A33" s="18" t="s">
        <v>448</v>
      </c>
      <c r="B33">
        <v>1</v>
      </c>
      <c r="M33" s="18" t="s">
        <v>340</v>
      </c>
      <c r="N33">
        <v>1</v>
      </c>
    </row>
    <row r="34" spans="1:14" x14ac:dyDescent="0.25">
      <c r="A34" s="18" t="s">
        <v>295</v>
      </c>
      <c r="B34">
        <v>1</v>
      </c>
      <c r="M34" s="18" t="s">
        <v>380</v>
      </c>
      <c r="N34">
        <v>1</v>
      </c>
    </row>
    <row r="35" spans="1:14" x14ac:dyDescent="0.25">
      <c r="A35" s="18" t="s">
        <v>343</v>
      </c>
      <c r="B35">
        <v>1</v>
      </c>
      <c r="M35" s="18" t="s">
        <v>344</v>
      </c>
      <c r="N35">
        <v>1</v>
      </c>
    </row>
    <row r="36" spans="1:14" x14ac:dyDescent="0.25">
      <c r="A36" s="18" t="s">
        <v>472</v>
      </c>
      <c r="B36">
        <v>1</v>
      </c>
      <c r="M36" s="18" t="s">
        <v>382</v>
      </c>
      <c r="N36">
        <v>1</v>
      </c>
    </row>
    <row r="37" spans="1:14" x14ac:dyDescent="0.25">
      <c r="A37" s="18" t="s">
        <v>400</v>
      </c>
      <c r="B37">
        <v>1</v>
      </c>
      <c r="M37" s="18" t="s">
        <v>197</v>
      </c>
      <c r="N37">
        <v>1</v>
      </c>
    </row>
    <row r="38" spans="1:14" x14ac:dyDescent="0.25">
      <c r="A38" s="18" t="s">
        <v>428</v>
      </c>
      <c r="B38">
        <v>1</v>
      </c>
      <c r="M38" s="18" t="s">
        <v>387</v>
      </c>
      <c r="N38">
        <v>1</v>
      </c>
    </row>
    <row r="39" spans="1:14" x14ac:dyDescent="0.25">
      <c r="A39" s="18" t="s">
        <v>459</v>
      </c>
      <c r="B39">
        <v>1</v>
      </c>
      <c r="M39" s="18" t="s">
        <v>437</v>
      </c>
      <c r="N39">
        <v>1</v>
      </c>
    </row>
    <row r="40" spans="1:14" x14ac:dyDescent="0.25">
      <c r="A40" s="18" t="s">
        <v>255</v>
      </c>
      <c r="B40">
        <v>1</v>
      </c>
      <c r="M40" s="18" t="s">
        <v>389</v>
      </c>
      <c r="N40">
        <v>1</v>
      </c>
    </row>
    <row r="41" spans="1:14" x14ac:dyDescent="0.25">
      <c r="A41" s="18" t="s">
        <v>269</v>
      </c>
      <c r="B41">
        <v>1</v>
      </c>
      <c r="M41" s="18" t="s">
        <v>228</v>
      </c>
      <c r="N41">
        <v>1</v>
      </c>
    </row>
    <row r="42" spans="1:14" x14ac:dyDescent="0.25">
      <c r="A42" s="18" t="s">
        <v>377</v>
      </c>
      <c r="B42">
        <v>1</v>
      </c>
      <c r="M42" s="18" t="s">
        <v>393</v>
      </c>
      <c r="N42">
        <v>1</v>
      </c>
    </row>
    <row r="43" spans="1:14" x14ac:dyDescent="0.25">
      <c r="A43" s="18" t="s">
        <v>474</v>
      </c>
      <c r="B43">
        <v>1</v>
      </c>
      <c r="M43" s="18" t="s">
        <v>270</v>
      </c>
      <c r="N43">
        <v>1</v>
      </c>
    </row>
    <row r="44" spans="1:14" x14ac:dyDescent="0.25">
      <c r="A44" s="18" t="s">
        <v>446</v>
      </c>
      <c r="B44">
        <v>1</v>
      </c>
      <c r="M44" s="18" t="s">
        <v>396</v>
      </c>
      <c r="N44">
        <v>1</v>
      </c>
    </row>
    <row r="45" spans="1:14" x14ac:dyDescent="0.25">
      <c r="A45" s="18" t="s">
        <v>475</v>
      </c>
      <c r="B45">
        <v>1</v>
      </c>
      <c r="M45" s="18" t="s">
        <v>286</v>
      </c>
      <c r="N45">
        <v>1</v>
      </c>
    </row>
    <row r="46" spans="1:14" x14ac:dyDescent="0.25">
      <c r="A46" s="18" t="s">
        <v>463</v>
      </c>
      <c r="B46">
        <v>1</v>
      </c>
      <c r="M46" s="18" t="s">
        <v>399</v>
      </c>
      <c r="N46">
        <v>1</v>
      </c>
    </row>
    <row r="47" spans="1:14" x14ac:dyDescent="0.25">
      <c r="A47" s="18" t="s">
        <v>357</v>
      </c>
      <c r="B47">
        <v>1</v>
      </c>
      <c r="M47" s="18" t="s">
        <v>309</v>
      </c>
      <c r="N47">
        <v>1</v>
      </c>
    </row>
    <row r="48" spans="1:14" x14ac:dyDescent="0.25">
      <c r="A48" s="18" t="s">
        <v>484</v>
      </c>
      <c r="B48">
        <v>1</v>
      </c>
      <c r="M48" s="18" t="s">
        <v>401</v>
      </c>
      <c r="N48">
        <v>1</v>
      </c>
    </row>
    <row r="49" spans="1:14" x14ac:dyDescent="0.25">
      <c r="A49" s="18" t="s">
        <v>339</v>
      </c>
      <c r="B49">
        <v>1</v>
      </c>
      <c r="M49" s="18" t="s">
        <v>327</v>
      </c>
      <c r="N49">
        <v>1</v>
      </c>
    </row>
    <row r="50" spans="1:14" x14ac:dyDescent="0.25">
      <c r="A50" s="18" t="s">
        <v>444</v>
      </c>
      <c r="B50">
        <v>1</v>
      </c>
      <c r="M50" s="18" t="s">
        <v>405</v>
      </c>
      <c r="N50">
        <v>1</v>
      </c>
    </row>
    <row r="51" spans="1:14" x14ac:dyDescent="0.25">
      <c r="A51" s="18" t="s">
        <v>229</v>
      </c>
      <c r="B51">
        <v>1</v>
      </c>
      <c r="M51" s="18" t="s">
        <v>342</v>
      </c>
      <c r="N51">
        <v>1</v>
      </c>
    </row>
    <row r="52" spans="1:14" x14ac:dyDescent="0.25">
      <c r="A52" s="18" t="s">
        <v>450</v>
      </c>
      <c r="B52">
        <v>1</v>
      </c>
      <c r="M52" s="18" t="s">
        <v>406</v>
      </c>
      <c r="N52">
        <v>1</v>
      </c>
    </row>
    <row r="53" spans="1:14" x14ac:dyDescent="0.25">
      <c r="A53" s="18" t="s">
        <v>392</v>
      </c>
      <c r="B53">
        <v>1</v>
      </c>
      <c r="M53" s="18" t="s">
        <v>203</v>
      </c>
      <c r="N53">
        <v>1</v>
      </c>
    </row>
    <row r="54" spans="1:14" x14ac:dyDescent="0.25">
      <c r="A54" s="18" t="s">
        <v>388</v>
      </c>
      <c r="B54">
        <v>1</v>
      </c>
      <c r="M54" s="18" t="s">
        <v>407</v>
      </c>
      <c r="N54">
        <v>1</v>
      </c>
    </row>
    <row r="55" spans="1:14" x14ac:dyDescent="0.25">
      <c r="A55" s="18" t="s">
        <v>462</v>
      </c>
      <c r="B55">
        <v>1</v>
      </c>
      <c r="M55" s="18" t="s">
        <v>240</v>
      </c>
      <c r="N55">
        <v>1</v>
      </c>
    </row>
    <row r="56" spans="1:14" x14ac:dyDescent="0.25">
      <c r="A56" s="18" t="s">
        <v>182</v>
      </c>
      <c r="B56">
        <v>1</v>
      </c>
      <c r="M56" s="18" t="s">
        <v>413</v>
      </c>
      <c r="N56">
        <v>1</v>
      </c>
    </row>
    <row r="57" spans="1:14" x14ac:dyDescent="0.25">
      <c r="A57" s="18" t="s">
        <v>236</v>
      </c>
      <c r="B57">
        <v>1</v>
      </c>
      <c r="M57" s="18" t="s">
        <v>296</v>
      </c>
      <c r="N57">
        <v>1</v>
      </c>
    </row>
    <row r="58" spans="1:14" x14ac:dyDescent="0.25">
      <c r="A58" s="18" t="s">
        <v>326</v>
      </c>
      <c r="B58">
        <v>1</v>
      </c>
      <c r="M58" s="18" t="s">
        <v>416</v>
      </c>
      <c r="N58">
        <v>1</v>
      </c>
    </row>
    <row r="59" spans="1:14" x14ac:dyDescent="0.25">
      <c r="A59" s="18" t="s">
        <v>277</v>
      </c>
      <c r="B59">
        <v>1</v>
      </c>
      <c r="M59" s="18" t="s">
        <v>338</v>
      </c>
      <c r="N59">
        <v>1</v>
      </c>
    </row>
    <row r="60" spans="1:14" x14ac:dyDescent="0.25">
      <c r="A60" s="18" t="s">
        <v>351</v>
      </c>
      <c r="B60">
        <v>1</v>
      </c>
      <c r="M60" s="18" t="s">
        <v>420</v>
      </c>
      <c r="N60">
        <v>1</v>
      </c>
    </row>
    <row r="61" spans="1:14" x14ac:dyDescent="0.25">
      <c r="A61" s="18" t="s">
        <v>458</v>
      </c>
      <c r="B61">
        <v>1</v>
      </c>
      <c r="M61" s="18" t="s">
        <v>175</v>
      </c>
      <c r="N61">
        <v>1</v>
      </c>
    </row>
    <row r="62" spans="1:14" x14ac:dyDescent="0.25">
      <c r="A62" s="18" t="s">
        <v>332</v>
      </c>
      <c r="B62">
        <v>1</v>
      </c>
      <c r="M62" s="18" t="s">
        <v>422</v>
      </c>
      <c r="N62">
        <v>1</v>
      </c>
    </row>
    <row r="63" spans="1:14" x14ac:dyDescent="0.25">
      <c r="A63" s="18" t="s">
        <v>421</v>
      </c>
      <c r="B63">
        <v>1</v>
      </c>
      <c r="M63" s="18" t="s">
        <v>319</v>
      </c>
      <c r="N63">
        <v>1</v>
      </c>
    </row>
    <row r="64" spans="1:14" x14ac:dyDescent="0.25">
      <c r="A64" s="18" t="s">
        <v>480</v>
      </c>
      <c r="B64">
        <v>1</v>
      </c>
      <c r="M64" s="18" t="s">
        <v>424</v>
      </c>
      <c r="N64">
        <v>1</v>
      </c>
    </row>
    <row r="65" spans="1:14" x14ac:dyDescent="0.25">
      <c r="A65" s="18" t="s">
        <v>354</v>
      </c>
      <c r="B65">
        <v>1</v>
      </c>
      <c r="M65" s="18" t="s">
        <v>275</v>
      </c>
      <c r="N65">
        <v>1</v>
      </c>
    </row>
    <row r="66" spans="1:14" x14ac:dyDescent="0.25">
      <c r="A66" s="18" t="s">
        <v>363</v>
      </c>
      <c r="B66">
        <v>1</v>
      </c>
      <c r="M66" s="18" t="s">
        <v>426</v>
      </c>
      <c r="N66">
        <v>1</v>
      </c>
    </row>
    <row r="67" spans="1:14" x14ac:dyDescent="0.25">
      <c r="A67" s="18" t="s">
        <v>381</v>
      </c>
      <c r="B67">
        <v>1</v>
      </c>
      <c r="M67" s="18" t="s">
        <v>464</v>
      </c>
      <c r="N67">
        <v>1</v>
      </c>
    </row>
    <row r="68" spans="1:14" x14ac:dyDescent="0.25">
      <c r="A68" s="18" t="s">
        <v>468</v>
      </c>
      <c r="B68">
        <v>1</v>
      </c>
      <c r="M68" s="18" t="s">
        <v>429</v>
      </c>
      <c r="N68">
        <v>1</v>
      </c>
    </row>
    <row r="69" spans="1:14" x14ac:dyDescent="0.25">
      <c r="A69" s="18" t="s">
        <v>415</v>
      </c>
      <c r="B69">
        <v>1</v>
      </c>
      <c r="M69" s="18" t="s">
        <v>376</v>
      </c>
      <c r="N69">
        <v>2</v>
      </c>
    </row>
    <row r="70" spans="1:14" x14ac:dyDescent="0.25">
      <c r="A70" s="18" t="s">
        <v>479</v>
      </c>
      <c r="B70">
        <v>1</v>
      </c>
      <c r="M70" s="18" t="s">
        <v>359</v>
      </c>
      <c r="N70">
        <v>2</v>
      </c>
    </row>
    <row r="71" spans="1:14" x14ac:dyDescent="0.25">
      <c r="A71" s="18" t="s">
        <v>482</v>
      </c>
      <c r="B71">
        <v>1</v>
      </c>
      <c r="M71" s="18" t="s">
        <v>218</v>
      </c>
      <c r="N71">
        <v>2</v>
      </c>
    </row>
    <row r="72" spans="1:14" x14ac:dyDescent="0.25">
      <c r="A72" s="18" t="s">
        <v>366</v>
      </c>
      <c r="B72">
        <v>1</v>
      </c>
      <c r="M72" s="18" t="s">
        <v>370</v>
      </c>
      <c r="N72">
        <v>2</v>
      </c>
    </row>
    <row r="73" spans="1:14" x14ac:dyDescent="0.25">
      <c r="A73" s="18" t="s">
        <v>441</v>
      </c>
      <c r="B73">
        <v>1</v>
      </c>
      <c r="M73" s="18" t="s">
        <v>311</v>
      </c>
      <c r="N73">
        <v>2</v>
      </c>
    </row>
    <row r="74" spans="1:14" x14ac:dyDescent="0.25">
      <c r="A74" s="18" t="s">
        <v>271</v>
      </c>
      <c r="B74">
        <v>1</v>
      </c>
      <c r="M74" s="18" t="s">
        <v>331</v>
      </c>
      <c r="N74">
        <v>2</v>
      </c>
    </row>
    <row r="75" spans="1:14" x14ac:dyDescent="0.25">
      <c r="A75" s="18" t="s">
        <v>308</v>
      </c>
      <c r="B75">
        <v>1</v>
      </c>
      <c r="M75" s="18" t="s">
        <v>233</v>
      </c>
      <c r="N75">
        <v>2</v>
      </c>
    </row>
    <row r="76" spans="1:14" x14ac:dyDescent="0.25">
      <c r="A76" s="18" t="s">
        <v>360</v>
      </c>
      <c r="B76">
        <v>1</v>
      </c>
      <c r="M76" s="18" t="s">
        <v>291</v>
      </c>
      <c r="N76">
        <v>2</v>
      </c>
    </row>
    <row r="77" spans="1:14" x14ac:dyDescent="0.25">
      <c r="A77" s="18" t="s">
        <v>198</v>
      </c>
      <c r="B77">
        <v>1</v>
      </c>
      <c r="M77" s="18" t="s">
        <v>391</v>
      </c>
      <c r="N77">
        <v>2</v>
      </c>
    </row>
    <row r="78" spans="1:14" x14ac:dyDescent="0.25">
      <c r="A78" s="18" t="s">
        <v>425</v>
      </c>
      <c r="B78">
        <v>1</v>
      </c>
      <c r="M78" s="18" t="s">
        <v>386</v>
      </c>
      <c r="N78">
        <v>2</v>
      </c>
    </row>
    <row r="79" spans="1:14" x14ac:dyDescent="0.25">
      <c r="A79" s="18" t="s">
        <v>398</v>
      </c>
      <c r="B79">
        <v>1</v>
      </c>
      <c r="M79" s="18" t="s">
        <v>410</v>
      </c>
      <c r="N79">
        <v>2</v>
      </c>
    </row>
    <row r="80" spans="1:14" x14ac:dyDescent="0.25">
      <c r="A80" s="18" t="s">
        <v>445</v>
      </c>
      <c r="B80">
        <v>1</v>
      </c>
      <c r="M80" s="18" t="s">
        <v>435</v>
      </c>
      <c r="N80">
        <v>2</v>
      </c>
    </row>
    <row r="81" spans="1:14" x14ac:dyDescent="0.25">
      <c r="A81" s="18" t="s">
        <v>285</v>
      </c>
      <c r="B81">
        <v>1</v>
      </c>
      <c r="M81" s="18" t="s">
        <v>200</v>
      </c>
      <c r="N81">
        <v>3</v>
      </c>
    </row>
    <row r="82" spans="1:14" x14ac:dyDescent="0.25">
      <c r="A82" s="18" t="s">
        <v>419</v>
      </c>
      <c r="B82">
        <v>1</v>
      </c>
      <c r="M82" s="18" t="s">
        <v>189</v>
      </c>
      <c r="N82">
        <v>3</v>
      </c>
    </row>
    <row r="83" spans="1:14" x14ac:dyDescent="0.25">
      <c r="A83" s="18" t="s">
        <v>172</v>
      </c>
      <c r="B83">
        <v>1</v>
      </c>
      <c r="M83" s="18" t="s">
        <v>279</v>
      </c>
      <c r="N83">
        <v>3</v>
      </c>
    </row>
    <row r="84" spans="1:14" x14ac:dyDescent="0.25">
      <c r="A84" s="18" t="s">
        <v>471</v>
      </c>
      <c r="B84">
        <v>2</v>
      </c>
      <c r="M84" s="18" t="s">
        <v>299</v>
      </c>
      <c r="N84">
        <v>3</v>
      </c>
    </row>
    <row r="85" spans="1:14" x14ac:dyDescent="0.25">
      <c r="A85" s="18" t="s">
        <v>244</v>
      </c>
      <c r="B85">
        <v>2</v>
      </c>
      <c r="M85" s="18" t="s">
        <v>336</v>
      </c>
      <c r="N85">
        <v>4</v>
      </c>
    </row>
    <row r="86" spans="1:14" x14ac:dyDescent="0.25">
      <c r="A86" s="18" t="s">
        <v>232</v>
      </c>
      <c r="B86">
        <v>2</v>
      </c>
      <c r="M86" s="18" t="s">
        <v>321</v>
      </c>
      <c r="N86">
        <v>4</v>
      </c>
    </row>
    <row r="87" spans="1:14" x14ac:dyDescent="0.25">
      <c r="A87" s="18" t="s">
        <v>310</v>
      </c>
      <c r="B87">
        <v>2</v>
      </c>
      <c r="M87" s="18" t="s">
        <v>318</v>
      </c>
      <c r="N87">
        <v>4</v>
      </c>
    </row>
    <row r="88" spans="1:14" x14ac:dyDescent="0.25">
      <c r="A88" s="18" t="s">
        <v>312</v>
      </c>
      <c r="B88">
        <v>2</v>
      </c>
      <c r="M88" s="18" t="s">
        <v>288</v>
      </c>
      <c r="N88">
        <v>4</v>
      </c>
    </row>
    <row r="89" spans="1:14" x14ac:dyDescent="0.25">
      <c r="A89" s="18" t="s">
        <v>290</v>
      </c>
      <c r="B89">
        <v>2</v>
      </c>
      <c r="M89" s="18" t="s">
        <v>304</v>
      </c>
      <c r="N89">
        <v>4</v>
      </c>
    </row>
    <row r="90" spans="1:14" x14ac:dyDescent="0.25">
      <c r="A90" s="18" t="s">
        <v>375</v>
      </c>
      <c r="B90">
        <v>2</v>
      </c>
      <c r="M90" s="18" t="s">
        <v>325</v>
      </c>
      <c r="N90">
        <v>4</v>
      </c>
    </row>
    <row r="91" spans="1:14" x14ac:dyDescent="0.25">
      <c r="A91" s="18" t="s">
        <v>390</v>
      </c>
      <c r="B91">
        <v>2</v>
      </c>
      <c r="M91" s="18" t="s">
        <v>324</v>
      </c>
      <c r="N91">
        <v>6</v>
      </c>
    </row>
    <row r="92" spans="1:14" x14ac:dyDescent="0.25">
      <c r="A92" s="18" t="s">
        <v>385</v>
      </c>
      <c r="B92">
        <v>2</v>
      </c>
      <c r="M92" s="18" t="s">
        <v>159</v>
      </c>
      <c r="N92">
        <v>6</v>
      </c>
    </row>
    <row r="93" spans="1:14" x14ac:dyDescent="0.25">
      <c r="A93" s="18" t="s">
        <v>369</v>
      </c>
      <c r="B93">
        <v>2</v>
      </c>
      <c r="M93" s="18" t="s">
        <v>165</v>
      </c>
      <c r="N93">
        <v>14</v>
      </c>
    </row>
    <row r="94" spans="1:14" x14ac:dyDescent="0.25">
      <c r="A94" s="18" t="s">
        <v>434</v>
      </c>
      <c r="B94">
        <v>2</v>
      </c>
      <c r="M94" s="18" t="s">
        <v>170</v>
      </c>
      <c r="N94">
        <v>20</v>
      </c>
    </row>
    <row r="95" spans="1:14" x14ac:dyDescent="0.25">
      <c r="A95" s="18" t="s">
        <v>278</v>
      </c>
      <c r="B95">
        <v>3</v>
      </c>
      <c r="M95" s="18" t="s">
        <v>195</v>
      </c>
      <c r="N95">
        <v>20</v>
      </c>
    </row>
    <row r="96" spans="1:14" x14ac:dyDescent="0.25">
      <c r="A96" s="18" t="s">
        <v>298</v>
      </c>
      <c r="B96">
        <v>3</v>
      </c>
      <c r="M96" s="18" t="s">
        <v>208</v>
      </c>
      <c r="N96">
        <v>34</v>
      </c>
    </row>
    <row r="97" spans="1:14" x14ac:dyDescent="0.25">
      <c r="A97" s="18" t="s">
        <v>297</v>
      </c>
      <c r="B97">
        <v>3</v>
      </c>
      <c r="M97" s="18" t="s">
        <v>155</v>
      </c>
      <c r="N97">
        <v>47</v>
      </c>
    </row>
    <row r="98" spans="1:14" x14ac:dyDescent="0.25">
      <c r="A98" s="18" t="s">
        <v>188</v>
      </c>
      <c r="B98">
        <v>3</v>
      </c>
    </row>
    <row r="99" spans="1:14" x14ac:dyDescent="0.25">
      <c r="A99" s="18" t="s">
        <v>466</v>
      </c>
      <c r="B99">
        <v>3</v>
      </c>
    </row>
    <row r="100" spans="1:14" x14ac:dyDescent="0.25">
      <c r="A100" s="18" t="s">
        <v>443</v>
      </c>
      <c r="B100">
        <v>3</v>
      </c>
    </row>
    <row r="101" spans="1:14" x14ac:dyDescent="0.25">
      <c r="A101" s="18" t="s">
        <v>453</v>
      </c>
      <c r="B101">
        <v>3</v>
      </c>
    </row>
    <row r="102" spans="1:14" x14ac:dyDescent="0.25">
      <c r="A102" s="18" t="s">
        <v>317</v>
      </c>
      <c r="B102">
        <v>4</v>
      </c>
    </row>
    <row r="103" spans="1:14" x14ac:dyDescent="0.25">
      <c r="A103" s="18" t="s">
        <v>287</v>
      </c>
      <c r="B103">
        <v>4</v>
      </c>
    </row>
    <row r="104" spans="1:14" x14ac:dyDescent="0.25">
      <c r="A104" s="18" t="s">
        <v>330</v>
      </c>
      <c r="B104">
        <v>4</v>
      </c>
    </row>
    <row r="105" spans="1:14" x14ac:dyDescent="0.25">
      <c r="A105" s="18" t="s">
        <v>303</v>
      </c>
      <c r="B105">
        <v>4</v>
      </c>
    </row>
    <row r="106" spans="1:14" x14ac:dyDescent="0.25">
      <c r="A106" s="18" t="s">
        <v>335</v>
      </c>
      <c r="B106">
        <v>4</v>
      </c>
    </row>
    <row r="107" spans="1:14" x14ac:dyDescent="0.25">
      <c r="A107" s="18" t="s">
        <v>158</v>
      </c>
      <c r="B107">
        <v>5</v>
      </c>
    </row>
    <row r="108" spans="1:14" x14ac:dyDescent="0.25">
      <c r="A108" s="18" t="s">
        <v>178</v>
      </c>
      <c r="B108">
        <v>7</v>
      </c>
    </row>
    <row r="109" spans="1:14" x14ac:dyDescent="0.25">
      <c r="A109" s="18" t="s">
        <v>280</v>
      </c>
      <c r="B109">
        <v>17</v>
      </c>
    </row>
    <row r="110" spans="1:14" x14ac:dyDescent="0.25">
      <c r="A110" s="18" t="s">
        <v>194</v>
      </c>
      <c r="B110">
        <v>20</v>
      </c>
    </row>
    <row r="111" spans="1:14" x14ac:dyDescent="0.25">
      <c r="A111" s="18" t="s">
        <v>169</v>
      </c>
      <c r="B111">
        <v>22</v>
      </c>
    </row>
    <row r="112" spans="1:14" x14ac:dyDescent="0.25">
      <c r="A112" s="18" t="s">
        <v>164</v>
      </c>
      <c r="B112">
        <v>30</v>
      </c>
    </row>
    <row r="113" spans="1:2" x14ac:dyDescent="0.25">
      <c r="A113" s="18" t="s">
        <v>207</v>
      </c>
      <c r="B113">
        <v>37</v>
      </c>
    </row>
    <row r="114" spans="1:2" x14ac:dyDescent="0.25">
      <c r="A114" s="18" t="s">
        <v>153</v>
      </c>
      <c r="B114">
        <v>46</v>
      </c>
    </row>
    <row r="115" spans="1:2" x14ac:dyDescent="0.25">
      <c r="A115"/>
      <c r="B115"/>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Refresh_Publisher_Data">
                <anchor moveWithCells="1">
                  <from>
                    <xdr:col>3</xdr:col>
                    <xdr:colOff>9525</xdr:colOff>
                    <xdr:row>0</xdr:row>
                    <xdr:rowOff>200025</xdr:rowOff>
                  </from>
                  <to>
                    <xdr:col>4</xdr:col>
                    <xdr:colOff>314325</xdr:colOff>
                    <xdr:row>2</xdr:row>
                    <xdr:rowOff>0</xdr:rowOff>
                  </to>
                </anchor>
              </controlPr>
            </control>
          </mc:Choice>
        </mc:AlternateContent>
        <mc:AlternateContent xmlns:mc="http://schemas.openxmlformats.org/markup-compatibility/2006">
          <mc:Choice Requires="x14">
            <control shapeId="17410" r:id="rId6" name="Button 2">
              <controlPr defaultSize="0" print="0" autoFill="0" autoPict="0" macro="[0]!PubRE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7411" r:id="rId7" name="Button 3">
              <controlPr defaultSize="0" print="0" autoFill="0" autoPict="0" macro="[0]!PubRE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7412" r:id="rId8" name="Button 4">
              <controlPr defaultSize="0" print="0" autoFill="0" autoPict="0" macro="[0]!PubN_ChartUp">
                <anchor moveWithCells="1">
                  <from>
                    <xdr:col>14</xdr:col>
                    <xdr:colOff>466725</xdr:colOff>
                    <xdr:row>4</xdr:row>
                    <xdr:rowOff>0</xdr:rowOff>
                  </from>
                  <to>
                    <xdr:col>15</xdr:col>
                    <xdr:colOff>0</xdr:colOff>
                    <xdr:row>5</xdr:row>
                    <xdr:rowOff>47625</xdr:rowOff>
                  </to>
                </anchor>
              </controlPr>
            </control>
          </mc:Choice>
        </mc:AlternateContent>
        <mc:AlternateContent xmlns:mc="http://schemas.openxmlformats.org/markup-compatibility/2006">
          <mc:Choice Requires="x14">
            <control shapeId="17413" r:id="rId9" name="Button 5">
              <controlPr defaultSize="0" print="0" autoFill="0" autoPict="0" macro="[0]!PubN_ChartDown">
                <anchor moveWithCells="1">
                  <from>
                    <xdr:col>14</xdr:col>
                    <xdr:colOff>466725</xdr:colOff>
                    <xdr:row>6</xdr:row>
                    <xdr:rowOff>0</xdr:rowOff>
                  </from>
                  <to>
                    <xdr:col>15</xdr:col>
                    <xdr:colOff>0</xdr:colOff>
                    <xdr:row>7</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1BD42-2D01-460C-810F-0D8A1739D3C0}">
  <sheetPr codeName="Sheet3">
    <tabColor rgb="FF4472C4"/>
  </sheetPr>
  <dimension ref="A1:AA500"/>
  <sheetViews>
    <sheetView topLeftCell="A42" zoomScaleNormal="100" workbookViewId="0">
      <selection activeCell="R14" sqref="R14"/>
    </sheetView>
  </sheetViews>
  <sheetFormatPr defaultRowHeight="15" x14ac:dyDescent="0.25"/>
  <cols>
    <col min="1" max="1" width="16.7109375" style="2" customWidth="1"/>
    <col min="2" max="2" width="7.140625" style="2" bestFit="1" customWidth="1"/>
    <col min="3" max="3" width="20.7109375" style="2" customWidth="1"/>
    <col min="4" max="4" width="9.140625" style="2" customWidth="1"/>
    <col min="5" max="12" width="9.140625" style="2"/>
    <col min="13" max="13" width="13.7109375" style="53" hidden="1" customWidth="1"/>
    <col min="14" max="14" width="18" style="99" hidden="1" customWidth="1"/>
    <col min="15" max="15" width="14" style="2" hidden="1" customWidth="1"/>
    <col min="16" max="16" width="9.140625" style="2" customWidth="1"/>
    <col min="17" max="17" width="13.140625" style="94" bestFit="1" customWidth="1"/>
    <col min="18" max="18" width="7.140625" style="2" bestFit="1" customWidth="1"/>
    <col min="19" max="19" width="20.7109375" style="2" customWidth="1"/>
    <col min="20" max="16384" width="9.140625" style="2"/>
  </cols>
  <sheetData>
    <row r="1" spans="1:27" s="43" customFormat="1" ht="20.100000000000001" customHeight="1" x14ac:dyDescent="0.25">
      <c r="A1" s="100" t="s">
        <v>113</v>
      </c>
      <c r="B1" s="18" t="s">
        <v>105</v>
      </c>
      <c r="C1" s="18"/>
      <c r="M1" s="98" t="s">
        <v>114</v>
      </c>
      <c r="N1" s="98" t="s">
        <v>115</v>
      </c>
      <c r="O1" s="98" t="s">
        <v>116</v>
      </c>
      <c r="Q1" s="110" t="s">
        <v>117</v>
      </c>
      <c r="R1" t="s">
        <v>105</v>
      </c>
      <c r="S1"/>
    </row>
    <row r="2" spans="1:27" ht="15" customHeight="1" x14ac:dyDescent="0.25">
      <c r="A2" s="18" t="s">
        <v>87</v>
      </c>
      <c r="B2">
        <v>1</v>
      </c>
      <c r="C2"/>
      <c r="M2" s="97" cm="1">
        <f t="array" ref="M2:M16">Donation[Pub Date (RE)]</f>
        <v>0</v>
      </c>
      <c r="N2" s="94" t="str">
        <f t="shared" ref="N2:N44" si="0">IF(M2="n/a","0",IF(M2=0,"0",IFERROR(REPLACE(M2,5,5," ")*1,1)))</f>
        <v>0</v>
      </c>
      <c r="O2" s="88" t="s">
        <v>118</v>
      </c>
      <c r="Q2" s="18" t="s">
        <v>518</v>
      </c>
      <c r="R2">
        <v>1</v>
      </c>
      <c r="S2"/>
      <c r="W2" s="89" t="s">
        <v>120</v>
      </c>
      <c r="X2" s="90" t="e">
        <f>O5</f>
        <v>#VALUE!</v>
      </c>
      <c r="Z2" s="89" t="s">
        <v>121</v>
      </c>
      <c r="AA2" s="90" t="e">
        <f>O9</f>
        <v>#VALUE!</v>
      </c>
    </row>
    <row r="3" spans="1:27" ht="15" customHeight="1" x14ac:dyDescent="0.25">
      <c r="A3" s="18" t="s">
        <v>460</v>
      </c>
      <c r="B3">
        <v>1</v>
      </c>
      <c r="C3"/>
      <c r="M3" s="53">
        <v>0</v>
      </c>
      <c r="N3" s="94" t="str">
        <f t="shared" si="0"/>
        <v>0</v>
      </c>
      <c r="O3" s="91">
        <f>MIN(N:N)</f>
        <v>0</v>
      </c>
      <c r="Q3" s="18" t="s">
        <v>519</v>
      </c>
      <c r="R3">
        <v>5</v>
      </c>
      <c r="S3"/>
    </row>
    <row r="4" spans="1:27" ht="15" customHeight="1" x14ac:dyDescent="0.25">
      <c r="A4" s="18" t="s">
        <v>260</v>
      </c>
      <c r="B4">
        <v>1</v>
      </c>
      <c r="C4"/>
      <c r="M4" s="53">
        <v>0</v>
      </c>
      <c r="N4" s="94" t="str">
        <f t="shared" si="0"/>
        <v>0</v>
      </c>
      <c r="O4" s="91" t="str">
        <f>REPLACE(O3,1,3,"")</f>
        <v/>
      </c>
      <c r="Q4" s="18" t="s">
        <v>520</v>
      </c>
      <c r="R4">
        <v>5</v>
      </c>
      <c r="S4"/>
    </row>
    <row r="5" spans="1:27" ht="15" customHeight="1" x14ac:dyDescent="0.25">
      <c r="A5" s="18" t="s">
        <v>481</v>
      </c>
      <c r="B5">
        <v>1</v>
      </c>
      <c r="C5"/>
      <c r="M5" s="53">
        <v>0</v>
      </c>
      <c r="N5" s="94" t="str">
        <f t="shared" si="0"/>
        <v>0</v>
      </c>
      <c r="O5" s="92" t="e">
        <f>O3-O4</f>
        <v>#VALUE!</v>
      </c>
      <c r="Q5" s="18" t="s">
        <v>521</v>
      </c>
      <c r="R5">
        <v>28</v>
      </c>
      <c r="S5"/>
    </row>
    <row r="6" spans="1:27" ht="15" customHeight="1" x14ac:dyDescent="0.25">
      <c r="A6" s="18" t="s">
        <v>262</v>
      </c>
      <c r="B6">
        <v>1</v>
      </c>
      <c r="C6"/>
      <c r="M6" s="53">
        <v>0</v>
      </c>
      <c r="N6" s="94" t="str">
        <f t="shared" si="0"/>
        <v>0</v>
      </c>
      <c r="O6" s="93" t="s">
        <v>122</v>
      </c>
      <c r="Q6" s="18" t="s">
        <v>522</v>
      </c>
      <c r="R6">
        <v>2</v>
      </c>
      <c r="S6"/>
    </row>
    <row r="7" spans="1:27" ht="15" customHeight="1" x14ac:dyDescent="0.25">
      <c r="A7" s="18" t="s">
        <v>201</v>
      </c>
      <c r="B7">
        <v>1</v>
      </c>
      <c r="C7"/>
      <c r="M7" s="53">
        <v>0</v>
      </c>
      <c r="N7" s="94" t="str">
        <f t="shared" si="0"/>
        <v>0</v>
      </c>
      <c r="O7" s="91">
        <f>MAX(N:N)</f>
        <v>0</v>
      </c>
      <c r="Q7" s="18" t="s">
        <v>119</v>
      </c>
      <c r="R7">
        <v>2</v>
      </c>
      <c r="S7"/>
    </row>
    <row r="8" spans="1:27" ht="15" customHeight="1" x14ac:dyDescent="0.25">
      <c r="A8" s="18" t="s">
        <v>273</v>
      </c>
      <c r="B8">
        <v>1</v>
      </c>
      <c r="C8"/>
      <c r="M8" s="53">
        <v>0</v>
      </c>
      <c r="N8" s="94" t="str">
        <f t="shared" si="0"/>
        <v>0</v>
      </c>
      <c r="O8" s="91" t="e">
        <f>REPLACE(O7,1,3,"")-10</f>
        <v>#VALUE!</v>
      </c>
      <c r="Q8"/>
      <c r="R8"/>
      <c r="S8"/>
    </row>
    <row r="9" spans="1:27" ht="15" customHeight="1" x14ac:dyDescent="0.25">
      <c r="A9" s="18" t="s">
        <v>223</v>
      </c>
      <c r="B9">
        <v>1</v>
      </c>
      <c r="C9"/>
      <c r="M9" s="53">
        <v>0</v>
      </c>
      <c r="N9" s="94" t="str">
        <f t="shared" si="0"/>
        <v>0</v>
      </c>
      <c r="O9" s="92" t="e">
        <f>O7-O8</f>
        <v>#VALUE!</v>
      </c>
      <c r="Q9"/>
      <c r="R9"/>
      <c r="S9"/>
    </row>
    <row r="10" spans="1:27" ht="15" customHeight="1" x14ac:dyDescent="0.25">
      <c r="A10" s="18" t="s">
        <v>282</v>
      </c>
      <c r="B10">
        <v>1</v>
      </c>
      <c r="C10"/>
      <c r="M10" s="53">
        <v>0</v>
      </c>
      <c r="N10" s="94" t="str">
        <f t="shared" si="0"/>
        <v>0</v>
      </c>
      <c r="O10" s="4"/>
      <c r="Q10"/>
      <c r="R10"/>
      <c r="S10"/>
    </row>
    <row r="11" spans="1:27" ht="15" customHeight="1" x14ac:dyDescent="0.25">
      <c r="A11" s="18" t="s">
        <v>84</v>
      </c>
      <c r="B11">
        <v>1</v>
      </c>
      <c r="C11"/>
      <c r="M11" s="53">
        <v>0</v>
      </c>
      <c r="N11" s="94" t="str">
        <f t="shared" si="0"/>
        <v>0</v>
      </c>
      <c r="O11" s="4"/>
      <c r="Q11"/>
      <c r="R11"/>
      <c r="S11"/>
    </row>
    <row r="12" spans="1:27" ht="15" customHeight="1" x14ac:dyDescent="0.25">
      <c r="A12" s="18" t="s">
        <v>289</v>
      </c>
      <c r="B12">
        <v>1</v>
      </c>
      <c r="C12"/>
      <c r="M12" s="53">
        <v>0</v>
      </c>
      <c r="N12" s="94" t="str">
        <f t="shared" si="0"/>
        <v>0</v>
      </c>
      <c r="O12" s="4"/>
      <c r="Q12"/>
      <c r="R12"/>
      <c r="S12"/>
    </row>
    <row r="13" spans="1:27" ht="15" customHeight="1" x14ac:dyDescent="0.25">
      <c r="A13" s="18" t="s">
        <v>222</v>
      </c>
      <c r="B13">
        <v>1</v>
      </c>
      <c r="C13"/>
      <c r="M13" s="53">
        <v>0</v>
      </c>
      <c r="N13" s="94" t="str">
        <f t="shared" si="0"/>
        <v>0</v>
      </c>
      <c r="O13" s="4"/>
      <c r="Q13" s="111"/>
      <c r="R13"/>
      <c r="S13"/>
    </row>
    <row r="14" spans="1:27" ht="15" customHeight="1" x14ac:dyDescent="0.25">
      <c r="A14" s="18" t="s">
        <v>402</v>
      </c>
      <c r="B14">
        <v>1</v>
      </c>
      <c r="C14"/>
      <c r="M14" s="53">
        <v>0</v>
      </c>
      <c r="N14" s="94" t="str">
        <f t="shared" si="0"/>
        <v>0</v>
      </c>
      <c r="O14" s="4"/>
      <c r="Q14" s="111"/>
      <c r="R14"/>
      <c r="S14"/>
    </row>
    <row r="15" spans="1:27" ht="15" customHeight="1" x14ac:dyDescent="0.25">
      <c r="A15" s="18" t="s">
        <v>383</v>
      </c>
      <c r="B15">
        <v>1</v>
      </c>
      <c r="C15"/>
      <c r="M15" s="53">
        <v>0</v>
      </c>
      <c r="N15" s="94" t="str">
        <f t="shared" si="0"/>
        <v>0</v>
      </c>
      <c r="O15" s="4"/>
      <c r="Q15" s="111"/>
      <c r="R15"/>
      <c r="S15"/>
    </row>
    <row r="16" spans="1:27" ht="15" customHeight="1" x14ac:dyDescent="0.25">
      <c r="A16" s="18" t="s">
        <v>417</v>
      </c>
      <c r="B16">
        <v>1</v>
      </c>
      <c r="C16"/>
      <c r="M16" s="53">
        <v>0</v>
      </c>
      <c r="N16" s="94" t="str">
        <f t="shared" si="0"/>
        <v>0</v>
      </c>
      <c r="O16" s="4"/>
      <c r="Q16" s="111"/>
      <c r="R16"/>
      <c r="S16"/>
    </row>
    <row r="17" spans="1:19" ht="15" customHeight="1" x14ac:dyDescent="0.25">
      <c r="A17" s="18" t="s">
        <v>224</v>
      </c>
      <c r="B17">
        <v>1</v>
      </c>
      <c r="C17"/>
      <c r="N17" s="94" t="str">
        <f t="shared" si="0"/>
        <v>0</v>
      </c>
      <c r="O17" s="4"/>
      <c r="Q17" s="111"/>
      <c r="R17"/>
      <c r="S17"/>
    </row>
    <row r="18" spans="1:19" ht="15" customHeight="1" x14ac:dyDescent="0.25">
      <c r="A18" s="18" t="s">
        <v>431</v>
      </c>
      <c r="B18">
        <v>1</v>
      </c>
      <c r="C18"/>
      <c r="N18" s="94" t="str">
        <f t="shared" si="0"/>
        <v>0</v>
      </c>
      <c r="O18" s="4"/>
      <c r="Q18" s="111"/>
      <c r="R18"/>
      <c r="S18"/>
    </row>
    <row r="19" spans="1:19" ht="15" customHeight="1" x14ac:dyDescent="0.25">
      <c r="A19" s="18" t="s">
        <v>252</v>
      </c>
      <c r="B19">
        <v>2</v>
      </c>
      <c r="N19" s="94" t="str">
        <f t="shared" si="0"/>
        <v>0</v>
      </c>
      <c r="O19" s="4"/>
      <c r="Q19" s="111"/>
      <c r="R19"/>
    </row>
    <row r="20" spans="1:19" ht="15" customHeight="1" x14ac:dyDescent="0.25">
      <c r="A20" s="18" t="s">
        <v>374</v>
      </c>
      <c r="B20">
        <v>2</v>
      </c>
      <c r="N20" s="94" t="str">
        <f t="shared" si="0"/>
        <v>0</v>
      </c>
      <c r="O20" s="4"/>
      <c r="Q20" s="111"/>
      <c r="R20"/>
    </row>
    <row r="21" spans="1:19" ht="15" customHeight="1" x14ac:dyDescent="0.25">
      <c r="A21" s="18" t="s">
        <v>397</v>
      </c>
      <c r="B21">
        <v>2</v>
      </c>
      <c r="N21" s="94" t="str">
        <f t="shared" si="0"/>
        <v>0</v>
      </c>
      <c r="O21" s="4"/>
      <c r="Q21" s="111"/>
      <c r="R21"/>
    </row>
    <row r="22" spans="1:19" ht="15" customHeight="1" x14ac:dyDescent="0.25">
      <c r="A22" s="18" t="s">
        <v>238</v>
      </c>
      <c r="B22">
        <v>2</v>
      </c>
      <c r="N22" s="94" t="str">
        <f t="shared" si="0"/>
        <v>0</v>
      </c>
      <c r="O22" s="4"/>
      <c r="Q22" s="111"/>
      <c r="R22"/>
    </row>
    <row r="23" spans="1:19" ht="15" customHeight="1" x14ac:dyDescent="0.25">
      <c r="A23" s="18" t="s">
        <v>250</v>
      </c>
      <c r="B23">
        <v>2</v>
      </c>
      <c r="N23" s="94" t="str">
        <f t="shared" si="0"/>
        <v>0</v>
      </c>
      <c r="O23" s="4"/>
      <c r="Q23" s="111"/>
      <c r="R23"/>
    </row>
    <row r="24" spans="1:19" ht="15" customHeight="1" x14ac:dyDescent="0.25">
      <c r="A24" s="18" t="s">
        <v>300</v>
      </c>
      <c r="B24">
        <v>2</v>
      </c>
      <c r="N24" s="94" t="str">
        <f t="shared" si="0"/>
        <v>0</v>
      </c>
      <c r="O24" s="4"/>
      <c r="Q24" s="111"/>
      <c r="R24"/>
    </row>
    <row r="25" spans="1:19" ht="15" customHeight="1" x14ac:dyDescent="0.25">
      <c r="A25" s="18" t="s">
        <v>411</v>
      </c>
      <c r="B25">
        <v>2</v>
      </c>
      <c r="N25" s="94" t="str">
        <f t="shared" si="0"/>
        <v>0</v>
      </c>
      <c r="O25" s="4"/>
      <c r="Q25" s="111"/>
      <c r="R25"/>
    </row>
    <row r="26" spans="1:19" ht="15" customHeight="1" x14ac:dyDescent="0.25">
      <c r="A26" s="18" t="s">
        <v>345</v>
      </c>
      <c r="B26">
        <v>2</v>
      </c>
      <c r="N26" s="94" t="str">
        <f t="shared" si="0"/>
        <v>0</v>
      </c>
      <c r="O26" s="4"/>
      <c r="Q26" s="111"/>
      <c r="R26"/>
    </row>
    <row r="27" spans="1:19" ht="15" customHeight="1" x14ac:dyDescent="0.25">
      <c r="A27" s="18" t="s">
        <v>465</v>
      </c>
      <c r="B27">
        <v>2</v>
      </c>
      <c r="N27" s="94" t="str">
        <f t="shared" si="0"/>
        <v>0</v>
      </c>
      <c r="O27" s="4"/>
      <c r="Q27" s="111"/>
      <c r="R27"/>
    </row>
    <row r="28" spans="1:19" ht="15" customHeight="1" x14ac:dyDescent="0.25">
      <c r="A28" s="18" t="s">
        <v>199</v>
      </c>
      <c r="B28">
        <v>2</v>
      </c>
      <c r="N28" s="94" t="str">
        <f t="shared" si="0"/>
        <v>0</v>
      </c>
      <c r="O28" s="4"/>
      <c r="Q28" s="111"/>
      <c r="R28"/>
    </row>
    <row r="29" spans="1:19" ht="15" customHeight="1" x14ac:dyDescent="0.25">
      <c r="A29" s="18" t="s">
        <v>190</v>
      </c>
      <c r="B29">
        <v>2</v>
      </c>
      <c r="N29" s="94" t="str">
        <f t="shared" si="0"/>
        <v>0</v>
      </c>
      <c r="O29" s="4"/>
      <c r="Q29" s="111"/>
      <c r="R29"/>
    </row>
    <row r="30" spans="1:19" x14ac:dyDescent="0.25">
      <c r="A30" s="18" t="s">
        <v>234</v>
      </c>
      <c r="B30">
        <v>2</v>
      </c>
      <c r="N30" s="94" t="str">
        <f t="shared" si="0"/>
        <v>0</v>
      </c>
      <c r="O30" s="4"/>
      <c r="Q30" s="111"/>
      <c r="R30"/>
    </row>
    <row r="31" spans="1:19" ht="15" customHeight="1" x14ac:dyDescent="0.25">
      <c r="A31" s="18" t="s">
        <v>433</v>
      </c>
      <c r="B31">
        <v>2</v>
      </c>
      <c r="N31" s="94" t="str">
        <f t="shared" si="0"/>
        <v>0</v>
      </c>
      <c r="O31" s="4"/>
      <c r="Q31" s="111"/>
      <c r="R31"/>
    </row>
    <row r="32" spans="1:19" x14ac:dyDescent="0.25">
      <c r="A32" s="18" t="s">
        <v>334</v>
      </c>
      <c r="B32">
        <v>2</v>
      </c>
      <c r="N32" s="94" t="str">
        <f t="shared" si="0"/>
        <v>0</v>
      </c>
      <c r="O32" s="4"/>
      <c r="Q32" s="111"/>
      <c r="R32"/>
    </row>
    <row r="33" spans="1:18" x14ac:dyDescent="0.25">
      <c r="A33" s="18" t="s">
        <v>230</v>
      </c>
      <c r="B33">
        <v>2</v>
      </c>
      <c r="N33" s="94" t="str">
        <f t="shared" si="0"/>
        <v>0</v>
      </c>
      <c r="O33" s="4"/>
      <c r="Q33" s="111"/>
      <c r="R33"/>
    </row>
    <row r="34" spans="1:18" x14ac:dyDescent="0.25">
      <c r="A34" s="18" t="s">
        <v>246</v>
      </c>
      <c r="B34">
        <v>3</v>
      </c>
      <c r="N34" s="94" t="str">
        <f t="shared" si="0"/>
        <v>0</v>
      </c>
      <c r="O34" s="4"/>
      <c r="Q34" s="111"/>
      <c r="R34"/>
    </row>
    <row r="35" spans="1:18" x14ac:dyDescent="0.25">
      <c r="A35" s="18" t="s">
        <v>268</v>
      </c>
      <c r="B35">
        <v>3</v>
      </c>
      <c r="N35" s="94" t="str">
        <f t="shared" si="0"/>
        <v>0</v>
      </c>
      <c r="O35" s="4"/>
      <c r="Q35" s="111"/>
      <c r="R35"/>
    </row>
    <row r="36" spans="1:18" x14ac:dyDescent="0.25">
      <c r="A36" s="18" t="s">
        <v>256</v>
      </c>
      <c r="B36">
        <v>3</v>
      </c>
      <c r="N36" s="94" t="str">
        <f t="shared" si="0"/>
        <v>0</v>
      </c>
      <c r="O36" s="4"/>
      <c r="Q36" s="111"/>
      <c r="R36"/>
    </row>
    <row r="37" spans="1:18" x14ac:dyDescent="0.25">
      <c r="A37" s="18" t="s">
        <v>292</v>
      </c>
      <c r="B37">
        <v>3</v>
      </c>
      <c r="N37" s="94" t="str">
        <f t="shared" si="0"/>
        <v>0</v>
      </c>
      <c r="O37" s="4"/>
      <c r="Q37" s="111"/>
      <c r="R37"/>
    </row>
    <row r="38" spans="1:18" x14ac:dyDescent="0.25">
      <c r="A38" s="18" t="s">
        <v>254</v>
      </c>
      <c r="B38">
        <v>3</v>
      </c>
      <c r="N38" s="94" t="str">
        <f t="shared" si="0"/>
        <v>0</v>
      </c>
      <c r="O38" s="4"/>
      <c r="Q38" s="111"/>
      <c r="R38"/>
    </row>
    <row r="39" spans="1:18" x14ac:dyDescent="0.25">
      <c r="A39" s="18" t="s">
        <v>249</v>
      </c>
      <c r="B39">
        <v>3</v>
      </c>
      <c r="N39" s="94" t="str">
        <f t="shared" si="0"/>
        <v>0</v>
      </c>
      <c r="O39" s="4"/>
      <c r="Q39" s="111"/>
      <c r="R39"/>
    </row>
    <row r="40" spans="1:18" x14ac:dyDescent="0.25">
      <c r="A40" s="18" t="s">
        <v>220</v>
      </c>
      <c r="B40">
        <v>3</v>
      </c>
      <c r="N40" s="94" t="str">
        <f t="shared" si="0"/>
        <v>0</v>
      </c>
      <c r="O40" s="4"/>
      <c r="Q40" s="111"/>
      <c r="R40"/>
    </row>
    <row r="41" spans="1:18" x14ac:dyDescent="0.25">
      <c r="A41" s="18" t="s">
        <v>247</v>
      </c>
      <c r="B41">
        <v>3</v>
      </c>
      <c r="N41" s="94" t="str">
        <f t="shared" si="0"/>
        <v>0</v>
      </c>
      <c r="O41" s="4"/>
      <c r="Q41" s="111"/>
      <c r="R41"/>
    </row>
    <row r="42" spans="1:18" x14ac:dyDescent="0.25">
      <c r="A42" s="18" t="s">
        <v>281</v>
      </c>
      <c r="B42">
        <v>3</v>
      </c>
      <c r="N42" s="94" t="str">
        <f t="shared" si="0"/>
        <v>0</v>
      </c>
      <c r="O42" s="4"/>
      <c r="Q42" s="111"/>
      <c r="R42"/>
    </row>
    <row r="43" spans="1:18" x14ac:dyDescent="0.25">
      <c r="A43" s="18" t="s">
        <v>213</v>
      </c>
      <c r="B43">
        <v>4</v>
      </c>
      <c r="N43" s="94" t="str">
        <f t="shared" si="0"/>
        <v>0</v>
      </c>
      <c r="O43" s="4"/>
      <c r="Q43" s="111"/>
      <c r="R43"/>
    </row>
    <row r="44" spans="1:18" x14ac:dyDescent="0.25">
      <c r="A44" s="18" t="s">
        <v>305</v>
      </c>
      <c r="B44">
        <v>4</v>
      </c>
      <c r="N44" s="94" t="str">
        <f t="shared" si="0"/>
        <v>0</v>
      </c>
      <c r="O44" s="4"/>
      <c r="Q44" s="111"/>
      <c r="R44"/>
    </row>
    <row r="45" spans="1:18" x14ac:dyDescent="0.25">
      <c r="A45" s="18" t="s">
        <v>316</v>
      </c>
      <c r="B45">
        <v>4</v>
      </c>
      <c r="N45" s="94"/>
      <c r="O45" s="4"/>
      <c r="Q45" s="111"/>
      <c r="R45"/>
    </row>
    <row r="46" spans="1:18" x14ac:dyDescent="0.25">
      <c r="A46" s="18" t="s">
        <v>225</v>
      </c>
      <c r="B46">
        <v>4</v>
      </c>
      <c r="N46" s="94"/>
      <c r="O46" s="4"/>
      <c r="Q46" s="111"/>
      <c r="R46"/>
    </row>
    <row r="47" spans="1:18" x14ac:dyDescent="0.25">
      <c r="A47" s="18" t="s">
        <v>403</v>
      </c>
      <c r="B47">
        <v>4</v>
      </c>
      <c r="N47" s="94"/>
      <c r="O47" s="4"/>
      <c r="Q47" s="111"/>
      <c r="R47"/>
    </row>
    <row r="48" spans="1:18" x14ac:dyDescent="0.25">
      <c r="A48" s="18" t="s">
        <v>283</v>
      </c>
      <c r="B48">
        <v>4</v>
      </c>
      <c r="N48" s="94"/>
      <c r="O48" s="4"/>
      <c r="Q48" s="111"/>
      <c r="R48"/>
    </row>
    <row r="49" spans="1:18" x14ac:dyDescent="0.25">
      <c r="A49" s="18" t="s">
        <v>219</v>
      </c>
      <c r="B49">
        <v>4</v>
      </c>
      <c r="N49" s="94"/>
      <c r="O49" s="4"/>
      <c r="Q49" s="111"/>
      <c r="R49"/>
    </row>
    <row r="50" spans="1:18" x14ac:dyDescent="0.25">
      <c r="A50" s="18" t="s">
        <v>265</v>
      </c>
      <c r="B50">
        <v>5</v>
      </c>
      <c r="N50" s="94"/>
      <c r="O50" s="4"/>
      <c r="Q50" s="111"/>
      <c r="R50"/>
    </row>
    <row r="51" spans="1:18" x14ac:dyDescent="0.25">
      <c r="A51" s="18" t="s">
        <v>264</v>
      </c>
      <c r="B51">
        <v>5</v>
      </c>
      <c r="N51" s="94"/>
      <c r="O51" s="4"/>
      <c r="Q51" s="111"/>
      <c r="R51"/>
    </row>
    <row r="52" spans="1:18" x14ac:dyDescent="0.25">
      <c r="A52" s="18" t="s">
        <v>192</v>
      </c>
      <c r="B52">
        <v>5</v>
      </c>
      <c r="N52" s="94"/>
      <c r="O52" s="4"/>
      <c r="Q52" s="111"/>
      <c r="R52"/>
    </row>
    <row r="53" spans="1:18" x14ac:dyDescent="0.25">
      <c r="A53" s="18" t="s">
        <v>257</v>
      </c>
      <c r="B53">
        <v>5</v>
      </c>
      <c r="N53" s="94"/>
      <c r="O53" s="4"/>
      <c r="Q53" s="111"/>
      <c r="R53"/>
    </row>
    <row r="54" spans="1:18" x14ac:dyDescent="0.25">
      <c r="A54" s="18" t="s">
        <v>263</v>
      </c>
      <c r="B54">
        <v>5</v>
      </c>
      <c r="N54" s="94"/>
      <c r="O54" s="4"/>
      <c r="Q54" s="111"/>
      <c r="R54"/>
    </row>
    <row r="55" spans="1:18" x14ac:dyDescent="0.25">
      <c r="A55" s="18" t="s">
        <v>184</v>
      </c>
      <c r="B55">
        <v>5</v>
      </c>
      <c r="N55" s="94"/>
      <c r="O55" s="4"/>
      <c r="Q55" s="111"/>
      <c r="R55"/>
    </row>
    <row r="56" spans="1:18" x14ac:dyDescent="0.25">
      <c r="A56" s="18" t="s">
        <v>313</v>
      </c>
      <c r="B56">
        <v>5</v>
      </c>
      <c r="N56" s="94"/>
      <c r="O56" s="4"/>
    </row>
    <row r="57" spans="1:18" x14ac:dyDescent="0.25">
      <c r="A57" s="18" t="s">
        <v>245</v>
      </c>
      <c r="B57">
        <v>5</v>
      </c>
      <c r="N57" s="94"/>
      <c r="O57" s="4"/>
    </row>
    <row r="58" spans="1:18" x14ac:dyDescent="0.25">
      <c r="A58" s="18" t="s">
        <v>253</v>
      </c>
      <c r="B58">
        <v>5</v>
      </c>
      <c r="N58" s="94"/>
      <c r="O58" s="4"/>
    </row>
    <row r="59" spans="1:18" x14ac:dyDescent="0.25">
      <c r="A59" s="18" t="s">
        <v>259</v>
      </c>
      <c r="B59">
        <v>6</v>
      </c>
      <c r="N59" s="94"/>
      <c r="O59" s="4"/>
    </row>
    <row r="60" spans="1:18" x14ac:dyDescent="0.25">
      <c r="A60" s="18" t="s">
        <v>180</v>
      </c>
      <c r="B60">
        <v>6</v>
      </c>
      <c r="N60" s="94"/>
      <c r="O60" s="4"/>
    </row>
    <row r="61" spans="1:18" x14ac:dyDescent="0.25">
      <c r="A61" s="18" t="s">
        <v>211</v>
      </c>
      <c r="B61">
        <v>6</v>
      </c>
      <c r="N61" s="94"/>
      <c r="O61" s="4"/>
    </row>
    <row r="62" spans="1:18" x14ac:dyDescent="0.25">
      <c r="A62" s="18" t="s">
        <v>176</v>
      </c>
      <c r="B62">
        <v>6</v>
      </c>
      <c r="N62" s="94"/>
      <c r="O62" s="4"/>
    </row>
    <row r="63" spans="1:18" x14ac:dyDescent="0.25">
      <c r="A63" s="18" t="s">
        <v>187</v>
      </c>
      <c r="B63">
        <v>6</v>
      </c>
      <c r="N63" s="94"/>
      <c r="O63" s="4"/>
    </row>
    <row r="64" spans="1:18" x14ac:dyDescent="0.25">
      <c r="A64" s="18" t="s">
        <v>251</v>
      </c>
      <c r="B64">
        <v>7</v>
      </c>
      <c r="N64" s="94"/>
      <c r="O64" s="4"/>
    </row>
    <row r="65" spans="1:15" x14ac:dyDescent="0.25">
      <c r="A65" s="18" t="s">
        <v>154</v>
      </c>
      <c r="B65">
        <v>7</v>
      </c>
      <c r="N65" s="94"/>
      <c r="O65" s="4"/>
    </row>
    <row r="66" spans="1:15" x14ac:dyDescent="0.25">
      <c r="A66" s="18" t="s">
        <v>167</v>
      </c>
      <c r="B66">
        <v>7</v>
      </c>
      <c r="N66" s="94"/>
      <c r="O66" s="4"/>
    </row>
    <row r="67" spans="1:15" x14ac:dyDescent="0.25">
      <c r="A67" s="18" t="s">
        <v>191</v>
      </c>
      <c r="B67">
        <v>7</v>
      </c>
      <c r="N67" s="94"/>
      <c r="O67" s="4"/>
    </row>
    <row r="68" spans="1:15" x14ac:dyDescent="0.25">
      <c r="A68" s="18" t="s">
        <v>215</v>
      </c>
      <c r="B68">
        <v>7</v>
      </c>
      <c r="N68" s="94"/>
      <c r="O68" s="4"/>
    </row>
    <row r="69" spans="1:15" x14ac:dyDescent="0.25">
      <c r="A69" s="18" t="s">
        <v>177</v>
      </c>
      <c r="B69">
        <v>7</v>
      </c>
      <c r="N69" s="94"/>
      <c r="O69" s="4"/>
    </row>
    <row r="70" spans="1:15" x14ac:dyDescent="0.25">
      <c r="A70" s="18" t="s">
        <v>160</v>
      </c>
      <c r="B70">
        <v>7</v>
      </c>
      <c r="N70" s="94"/>
      <c r="O70" s="4"/>
    </row>
    <row r="71" spans="1:15" x14ac:dyDescent="0.25">
      <c r="A71" s="18" t="s">
        <v>206</v>
      </c>
      <c r="B71">
        <v>7</v>
      </c>
      <c r="N71" s="94"/>
      <c r="O71" s="4"/>
    </row>
    <row r="72" spans="1:15" x14ac:dyDescent="0.25">
      <c r="A72" s="18" t="s">
        <v>196</v>
      </c>
      <c r="B72">
        <v>7</v>
      </c>
      <c r="N72" s="94"/>
      <c r="O72" s="4"/>
    </row>
    <row r="73" spans="1:15" x14ac:dyDescent="0.25">
      <c r="A73" s="18" t="s">
        <v>163</v>
      </c>
      <c r="B73">
        <v>8</v>
      </c>
      <c r="N73" s="94"/>
      <c r="O73" s="4"/>
    </row>
    <row r="74" spans="1:15" x14ac:dyDescent="0.25">
      <c r="A74" s="18" t="s">
        <v>156</v>
      </c>
      <c r="B74">
        <v>8</v>
      </c>
      <c r="N74" s="94"/>
      <c r="O74" s="4"/>
    </row>
    <row r="75" spans="1:15" x14ac:dyDescent="0.25">
      <c r="A75" s="18" t="s">
        <v>217</v>
      </c>
      <c r="B75">
        <v>9</v>
      </c>
      <c r="N75" s="94"/>
      <c r="O75" s="4"/>
    </row>
    <row r="76" spans="1:15" x14ac:dyDescent="0.25">
      <c r="A76" s="18" t="s">
        <v>302</v>
      </c>
      <c r="B76">
        <v>10</v>
      </c>
      <c r="N76" s="94"/>
      <c r="O76" s="4"/>
    </row>
    <row r="77" spans="1:15" x14ac:dyDescent="0.25">
      <c r="A77" s="18" t="s">
        <v>171</v>
      </c>
      <c r="B77">
        <v>10</v>
      </c>
      <c r="N77" s="94"/>
      <c r="O77" s="4"/>
    </row>
    <row r="78" spans="1:15" x14ac:dyDescent="0.25">
      <c r="A78" s="18" t="s">
        <v>166</v>
      </c>
      <c r="B78">
        <v>11</v>
      </c>
      <c r="N78" s="94"/>
      <c r="O78" s="4"/>
    </row>
    <row r="79" spans="1:15" x14ac:dyDescent="0.25">
      <c r="A79" s="18" t="s">
        <v>301</v>
      </c>
      <c r="B79">
        <v>14</v>
      </c>
      <c r="N79" s="94"/>
      <c r="O79" s="4"/>
    </row>
    <row r="80" spans="1:15" x14ac:dyDescent="0.25">
      <c r="A80" s="18" t="s">
        <v>193</v>
      </c>
      <c r="B80">
        <v>16</v>
      </c>
      <c r="N80" s="94"/>
      <c r="O80" s="4"/>
    </row>
    <row r="81" spans="1:15" x14ac:dyDescent="0.25">
      <c r="A81" s="18" t="s">
        <v>248</v>
      </c>
      <c r="B81">
        <v>21</v>
      </c>
      <c r="N81" s="94"/>
      <c r="O81" s="4"/>
    </row>
    <row r="82" spans="1:15" x14ac:dyDescent="0.25">
      <c r="A82" s="18" t="s">
        <v>186</v>
      </c>
      <c r="B82">
        <v>23</v>
      </c>
      <c r="N82" s="94"/>
      <c r="O82" s="4"/>
    </row>
    <row r="83" spans="1:15" x14ac:dyDescent="0.25">
      <c r="A83"/>
      <c r="B83"/>
      <c r="N83" s="94"/>
      <c r="O83" s="4"/>
    </row>
    <row r="84" spans="1:15" x14ac:dyDescent="0.25">
      <c r="N84" s="94"/>
      <c r="O84" s="4"/>
    </row>
    <row r="85" spans="1:15" x14ac:dyDescent="0.25">
      <c r="N85" s="94"/>
      <c r="O85" s="4"/>
    </row>
    <row r="86" spans="1:15" x14ac:dyDescent="0.25">
      <c r="N86" s="94"/>
      <c r="O86" s="4"/>
    </row>
    <row r="87" spans="1:15" x14ac:dyDescent="0.25">
      <c r="N87" s="94"/>
      <c r="O87" s="4"/>
    </row>
    <row r="88" spans="1:15" x14ac:dyDescent="0.25">
      <c r="N88" s="94"/>
      <c r="O88" s="4"/>
    </row>
    <row r="89" spans="1:15" x14ac:dyDescent="0.25">
      <c r="N89" s="94"/>
      <c r="O89" s="4"/>
    </row>
    <row r="90" spans="1:15" x14ac:dyDescent="0.25">
      <c r="N90" s="94"/>
      <c r="O90" s="4"/>
    </row>
    <row r="91" spans="1:15" x14ac:dyDescent="0.25">
      <c r="N91" s="94"/>
      <c r="O91" s="4"/>
    </row>
    <row r="92" spans="1:15" x14ac:dyDescent="0.25">
      <c r="N92" s="94"/>
      <c r="O92" s="4"/>
    </row>
    <row r="93" spans="1:15" x14ac:dyDescent="0.25">
      <c r="N93" s="94"/>
      <c r="O93" s="4"/>
    </row>
    <row r="94" spans="1:15" x14ac:dyDescent="0.25">
      <c r="N94" s="94"/>
      <c r="O94" s="4"/>
    </row>
    <row r="95" spans="1:15" x14ac:dyDescent="0.25">
      <c r="N95" s="94"/>
      <c r="O95" s="4"/>
    </row>
    <row r="96" spans="1:15" x14ac:dyDescent="0.25">
      <c r="N96" s="94"/>
      <c r="O96" s="4"/>
    </row>
    <row r="97" spans="14:15" x14ac:dyDescent="0.25">
      <c r="N97" s="94"/>
      <c r="O97" s="4"/>
    </row>
    <row r="98" spans="14:15" x14ac:dyDescent="0.25">
      <c r="N98" s="94"/>
      <c r="O98" s="4"/>
    </row>
    <row r="99" spans="14:15" x14ac:dyDescent="0.25">
      <c r="N99" s="94"/>
      <c r="O99" s="4"/>
    </row>
    <row r="100" spans="14:15" x14ac:dyDescent="0.25">
      <c r="N100" s="94"/>
      <c r="O100" s="4"/>
    </row>
    <row r="101" spans="14:15" x14ac:dyDescent="0.25">
      <c r="N101" s="94"/>
      <c r="O101" s="4"/>
    </row>
    <row r="102" spans="14:15" x14ac:dyDescent="0.25">
      <c r="N102" s="94"/>
      <c r="O102" s="4"/>
    </row>
    <row r="103" spans="14:15" x14ac:dyDescent="0.25">
      <c r="N103" s="94"/>
      <c r="O103" s="4"/>
    </row>
    <row r="104" spans="14:15" x14ac:dyDescent="0.25">
      <c r="N104" s="94"/>
      <c r="O104" s="4"/>
    </row>
    <row r="105" spans="14:15" x14ac:dyDescent="0.25">
      <c r="N105" s="94"/>
      <c r="O105" s="4"/>
    </row>
    <row r="106" spans="14:15" x14ac:dyDescent="0.25">
      <c r="N106" s="94"/>
      <c r="O106" s="4"/>
    </row>
    <row r="107" spans="14:15" x14ac:dyDescent="0.25">
      <c r="N107" s="94"/>
      <c r="O107" s="4"/>
    </row>
    <row r="108" spans="14:15" x14ac:dyDescent="0.25">
      <c r="N108" s="94"/>
      <c r="O108" s="4"/>
    </row>
    <row r="109" spans="14:15" x14ac:dyDescent="0.25">
      <c r="N109" s="94"/>
      <c r="O109" s="4"/>
    </row>
    <row r="110" spans="14:15" x14ac:dyDescent="0.25">
      <c r="N110" s="94"/>
      <c r="O110" s="4"/>
    </row>
    <row r="111" spans="14:15" x14ac:dyDescent="0.25">
      <c r="N111" s="94"/>
      <c r="O111" s="4"/>
    </row>
    <row r="112" spans="14:15" x14ac:dyDescent="0.25">
      <c r="N112" s="94"/>
      <c r="O112" s="4"/>
    </row>
    <row r="113" spans="14:15" x14ac:dyDescent="0.25">
      <c r="N113" s="94"/>
      <c r="O113" s="4"/>
    </row>
    <row r="114" spans="14:15" x14ac:dyDescent="0.25">
      <c r="N114" s="94"/>
      <c r="O114" s="4"/>
    </row>
    <row r="115" spans="14:15" x14ac:dyDescent="0.25">
      <c r="N115" s="94"/>
      <c r="O115" s="4"/>
    </row>
    <row r="116" spans="14:15" x14ac:dyDescent="0.25">
      <c r="N116" s="94"/>
      <c r="O116" s="4"/>
    </row>
    <row r="117" spans="14:15" x14ac:dyDescent="0.25">
      <c r="N117" s="94"/>
      <c r="O117" s="4"/>
    </row>
    <row r="118" spans="14:15" x14ac:dyDescent="0.25">
      <c r="N118" s="94"/>
      <c r="O118" s="4"/>
    </row>
    <row r="119" spans="14:15" x14ac:dyDescent="0.25">
      <c r="N119" s="94"/>
      <c r="O119" s="4"/>
    </row>
    <row r="120" spans="14:15" x14ac:dyDescent="0.25">
      <c r="N120" s="94"/>
      <c r="O120" s="4"/>
    </row>
    <row r="121" spans="14:15" x14ac:dyDescent="0.25">
      <c r="N121" s="94"/>
      <c r="O121" s="4"/>
    </row>
    <row r="122" spans="14:15" x14ac:dyDescent="0.25">
      <c r="N122" s="94"/>
      <c r="O122" s="4"/>
    </row>
    <row r="123" spans="14:15" x14ac:dyDescent="0.25">
      <c r="N123" s="94"/>
      <c r="O123" s="4"/>
    </row>
    <row r="124" spans="14:15" x14ac:dyDescent="0.25">
      <c r="N124" s="94"/>
      <c r="O124" s="4"/>
    </row>
    <row r="125" spans="14:15" x14ac:dyDescent="0.25">
      <c r="N125" s="94"/>
      <c r="O125" s="4"/>
    </row>
    <row r="126" spans="14:15" x14ac:dyDescent="0.25">
      <c r="N126" s="94"/>
      <c r="O126" s="4"/>
    </row>
    <row r="127" spans="14:15" x14ac:dyDescent="0.25">
      <c r="N127" s="94"/>
      <c r="O127" s="4"/>
    </row>
    <row r="128" spans="14:15" x14ac:dyDescent="0.25">
      <c r="N128" s="94"/>
      <c r="O128" s="4"/>
    </row>
    <row r="129" spans="14:15" x14ac:dyDescent="0.25">
      <c r="N129" s="94"/>
      <c r="O129" s="4"/>
    </row>
    <row r="130" spans="14:15" x14ac:dyDescent="0.25">
      <c r="N130" s="94"/>
      <c r="O130" s="4"/>
    </row>
    <row r="131" spans="14:15" x14ac:dyDescent="0.25">
      <c r="N131" s="94"/>
      <c r="O131" s="4"/>
    </row>
    <row r="132" spans="14:15" x14ac:dyDescent="0.25">
      <c r="N132" s="94"/>
      <c r="O132" s="4"/>
    </row>
    <row r="133" spans="14:15" x14ac:dyDescent="0.25">
      <c r="N133" s="94"/>
      <c r="O133" s="4"/>
    </row>
    <row r="134" spans="14:15" x14ac:dyDescent="0.25">
      <c r="N134" s="94"/>
      <c r="O134" s="4"/>
    </row>
    <row r="135" spans="14:15" x14ac:dyDescent="0.25">
      <c r="N135" s="94"/>
      <c r="O135" s="4"/>
    </row>
    <row r="136" spans="14:15" x14ac:dyDescent="0.25">
      <c r="N136" s="94"/>
      <c r="O136" s="4"/>
    </row>
    <row r="137" spans="14:15" x14ac:dyDescent="0.25">
      <c r="N137" s="94"/>
      <c r="O137" s="4"/>
    </row>
    <row r="138" spans="14:15" x14ac:dyDescent="0.25">
      <c r="N138" s="94"/>
      <c r="O138" s="4"/>
    </row>
    <row r="139" spans="14:15" x14ac:dyDescent="0.25">
      <c r="N139" s="94"/>
      <c r="O139" s="4"/>
    </row>
    <row r="140" spans="14:15" x14ac:dyDescent="0.25">
      <c r="N140" s="94"/>
      <c r="O140" s="4"/>
    </row>
    <row r="141" spans="14:15" x14ac:dyDescent="0.25">
      <c r="N141" s="94"/>
      <c r="O141" s="4"/>
    </row>
    <row r="142" spans="14:15" x14ac:dyDescent="0.25">
      <c r="N142" s="94"/>
      <c r="O142" s="4"/>
    </row>
    <row r="143" spans="14:15" x14ac:dyDescent="0.25">
      <c r="N143" s="94"/>
      <c r="O143" s="4"/>
    </row>
    <row r="144" spans="14:15" x14ac:dyDescent="0.25">
      <c r="N144" s="94"/>
      <c r="O144" s="4"/>
    </row>
    <row r="145" spans="14:15" x14ac:dyDescent="0.25">
      <c r="N145" s="94"/>
      <c r="O145" s="4"/>
    </row>
    <row r="146" spans="14:15" x14ac:dyDescent="0.25">
      <c r="N146" s="94"/>
      <c r="O146" s="4"/>
    </row>
    <row r="147" spans="14:15" x14ac:dyDescent="0.25">
      <c r="N147" s="94"/>
      <c r="O147" s="4"/>
    </row>
    <row r="148" spans="14:15" x14ac:dyDescent="0.25">
      <c r="N148" s="94"/>
      <c r="O148" s="4"/>
    </row>
    <row r="149" spans="14:15" x14ac:dyDescent="0.25">
      <c r="N149" s="94"/>
      <c r="O149" s="4"/>
    </row>
    <row r="150" spans="14:15" x14ac:dyDescent="0.25">
      <c r="N150" s="94"/>
      <c r="O150" s="4"/>
    </row>
    <row r="151" spans="14:15" x14ac:dyDescent="0.25">
      <c r="N151" s="94"/>
      <c r="O151" s="4"/>
    </row>
    <row r="152" spans="14:15" x14ac:dyDescent="0.25">
      <c r="N152" s="94"/>
      <c r="O152" s="4"/>
    </row>
    <row r="153" spans="14:15" x14ac:dyDescent="0.25">
      <c r="N153" s="94"/>
      <c r="O153" s="4"/>
    </row>
    <row r="154" spans="14:15" x14ac:dyDescent="0.25">
      <c r="N154" s="94"/>
      <c r="O154" s="4"/>
    </row>
    <row r="155" spans="14:15" x14ac:dyDescent="0.25">
      <c r="N155" s="94"/>
      <c r="O155" s="4"/>
    </row>
    <row r="156" spans="14:15" x14ac:dyDescent="0.25">
      <c r="N156" s="94"/>
      <c r="O156" s="4"/>
    </row>
    <row r="157" spans="14:15" x14ac:dyDescent="0.25">
      <c r="N157" s="94"/>
      <c r="O157" s="4"/>
    </row>
    <row r="158" spans="14:15" x14ac:dyDescent="0.25">
      <c r="N158" s="94"/>
      <c r="O158" s="4"/>
    </row>
    <row r="159" spans="14:15" x14ac:dyDescent="0.25">
      <c r="N159" s="94"/>
      <c r="O159" s="4"/>
    </row>
    <row r="160" spans="14:15" x14ac:dyDescent="0.25">
      <c r="N160" s="94"/>
      <c r="O160" s="4"/>
    </row>
    <row r="161" spans="14:15" x14ac:dyDescent="0.25">
      <c r="N161" s="94"/>
      <c r="O161" s="4"/>
    </row>
    <row r="162" spans="14:15" x14ac:dyDescent="0.25">
      <c r="N162" s="94"/>
      <c r="O162" s="4"/>
    </row>
    <row r="163" spans="14:15" x14ac:dyDescent="0.25">
      <c r="N163" s="94"/>
      <c r="O163" s="4"/>
    </row>
    <row r="164" spans="14:15" x14ac:dyDescent="0.25">
      <c r="N164" s="94"/>
      <c r="O164" s="4"/>
    </row>
    <row r="165" spans="14:15" x14ac:dyDescent="0.25">
      <c r="N165" s="94"/>
      <c r="O165" s="4"/>
    </row>
    <row r="166" spans="14:15" x14ac:dyDescent="0.25">
      <c r="N166" s="94"/>
      <c r="O166" s="4"/>
    </row>
    <row r="167" spans="14:15" x14ac:dyDescent="0.25">
      <c r="N167" s="94"/>
      <c r="O167" s="4"/>
    </row>
    <row r="168" spans="14:15" x14ac:dyDescent="0.25">
      <c r="N168" s="94"/>
      <c r="O168" s="4"/>
    </row>
    <row r="169" spans="14:15" x14ac:dyDescent="0.25">
      <c r="N169" s="94"/>
      <c r="O169" s="4"/>
    </row>
    <row r="170" spans="14:15" x14ac:dyDescent="0.25">
      <c r="N170" s="94"/>
      <c r="O170" s="4"/>
    </row>
    <row r="171" spans="14:15" x14ac:dyDescent="0.25">
      <c r="N171" s="94"/>
      <c r="O171" s="4"/>
    </row>
    <row r="172" spans="14:15" x14ac:dyDescent="0.25">
      <c r="N172" s="94"/>
      <c r="O172" s="4"/>
    </row>
    <row r="173" spans="14:15" x14ac:dyDescent="0.25">
      <c r="N173" s="94"/>
      <c r="O173" s="4"/>
    </row>
    <row r="174" spans="14:15" x14ac:dyDescent="0.25">
      <c r="N174" s="94"/>
      <c r="O174" s="4"/>
    </row>
    <row r="175" spans="14:15" x14ac:dyDescent="0.25">
      <c r="N175" s="94"/>
      <c r="O175" s="4"/>
    </row>
    <row r="176" spans="14:15" x14ac:dyDescent="0.25">
      <c r="N176" s="94"/>
      <c r="O176" s="4"/>
    </row>
    <row r="177" spans="14:15" x14ac:dyDescent="0.25">
      <c r="N177" s="94"/>
      <c r="O177" s="4"/>
    </row>
    <row r="178" spans="14:15" x14ac:dyDescent="0.25">
      <c r="N178" s="94"/>
      <c r="O178" s="4"/>
    </row>
    <row r="179" spans="14:15" x14ac:dyDescent="0.25">
      <c r="N179" s="94"/>
      <c r="O179" s="4"/>
    </row>
    <row r="180" spans="14:15" x14ac:dyDescent="0.25">
      <c r="N180" s="94"/>
      <c r="O180" s="4"/>
    </row>
    <row r="181" spans="14:15" x14ac:dyDescent="0.25">
      <c r="N181" s="94"/>
      <c r="O181" s="4"/>
    </row>
    <row r="182" spans="14:15" x14ac:dyDescent="0.25">
      <c r="N182" s="94"/>
      <c r="O182" s="4"/>
    </row>
    <row r="183" spans="14:15" x14ac:dyDescent="0.25">
      <c r="N183" s="94"/>
      <c r="O183" s="4"/>
    </row>
    <row r="184" spans="14:15" x14ac:dyDescent="0.25">
      <c r="N184" s="94"/>
      <c r="O184" s="4"/>
    </row>
    <row r="185" spans="14:15" x14ac:dyDescent="0.25">
      <c r="N185" s="94"/>
      <c r="O185" s="4"/>
    </row>
    <row r="186" spans="14:15" x14ac:dyDescent="0.25">
      <c r="N186" s="94"/>
      <c r="O186" s="4"/>
    </row>
    <row r="187" spans="14:15" x14ac:dyDescent="0.25">
      <c r="N187" s="94"/>
      <c r="O187" s="4"/>
    </row>
    <row r="188" spans="14:15" x14ac:dyDescent="0.25">
      <c r="N188" s="94"/>
      <c r="O188" s="4"/>
    </row>
    <row r="189" spans="14:15" x14ac:dyDescent="0.25">
      <c r="N189" s="94"/>
      <c r="O189" s="4"/>
    </row>
    <row r="190" spans="14:15" x14ac:dyDescent="0.25">
      <c r="N190" s="94"/>
      <c r="O190" s="4"/>
    </row>
    <row r="191" spans="14:15" x14ac:dyDescent="0.25">
      <c r="N191" s="94"/>
      <c r="O191" s="4"/>
    </row>
    <row r="192" spans="14:15" x14ac:dyDescent="0.25">
      <c r="N192" s="94"/>
      <c r="O192" s="4"/>
    </row>
    <row r="193" spans="14:15" x14ac:dyDescent="0.25">
      <c r="N193" s="94"/>
      <c r="O193" s="4"/>
    </row>
    <row r="194" spans="14:15" x14ac:dyDescent="0.25">
      <c r="N194" s="94"/>
      <c r="O194" s="4"/>
    </row>
    <row r="195" spans="14:15" x14ac:dyDescent="0.25">
      <c r="N195" s="94"/>
      <c r="O195" s="4"/>
    </row>
    <row r="196" spans="14:15" x14ac:dyDescent="0.25">
      <c r="N196" s="94"/>
      <c r="O196" s="4"/>
    </row>
    <row r="197" spans="14:15" x14ac:dyDescent="0.25">
      <c r="N197" s="94"/>
      <c r="O197" s="4"/>
    </row>
    <row r="198" spans="14:15" x14ac:dyDescent="0.25">
      <c r="N198" s="94"/>
      <c r="O198" s="4"/>
    </row>
    <row r="199" spans="14:15" x14ac:dyDescent="0.25">
      <c r="N199" s="94"/>
      <c r="O199" s="4"/>
    </row>
    <row r="200" spans="14:15" x14ac:dyDescent="0.25">
      <c r="N200" s="94"/>
      <c r="O200" s="4"/>
    </row>
    <row r="201" spans="14:15" x14ac:dyDescent="0.25">
      <c r="N201" s="94"/>
      <c r="O201" s="4"/>
    </row>
    <row r="202" spans="14:15" x14ac:dyDescent="0.25">
      <c r="N202" s="94"/>
      <c r="O202" s="4"/>
    </row>
    <row r="203" spans="14:15" x14ac:dyDescent="0.25">
      <c r="N203" s="94"/>
      <c r="O203" s="4"/>
    </row>
    <row r="204" spans="14:15" x14ac:dyDescent="0.25">
      <c r="N204" s="94"/>
      <c r="O204" s="4"/>
    </row>
    <row r="205" spans="14:15" x14ac:dyDescent="0.25">
      <c r="N205" s="94"/>
      <c r="O205" s="4"/>
    </row>
    <row r="206" spans="14:15" x14ac:dyDescent="0.25">
      <c r="N206" s="94"/>
      <c r="O206" s="4"/>
    </row>
    <row r="207" spans="14:15" x14ac:dyDescent="0.25">
      <c r="N207" s="94"/>
      <c r="O207" s="4"/>
    </row>
    <row r="208" spans="14:15" x14ac:dyDescent="0.25">
      <c r="N208" s="94"/>
      <c r="O208" s="4"/>
    </row>
    <row r="209" spans="14:15" x14ac:dyDescent="0.25">
      <c r="N209" s="94"/>
      <c r="O209" s="4"/>
    </row>
    <row r="210" spans="14:15" x14ac:dyDescent="0.25">
      <c r="N210" s="94"/>
      <c r="O210" s="4"/>
    </row>
    <row r="211" spans="14:15" x14ac:dyDescent="0.25">
      <c r="N211" s="94"/>
      <c r="O211" s="4"/>
    </row>
    <row r="212" spans="14:15" x14ac:dyDescent="0.25">
      <c r="N212" s="94"/>
      <c r="O212" s="4"/>
    </row>
    <row r="213" spans="14:15" x14ac:dyDescent="0.25">
      <c r="N213" s="94"/>
      <c r="O213" s="4"/>
    </row>
    <row r="214" spans="14:15" x14ac:dyDescent="0.25">
      <c r="N214" s="94"/>
      <c r="O214" s="4"/>
    </row>
    <row r="215" spans="14:15" x14ac:dyDescent="0.25">
      <c r="N215" s="94"/>
      <c r="O215" s="4"/>
    </row>
    <row r="216" spans="14:15" x14ac:dyDescent="0.25">
      <c r="N216" s="94"/>
      <c r="O216" s="4"/>
    </row>
    <row r="217" spans="14:15" x14ac:dyDescent="0.25">
      <c r="N217" s="94"/>
      <c r="O217" s="4"/>
    </row>
    <row r="218" spans="14:15" x14ac:dyDescent="0.25">
      <c r="N218" s="94"/>
      <c r="O218" s="4"/>
    </row>
    <row r="219" spans="14:15" x14ac:dyDescent="0.25">
      <c r="N219" s="94"/>
      <c r="O219" s="4"/>
    </row>
    <row r="220" spans="14:15" x14ac:dyDescent="0.25">
      <c r="N220" s="94"/>
      <c r="O220" s="4"/>
    </row>
    <row r="221" spans="14:15" x14ac:dyDescent="0.25">
      <c r="N221" s="94"/>
      <c r="O221" s="4"/>
    </row>
    <row r="222" spans="14:15" x14ac:dyDescent="0.25">
      <c r="N222" s="94"/>
      <c r="O222" s="4"/>
    </row>
    <row r="223" spans="14:15" x14ac:dyDescent="0.25">
      <c r="N223" s="94"/>
      <c r="O223" s="4"/>
    </row>
    <row r="224" spans="14:15" x14ac:dyDescent="0.25">
      <c r="N224" s="94"/>
      <c r="O224" s="4"/>
    </row>
    <row r="225" spans="14:15" x14ac:dyDescent="0.25">
      <c r="N225" s="94"/>
      <c r="O225" s="4"/>
    </row>
    <row r="226" spans="14:15" x14ac:dyDescent="0.25">
      <c r="N226" s="94"/>
      <c r="O226" s="4"/>
    </row>
    <row r="227" spans="14:15" x14ac:dyDescent="0.25">
      <c r="N227" s="94"/>
      <c r="O227" s="4"/>
    </row>
    <row r="228" spans="14:15" x14ac:dyDescent="0.25">
      <c r="N228" s="94"/>
      <c r="O228" s="4"/>
    </row>
    <row r="229" spans="14:15" x14ac:dyDescent="0.25">
      <c r="N229" s="94"/>
      <c r="O229" s="4"/>
    </row>
    <row r="230" spans="14:15" x14ac:dyDescent="0.25">
      <c r="N230" s="94"/>
      <c r="O230" s="4"/>
    </row>
    <row r="231" spans="14:15" x14ac:dyDescent="0.25">
      <c r="N231" s="94"/>
      <c r="O231" s="4"/>
    </row>
    <row r="232" spans="14:15" x14ac:dyDescent="0.25">
      <c r="N232" s="94"/>
      <c r="O232" s="4"/>
    </row>
    <row r="233" spans="14:15" x14ac:dyDescent="0.25">
      <c r="N233" s="94"/>
      <c r="O233" s="4"/>
    </row>
    <row r="234" spans="14:15" x14ac:dyDescent="0.25">
      <c r="N234" s="94"/>
      <c r="O234" s="4"/>
    </row>
    <row r="235" spans="14:15" x14ac:dyDescent="0.25">
      <c r="N235" s="94"/>
      <c r="O235" s="4"/>
    </row>
    <row r="236" spans="14:15" x14ac:dyDescent="0.25">
      <c r="N236" s="94"/>
      <c r="O236" s="4"/>
    </row>
    <row r="237" spans="14:15" x14ac:dyDescent="0.25">
      <c r="N237" s="94"/>
      <c r="O237" s="4"/>
    </row>
    <row r="238" spans="14:15" x14ac:dyDescent="0.25">
      <c r="N238" s="94"/>
      <c r="O238" s="4"/>
    </row>
    <row r="239" spans="14:15" x14ac:dyDescent="0.25">
      <c r="N239" s="94"/>
      <c r="O239" s="4"/>
    </row>
    <row r="240" spans="14:15" x14ac:dyDescent="0.25">
      <c r="N240" s="94"/>
      <c r="O240" s="4"/>
    </row>
    <row r="241" spans="14:15" x14ac:dyDescent="0.25">
      <c r="N241" s="94"/>
      <c r="O241" s="4"/>
    </row>
    <row r="242" spans="14:15" x14ac:dyDescent="0.25">
      <c r="N242" s="94"/>
      <c r="O242" s="4"/>
    </row>
    <row r="243" spans="14:15" x14ac:dyDescent="0.25">
      <c r="N243" s="94"/>
      <c r="O243" s="4"/>
    </row>
    <row r="244" spans="14:15" x14ac:dyDescent="0.25">
      <c r="N244" s="94"/>
      <c r="O244" s="4"/>
    </row>
    <row r="245" spans="14:15" x14ac:dyDescent="0.25">
      <c r="N245" s="94"/>
      <c r="O245" s="4"/>
    </row>
    <row r="246" spans="14:15" x14ac:dyDescent="0.25">
      <c r="N246" s="94"/>
      <c r="O246" s="4"/>
    </row>
    <row r="247" spans="14:15" x14ac:dyDescent="0.25">
      <c r="N247" s="94"/>
      <c r="O247" s="4"/>
    </row>
    <row r="248" spans="14:15" x14ac:dyDescent="0.25">
      <c r="N248" s="94"/>
      <c r="O248" s="4"/>
    </row>
    <row r="249" spans="14:15" x14ac:dyDescent="0.25">
      <c r="N249" s="94"/>
      <c r="O249" s="4"/>
    </row>
    <row r="250" spans="14:15" x14ac:dyDescent="0.25">
      <c r="N250" s="94"/>
      <c r="O250" s="4"/>
    </row>
    <row r="251" spans="14:15" x14ac:dyDescent="0.25">
      <c r="N251" s="94"/>
      <c r="O251" s="4"/>
    </row>
    <row r="252" spans="14:15" x14ac:dyDescent="0.25">
      <c r="N252" s="94"/>
      <c r="O252" s="4"/>
    </row>
    <row r="253" spans="14:15" x14ac:dyDescent="0.25">
      <c r="N253" s="94"/>
      <c r="O253" s="4"/>
    </row>
    <row r="254" spans="14:15" x14ac:dyDescent="0.25">
      <c r="N254" s="94"/>
      <c r="O254" s="4"/>
    </row>
    <row r="255" spans="14:15" x14ac:dyDescent="0.25">
      <c r="N255" s="94"/>
      <c r="O255" s="4"/>
    </row>
    <row r="256" spans="14:15" x14ac:dyDescent="0.25">
      <c r="N256" s="94"/>
      <c r="O256" s="4"/>
    </row>
    <row r="257" spans="14:15" x14ac:dyDescent="0.25">
      <c r="N257" s="94"/>
      <c r="O257" s="4"/>
    </row>
    <row r="258" spans="14:15" x14ac:dyDescent="0.25">
      <c r="N258" s="94"/>
      <c r="O258" s="4"/>
    </row>
    <row r="259" spans="14:15" x14ac:dyDescent="0.25">
      <c r="N259" s="94"/>
      <c r="O259" s="4"/>
    </row>
    <row r="260" spans="14:15" x14ac:dyDescent="0.25">
      <c r="N260" s="94"/>
      <c r="O260" s="4"/>
    </row>
    <row r="261" spans="14:15" x14ac:dyDescent="0.25">
      <c r="N261" s="94"/>
      <c r="O261" s="4"/>
    </row>
    <row r="262" spans="14:15" x14ac:dyDescent="0.25">
      <c r="N262" s="94"/>
      <c r="O262" s="4"/>
    </row>
    <row r="263" spans="14:15" x14ac:dyDescent="0.25">
      <c r="N263" s="94"/>
      <c r="O263" s="4"/>
    </row>
    <row r="264" spans="14:15" x14ac:dyDescent="0.25">
      <c r="N264" s="94"/>
      <c r="O264" s="4"/>
    </row>
    <row r="265" spans="14:15" x14ac:dyDescent="0.25">
      <c r="N265" s="94"/>
      <c r="O265" s="4"/>
    </row>
    <row r="266" spans="14:15" x14ac:dyDescent="0.25">
      <c r="N266" s="94"/>
      <c r="O266" s="4"/>
    </row>
    <row r="267" spans="14:15" x14ac:dyDescent="0.25">
      <c r="N267" s="94"/>
      <c r="O267" s="4"/>
    </row>
    <row r="268" spans="14:15" x14ac:dyDescent="0.25">
      <c r="N268" s="94"/>
      <c r="O268" s="4"/>
    </row>
    <row r="269" spans="14:15" x14ac:dyDescent="0.25">
      <c r="N269" s="94"/>
      <c r="O269" s="4"/>
    </row>
    <row r="270" spans="14:15" x14ac:dyDescent="0.25">
      <c r="N270" s="94"/>
      <c r="O270" s="4"/>
    </row>
    <row r="271" spans="14:15" x14ac:dyDescent="0.25">
      <c r="N271" s="94"/>
      <c r="O271" s="4"/>
    </row>
    <row r="272" spans="14:15" x14ac:dyDescent="0.25">
      <c r="N272" s="94"/>
      <c r="O272" s="4"/>
    </row>
    <row r="273" spans="14:15" x14ac:dyDescent="0.25">
      <c r="N273" s="94"/>
      <c r="O273" s="4"/>
    </row>
    <row r="274" spans="14:15" x14ac:dyDescent="0.25">
      <c r="N274" s="94"/>
      <c r="O274" s="4"/>
    </row>
    <row r="275" spans="14:15" x14ac:dyDescent="0.25">
      <c r="N275" s="94"/>
      <c r="O275" s="4"/>
    </row>
    <row r="276" spans="14:15" x14ac:dyDescent="0.25">
      <c r="N276" s="94"/>
      <c r="O276" s="4"/>
    </row>
    <row r="277" spans="14:15" x14ac:dyDescent="0.25">
      <c r="N277" s="94"/>
      <c r="O277" s="4"/>
    </row>
    <row r="278" spans="14:15" x14ac:dyDescent="0.25">
      <c r="N278" s="94"/>
      <c r="O278" s="4"/>
    </row>
    <row r="279" spans="14:15" x14ac:dyDescent="0.25">
      <c r="N279" s="94"/>
      <c r="O279" s="4"/>
    </row>
    <row r="280" spans="14:15" x14ac:dyDescent="0.25">
      <c r="N280" s="94"/>
      <c r="O280" s="4"/>
    </row>
    <row r="281" spans="14:15" x14ac:dyDescent="0.25">
      <c r="N281" s="94"/>
      <c r="O281" s="4"/>
    </row>
    <row r="282" spans="14:15" x14ac:dyDescent="0.25">
      <c r="N282" s="94"/>
      <c r="O282" s="4"/>
    </row>
    <row r="283" spans="14:15" x14ac:dyDescent="0.25">
      <c r="N283" s="94"/>
      <c r="O283" s="4"/>
    </row>
    <row r="284" spans="14:15" x14ac:dyDescent="0.25">
      <c r="N284" s="94"/>
      <c r="O284" s="4"/>
    </row>
    <row r="285" spans="14:15" x14ac:dyDescent="0.25">
      <c r="N285" s="94"/>
      <c r="O285" s="4"/>
    </row>
    <row r="286" spans="14:15" x14ac:dyDescent="0.25">
      <c r="N286" s="94"/>
      <c r="O286" s="4"/>
    </row>
    <row r="287" spans="14:15" x14ac:dyDescent="0.25">
      <c r="N287" s="94"/>
      <c r="O287" s="4"/>
    </row>
    <row r="288" spans="14:15" x14ac:dyDescent="0.25">
      <c r="N288" s="94"/>
      <c r="O288" s="4"/>
    </row>
    <row r="289" spans="14:15" x14ac:dyDescent="0.25">
      <c r="N289" s="94"/>
      <c r="O289" s="4"/>
    </row>
    <row r="290" spans="14:15" x14ac:dyDescent="0.25">
      <c r="N290" s="94"/>
      <c r="O290" s="4"/>
    </row>
    <row r="291" spans="14:15" x14ac:dyDescent="0.25">
      <c r="N291" s="94"/>
      <c r="O291" s="4"/>
    </row>
    <row r="292" spans="14:15" x14ac:dyDescent="0.25">
      <c r="N292" s="94"/>
      <c r="O292" s="4"/>
    </row>
    <row r="293" spans="14:15" x14ac:dyDescent="0.25">
      <c r="N293" s="94"/>
      <c r="O293" s="4"/>
    </row>
    <row r="294" spans="14:15" x14ac:dyDescent="0.25">
      <c r="N294" s="94"/>
      <c r="O294" s="4"/>
    </row>
    <row r="295" spans="14:15" x14ac:dyDescent="0.25">
      <c r="N295" s="94"/>
      <c r="O295" s="4"/>
    </row>
    <row r="296" spans="14:15" x14ac:dyDescent="0.25">
      <c r="N296" s="94"/>
      <c r="O296" s="4"/>
    </row>
    <row r="297" spans="14:15" x14ac:dyDescent="0.25">
      <c r="N297" s="94"/>
      <c r="O297" s="4"/>
    </row>
    <row r="298" spans="14:15" x14ac:dyDescent="0.25">
      <c r="N298" s="94"/>
      <c r="O298" s="4"/>
    </row>
    <row r="299" spans="14:15" x14ac:dyDescent="0.25">
      <c r="N299" s="94"/>
      <c r="O299" s="4"/>
    </row>
    <row r="300" spans="14:15" x14ac:dyDescent="0.25">
      <c r="N300" s="94"/>
      <c r="O300" s="4"/>
    </row>
    <row r="301" spans="14:15" x14ac:dyDescent="0.25">
      <c r="N301" s="94"/>
      <c r="O301" s="4"/>
    </row>
    <row r="302" spans="14:15" x14ac:dyDescent="0.25">
      <c r="N302" s="94"/>
      <c r="O302" s="4"/>
    </row>
    <row r="303" spans="14:15" x14ac:dyDescent="0.25">
      <c r="N303" s="94"/>
      <c r="O303" s="4"/>
    </row>
    <row r="304" spans="14:15" x14ac:dyDescent="0.25">
      <c r="N304" s="94"/>
      <c r="O304" s="4"/>
    </row>
    <row r="305" spans="14:15" x14ac:dyDescent="0.25">
      <c r="N305" s="94"/>
      <c r="O305" s="4"/>
    </row>
    <row r="306" spans="14:15" x14ac:dyDescent="0.25">
      <c r="N306" s="94"/>
      <c r="O306" s="4"/>
    </row>
    <row r="307" spans="14:15" x14ac:dyDescent="0.25">
      <c r="N307" s="94"/>
      <c r="O307" s="4"/>
    </row>
    <row r="308" spans="14:15" x14ac:dyDescent="0.25">
      <c r="N308" s="94"/>
      <c r="O308" s="4"/>
    </row>
    <row r="309" spans="14:15" x14ac:dyDescent="0.25">
      <c r="N309" s="94"/>
      <c r="O309" s="4"/>
    </row>
    <row r="310" spans="14:15" x14ac:dyDescent="0.25">
      <c r="N310" s="94"/>
      <c r="O310" s="4"/>
    </row>
    <row r="311" spans="14:15" x14ac:dyDescent="0.25">
      <c r="N311" s="94"/>
      <c r="O311" s="4"/>
    </row>
    <row r="312" spans="14:15" x14ac:dyDescent="0.25">
      <c r="N312" s="94"/>
      <c r="O312" s="4"/>
    </row>
    <row r="313" spans="14:15" x14ac:dyDescent="0.25">
      <c r="N313" s="94"/>
      <c r="O313" s="4"/>
    </row>
    <row r="314" spans="14:15" x14ac:dyDescent="0.25">
      <c r="N314" s="94"/>
      <c r="O314" s="4"/>
    </row>
    <row r="315" spans="14:15" x14ac:dyDescent="0.25">
      <c r="N315" s="94"/>
      <c r="O315" s="4"/>
    </row>
    <row r="316" spans="14:15" x14ac:dyDescent="0.25">
      <c r="N316" s="94"/>
      <c r="O316" s="4"/>
    </row>
    <row r="317" spans="14:15" x14ac:dyDescent="0.25">
      <c r="N317" s="94"/>
      <c r="O317" s="4"/>
    </row>
    <row r="318" spans="14:15" x14ac:dyDescent="0.25">
      <c r="N318" s="94"/>
      <c r="O318" s="4"/>
    </row>
    <row r="319" spans="14:15" x14ac:dyDescent="0.25">
      <c r="N319" s="94"/>
      <c r="O319" s="4"/>
    </row>
    <row r="320" spans="14:15" x14ac:dyDescent="0.25">
      <c r="N320" s="94"/>
      <c r="O320" s="4"/>
    </row>
    <row r="321" spans="14:15" x14ac:dyDescent="0.25">
      <c r="N321" s="94"/>
      <c r="O321" s="4"/>
    </row>
    <row r="322" spans="14:15" x14ac:dyDescent="0.25">
      <c r="N322" s="94"/>
      <c r="O322" s="4"/>
    </row>
    <row r="323" spans="14:15" x14ac:dyDescent="0.25">
      <c r="N323" s="94"/>
      <c r="O323" s="4"/>
    </row>
    <row r="324" spans="14:15" x14ac:dyDescent="0.25">
      <c r="N324" s="94"/>
      <c r="O324" s="4"/>
    </row>
    <row r="325" spans="14:15" x14ac:dyDescent="0.25">
      <c r="N325" s="94"/>
      <c r="O325" s="4"/>
    </row>
    <row r="326" spans="14:15" x14ac:dyDescent="0.25">
      <c r="N326" s="94"/>
      <c r="O326" s="4"/>
    </row>
    <row r="327" spans="14:15" x14ac:dyDescent="0.25">
      <c r="N327" s="94"/>
      <c r="O327" s="4"/>
    </row>
    <row r="328" spans="14:15" x14ac:dyDescent="0.25">
      <c r="N328" s="94"/>
      <c r="O328" s="4"/>
    </row>
    <row r="329" spans="14:15" x14ac:dyDescent="0.25">
      <c r="N329" s="94"/>
      <c r="O329" s="4"/>
    </row>
    <row r="330" spans="14:15" x14ac:dyDescent="0.25">
      <c r="N330" s="94"/>
      <c r="O330" s="4"/>
    </row>
    <row r="331" spans="14:15" x14ac:dyDescent="0.25">
      <c r="N331" s="94"/>
      <c r="O331" s="4"/>
    </row>
    <row r="332" spans="14:15" x14ac:dyDescent="0.25">
      <c r="N332" s="94"/>
      <c r="O332" s="4"/>
    </row>
    <row r="333" spans="14:15" x14ac:dyDescent="0.25">
      <c r="N333" s="94"/>
      <c r="O333" s="4"/>
    </row>
    <row r="334" spans="14:15" x14ac:dyDescent="0.25">
      <c r="N334" s="94"/>
      <c r="O334" s="4"/>
    </row>
    <row r="335" spans="14:15" x14ac:dyDescent="0.25">
      <c r="N335" s="94"/>
      <c r="O335" s="4"/>
    </row>
    <row r="336" spans="14:15" x14ac:dyDescent="0.25">
      <c r="N336" s="94"/>
      <c r="O336" s="4"/>
    </row>
    <row r="337" spans="14:15" x14ac:dyDescent="0.25">
      <c r="N337" s="94"/>
      <c r="O337" s="4"/>
    </row>
    <row r="338" spans="14:15" x14ac:dyDescent="0.25">
      <c r="N338" s="94"/>
      <c r="O338" s="4"/>
    </row>
    <row r="339" spans="14:15" x14ac:dyDescent="0.25">
      <c r="N339" s="94"/>
      <c r="O339" s="4"/>
    </row>
    <row r="340" spans="14:15" x14ac:dyDescent="0.25">
      <c r="N340" s="94"/>
      <c r="O340" s="4"/>
    </row>
    <row r="341" spans="14:15" x14ac:dyDescent="0.25">
      <c r="N341" s="94"/>
      <c r="O341" s="4"/>
    </row>
    <row r="342" spans="14:15" x14ac:dyDescent="0.25">
      <c r="N342" s="94"/>
      <c r="O342" s="4"/>
    </row>
    <row r="343" spans="14:15" x14ac:dyDescent="0.25">
      <c r="N343" s="94"/>
      <c r="O343" s="4"/>
    </row>
    <row r="344" spans="14:15" x14ac:dyDescent="0.25">
      <c r="N344" s="94"/>
      <c r="O344" s="4"/>
    </row>
    <row r="345" spans="14:15" x14ac:dyDescent="0.25">
      <c r="N345" s="94"/>
      <c r="O345" s="4"/>
    </row>
    <row r="346" spans="14:15" x14ac:dyDescent="0.25">
      <c r="N346" s="94"/>
      <c r="O346" s="4"/>
    </row>
    <row r="347" spans="14:15" x14ac:dyDescent="0.25">
      <c r="N347" s="94"/>
      <c r="O347" s="4"/>
    </row>
    <row r="348" spans="14:15" x14ac:dyDescent="0.25">
      <c r="N348" s="94"/>
      <c r="O348" s="4"/>
    </row>
    <row r="349" spans="14:15" x14ac:dyDescent="0.25">
      <c r="N349" s="94"/>
      <c r="O349" s="4"/>
    </row>
    <row r="350" spans="14:15" x14ac:dyDescent="0.25">
      <c r="N350" s="94"/>
      <c r="O350" s="4"/>
    </row>
    <row r="351" spans="14:15" x14ac:dyDescent="0.25">
      <c r="N351" s="94"/>
      <c r="O351" s="4"/>
    </row>
    <row r="352" spans="14:15" x14ac:dyDescent="0.25">
      <c r="N352" s="94"/>
      <c r="O352" s="4"/>
    </row>
    <row r="353" spans="14:15" x14ac:dyDescent="0.25">
      <c r="N353" s="94"/>
      <c r="O353" s="4"/>
    </row>
    <row r="354" spans="14:15" x14ac:dyDescent="0.25">
      <c r="N354" s="94"/>
      <c r="O354" s="4"/>
    </row>
    <row r="355" spans="14:15" x14ac:dyDescent="0.25">
      <c r="N355" s="94"/>
      <c r="O355" s="4"/>
    </row>
    <row r="356" spans="14:15" x14ac:dyDescent="0.25">
      <c r="N356" s="94"/>
      <c r="O356" s="4"/>
    </row>
    <row r="357" spans="14:15" x14ac:dyDescent="0.25">
      <c r="N357" s="94"/>
      <c r="O357" s="4"/>
    </row>
    <row r="358" spans="14:15" x14ac:dyDescent="0.25">
      <c r="N358" s="94"/>
      <c r="O358" s="4"/>
    </row>
    <row r="359" spans="14:15" x14ac:dyDescent="0.25">
      <c r="N359" s="94"/>
      <c r="O359" s="4"/>
    </row>
    <row r="360" spans="14:15" x14ac:dyDescent="0.25">
      <c r="N360" s="94"/>
      <c r="O360" s="4"/>
    </row>
    <row r="361" spans="14:15" x14ac:dyDescent="0.25">
      <c r="N361" s="94"/>
      <c r="O361" s="4"/>
    </row>
    <row r="362" spans="14:15" x14ac:dyDescent="0.25">
      <c r="N362" s="94"/>
      <c r="O362" s="4"/>
    </row>
    <row r="363" spans="14:15" x14ac:dyDescent="0.25">
      <c r="N363" s="94"/>
      <c r="O363" s="4"/>
    </row>
    <row r="364" spans="14:15" x14ac:dyDescent="0.25">
      <c r="N364" s="94"/>
      <c r="O364" s="4"/>
    </row>
    <row r="365" spans="14:15" x14ac:dyDescent="0.25">
      <c r="N365" s="94"/>
      <c r="O365" s="4"/>
    </row>
    <row r="366" spans="14:15" x14ac:dyDescent="0.25">
      <c r="N366" s="94"/>
      <c r="O366" s="4"/>
    </row>
    <row r="367" spans="14:15" x14ac:dyDescent="0.25">
      <c r="N367" s="94"/>
      <c r="O367" s="4"/>
    </row>
    <row r="368" spans="14:15" x14ac:dyDescent="0.25">
      <c r="N368" s="94"/>
      <c r="O368" s="4"/>
    </row>
    <row r="369" spans="14:15" x14ac:dyDescent="0.25">
      <c r="N369" s="94"/>
      <c r="O369" s="4"/>
    </row>
    <row r="370" spans="14:15" x14ac:dyDescent="0.25">
      <c r="N370" s="94"/>
      <c r="O370" s="4"/>
    </row>
    <row r="371" spans="14:15" x14ac:dyDescent="0.25">
      <c r="N371" s="94"/>
      <c r="O371" s="4"/>
    </row>
    <row r="372" spans="14:15" x14ac:dyDescent="0.25">
      <c r="N372" s="94"/>
      <c r="O372" s="4"/>
    </row>
    <row r="373" spans="14:15" x14ac:dyDescent="0.25">
      <c r="N373" s="94"/>
      <c r="O373" s="4"/>
    </row>
    <row r="374" spans="14:15" x14ac:dyDescent="0.25">
      <c r="N374" s="94"/>
      <c r="O374" s="4"/>
    </row>
    <row r="375" spans="14:15" x14ac:dyDescent="0.25">
      <c r="N375" s="94"/>
      <c r="O375" s="4"/>
    </row>
    <row r="376" spans="14:15" x14ac:dyDescent="0.25">
      <c r="N376" s="94"/>
      <c r="O376" s="4"/>
    </row>
    <row r="377" spans="14:15" x14ac:dyDescent="0.25">
      <c r="N377" s="94"/>
      <c r="O377" s="4"/>
    </row>
    <row r="378" spans="14:15" x14ac:dyDescent="0.25">
      <c r="N378" s="94"/>
      <c r="O378" s="4"/>
    </row>
    <row r="379" spans="14:15" x14ac:dyDescent="0.25">
      <c r="N379" s="94"/>
      <c r="O379" s="4"/>
    </row>
    <row r="380" spans="14:15" x14ac:dyDescent="0.25">
      <c r="N380" s="94"/>
      <c r="O380" s="4"/>
    </row>
    <row r="381" spans="14:15" x14ac:dyDescent="0.25">
      <c r="N381" s="94"/>
      <c r="O381" s="4"/>
    </row>
    <row r="382" spans="14:15" x14ac:dyDescent="0.25">
      <c r="N382" s="94"/>
      <c r="O382" s="4"/>
    </row>
    <row r="383" spans="14:15" x14ac:dyDescent="0.25">
      <c r="N383" s="94"/>
      <c r="O383" s="4"/>
    </row>
    <row r="384" spans="14:15" x14ac:dyDescent="0.25">
      <c r="N384" s="94"/>
      <c r="O384" s="4"/>
    </row>
    <row r="385" spans="14:15" x14ac:dyDescent="0.25">
      <c r="N385" s="94"/>
      <c r="O385" s="4"/>
    </row>
    <row r="386" spans="14:15" x14ac:dyDescent="0.25">
      <c r="N386" s="94"/>
      <c r="O386" s="4"/>
    </row>
    <row r="387" spans="14:15" x14ac:dyDescent="0.25">
      <c r="N387" s="94"/>
      <c r="O387" s="4"/>
    </row>
    <row r="388" spans="14:15" x14ac:dyDescent="0.25">
      <c r="N388" s="94"/>
      <c r="O388" s="4"/>
    </row>
    <row r="389" spans="14:15" x14ac:dyDescent="0.25">
      <c r="N389" s="94"/>
      <c r="O389" s="4"/>
    </row>
    <row r="390" spans="14:15" x14ac:dyDescent="0.25">
      <c r="N390" s="94"/>
      <c r="O390" s="4"/>
    </row>
    <row r="391" spans="14:15" x14ac:dyDescent="0.25">
      <c r="N391" s="94"/>
      <c r="O391" s="4"/>
    </row>
    <row r="392" spans="14:15" x14ac:dyDescent="0.25">
      <c r="N392" s="94"/>
      <c r="O392" s="4"/>
    </row>
    <row r="393" spans="14:15" x14ac:dyDescent="0.25">
      <c r="N393" s="94"/>
      <c r="O393" s="4"/>
    </row>
    <row r="394" spans="14:15" x14ac:dyDescent="0.25">
      <c r="N394" s="94"/>
      <c r="O394" s="4"/>
    </row>
    <row r="395" spans="14:15" x14ac:dyDescent="0.25">
      <c r="N395" s="94"/>
      <c r="O395" s="4"/>
    </row>
    <row r="396" spans="14:15" x14ac:dyDescent="0.25">
      <c r="N396" s="94"/>
      <c r="O396" s="4"/>
    </row>
    <row r="397" spans="14:15" x14ac:dyDescent="0.25">
      <c r="N397" s="94"/>
      <c r="O397" s="4"/>
    </row>
    <row r="398" spans="14:15" x14ac:dyDescent="0.25">
      <c r="N398" s="94"/>
      <c r="O398" s="4"/>
    </row>
    <row r="399" spans="14:15" x14ac:dyDescent="0.25">
      <c r="N399" s="94"/>
      <c r="O399" s="4"/>
    </row>
    <row r="400" spans="14:15" x14ac:dyDescent="0.25">
      <c r="N400" s="94"/>
      <c r="O400" s="4"/>
    </row>
    <row r="401" spans="14:15" x14ac:dyDescent="0.25">
      <c r="N401" s="94"/>
      <c r="O401" s="4"/>
    </row>
    <row r="402" spans="14:15" x14ac:dyDescent="0.25">
      <c r="N402" s="94"/>
      <c r="O402" s="4"/>
    </row>
    <row r="403" spans="14:15" x14ac:dyDescent="0.25">
      <c r="N403" s="94"/>
      <c r="O403" s="4"/>
    </row>
    <row r="404" spans="14:15" x14ac:dyDescent="0.25">
      <c r="N404" s="94"/>
      <c r="O404" s="4"/>
    </row>
    <row r="405" spans="14:15" x14ac:dyDescent="0.25">
      <c r="N405" s="94"/>
      <c r="O405" s="4"/>
    </row>
    <row r="406" spans="14:15" x14ac:dyDescent="0.25">
      <c r="N406" s="94"/>
      <c r="O406" s="4"/>
    </row>
    <row r="407" spans="14:15" x14ac:dyDescent="0.25">
      <c r="N407" s="94"/>
      <c r="O407" s="4"/>
    </row>
    <row r="408" spans="14:15" x14ac:dyDescent="0.25">
      <c r="N408" s="94"/>
      <c r="O408" s="4"/>
    </row>
    <row r="409" spans="14:15" x14ac:dyDescent="0.25">
      <c r="N409" s="94"/>
      <c r="O409" s="4"/>
    </row>
    <row r="410" spans="14:15" x14ac:dyDescent="0.25">
      <c r="N410" s="94"/>
      <c r="O410" s="4"/>
    </row>
    <row r="411" spans="14:15" x14ac:dyDescent="0.25">
      <c r="N411" s="94"/>
      <c r="O411" s="4"/>
    </row>
    <row r="412" spans="14:15" x14ac:dyDescent="0.25">
      <c r="N412" s="94"/>
      <c r="O412" s="4"/>
    </row>
    <row r="413" spans="14:15" x14ac:dyDescent="0.25">
      <c r="N413" s="94"/>
      <c r="O413" s="4"/>
    </row>
    <row r="414" spans="14:15" x14ac:dyDescent="0.25">
      <c r="N414" s="94"/>
      <c r="O414" s="4"/>
    </row>
    <row r="415" spans="14:15" x14ac:dyDescent="0.25">
      <c r="N415" s="94"/>
      <c r="O415" s="4"/>
    </row>
    <row r="416" spans="14:15" x14ac:dyDescent="0.25">
      <c r="N416" s="94"/>
      <c r="O416" s="4"/>
    </row>
    <row r="417" spans="14:15" x14ac:dyDescent="0.25">
      <c r="N417" s="94"/>
      <c r="O417" s="4"/>
    </row>
    <row r="418" spans="14:15" x14ac:dyDescent="0.25">
      <c r="N418" s="94"/>
      <c r="O418" s="4"/>
    </row>
    <row r="419" spans="14:15" x14ac:dyDescent="0.25">
      <c r="N419" s="94"/>
      <c r="O419" s="4"/>
    </row>
    <row r="420" spans="14:15" x14ac:dyDescent="0.25">
      <c r="N420" s="94"/>
      <c r="O420" s="4"/>
    </row>
    <row r="421" spans="14:15" x14ac:dyDescent="0.25">
      <c r="N421" s="94"/>
      <c r="O421" s="4"/>
    </row>
    <row r="422" spans="14:15" x14ac:dyDescent="0.25">
      <c r="N422" s="94"/>
      <c r="O422" s="4"/>
    </row>
    <row r="423" spans="14:15" x14ac:dyDescent="0.25">
      <c r="N423" s="94"/>
      <c r="O423" s="4"/>
    </row>
    <row r="424" spans="14:15" x14ac:dyDescent="0.25">
      <c r="N424" s="94"/>
      <c r="O424" s="4"/>
    </row>
    <row r="425" spans="14:15" x14ac:dyDescent="0.25">
      <c r="N425" s="94"/>
      <c r="O425" s="4"/>
    </row>
    <row r="426" spans="14:15" x14ac:dyDescent="0.25">
      <c r="N426" s="94"/>
      <c r="O426" s="4"/>
    </row>
    <row r="427" spans="14:15" x14ac:dyDescent="0.25">
      <c r="N427" s="94"/>
      <c r="O427" s="4"/>
    </row>
    <row r="428" spans="14:15" x14ac:dyDescent="0.25">
      <c r="N428" s="94"/>
      <c r="O428" s="4"/>
    </row>
    <row r="429" spans="14:15" x14ac:dyDescent="0.25">
      <c r="N429" s="94"/>
      <c r="O429" s="4"/>
    </row>
    <row r="430" spans="14:15" x14ac:dyDescent="0.25">
      <c r="N430" s="94"/>
      <c r="O430" s="4"/>
    </row>
    <row r="431" spans="14:15" x14ac:dyDescent="0.25">
      <c r="N431" s="94"/>
      <c r="O431" s="4"/>
    </row>
    <row r="432" spans="14:15" x14ac:dyDescent="0.25">
      <c r="N432" s="94"/>
      <c r="O432" s="4"/>
    </row>
    <row r="433" spans="14:15" x14ac:dyDescent="0.25">
      <c r="N433" s="94"/>
      <c r="O433" s="4"/>
    </row>
    <row r="434" spans="14:15" x14ac:dyDescent="0.25">
      <c r="N434" s="94"/>
      <c r="O434" s="4"/>
    </row>
    <row r="435" spans="14:15" x14ac:dyDescent="0.25">
      <c r="N435" s="94"/>
      <c r="O435" s="4"/>
    </row>
    <row r="436" spans="14:15" x14ac:dyDescent="0.25">
      <c r="N436" s="94"/>
      <c r="O436" s="4"/>
    </row>
    <row r="437" spans="14:15" x14ac:dyDescent="0.25">
      <c r="N437" s="94"/>
      <c r="O437" s="4"/>
    </row>
    <row r="438" spans="14:15" x14ac:dyDescent="0.25">
      <c r="N438" s="94"/>
      <c r="O438" s="4"/>
    </row>
    <row r="439" spans="14:15" x14ac:dyDescent="0.25">
      <c r="N439" s="94"/>
      <c r="O439" s="4"/>
    </row>
    <row r="440" spans="14:15" x14ac:dyDescent="0.25">
      <c r="N440" s="94"/>
      <c r="O440" s="4"/>
    </row>
    <row r="441" spans="14:15" x14ac:dyDescent="0.25">
      <c r="N441" s="94"/>
      <c r="O441" s="4"/>
    </row>
    <row r="442" spans="14:15" x14ac:dyDescent="0.25">
      <c r="N442" s="94"/>
      <c r="O442" s="4"/>
    </row>
    <row r="443" spans="14:15" x14ac:dyDescent="0.25">
      <c r="N443" s="94"/>
      <c r="O443" s="4"/>
    </row>
    <row r="444" spans="14:15" x14ac:dyDescent="0.25">
      <c r="N444" s="94"/>
      <c r="O444" s="4"/>
    </row>
    <row r="445" spans="14:15" x14ac:dyDescent="0.25">
      <c r="N445" s="94"/>
      <c r="O445" s="4"/>
    </row>
    <row r="446" spans="14:15" x14ac:dyDescent="0.25">
      <c r="N446" s="94"/>
      <c r="O446" s="4"/>
    </row>
    <row r="447" spans="14:15" x14ac:dyDescent="0.25">
      <c r="N447" s="94"/>
      <c r="O447" s="4"/>
    </row>
    <row r="448" spans="14:15" x14ac:dyDescent="0.25">
      <c r="N448" s="94"/>
      <c r="O448" s="4"/>
    </row>
    <row r="449" spans="14:15" x14ac:dyDescent="0.25">
      <c r="N449" s="94"/>
      <c r="O449" s="4"/>
    </row>
    <row r="450" spans="14:15" x14ac:dyDescent="0.25">
      <c r="N450" s="94"/>
      <c r="O450" s="4"/>
    </row>
    <row r="451" spans="14:15" x14ac:dyDescent="0.25">
      <c r="N451" s="94"/>
      <c r="O451" s="4"/>
    </row>
    <row r="452" spans="14:15" x14ac:dyDescent="0.25">
      <c r="N452" s="94"/>
      <c r="O452" s="4"/>
    </row>
    <row r="453" spans="14:15" x14ac:dyDescent="0.25">
      <c r="N453" s="94"/>
      <c r="O453" s="4"/>
    </row>
    <row r="454" spans="14:15" x14ac:dyDescent="0.25">
      <c r="N454" s="94"/>
      <c r="O454" s="4"/>
    </row>
    <row r="455" spans="14:15" x14ac:dyDescent="0.25">
      <c r="N455" s="94"/>
      <c r="O455" s="4"/>
    </row>
    <row r="456" spans="14:15" x14ac:dyDescent="0.25">
      <c r="N456" s="94"/>
      <c r="O456" s="4"/>
    </row>
    <row r="457" spans="14:15" x14ac:dyDescent="0.25">
      <c r="N457" s="94"/>
      <c r="O457" s="4"/>
    </row>
    <row r="458" spans="14:15" x14ac:dyDescent="0.25">
      <c r="N458" s="94"/>
      <c r="O458" s="4"/>
    </row>
    <row r="459" spans="14:15" x14ac:dyDescent="0.25">
      <c r="N459" s="94"/>
      <c r="O459" s="4"/>
    </row>
    <row r="460" spans="14:15" x14ac:dyDescent="0.25">
      <c r="N460" s="94"/>
      <c r="O460" s="4"/>
    </row>
    <row r="461" spans="14:15" x14ac:dyDescent="0.25">
      <c r="N461" s="94"/>
      <c r="O461" s="4"/>
    </row>
    <row r="462" spans="14:15" x14ac:dyDescent="0.25">
      <c r="N462" s="94"/>
      <c r="O462" s="4"/>
    </row>
    <row r="463" spans="14:15" x14ac:dyDescent="0.25">
      <c r="N463" s="94"/>
      <c r="O463" s="4"/>
    </row>
    <row r="464" spans="14:15" x14ac:dyDescent="0.25">
      <c r="N464" s="94"/>
      <c r="O464" s="4"/>
    </row>
    <row r="465" spans="14:15" x14ac:dyDescent="0.25">
      <c r="N465" s="94"/>
      <c r="O465" s="4"/>
    </row>
    <row r="466" spans="14:15" x14ac:dyDescent="0.25">
      <c r="N466" s="94"/>
      <c r="O466" s="4"/>
    </row>
    <row r="467" spans="14:15" x14ac:dyDescent="0.25">
      <c r="N467" s="94"/>
      <c r="O467" s="4"/>
    </row>
    <row r="468" spans="14:15" x14ac:dyDescent="0.25">
      <c r="N468" s="94"/>
      <c r="O468" s="4"/>
    </row>
    <row r="469" spans="14:15" x14ac:dyDescent="0.25">
      <c r="N469" s="94"/>
      <c r="O469" s="4"/>
    </row>
    <row r="470" spans="14:15" x14ac:dyDescent="0.25">
      <c r="N470" s="94"/>
      <c r="O470" s="4"/>
    </row>
    <row r="471" spans="14:15" x14ac:dyDescent="0.25">
      <c r="N471" s="94"/>
      <c r="O471" s="4"/>
    </row>
    <row r="472" spans="14:15" x14ac:dyDescent="0.25">
      <c r="N472" s="94"/>
      <c r="O472" s="4"/>
    </row>
    <row r="473" spans="14:15" x14ac:dyDescent="0.25">
      <c r="N473" s="94"/>
      <c r="O473" s="4"/>
    </row>
    <row r="474" spans="14:15" x14ac:dyDescent="0.25">
      <c r="N474" s="94"/>
      <c r="O474" s="4"/>
    </row>
    <row r="475" spans="14:15" x14ac:dyDescent="0.25">
      <c r="N475" s="94"/>
      <c r="O475" s="4"/>
    </row>
    <row r="476" spans="14:15" x14ac:dyDescent="0.25">
      <c r="N476" s="94"/>
      <c r="O476" s="4"/>
    </row>
    <row r="477" spans="14:15" x14ac:dyDescent="0.25">
      <c r="N477" s="94"/>
      <c r="O477" s="4"/>
    </row>
    <row r="478" spans="14:15" x14ac:dyDescent="0.25">
      <c r="N478" s="94"/>
      <c r="O478" s="4"/>
    </row>
    <row r="479" spans="14:15" x14ac:dyDescent="0.25">
      <c r="N479" s="94"/>
      <c r="O479" s="4"/>
    </row>
    <row r="480" spans="14:15" x14ac:dyDescent="0.25">
      <c r="N480" s="94"/>
      <c r="O480" s="4"/>
    </row>
    <row r="481" spans="14:15" x14ac:dyDescent="0.25">
      <c r="N481" s="94"/>
      <c r="O481" s="4"/>
    </row>
    <row r="482" spans="14:15" x14ac:dyDescent="0.25">
      <c r="N482" s="94"/>
      <c r="O482" s="4"/>
    </row>
    <row r="483" spans="14:15" x14ac:dyDescent="0.25">
      <c r="N483" s="94"/>
      <c r="O483" s="4"/>
    </row>
    <row r="484" spans="14:15" x14ac:dyDescent="0.25">
      <c r="N484" s="94"/>
      <c r="O484" s="4"/>
    </row>
    <row r="485" spans="14:15" x14ac:dyDescent="0.25">
      <c r="N485" s="94"/>
      <c r="O485" s="4"/>
    </row>
    <row r="486" spans="14:15" x14ac:dyDescent="0.25">
      <c r="N486" s="94"/>
      <c r="O486" s="4"/>
    </row>
    <row r="487" spans="14:15" x14ac:dyDescent="0.25">
      <c r="N487" s="94"/>
      <c r="O487" s="4"/>
    </row>
    <row r="488" spans="14:15" x14ac:dyDescent="0.25">
      <c r="N488" s="94"/>
      <c r="O488" s="4"/>
    </row>
    <row r="489" spans="14:15" x14ac:dyDescent="0.25">
      <c r="N489" s="94"/>
      <c r="O489" s="4"/>
    </row>
    <row r="490" spans="14:15" x14ac:dyDescent="0.25">
      <c r="N490" s="94"/>
      <c r="O490" s="4"/>
    </row>
    <row r="491" spans="14:15" x14ac:dyDescent="0.25">
      <c r="N491" s="94"/>
      <c r="O491" s="4"/>
    </row>
    <row r="492" spans="14:15" x14ac:dyDescent="0.25">
      <c r="N492" s="94"/>
      <c r="O492" s="4"/>
    </row>
    <row r="493" spans="14:15" x14ac:dyDescent="0.25">
      <c r="N493" s="94"/>
      <c r="O493" s="4"/>
    </row>
    <row r="494" spans="14:15" x14ac:dyDescent="0.25">
      <c r="N494" s="94"/>
      <c r="O494" s="4"/>
    </row>
    <row r="495" spans="14:15" x14ac:dyDescent="0.25">
      <c r="N495" s="94"/>
      <c r="O495" s="4"/>
    </row>
    <row r="496" spans="14:15" x14ac:dyDescent="0.25">
      <c r="N496" s="94"/>
      <c r="O496" s="4"/>
    </row>
    <row r="497" spans="14:15" x14ac:dyDescent="0.25">
      <c r="N497" s="94"/>
      <c r="O497" s="4"/>
    </row>
    <row r="498" spans="14:15" x14ac:dyDescent="0.25">
      <c r="N498" s="94"/>
      <c r="O498" s="4"/>
    </row>
    <row r="499" spans="14:15" x14ac:dyDescent="0.25">
      <c r="N499" s="94"/>
      <c r="O499" s="4"/>
    </row>
    <row r="500" spans="14:15" x14ac:dyDescent="0.25">
      <c r="N500" s="94"/>
      <c r="O500" s="4"/>
    </row>
  </sheetData>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8433" r:id="rId6" name="Button 1">
              <controlPr defaultSize="0" print="0" autoFill="0" autoPict="0" macro="[0]!Refresh_PubDate_Data">
                <anchor moveWithCells="1">
                  <from>
                    <xdr:col>3</xdr:col>
                    <xdr:colOff>0</xdr:colOff>
                    <xdr:row>0</xdr:row>
                    <xdr:rowOff>200025</xdr:rowOff>
                  </from>
                  <to>
                    <xdr:col>4</xdr:col>
                    <xdr:colOff>304800</xdr:colOff>
                    <xdr:row>2</xdr:row>
                    <xdr:rowOff>0</xdr:rowOff>
                  </to>
                </anchor>
              </controlPr>
            </control>
          </mc:Choice>
        </mc:AlternateContent>
        <mc:AlternateContent xmlns:mc="http://schemas.openxmlformats.org/markup-compatibility/2006">
          <mc:Choice Requires="x14">
            <control shapeId="18434" r:id="rId7" name="Button 2">
              <controlPr defaultSize="0" print="0" autoFill="0" autoPict="0" macro="[0]!Year_ChartUp">
                <anchor moveWithCells="1">
                  <from>
                    <xdr:col>2</xdr:col>
                    <xdr:colOff>466725</xdr:colOff>
                    <xdr:row>4</xdr:row>
                    <xdr:rowOff>0</xdr:rowOff>
                  </from>
                  <to>
                    <xdr:col>3</xdr:col>
                    <xdr:colOff>0</xdr:colOff>
                    <xdr:row>5</xdr:row>
                    <xdr:rowOff>47625</xdr:rowOff>
                  </to>
                </anchor>
              </controlPr>
            </control>
          </mc:Choice>
        </mc:AlternateContent>
        <mc:AlternateContent xmlns:mc="http://schemas.openxmlformats.org/markup-compatibility/2006">
          <mc:Choice Requires="x14">
            <control shapeId="18435" r:id="rId8" name="Button 3">
              <controlPr defaultSize="0" print="0" autoFill="0" autoPict="0" macro="[0]!Year_ChartDown">
                <anchor moveWithCells="1">
                  <from>
                    <xdr:col>2</xdr:col>
                    <xdr:colOff>466725</xdr:colOff>
                    <xdr:row>6</xdr:row>
                    <xdr:rowOff>0</xdr:rowOff>
                  </from>
                  <to>
                    <xdr:col>3</xdr:col>
                    <xdr:colOff>0</xdr:colOff>
                    <xdr:row>7</xdr:row>
                    <xdr:rowOff>47625</xdr:rowOff>
                  </to>
                </anchor>
              </controlPr>
            </control>
          </mc:Choice>
        </mc:AlternateContent>
        <mc:AlternateContent xmlns:mc="http://schemas.openxmlformats.org/markup-compatibility/2006">
          <mc:Choice Requires="x14">
            <control shapeId="18436" r:id="rId9" name="Button 4">
              <controlPr defaultSize="0" print="0" autoFill="0" autoPict="0" macro="[0]!Decade_ChartUp">
                <anchor moveWithCells="1">
                  <from>
                    <xdr:col>18</xdr:col>
                    <xdr:colOff>466725</xdr:colOff>
                    <xdr:row>4</xdr:row>
                    <xdr:rowOff>0</xdr:rowOff>
                  </from>
                  <to>
                    <xdr:col>19</xdr:col>
                    <xdr:colOff>0</xdr:colOff>
                    <xdr:row>5</xdr:row>
                    <xdr:rowOff>47625</xdr:rowOff>
                  </to>
                </anchor>
              </controlPr>
            </control>
          </mc:Choice>
        </mc:AlternateContent>
        <mc:AlternateContent xmlns:mc="http://schemas.openxmlformats.org/markup-compatibility/2006">
          <mc:Choice Requires="x14">
            <control shapeId="18437" r:id="rId10" name="Button 5">
              <controlPr defaultSize="0" print="0" autoFill="0" autoPict="0" macro="[0]!Decade_ChartDown">
                <anchor moveWithCells="1">
                  <from>
                    <xdr:col>18</xdr:col>
                    <xdr:colOff>466725</xdr:colOff>
                    <xdr:row>6</xdr:row>
                    <xdr:rowOff>0</xdr:rowOff>
                  </from>
                  <to>
                    <xdr:col>19</xdr:col>
                    <xdr:colOff>0</xdr:colOff>
                    <xdr:row>7</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E9FB6-FE85-4242-A6EE-EA234F20C0C1}">
  <sheetPr codeName="Sheet9">
    <tabColor theme="7"/>
  </sheetPr>
  <dimension ref="A1:G19"/>
  <sheetViews>
    <sheetView showGridLines="0" workbookViewId="0">
      <selection activeCell="A20" sqref="A20"/>
    </sheetView>
  </sheetViews>
  <sheetFormatPr defaultRowHeight="15" x14ac:dyDescent="0.25"/>
  <cols>
    <col min="1" max="1" width="32.42578125" bestFit="1" customWidth="1"/>
    <col min="2" max="7" width="20.7109375" customWidth="1"/>
  </cols>
  <sheetData>
    <row r="1" spans="1:7" ht="20.100000000000001" customHeight="1" x14ac:dyDescent="0.25">
      <c r="A1" s="10"/>
      <c r="B1" s="8" t="s">
        <v>123</v>
      </c>
      <c r="C1" s="8" t="s">
        <v>124</v>
      </c>
      <c r="D1" s="8" t="s">
        <v>125</v>
      </c>
      <c r="E1" s="8" t="s">
        <v>126</v>
      </c>
      <c r="F1" s="8" t="s">
        <v>127</v>
      </c>
      <c r="G1" s="8" t="s">
        <v>128</v>
      </c>
    </row>
    <row r="2" spans="1:7" x14ac:dyDescent="0.25">
      <c r="A2" s="9" t="s">
        <v>129</v>
      </c>
      <c r="B2" s="12"/>
      <c r="C2" s="13"/>
      <c r="D2" s="19"/>
      <c r="E2" s="16"/>
      <c r="F2" s="16"/>
      <c r="G2" s="6"/>
    </row>
    <row r="3" spans="1:7" x14ac:dyDescent="0.25">
      <c r="A3" s="9" t="s">
        <v>130</v>
      </c>
      <c r="B3" s="191"/>
      <c r="C3" s="14"/>
      <c r="D3" s="15"/>
      <c r="E3" s="17"/>
      <c r="F3" s="17"/>
      <c r="G3" s="7"/>
    </row>
    <row r="4" spans="1:7" x14ac:dyDescent="0.25">
      <c r="A4" s="190"/>
      <c r="B4" s="184"/>
      <c r="C4" s="184"/>
      <c r="D4" s="188"/>
      <c r="E4" s="189"/>
      <c r="F4" s="189"/>
      <c r="G4" s="189"/>
    </row>
    <row r="5" spans="1:7" x14ac:dyDescent="0.25">
      <c r="A5" s="192" t="s">
        <v>134</v>
      </c>
      <c r="B5" s="193" t="s">
        <v>80</v>
      </c>
      <c r="C5" s="194"/>
      <c r="D5" s="194"/>
      <c r="E5" s="194"/>
      <c r="F5" s="194"/>
      <c r="G5" s="195"/>
    </row>
    <row r="7" spans="1:7" x14ac:dyDescent="0.25">
      <c r="A7" s="192" t="s">
        <v>524</v>
      </c>
      <c r="B7" s="196"/>
      <c r="C7" s="197"/>
      <c r="D7" s="197"/>
      <c r="E7" s="197"/>
      <c r="F7" s="197"/>
      <c r="G7" s="198"/>
    </row>
    <row r="9" spans="1:7" x14ac:dyDescent="0.25">
      <c r="A9" s="192" t="s">
        <v>488</v>
      </c>
      <c r="B9" s="199" t="s">
        <v>241</v>
      </c>
    </row>
    <row r="10" spans="1:7" x14ac:dyDescent="0.25">
      <c r="A10" s="215" t="s">
        <v>131</v>
      </c>
      <c r="B10" s="216">
        <v>45264</v>
      </c>
    </row>
    <row r="11" spans="1:7" x14ac:dyDescent="0.25">
      <c r="A11" s="201" t="s">
        <v>132</v>
      </c>
      <c r="B11" s="202"/>
    </row>
    <row r="12" spans="1:7" x14ac:dyDescent="0.25">
      <c r="A12" s="203" t="s">
        <v>525</v>
      </c>
      <c r="B12" s="200">
        <v>45273</v>
      </c>
      <c r="C12" s="11"/>
    </row>
    <row r="13" spans="1:7" x14ac:dyDescent="0.25">
      <c r="A13" s="204" t="s">
        <v>133</v>
      </c>
      <c r="B13" s="205"/>
      <c r="C13" s="11"/>
    </row>
    <row r="15" spans="1:7" x14ac:dyDescent="0.25">
      <c r="A15" s="206" t="s">
        <v>526</v>
      </c>
      <c r="B15" s="193" t="s">
        <v>80</v>
      </c>
      <c r="C15" s="194"/>
      <c r="D15" s="194"/>
      <c r="E15" s="194"/>
      <c r="F15" s="194"/>
      <c r="G15" s="195"/>
    </row>
    <row r="17" spans="1:7" x14ac:dyDescent="0.25">
      <c r="A17" s="206" t="s">
        <v>135</v>
      </c>
      <c r="B17" s="207"/>
      <c r="C17" s="208"/>
      <c r="D17" s="208"/>
      <c r="E17" s="208"/>
      <c r="F17" s="208"/>
      <c r="G17" s="209"/>
    </row>
    <row r="18" spans="1:7" x14ac:dyDescent="0.25">
      <c r="A18" s="218"/>
      <c r="B18" s="210"/>
      <c r="C18" s="217"/>
      <c r="D18" s="217"/>
      <c r="E18" s="217"/>
      <c r="F18" s="217"/>
      <c r="G18" s="211"/>
    </row>
    <row r="19" spans="1:7" x14ac:dyDescent="0.25">
      <c r="A19" s="190"/>
      <c r="B19" s="212"/>
      <c r="C19" s="213"/>
      <c r="D19" s="213"/>
      <c r="E19" s="213"/>
      <c r="F19" s="213"/>
      <c r="G19" s="214"/>
    </row>
  </sheetData>
  <mergeCells count="4">
    <mergeCell ref="B17:G19"/>
    <mergeCell ref="B15:G15"/>
    <mergeCell ref="B5:G5"/>
    <mergeCell ref="B7:G7"/>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AFB4-E5B4-478F-89C1-5DC00BDBAF60}">
  <sheetPr codeName="Sheet13">
    <tabColor theme="9" tint="-0.249977111117893"/>
  </sheetPr>
  <dimension ref="B2:D16"/>
  <sheetViews>
    <sheetView showGridLines="0" workbookViewId="0">
      <selection activeCell="J22" sqref="J22"/>
    </sheetView>
  </sheetViews>
  <sheetFormatPr defaultColWidth="9.140625" defaultRowHeight="15" x14ac:dyDescent="0.25"/>
  <cols>
    <col min="1" max="1" width="3.7109375" style="2" customWidth="1"/>
    <col min="2" max="16384" width="9.140625" style="2"/>
  </cols>
  <sheetData>
    <row r="2" spans="2:4" ht="24.95" customHeight="1" x14ac:dyDescent="0.25">
      <c r="D2" s="18" t="s">
        <v>136</v>
      </c>
    </row>
    <row r="3" spans="2:4" x14ac:dyDescent="0.25">
      <c r="D3" s="33" t="s">
        <v>137</v>
      </c>
    </row>
    <row r="5" spans="2:4" x14ac:dyDescent="0.25">
      <c r="B5" s="2" t="s">
        <v>138</v>
      </c>
      <c r="D5" s="2" t="s">
        <v>139</v>
      </c>
    </row>
    <row r="6" spans="2:4" x14ac:dyDescent="0.25">
      <c r="D6" s="2" t="s">
        <v>140</v>
      </c>
    </row>
    <row r="7" spans="2:4" x14ac:dyDescent="0.25">
      <c r="D7" s="2" t="s">
        <v>141</v>
      </c>
    </row>
    <row r="8" spans="2:4" x14ac:dyDescent="0.25">
      <c r="D8" s="2" t="s">
        <v>142</v>
      </c>
    </row>
    <row r="9" spans="2:4" x14ac:dyDescent="0.25">
      <c r="D9" s="2" t="s">
        <v>143</v>
      </c>
    </row>
    <row r="11" spans="2:4" x14ac:dyDescent="0.25">
      <c r="B11" s="2" t="s">
        <v>125</v>
      </c>
      <c r="D11" s="32" t="s">
        <v>144</v>
      </c>
    </row>
    <row r="13" spans="2:4" x14ac:dyDescent="0.25">
      <c r="B13" s="2" t="s">
        <v>145</v>
      </c>
      <c r="D13" s="32" t="s">
        <v>146</v>
      </c>
    </row>
    <row r="14" spans="2:4" x14ac:dyDescent="0.25">
      <c r="B14" s="2" t="s">
        <v>147</v>
      </c>
      <c r="D14" s="32" t="s">
        <v>148</v>
      </c>
    </row>
    <row r="16" spans="2:4" x14ac:dyDescent="0.25">
      <c r="B16" s="2" t="s">
        <v>149</v>
      </c>
      <c r="D16" s="32" t="s">
        <v>150</v>
      </c>
    </row>
  </sheetData>
  <hyperlinks>
    <hyperlink ref="D3" r:id="rId1" xr:uid="{4FFCA569-40B9-469F-815F-CC3AC3FE0817}"/>
    <hyperlink ref="D11" r:id="rId2" xr:uid="{527BC514-698F-49B1-A2C3-FE7B3C06A976}"/>
    <hyperlink ref="D13" r:id="rId3" xr:uid="{C7509E19-F321-478C-87D9-87EE3FB1E16B}"/>
    <hyperlink ref="D14" r:id="rId4" display="https://www.linkedin.com/in/adam-lisbon-90a7b3106/" xr:uid="{125B2868-E407-4602-90A3-C70BDB84B3CB}"/>
    <hyperlink ref="D16" r:id="rId5" xr:uid="{DCE713EF-ED54-43B8-87DF-162FFBE9E158}"/>
  </hyperlinks>
  <pageMargins left="0.7" right="0.7" top="0.75" bottom="0.75" header="0.3" footer="0.3"/>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Donation</vt:lpstr>
      <vt:lpstr>A-Slips</vt:lpstr>
      <vt:lpstr>M-Slips</vt:lpstr>
      <vt:lpstr>SA-Slips</vt:lpstr>
      <vt:lpstr>SA-Slips Backup</vt:lpstr>
      <vt:lpstr>s-Assign</vt:lpstr>
      <vt:lpstr>s-Series</vt:lpstr>
      <vt:lpstr>s-Pub</vt:lpstr>
      <vt:lpstr>s-Date</vt:lpstr>
      <vt:lpstr>About Donation</vt:lpstr>
      <vt:lpstr>License</vt:lpstr>
      <vt:lpstr>Orders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 H. Lisbon</dc:creator>
  <cp:keywords/>
  <dc:description/>
  <cp:lastModifiedBy>Adam H. Lisbon</cp:lastModifiedBy>
  <cp:revision/>
  <cp:lastPrinted>2024-03-01T17:13:34Z</cp:lastPrinted>
  <dcterms:created xsi:type="dcterms:W3CDTF">2021-07-26T18:34:48Z</dcterms:created>
  <dcterms:modified xsi:type="dcterms:W3CDTF">2024-03-01T21:16:42Z</dcterms:modified>
  <cp:category/>
  <cp:contentStatus/>
</cp:coreProperties>
</file>