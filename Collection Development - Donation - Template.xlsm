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tables/table5.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o365coloradoedu-my.sharepoint.com/personal/adli3279_colorado_edu/Documents/Collections - Receiving/Donations/"/>
    </mc:Choice>
  </mc:AlternateContent>
  <xr:revisionPtr revIDLastSave="529" documentId="8_{677BC35A-4D59-402A-824C-55E316D14D40}" xr6:coauthVersionLast="47" xr6:coauthVersionMax="47" xr10:uidLastSave="{628F2E76-BB8F-4F81-8AA7-F14F67EDB693}"/>
  <bookViews>
    <workbookView xWindow="-120" yWindow="-120" windowWidth="29040" windowHeight="15840" xr2:uid="{3F73EF3F-DCF4-4B94-9F4F-509400B7C5B3}"/>
  </bookViews>
  <sheets>
    <sheet name="Donation" sheetId="1" r:id="rId1"/>
    <sheet name="Guide" sheetId="17" r:id="rId2"/>
    <sheet name="Slips" sheetId="16" r:id="rId3"/>
    <sheet name="s-Format" sheetId="10" r:id="rId4"/>
    <sheet name="s-Assign" sheetId="11" r:id="rId5"/>
    <sheet name="s-Series" sheetId="14" r:id="rId6"/>
    <sheet name="s-Pub" sheetId="12" r:id="rId7"/>
    <sheet name="s-Date" sheetId="2" r:id="rId8"/>
    <sheet name="Subject Analysis" sheetId="9" r:id="rId9"/>
    <sheet name="Subj. Process" sheetId="15" r:id="rId10"/>
    <sheet name="Data Validation" sheetId="5" r:id="rId11"/>
    <sheet name="About Donation" sheetId="7" r:id="rId12"/>
    <sheet name="License" sheetId="18" r:id="rId13"/>
  </sheets>
  <definedNames>
    <definedName name="_xlnm._FilterDatabase" localSheetId="8" hidden="1">'Subject Analysis'!#REF!</definedName>
    <definedName name="Orders" localSheetId="1">Guide!$B$9:$AD$201</definedName>
    <definedName name="Orders">Donation!$A$6:$AC$200</definedName>
  </definedNames>
  <calcPr calcId="191029"/>
  <pivotCaches>
    <pivotCache cacheId="74" r:id="rId1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2" i="1" l="1"/>
  <c r="Z6" i="2"/>
  <c r="Z7" i="2"/>
  <c r="AA6" i="2"/>
  <c r="AA7" i="2"/>
  <c r="B2" i="14"/>
  <c r="B3" i="14"/>
  <c r="B4" i="14"/>
  <c r="B5" i="14"/>
  <c r="B6" i="14"/>
  <c r="B7" i="14"/>
  <c r="B8" i="14"/>
  <c r="B9" i="14"/>
  <c r="B10" i="14"/>
  <c r="AG6" i="17" l="1" a="1"/>
  <c r="AG6" i="17" s="1"/>
  <c r="AG5" i="17" a="1"/>
  <c r="AG5" i="17" s="1"/>
  <c r="Z5" i="17"/>
  <c r="Z4" i="2" l="1"/>
  <c r="Z5" i="2"/>
  <c r="Z3" i="2"/>
  <c r="AA2" i="2"/>
  <c r="B2" i="2"/>
  <c r="B3" i="2"/>
  <c r="B4" i="2"/>
  <c r="B5" i="2"/>
  <c r="B6" i="2"/>
  <c r="B7" i="2"/>
  <c r="B8" i="2"/>
  <c r="B9" i="2"/>
  <c r="B10" i="2"/>
  <c r="B11" i="2" l="1"/>
  <c r="AA4" i="2"/>
  <c r="AA3" i="2"/>
  <c r="AA5" i="2"/>
  <c r="AF3" i="1" a="1"/>
  <c r="AF3" i="1" s="1"/>
  <c r="AF2" i="1" a="1"/>
  <c r="AF2" i="1" s="1"/>
  <c r="AA8" i="2" l="1"/>
  <c r="C5" i="2"/>
  <c r="C7" i="2"/>
  <c r="C8" i="2"/>
  <c r="C10" i="2"/>
  <c r="C4" i="2"/>
  <c r="C2" i="2"/>
  <c r="C9" i="2"/>
  <c r="C6" i="2"/>
  <c r="C3" i="2"/>
  <c r="AB6" i="2" l="1"/>
  <c r="AB7" i="2"/>
  <c r="AB3" i="2"/>
  <c r="AB4" i="2"/>
  <c r="AB5" i="2"/>
  <c r="AB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Adam H. Lisbon</author>
  </authors>
  <commentList>
    <comment ref="N3" authorId="0" shapeId="0" xr:uid="{122D70E7-BB02-417A-84E5-CA1FDA899CB4}">
      <text>
        <r>
          <rPr>
            <b/>
            <sz val="9"/>
            <color indexed="81"/>
            <rFont val="Tahoma"/>
            <family val="2"/>
          </rPr>
          <t>Adam H. Lisbon:</t>
        </r>
        <r>
          <rPr>
            <sz val="9"/>
            <color indexed="81"/>
            <rFont val="Tahoma"/>
            <family val="2"/>
          </rPr>
          <t xml:space="preserve">
If a cell is red, there is a duplicate.
If a cell is yellow, it has multiple ISBNs.</t>
        </r>
      </text>
    </comment>
    <comment ref="B5" authorId="0" shapeId="0" xr:uid="{69CFDEFD-D544-4B9D-840B-0F9D53A1440D}">
      <text>
        <r>
          <rPr>
            <b/>
            <sz val="9"/>
            <color indexed="81"/>
            <rFont val="Tahoma"/>
            <family val="2"/>
          </rPr>
          <t>Adam H. Lisbon:</t>
        </r>
        <r>
          <rPr>
            <sz val="9"/>
            <color indexed="81"/>
            <rFont val="Tahoma"/>
            <family val="2"/>
          </rPr>
          <t xml:space="preserve">
Use for monographs or serials. Asian serials will often have a sequential # (total issues published so far) in addition to the volume and issue number.
Serials with all 3 will be formatted as:
1/1/1
Serials with only volume and issue will be formatted as:
1/1
OR
1 (if volume only)
Any other combo with missing data should use "?":
?/?/296
OR
3/?/709
etc.</t>
        </r>
      </text>
    </comment>
    <comment ref="C5" authorId="0" shapeId="0" xr:uid="{EE71ACAA-0285-477D-AC87-D9A645191445}">
      <text>
        <r>
          <rPr>
            <b/>
            <sz val="9"/>
            <color indexed="81"/>
            <rFont val="Tahoma"/>
            <family val="2"/>
          </rPr>
          <t>Adam H. Lisbon:</t>
        </r>
        <r>
          <rPr>
            <sz val="9"/>
            <color indexed="81"/>
            <rFont val="Tahoma"/>
            <family val="2"/>
          </rPr>
          <t xml:space="preserve">
Common to see two or three volume sets with:
上 = volume 1
下 = volume 2
or
上 = volume 1
中 = volume 2
下 = volume 3
Keep in mind that if you only have the 上 volume, you do not yet know if t's a 2 or 3 volume set.
These kinds of set can appear withing a larger multivolume set.</t>
        </r>
      </text>
    </comment>
    <comment ref="D5" authorId="0" shapeId="0" xr:uid="{94775C6B-71A9-4540-B895-491E58596617}">
      <text>
        <r>
          <rPr>
            <b/>
            <sz val="9"/>
            <color indexed="81"/>
            <rFont val="Tahoma"/>
            <family val="2"/>
          </rPr>
          <t>Adam H. Lisbon:</t>
        </r>
        <r>
          <rPr>
            <sz val="9"/>
            <color indexed="81"/>
            <rFont val="Tahoma"/>
            <family val="2"/>
          </rPr>
          <t xml:space="preserve">
Number of volumes in the donation, a second number in ( ) is how many items were published in the set. Only for sets intended to terminate, not serials.</t>
        </r>
      </text>
    </comment>
    <comment ref="H5" authorId="0" shapeId="0" xr:uid="{98C0DD90-7D65-407D-8D72-3D32DCB127F2}">
      <text>
        <r>
          <rPr>
            <b/>
            <sz val="9"/>
            <color indexed="81"/>
            <rFont val="Tahoma"/>
            <family val="2"/>
          </rPr>
          <t>Adam H. Lisbon:</t>
        </r>
        <r>
          <rPr>
            <sz val="9"/>
            <color indexed="81"/>
            <rFont val="Tahoma"/>
            <family val="2"/>
          </rPr>
          <t xml:space="preserve">
A red cell indicates that multiple ISBNs have been added to the link. It will not work correctly.</t>
        </r>
      </text>
    </comment>
    <comment ref="N5" authorId="0" shapeId="0" xr:uid="{37A5ADF3-B2D3-4A0B-9A34-C673C8B56FD3}">
      <text>
        <r>
          <rPr>
            <b/>
            <sz val="9"/>
            <color indexed="81"/>
            <rFont val="Tahoma"/>
            <family val="2"/>
          </rPr>
          <t>Adam H. Lisbon:</t>
        </r>
        <r>
          <rPr>
            <sz val="9"/>
            <color indexed="81"/>
            <rFont val="Tahoma"/>
            <family val="2"/>
          </rPr>
          <t xml:space="preserve">
Book sets will have multiple ISBN's.
When pulling bib data from WorldCat.org, the ISBNs are usually in order of the volume numbers You could manually isolate the ISBN you need.
The same is true when pulling data from FirstSearch. Though data pulled from there may explictily lavel the volume the ISBN references.
</t>
        </r>
      </text>
    </comment>
    <comment ref="Q5" authorId="0" shapeId="0" xr:uid="{26FD99D3-D4ED-4A74-87DF-EDCF6A75F6AA}">
      <text>
        <r>
          <rPr>
            <b/>
            <sz val="9"/>
            <color indexed="81"/>
            <rFont val="Tahoma"/>
            <family val="2"/>
          </rPr>
          <t>Adam H. Lisbon:</t>
        </r>
        <r>
          <rPr>
            <sz val="9"/>
            <color indexed="81"/>
            <rFont val="Tahoma"/>
            <family val="2"/>
          </rPr>
          <t xml:space="preserve">
Title duplicates are common when pulling data about books in sets. The title will usually be for the set and not the individual volume in the set.
There is nothing wrong with having duplicate titles. If you would like to distinguish individual tiltes in a set, you may:
1. add the title of the volume after the set title.
2. replace the set title with the title of the individual volume.
3. add a volume number after the set title.</t>
        </r>
      </text>
    </comment>
    <comment ref="V5" authorId="0" shapeId="0" xr:uid="{9E1D1FA4-36C3-4C36-9E98-DA1C8021D970}">
      <text>
        <r>
          <rPr>
            <b/>
            <sz val="9"/>
            <color indexed="81"/>
            <rFont val="Tahoma"/>
            <family val="2"/>
          </rPr>
          <t xml:space="preserve">Adam H. Lisbon:
Non-Roman series titles can only be obtained in FirstSearch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Adam H. Lisbon</author>
  </authors>
  <commentList>
    <comment ref="O6" authorId="0" shapeId="0" xr:uid="{03C78631-DC59-4BDF-AB3D-C6EFB0828ACA}">
      <text>
        <r>
          <rPr>
            <b/>
            <sz val="9"/>
            <color indexed="81"/>
            <rFont val="Tahoma"/>
            <family val="2"/>
          </rPr>
          <t>Adam H. Lisbon:</t>
        </r>
        <r>
          <rPr>
            <sz val="9"/>
            <color indexed="81"/>
            <rFont val="Tahoma"/>
            <family val="2"/>
          </rPr>
          <t xml:space="preserve">
If a cell is red, there is a duplicate.</t>
        </r>
      </text>
    </comment>
    <comment ref="C8" authorId="0" shapeId="0" xr:uid="{D089378F-0B40-4634-A320-7491BF738358}">
      <text>
        <r>
          <rPr>
            <b/>
            <sz val="9"/>
            <color indexed="81"/>
            <rFont val="Tahoma"/>
            <family val="2"/>
          </rPr>
          <t>Adam H. Lisbon:</t>
        </r>
        <r>
          <rPr>
            <sz val="9"/>
            <color indexed="81"/>
            <rFont val="Tahoma"/>
            <family val="2"/>
          </rPr>
          <t xml:space="preserve">
Use for monographs or serials. Asian serials will often have a sequential # (total issues published so far) in addition to the volume and issue number.
Serials with all 3 will be formatted as:
1/1/1
Serials with only volume and issue will be formatted as:
1/1
OR
1 (if volume only)
Any other combo with missing data should use "?":
?/?/296
OR
3/?/709
etc.</t>
        </r>
      </text>
    </comment>
    <comment ref="D8" authorId="0" shapeId="0" xr:uid="{5BA60521-15F1-4356-97DF-E89B1FCB972F}">
      <text>
        <r>
          <rPr>
            <b/>
            <sz val="9"/>
            <color indexed="81"/>
            <rFont val="Tahoma"/>
            <family val="2"/>
          </rPr>
          <t>Adam H. Lisbon:</t>
        </r>
        <r>
          <rPr>
            <sz val="9"/>
            <color indexed="81"/>
            <rFont val="Tahoma"/>
            <family val="2"/>
          </rPr>
          <t xml:space="preserve">
Common to see two or three volume sets with:
上 = volume 1
下 = volume 2
or
上 = volume 1
中 = volume 2
下 = volume 3
Keep in mind that if you only have the 上 volume, you do not yet know if t's a 2 or 3 volume set.
These kinds of set can appear withing a larger multivolume set.</t>
        </r>
      </text>
    </comment>
    <comment ref="E8" authorId="0" shapeId="0" xr:uid="{8BA7E092-0A0F-4739-9B62-24C13ACAF67C}">
      <text>
        <r>
          <rPr>
            <b/>
            <sz val="9"/>
            <color indexed="81"/>
            <rFont val="Tahoma"/>
            <family val="2"/>
          </rPr>
          <t>Adam H. Lisbon:</t>
        </r>
        <r>
          <rPr>
            <sz val="9"/>
            <color indexed="81"/>
            <rFont val="Tahoma"/>
            <family val="2"/>
          </rPr>
          <t xml:space="preserve">
Number of volumes in the donation, a second number in ( ) is how many items were published in the set. Only for sets intended to terminate, not serials.</t>
        </r>
      </text>
    </comment>
    <comment ref="G8" authorId="0" shapeId="0" xr:uid="{3DAF1A81-8972-49F7-A6B5-D6875917C353}">
      <text>
        <r>
          <rPr>
            <b/>
            <sz val="9"/>
            <color indexed="81"/>
            <rFont val="Tahoma"/>
            <family val="2"/>
          </rPr>
          <t>Adam H. Lisbon:</t>
        </r>
        <r>
          <rPr>
            <sz val="9"/>
            <color indexed="81"/>
            <rFont val="Tahoma"/>
            <family val="2"/>
          </rPr>
          <t xml:space="preserve">
Any format with "other" mentioned usually implies something atypical or unusual about the item.</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1"/>
        </ext>
      </extLst>
    </bk>
    <bk>
      <extLst>
        <ext uri="{3e2802c4-a4d2-4d8b-9148-e3be6c30e623}">
          <xlrd:rvb i="3"/>
        </ext>
      </extLst>
    </bk>
  </futureMetadata>
  <cellMetadata count="1">
    <bk>
      <rc t="1" v="0"/>
    </bk>
  </cellMetadata>
  <valueMetadata count="2">
    <bk>
      <rc t="2" v="0"/>
    </bk>
    <bk>
      <rc t="2" v="1"/>
    </bk>
  </valueMetadata>
</metadata>
</file>

<file path=xl/sharedStrings.xml><?xml version="1.0" encoding="utf-8"?>
<sst xmlns="http://schemas.openxmlformats.org/spreadsheetml/2006/main" count="2136" uniqueCount="505">
  <si>
    <t>¥ / ₩ ⇄ $</t>
  </si>
  <si>
    <t>Provenance:</t>
  </si>
  <si>
    <t>◀ Total Value</t>
  </si>
  <si>
    <t>Volume Data</t>
  </si>
  <si>
    <t>-</t>
  </si>
  <si>
    <t>Duplicate Check</t>
  </si>
  <si>
    <t>Unique Identifiers</t>
  </si>
  <si>
    <t>Bibliographic Data</t>
  </si>
  <si>
    <t>11</t>
  </si>
  <si>
    <t>Key</t>
  </si>
  <si>
    <t>Volume # / Issue# / Sequence #</t>
  </si>
  <si>
    <t>上
中
下</t>
  </si>
  <si>
    <t>of Total Volumes</t>
  </si>
  <si>
    <t>Cross Ref
to Key #</t>
  </si>
  <si>
    <t>Format</t>
  </si>
  <si>
    <t>Note</t>
  </si>
  <si>
    <t>URL for Price Check</t>
  </si>
  <si>
    <t>Collection</t>
  </si>
  <si>
    <t>j</t>
  </si>
  <si>
    <t>Dupe
ISBN
Check</t>
  </si>
  <si>
    <t>Dupe
Title
Check</t>
  </si>
  <si>
    <t>Dupe
WorldCat
Check</t>
  </si>
  <si>
    <t>ISBN13#/
ISSN#</t>
  </si>
  <si>
    <t>ISBN10#/
ISSN#</t>
  </si>
  <si>
    <t>OCLC#</t>
  </si>
  <si>
    <t>Title (V)</t>
  </si>
  <si>
    <t>Title (R/E)</t>
  </si>
  <si>
    <t>Creator (R/E)</t>
  </si>
  <si>
    <t>Creator (V)</t>
  </si>
  <si>
    <t>Series</t>
  </si>
  <si>
    <t>Publisher (R/E)</t>
  </si>
  <si>
    <t>Publisher (V)</t>
  </si>
  <si>
    <t>Value (Estimate)
$USD</t>
  </si>
  <si>
    <t>⇄</t>
  </si>
  <si>
    <t>$
¥
₩</t>
  </si>
  <si>
    <t>Value (Estimate)
¥ or ₩</t>
  </si>
  <si>
    <t>Subject
Headings</t>
  </si>
  <si>
    <t>Issues to think about
including debugging macro</t>
  </si>
  <si>
    <t>Serial - Other</t>
  </si>
  <si>
    <t>n/a</t>
  </si>
  <si>
    <t>pascal</t>
  </si>
  <si>
    <t>Book</t>
  </si>
  <si>
    <t>asnst</t>
  </si>
  <si>
    <t>dupe</t>
  </si>
  <si>
    <t>上</t>
  </si>
  <si>
    <t>Book - Part of Set</t>
  </si>
  <si>
    <t>下</t>
  </si>
  <si>
    <t>Serial - Journal</t>
  </si>
  <si>
    <t>reject</t>
  </si>
  <si>
    <t>Other</t>
  </si>
  <si>
    <t>Publishers</t>
  </si>
  <si>
    <t>Grand Total</t>
  </si>
  <si>
    <t>Collection
Locations</t>
  </si>
  <si>
    <t>Material
Formats</t>
  </si>
  <si>
    <t>Asian Style Volume Count</t>
  </si>
  <si>
    <t>artst</t>
  </si>
  <si>
    <t>asnref</t>
  </si>
  <si>
    <t>中</t>
  </si>
  <si>
    <t>asnser</t>
  </si>
  <si>
    <t>CD - Audio</t>
  </si>
  <si>
    <t>CD - Data</t>
  </si>
  <si>
    <t>CD - Music</t>
  </si>
  <si>
    <t>norst</t>
  </si>
  <si>
    <t>CD - Program</t>
  </si>
  <si>
    <t>Ephemera</t>
  </si>
  <si>
    <t>web</t>
  </si>
  <si>
    <t>Graphic - Poster</t>
  </si>
  <si>
    <t>Map</t>
  </si>
  <si>
    <t>Photograph</t>
  </si>
  <si>
    <t>Serial - Magazine</t>
  </si>
  <si>
    <t>Serial - Newspaper</t>
  </si>
  <si>
    <t>Uncertain</t>
  </si>
  <si>
    <t>First Name</t>
  </si>
  <si>
    <t>Last Name</t>
  </si>
  <si>
    <t>eMail</t>
  </si>
  <si>
    <t>Phone</t>
  </si>
  <si>
    <t>Address</t>
  </si>
  <si>
    <t>Processing Finished:</t>
  </si>
  <si>
    <t>Relationship of Donor and Contact:</t>
  </si>
  <si>
    <t>Connection to CU?</t>
  </si>
  <si>
    <t>Other Information:</t>
  </si>
  <si>
    <t>PubDate</t>
  </si>
  <si>
    <t>Assigned Collection</t>
  </si>
  <si>
    <t>CD - Other</t>
  </si>
  <si>
    <t>Count</t>
  </si>
  <si>
    <t>Pub Date</t>
  </si>
  <si>
    <t>%</t>
  </si>
  <si>
    <t>Total</t>
  </si>
  <si>
    <t>Status</t>
  </si>
  <si>
    <t>Donor:</t>
  </si>
  <si>
    <t>Contact:</t>
  </si>
  <si>
    <t>Start of Decade</t>
  </si>
  <si>
    <t>End of Decade</t>
  </si>
  <si>
    <t>Labels</t>
  </si>
  <si>
    <t>All items Added to Collection:</t>
  </si>
  <si>
    <t>By Subject Specialist (Adam):</t>
  </si>
  <si>
    <t>What to Do</t>
  </si>
  <si>
    <t>Step</t>
  </si>
  <si>
    <t>b</t>
  </si>
  <si>
    <t>2</t>
  </si>
  <si>
    <t>1</t>
  </si>
  <si>
    <t>?</t>
  </si>
  <si>
    <t>も.7.28.1</t>
  </si>
  <si>
    <t>も.7.28.2</t>
  </si>
  <si>
    <t>も.7.28.3</t>
  </si>
  <si>
    <t>も.7.28.4</t>
  </si>
  <si>
    <t>も.7.28.5</t>
  </si>
  <si>
    <t>も.7.28.6</t>
  </si>
  <si>
    <t>も.7.28.7</t>
  </si>
  <si>
    <t>も.7.28.8</t>
  </si>
  <si>
    <t>も.7.28.9</t>
  </si>
  <si>
    <t>も.7.28.10</t>
  </si>
  <si>
    <t>も.7.28.11</t>
  </si>
  <si>
    <t>も.7.28.14</t>
  </si>
  <si>
    <t>も.7.28.15</t>
  </si>
  <si>
    <t>も.7.28.16</t>
  </si>
  <si>
    <t>も.7.28.17</t>
  </si>
  <si>
    <t>も.7.28.18</t>
  </si>
  <si>
    <t>も.7.28.19</t>
  </si>
  <si>
    <t>も.7.28.20</t>
  </si>
  <si>
    <t>も.7.28.21</t>
  </si>
  <si>
    <t>も.7.28.22</t>
  </si>
  <si>
    <t>も.7.28.23</t>
  </si>
  <si>
    <t>も.7.28.24</t>
  </si>
  <si>
    <t>も.7.28.27</t>
  </si>
  <si>
    <t>も.7.28.28</t>
  </si>
  <si>
    <t>も.7.28.29</t>
  </si>
  <si>
    <t>も.7.28.30</t>
  </si>
  <si>
    <t>も.7.28.31</t>
  </si>
  <si>
    <t>891 milesMap It</t>
  </si>
  <si>
    <t>Comic</t>
  </si>
  <si>
    <t>Comic - Part of Set</t>
  </si>
  <si>
    <t>Location:</t>
  </si>
  <si>
    <t>Key# on Spreadsheet:</t>
  </si>
  <si>
    <t>Lisbon Approved</t>
  </si>
  <si>
    <t>OCLC or CiNii/NCID#</t>
  </si>
  <si>
    <t>Vol:
Note:</t>
  </si>
  <si>
    <t>of:</t>
  </si>
  <si>
    <t>🦩</t>
  </si>
  <si>
    <t>Donation</t>
  </si>
  <si>
    <t>Paste Note Data in this Column</t>
  </si>
  <si>
    <t>Started Processing:</t>
  </si>
  <si>
    <t>These macros only work if you have been using the "WorldCat to Spreadsheet" AutoHotKey script to populate the "Orders" sheet</t>
  </si>
  <si>
    <t>What it Does</t>
  </si>
  <si>
    <t>Paste to column A, Row 1, of the "Subject Analysis" sheet by using the command ctrl+alt+v and selecting "values"</t>
  </si>
  <si>
    <t>macro</t>
  </si>
  <si>
    <t>Press Alt+F8 and run the macro "Delimit Subject and Move to Column A"</t>
  </si>
  <si>
    <t>Finds the " ; " text string to separate all subject headings into their own cells</t>
  </si>
  <si>
    <t>▲ Run this macro repeatedly until you get an error window and select "end"</t>
  </si>
  <si>
    <t>Press Alt+F8 and run the macro "Move Remaining Columns with Only One Subject"</t>
  </si>
  <si>
    <t>Grabs the "stragglers" the previous macro couldn't move into column A</t>
  </si>
  <si>
    <t>▲ Double check column B is empty, move to cell B1 and press ctrl+down arrow. If you go all the way to the bottom of the sheet, thand all data has been coalesced into column A. Press ctrl+home to return to cell A1</t>
  </si>
  <si>
    <t>Press Alt+F8 and run the macro "Find Replace Time Dedupe Select"</t>
  </si>
  <si>
    <t>Cleans up the data, and creates a new set of data with all the unique values, this is used to create a table and chart</t>
  </si>
  <si>
    <t>table</t>
  </si>
  <si>
    <t>Do not unselect the selected cells, go to Insert &gt;&gt; Table &gt;&gt; OK</t>
  </si>
  <si>
    <t>chart</t>
  </si>
  <si>
    <t>while the new table is highlight got to Insert &gt;&gt; Chart &gt;&gt; Insert Column or Bar Chart &gt;&gt; Select the first icon under "2D Bar"</t>
  </si>
  <si>
    <t>▲ While the new chart is selected, go to Format &gt;&gt; Align &gt;&gt; make sure "Snap to grid is activated</t>
  </si>
  <si>
    <t>▲ Move the chart and expand its size to line up with the left and right edges of columns F and N respectively</t>
  </si>
  <si>
    <t>▲ The data in the chart can be quite large, expand the size of the chart downward until you are happy with the data being displayed in enough detail</t>
  </si>
  <si>
    <t>▲ In the cell that says "column 2" - click the drop arrow and select "Sort Largest to Smallest"</t>
  </si>
  <si>
    <t>Puts most common subject headings at the top of the chart and table</t>
  </si>
  <si>
    <t>Makes the chart readable. You can also select "Format" while the chart is selected and quickly type the height in inches to expand it rapedly for massive data sets</t>
  </si>
  <si>
    <t>Press Alt+F8 to run the macro "Delimit Subject to Sub-Subject in Column P"</t>
  </si>
  <si>
    <t>Copies subject headings in column A and further delimits them based on the " -- " text string</t>
  </si>
  <si>
    <t>Press Alt+F8 and run the macro "Move Sub Subject to Column P"</t>
  </si>
  <si>
    <t>Moves the new delimited text in the columns to the right of column P into column P</t>
  </si>
  <si>
    <t>Press Alt+F8 and run the macro "Move Remaining Columns with Only One Sub Subject"</t>
  </si>
  <si>
    <t>Grabs the "stragglers" the previous macro couldn't move into column P</t>
  </si>
  <si>
    <t>Press Alt+F8 and run the macro "Prepare for Table and Chart"</t>
  </si>
  <si>
    <t>Press Alt+F8 and run the macro "Final Cleanup"</t>
  </si>
  <si>
    <t>Renames and resizes table colums</t>
  </si>
  <si>
    <t>Donation Name - Date Received</t>
  </si>
  <si>
    <t>Sheet Title</t>
  </si>
  <si>
    <t>Broad Category Names</t>
  </si>
  <si>
    <t>Convenience only, you can delete. Numbers are useful refernces for coding macro scripts</t>
  </si>
  <si>
    <t>Headers: Columns are optimized for my work at CU Boulder. Some columns can be changed, others cannot, because my macros will place data in specific columns. Columns my macros do not use can be customized to local needs. See explanation in the row below.</t>
  </si>
  <si>
    <t>"Modular columns" can have their headings changes to whatever you would like. "Standardized" columns cannot be used for another purchase as they are populated by my macros.</t>
  </si>
  <si>
    <t>Formatting: How each column is formatted: text, number, etc.</t>
  </si>
  <si>
    <t>Conditional Formatting: each row has conditional formatting already set up. You can opt to clear all of these if you would like. Each column in this row has an explanation of what the conditional formatting does and why.</t>
  </si>
  <si>
    <t>▲ The standard value for when information isn't available is "n/a" This value is used by my macros, so all cells are formatted to change the cell to a white backgorund with light grey text if the value is "n/a"</t>
  </si>
  <si>
    <t>Data Validation:</t>
  </si>
  <si>
    <t>▲ See the data validation sheet for how we validate data.</t>
  </si>
  <si>
    <t>Key Excel features that are important to know to use this spreadsheet:</t>
  </si>
  <si>
    <t>▲ Tables: the data MUST be in a table to use in tandem with my macros</t>
  </si>
  <si>
    <t>▲ Pivot tables: the other sheets in this workbook use pivot tables, and rely on "standardized" columns for data</t>
  </si>
  <si>
    <t>▲ Accessing Macros, press ALT+F8 to see the Subject Analysis macros, they should only ever be run in the "Subject Analysis" sheet.</t>
  </si>
  <si>
    <t>▲ Data Validation, how to create values for data validation and apply them to another set of cells within the workbook</t>
  </si>
  <si>
    <t>(blank)</t>
  </si>
  <si>
    <t>modular</t>
  </si>
  <si>
    <t>standardized</t>
  </si>
  <si>
    <t>text</t>
  </si>
  <si>
    <t>number, no decimal places</t>
  </si>
  <si>
    <t>number, accounting</t>
  </si>
  <si>
    <t>general</t>
  </si>
  <si>
    <t>none</t>
  </si>
  <si>
    <t>turns blue and underlined if anythign is written here</t>
  </si>
  <si>
    <t>appears red if BLANK, to remind me I NEED to put data here for Acquistions and Cataloging</t>
  </si>
  <si>
    <t>turns yellow if there is a space, WorldCat records with multiple ISBNs will put multiple ISBNs here. The yellow text is an alert to this. Turns red if a duplicate value appears in the column. Turns white if "n/a" is written</t>
  </si>
  <si>
    <t>general, red by default as this number is a high priority for keeping the donation organized</t>
  </si>
  <si>
    <t>general, red by default</t>
  </si>
  <si>
    <t>turns yellow if anything is written here</t>
  </si>
  <si>
    <t>turns yellow if there is a space, WorldCat records with multiple ISBNs will put multiple ISBNs here with a space between them. Turns red if a duplicate value appears in the column. Turns white if "n/a" is written</t>
  </si>
  <si>
    <t>turns red if a duplicate value appears in the column. Turns yellow if there is a space</t>
  </si>
  <si>
    <t xml:space="preserve">Tutorial: Column A covers a topic and each cell in the row explains the special parameters for each column </t>
  </si>
  <si>
    <t>yes</t>
  </si>
  <si>
    <t>a simple number, the number here matches the number written on the slip that's inserted into the book, this lets colleagues who can't read an item in a foreign script find it on the spreadsheet if they need to consult for further information</t>
  </si>
  <si>
    <t>specific to the ennumeration of Asian language materials, see note in cell D7</t>
  </si>
  <si>
    <t>ennumeration from the item if it relevant, useful for large monograph sets or serials, see note in cell C7</t>
  </si>
  <si>
    <t xml:space="preserve">of Total Volumes </t>
  </si>
  <si>
    <t>multivolume sets are very common in Asian publishing, further clarifies the extent of holdings being received</t>
  </si>
  <si>
    <t>if two items have a distinct relationship, or a are dupes, this helps clarify what other rows to look at, used in tandem with note field</t>
  </si>
  <si>
    <t>what type of object the donations is, helpful for filtering the donation in the future when trying to recall specific items</t>
  </si>
  <si>
    <t>Anything can be written here, and it is often a catch all for any data that can't fit anywhere else. I add notes for myself and notes for Acquisitions / Cataloging</t>
  </si>
  <si>
    <t>if the item has an ISBN, a link to Amazon.com or Amazon.jp will generate here. Used to assess the value of the donation</t>
  </si>
  <si>
    <t>what collection the book should be added to, cataloging finds this especially helpful</t>
  </si>
  <si>
    <t>this column must remain to preserve the order of the columns, the macros I use need the spreadsheet to have 29 columns or else data will be put in the wrong places</t>
  </si>
  <si>
    <t>I run a macro customized just for CU Boulder to check our catalog if we may already own a book. Checking with an ISBN is great for new books, but not for older books with no ISBN. If there is a dupe the URL form the catalog is pasted</t>
  </si>
  <si>
    <t>I run a macro customized just for CU Boulder to check our catalog if we may already own a book. Title checks can give misleading results, but are necessary as sometimes ISBN checks do not work. Also necessessary for older books. If there is a dupe the URL form the catalog is pasted</t>
  </si>
  <si>
    <t>I run a macro that when looking at WorldCat, checks if WorldCat sees the book at CU or not</t>
  </si>
  <si>
    <t>Just the ISBN-13</t>
  </si>
  <si>
    <t>Just the ISBN-10</t>
  </si>
  <si>
    <t>Just the OCLC#</t>
  </si>
  <si>
    <t>Title of a book/object as it's written in it's original non-Latin script</t>
  </si>
  <si>
    <t>Title of a book/object as it's romanized, or the title of a book already written with Latin letters</t>
  </si>
  <si>
    <t>Creator's name as they write it in it's original non-Latin script</t>
  </si>
  <si>
    <t>Creator's name as it's romanized, or their name already written with Latin letters</t>
  </si>
  <si>
    <t>Series data if available</t>
  </si>
  <si>
    <t>Publisher's name as it's written in it's original non-Latin script</t>
  </si>
  <si>
    <t>Publisher's name as it's romanized, or as it's already written with Latin letters</t>
  </si>
  <si>
    <t>Year the item was published</t>
  </si>
  <si>
    <t>The price somethin in USD from an online retail outlet. It is only an estimate to have a sense of how many funds have been spent</t>
  </si>
  <si>
    <t>Defunct, will be removed in future versions of this spreadsheet</t>
  </si>
  <si>
    <t>Currency symbol based on what overseas souce I am using. This is also important for certain macros and Excel formulas because it dictates how a macro may run or a whether an Excel formula will sum the price or not</t>
  </si>
  <si>
    <t>The price of something in overseas currencies if it is being bought abroad</t>
  </si>
  <si>
    <t>Subject headings of the item. This column will be moved to the right of the "pub date" column in a future version of this spreadsheet</t>
  </si>
  <si>
    <t>◀ Can be deleted, these are real time currency exchange rates, you can also change them to another currency that is more relevant</t>
  </si>
  <si>
    <t>◀ Can be deleted, useful when running macros to track if data comes back with unusual formatting or mistakes</t>
  </si>
  <si>
    <t>This work is licensed under a Creative Commons Attribution-NonCommercial 4.0 International License.</t>
  </si>
  <si>
    <t>Read more about this license</t>
  </si>
  <si>
    <t>Created by</t>
  </si>
  <si>
    <t>Adam H. Lisbon</t>
  </si>
  <si>
    <t>Associate Professor</t>
  </si>
  <si>
    <t>University of Colorado Boulder</t>
  </si>
  <si>
    <t>University Libraries</t>
  </si>
  <si>
    <t>Japanese &amp; Korean Studies Librarian</t>
  </si>
  <si>
    <t>adam.lisbon@colorado.edu</t>
  </si>
  <si>
    <t>Work Profile</t>
  </si>
  <si>
    <t>LinkedIn</t>
  </si>
  <si>
    <t>CU Experts</t>
  </si>
  <si>
    <t>LinkedIn Profile</t>
  </si>
  <si>
    <t>3</t>
  </si>
  <si>
    <t>4</t>
  </si>
  <si>
    <t>5</t>
  </si>
  <si>
    <t>6</t>
  </si>
  <si>
    <t>Kōdansha</t>
  </si>
  <si>
    <t>Chuo Koronsha</t>
  </si>
  <si>
    <t>Meitoku Shuppansha</t>
  </si>
  <si>
    <t>Sanseidō</t>
  </si>
  <si>
    <t>Ryūbunkan</t>
  </si>
  <si>
    <t>Iwanami Shoten</t>
  </si>
  <si>
    <t>Yoshikawa Kōbunkan</t>
  </si>
  <si>
    <t>Heibonsha</t>
  </si>
  <si>
    <t>Hirakawa Shuppansha</t>
  </si>
  <si>
    <t>Taishūkan Shoten</t>
  </si>
  <si>
    <t>Yamakawa Shuppansha</t>
  </si>
  <si>
    <t>Nō-san-gyoson Bunka Kyōkai</t>
  </si>
  <si>
    <t>Kazama Shobō</t>
  </si>
  <si>
    <t>Meiji Shoin</t>
  </si>
  <si>
    <t>Shinchōsha</t>
  </si>
  <si>
    <t>Chūō Kōron Shinsha</t>
  </si>
  <si>
    <t>Dōhōsha</t>
  </si>
  <si>
    <t>Hakuteisha</t>
  </si>
  <si>
    <t>Chūgoku Shoten</t>
  </si>
  <si>
    <t>Misuzushobō</t>
  </si>
  <si>
    <t>Kenbun Shuppan</t>
  </si>
  <si>
    <t>Kokusho Kankōkai</t>
  </si>
  <si>
    <t>Tōyō Bunko</t>
  </si>
  <si>
    <t>Nihon Hōsō Shuppan Kyōkai</t>
  </si>
  <si>
    <t>Tōeisha</t>
  </si>
  <si>
    <t>Chūō Kōronsha</t>
  </si>
  <si>
    <t>Meijishoin</t>
  </si>
  <si>
    <t>Nishi Nihon Shinbunsha</t>
  </si>
  <si>
    <t>Ōsaka Daigaku Shuppankai</t>
  </si>
  <si>
    <t>Tōkyō Daigaku Shuppankai</t>
  </si>
  <si>
    <t>Perikansha</t>
  </si>
  <si>
    <t>Fujiwara Shoten</t>
  </si>
  <si>
    <t>Daiichi Shobō</t>
  </si>
  <si>
    <t>Chikuma Shobō</t>
  </si>
  <si>
    <t>Hōzōkan</t>
  </si>
  <si>
    <t>Yūzankaku</t>
  </si>
  <si>
    <t>Bungei Shunjū Shinsha</t>
  </si>
  <si>
    <t>Sōbunsha</t>
  </si>
  <si>
    <t>Shibunkaku</t>
  </si>
  <si>
    <t>Kokugakuin Daigaku Nihon Bunka Kenkyūjo</t>
  </si>
  <si>
    <t>Daiichi Hōki</t>
  </si>
  <si>
    <t>Yūhikaku</t>
  </si>
  <si>
    <t>Jinja Honchō</t>
  </si>
  <si>
    <t>Fuzanbō</t>
  </si>
  <si>
    <t>Hōbunkan</t>
  </si>
  <si>
    <t>Mikasa Shobō</t>
  </si>
  <si>
    <t>Gakuseisha</t>
  </si>
  <si>
    <t>Asahi Shinbunsha</t>
  </si>
  <si>
    <t>Sekaidō Shoten</t>
  </si>
  <si>
    <t>Shibundō</t>
  </si>
  <si>
    <t>Meiji Jingū Shamusho</t>
  </si>
  <si>
    <t>Miraisha</t>
  </si>
  <si>
    <t>Zenkoku Shobō</t>
  </si>
  <si>
    <t>Hyōronsha</t>
  </si>
  <si>
    <t>Kinamitaku Ichi</t>
  </si>
  <si>
    <t>Mineruva Shobō</t>
  </si>
  <si>
    <t>Shibunkaku Shuppan</t>
  </si>
  <si>
    <t>Mokujisha</t>
  </si>
  <si>
    <t>Sekimon Shingakukai</t>
  </si>
  <si>
    <t>Kyūko Shoin</t>
  </si>
  <si>
    <t>Nihon Keizai Shinbun Shuppansha Nikkei Jigyō Shuppan Sentā</t>
  </si>
  <si>
    <t>Takasaki Tetsugakudō Setsuritsu no Kai</t>
  </si>
  <si>
    <t>Shimizu Shoin</t>
  </si>
  <si>
    <t>Kokusai Kirisutokyō Daigaku Ajia Bunka Kenkyūjo</t>
  </si>
  <si>
    <t>Konkōkyō Honbu Kyōchō</t>
  </si>
  <si>
    <t>Eishinsha</t>
  </si>
  <si>
    <t>Tōyōshi Kenkyūkai</t>
  </si>
  <si>
    <t>Tenrikyō Kyōkai Honbu</t>
  </si>
  <si>
    <t>Okada Takehiko</t>
  </si>
  <si>
    <t>Shienkai</t>
  </si>
  <si>
    <t>Hyakkaen</t>
  </si>
  <si>
    <t>Kyūko Shoin: Koten Kenkyūkai</t>
  </si>
  <si>
    <t>Nichirenshū Overseas Propagation Promotion Association</t>
  </si>
  <si>
    <t>Keigaku Shuppan</t>
  </si>
  <si>
    <t>Mishima Kaiun</t>
  </si>
  <si>
    <t>Kyōto Daigaku Jinbun Kagaku Kenkyūjo</t>
  </si>
  <si>
    <t>Dōhōsha Shuppan</t>
  </si>
  <si>
    <t>Ashi Shobō</t>
  </si>
  <si>
    <t>Kōbundō</t>
  </si>
  <si>
    <t>Hōyū Shoten</t>
  </si>
  <si>
    <t>Hābādo Enkei Dōshisha Tōhō Bunka Kōza Iinkai</t>
  </si>
  <si>
    <t>Keisō Shobō</t>
  </si>
  <si>
    <t>Heirakuji Shoten</t>
  </si>
  <si>
    <t>Daitō Bunka Daigaku Tōyō Kenkyūjo</t>
  </si>
  <si>
    <t>Chūbun Shuppansha</t>
  </si>
  <si>
    <t>Kyōto Daigaku Bungakubu</t>
  </si>
  <si>
    <t>Shunjūsha</t>
  </si>
  <si>
    <t>Hōsei Daigaku Shuppankyoku</t>
  </si>
  <si>
    <t>Sōka Gakkai</t>
  </si>
  <si>
    <t>Kyōgaku Kenkyūkai</t>
  </si>
  <si>
    <t>Gakuyūkai</t>
  </si>
  <si>
    <t>Aoki Shoten</t>
  </si>
  <si>
    <t>Tenri Daigaku Shuppanbu</t>
  </si>
  <si>
    <t>Shūei Shuppan</t>
  </si>
  <si>
    <t>Kyūshū Shuppan Bunka Kenkyūkai</t>
  </si>
  <si>
    <t>Kokuritsu Kokkai Toshokan</t>
  </si>
  <si>
    <t>Kyūshū Daigaku Bungakubu Sō Min Shisō Kenkyūkai</t>
  </si>
  <si>
    <t>Chūō Kōron̄sha</t>
  </si>
  <si>
    <t>Daitō Shuppansha</t>
  </si>
  <si>
    <t>Daitō Bunka Gakuen</t>
  </si>
  <si>
    <t>Tenrikyō Dōyūsha</t>
  </si>
  <si>
    <t>Chūōkōronsha</t>
  </si>
  <si>
    <t>Kusumoto Masatsugu</t>
  </si>
  <si>
    <t>Veritasu Shoin</t>
  </si>
  <si>
    <t>Tōhō Shoin</t>
  </si>
  <si>
    <t>Nichiren Shu Kaigai Fukyō Kōenkai</t>
  </si>
  <si>
    <t>Jinbutsu Ōraisha</t>
  </si>
  <si>
    <t>Nisshindō Shoten</t>
  </si>
  <si>
    <t>Bungensha</t>
  </si>
  <si>
    <t>Hiroike Gakuen Shuppanbu</t>
  </si>
  <si>
    <t>Akitaya</t>
  </si>
  <si>
    <t>Ōzorasha</t>
  </si>
  <si>
    <t>Bunkaidō Shoten</t>
  </si>
  <si>
    <t>Tōyō Bunko Tonkō Bunken Kenkyū Iinkai</t>
  </si>
  <si>
    <t>Jinja Shinpōsha</t>
  </si>
  <si>
    <t>Monbushō Chōsakyoku Shūmu Kahen</t>
  </si>
  <si>
    <t>Nihon Kindaika Kenkyūkai</t>
  </si>
  <si>
    <t>Daitō Bunka Kenkyūjo</t>
  </si>
  <si>
    <t>Kyūshū Daigaku Bungakubu</t>
  </si>
  <si>
    <t>[京都大学人文科学研究所]</t>
  </si>
  <si>
    <t>Risōsha</t>
  </si>
  <si>
    <t>Hirasaka Kenji</t>
  </si>
  <si>
    <t>Gotō Toshimizu Hakushi Ikō Kankōkai</t>
  </si>
  <si>
    <t>[多田屋]</t>
  </si>
  <si>
    <t>Tōhoku Daigaku Fuzoku Toshokan</t>
  </si>
  <si>
    <t>Dōtoshokan</t>
  </si>
  <si>
    <t>Sekibunkan Shoten</t>
  </si>
  <si>
    <t>Kadokawa Shoten</t>
  </si>
  <si>
    <t>Bunri Shoin</t>
  </si>
  <si>
    <t>Tenshō Kōtai Jingūkyō Honbu</t>
  </si>
  <si>
    <t>Ishida Hakushi Koki Kinen Jigyōkai</t>
  </si>
  <si>
    <t>Shūeisha</t>
  </si>
  <si>
    <t>Tenshō Kōtai Jingūkyō</t>
  </si>
  <si>
    <t>Kōmeisha</t>
  </si>
  <si>
    <t>Kōgeisha</t>
  </si>
  <si>
    <t>Shimizu Kōbundō Shobō</t>
  </si>
  <si>
    <t>Yūhōdō</t>
  </si>
  <si>
    <t>Yūhōdō Shoten</t>
  </si>
  <si>
    <t>Kōeki Zaidan Hōjin Tōyō Bunko</t>
  </si>
  <si>
    <t>Nichiren Buddhist Temple of San Jose</t>
  </si>
  <si>
    <t>Ashikagashi</t>
  </si>
  <si>
    <t>Kokudosha</t>
  </si>
  <si>
    <t>Kirisutokyō Gakuto Kyōdaidan</t>
  </si>
  <si>
    <t>Toyoshima Shobō</t>
  </si>
  <si>
    <t>Bukkyōto Bunka Kōryū Kyōkai</t>
  </si>
  <si>
    <t>Nihon Gakujutsu Fukyūkai</t>
  </si>
  <si>
    <t>Tenshō Kōtai Jingū Kyō Honbu</t>
  </si>
  <si>
    <t>Auna Kyōdan Honbu</t>
  </si>
  <si>
    <t>Yutani Hakubundō</t>
  </si>
  <si>
    <t>Nishō Gakusha Daigaku Shuppanbu</t>
  </si>
  <si>
    <t>Seikadō Bunko</t>
  </si>
  <si>
    <t>Chichi Shuppansha</t>
  </si>
  <si>
    <t>Moriyama Fumihiko</t>
  </si>
  <si>
    <t>Hatsubaimoto Domesu Shuppan</t>
  </si>
  <si>
    <t>Value Analysis</t>
  </si>
  <si>
    <t>25</t>
  </si>
  <si>
    <t>26</t>
  </si>
  <si>
    <t>27</t>
  </si>
  <si>
    <t>Okada Takehiko Sensei Tsuitō Bunshū Kankōkai</t>
  </si>
  <si>
    <t>Tōkyō Sōgensha</t>
  </si>
  <si>
    <t>Makarē Higashi Honganji</t>
  </si>
  <si>
    <t>[Publisher Not Identified]</t>
  </si>
  <si>
    <t>Hori Shoten</t>
  </si>
  <si>
    <t>Toyo Bunko</t>
  </si>
  <si>
    <t>Tōyōbunko</t>
  </si>
  <si>
    <t>[Tōyō Bunko]</t>
  </si>
  <si>
    <t>Hābādo Enkei Doshisha Tōhō Bunka Kōza Iinkai</t>
  </si>
  <si>
    <t>18</t>
  </si>
  <si>
    <t>17</t>
  </si>
  <si>
    <t>19</t>
  </si>
  <si>
    <t>20</t>
  </si>
  <si>
    <t>21</t>
  </si>
  <si>
    <t>22</t>
  </si>
  <si>
    <t>23</t>
  </si>
  <si>
    <t>24</t>
  </si>
  <si>
    <t>Title (N)</t>
  </si>
  <si>
    <t>Creator (N)</t>
  </si>
  <si>
    <t>Publisher (N)</t>
  </si>
  <si>
    <t>Series (N)</t>
  </si>
  <si>
    <t>28</t>
  </si>
  <si>
    <t>29</t>
  </si>
  <si>
    <t>Chōsen sōtokufu</t>
  </si>
  <si>
    <t>Nichirenshū Overseas Propagation Pomotion Association</t>
  </si>
  <si>
    <t>Tōkyō Daigaku Tōyō Bunka Kenkyūjo</t>
  </si>
  <si>
    <t>[Asahi Shinbunsha]</t>
  </si>
  <si>
    <t>Tōkyō Joshi Daigaku Gakkai</t>
  </si>
  <si>
    <t>Ikedasōanzenshūhenshūiinkai</t>
  </si>
  <si>
    <t>Nagoyashikyōikuiinkai</t>
  </si>
  <si>
    <t>Meitokushuppansha</t>
  </si>
  <si>
    <t>Tōhokudaigakufuzokutoshokan</t>
  </si>
  <si>
    <t>Nagoyashitsurumaitoshokan</t>
  </si>
  <si>
    <t>Tōyō Bunka Kyōkai</t>
  </si>
  <si>
    <t>[Tōhō Gakkai]</t>
  </si>
  <si>
    <t>Kōbun Shokyoku</t>
  </si>
  <si>
    <t>Heibon Sha</t>
  </si>
  <si>
    <t>Hābādo</t>
  </si>
  <si>
    <t>Kawade Shobō Shinsha</t>
  </si>
  <si>
    <t>Iwanamishoten</t>
  </si>
  <si>
    <t>Kyōtodaigakutōyōshikenkyūkai</t>
  </si>
  <si>
    <t>Hya' Kaen</t>
  </si>
  <si>
    <t>Ōsakakagakugijutsusentā</t>
  </si>
  <si>
    <t>Tōkyō Daigaku Bungakubu</t>
  </si>
  <si>
    <t>Kokushokankōkai</t>
  </si>
  <si>
    <t>Toyo shoin</t>
  </si>
  <si>
    <t>Material Type</t>
  </si>
  <si>
    <t>Cross
Ref w
 Key</t>
  </si>
  <si>
    <t>Series (R/E)</t>
  </si>
  <si>
    <t>Donation Name</t>
  </si>
  <si>
    <t>Statement acknowledging donation to place in electronic record.</t>
  </si>
  <si>
    <t>background turns red if a key number appears more than once</t>
  </si>
  <si>
    <t>Count of Material Type</t>
  </si>
  <si>
    <t>Dupe Check in WC / FS</t>
  </si>
  <si>
    <t>This pivot table and chart are for values in column E "Format" - Right click and "refresh" the chart to update it.</t>
  </si>
  <si>
    <t>This pivot table and chart are for values in column I "Collection" - Right click and "refresh" the chart to update it.</t>
  </si>
  <si>
    <t>To create a table and chart for Series data, the data must be copied and manually prepared.</t>
  </si>
  <si>
    <t>Copy the data in the U column (Series Title) of the "donation" sheet</t>
  </si>
  <si>
    <t>Series Title</t>
  </si>
  <si>
    <t>Dedupe the data, go to &gt;&gt; Data &gt;&gt; Remove Duplicates.</t>
  </si>
  <si>
    <t>Steps</t>
  </si>
  <si>
    <t>This pivot table and chart are for values in column W "Publisher R/E"</t>
  </si>
  <si>
    <t>Paste in Column A of this sheet. The table will expand to fit the data. Use Ctrl+Alt to paste data as values</t>
  </si>
  <si>
    <t>Chart below will update as data is added/edited.</t>
  </si>
  <si>
    <t>Normalize the data with "Find and Replace" commands. Typically you need to remove data related to volume number.</t>
  </si>
  <si>
    <t>Continue normalizing data. You will likely need to normalize data in the Donation Sheet's "Series Title" column as well.</t>
  </si>
  <si>
    <t>To create a table and chart for Publication Data data, the data must be copied and manually prepared.</t>
  </si>
  <si>
    <t>Add all the years between the two dates.</t>
  </si>
  <si>
    <t>Columns B and C already have formulas to count the number of times a date appears in the Donation sheet.</t>
  </si>
  <si>
    <t>Column B already has formula's in it to count the number of times a series title appears in the Donation sheet.</t>
  </si>
  <si>
    <t>Filter column Z, "subject headings", so that there are no "n/a" values.</t>
  </si>
  <si>
    <t>Select column Z and copy all values below the header</t>
  </si>
  <si>
    <t>Identifiers</t>
  </si>
  <si>
    <t>An in depth guide is available at: https://github.com/ahlisbon/CJKmaterialProcessing</t>
  </si>
  <si>
    <t>GitHub</t>
  </si>
  <si>
    <t>https://github.com/ahlisbon/CJKmaterialProcessing</t>
  </si>
  <si>
    <t>Dates by Decade</t>
  </si>
  <si>
    <t>Determine the earliest and lastest years of publication for items in your donation.</t>
  </si>
  <si>
    <t>Enter the starting decade for the earliest publication, and the last year of that decade.</t>
  </si>
  <si>
    <t>昭和四十六年-昭和五十六年</t>
  </si>
  <si>
    <t>東アジア文字の情報理論</t>
  </si>
  <si>
    <t>平安和歌・物語に詠まれた日本の四季</t>
  </si>
  <si>
    <t>笑社論集</t>
  </si>
  <si>
    <t>Kinniku no merankorī: Rakan to tomo ni yomu Mishima Yukio</t>
  </si>
  <si>
    <t>Kansenshō no jidai to Natsume Sōseki no bungaku</t>
  </si>
  <si>
    <t>Kodai chūsei bungaku ronkō. Dai44shū</t>
  </si>
  <si>
    <t>Kodai chūsei bungaku ronkō. Dai45shū</t>
  </si>
  <si>
    <t>State, society, and markets in North Korea</t>
  </si>
  <si>
    <t>Teaching about Asia in a time of pandemic</t>
  </si>
  <si>
    <t>The Namban trade: merchants and missionaries in 16th and 17th century Japan</t>
  </si>
  <si>
    <t>Animal Care in Japanese Tradition: a short history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</si>
</sst>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_([$$-409]* #,##0.00_);_([$$-409]* \(#,##0.00\);_([$$-409]* &quot;-&quot;??_);_(@_)"/>
    <numFmt numFmtId="165" formatCode="_([$$-409]* #,##0.0000000_);_([$$-409]* \(#,##0.0000000\);_([$$-409]* &quot;-&quot;??_);_(@_)"/>
    <numFmt numFmtId="166" formatCode="yyyy\-mm\-dd"/>
    <numFmt numFmtId="167" formatCode="0.0"/>
  </numFmts>
  <fonts count="50" x14ac:knownFonts="1">
    <font>
      <sz val="11"/>
      <color theme="1"/>
      <name val="Calibri"/>
      <family val="2"/>
      <scheme val="minor"/>
    </font>
    <font>
      <b/>
      <sz val="11"/>
      <color rgb="FF565A5C"/>
      <name val="Calibri"/>
      <family val="2"/>
      <scheme val="minor"/>
    </font>
    <font>
      <sz val="11"/>
      <color theme="0"/>
      <name val="Calibri"/>
      <family val="2"/>
      <scheme val="minor"/>
    </font>
    <font>
      <sz val="10"/>
      <color theme="1"/>
      <name val="Calibri"/>
      <family val="2"/>
      <scheme val="minor"/>
    </font>
    <font>
      <sz val="9"/>
      <color theme="1"/>
      <name val="Calibri"/>
      <family val="2"/>
      <scheme val="minor"/>
    </font>
    <font>
      <b/>
      <sz val="10"/>
      <color theme="7" tint="-0.499984740745262"/>
      <name val="Calibri"/>
      <family val="2"/>
      <scheme val="minor"/>
    </font>
    <font>
      <sz val="10"/>
      <color rgb="FF565A5C"/>
      <name val="Calibri"/>
      <family val="2"/>
      <scheme val="minor"/>
    </font>
    <font>
      <sz val="9"/>
      <color theme="0" tint="-0.499984740745262"/>
      <name val="Calibri"/>
      <family val="2"/>
    </font>
    <font>
      <b/>
      <sz val="10"/>
      <color rgb="FFFFFFFF"/>
      <name val="Calibri"/>
      <family val="2"/>
      <scheme val="minor"/>
    </font>
    <font>
      <b/>
      <sz val="16"/>
      <color rgb="FF565A5C"/>
      <name val="Calibri"/>
      <family val="2"/>
      <scheme val="minor"/>
    </font>
    <font>
      <sz val="9"/>
      <color indexed="81"/>
      <name val="Tahoma"/>
      <family val="2"/>
    </font>
    <font>
      <b/>
      <sz val="9"/>
      <color indexed="81"/>
      <name val="Tahoma"/>
      <family val="2"/>
    </font>
    <font>
      <sz val="8"/>
      <color rgb="FF565A5C"/>
      <name val="Calibri"/>
      <family val="2"/>
      <scheme val="minor"/>
    </font>
    <font>
      <b/>
      <sz val="12"/>
      <color rgb="FF565A5C"/>
      <name val="Calibri"/>
      <family val="2"/>
      <scheme val="minor"/>
    </font>
    <font>
      <b/>
      <sz val="12"/>
      <color theme="0"/>
      <name val="Calibri"/>
      <family val="2"/>
      <scheme val="minor"/>
    </font>
    <font>
      <sz val="12"/>
      <color theme="1"/>
      <name val="Calibri"/>
      <family val="2"/>
      <scheme val="minor"/>
    </font>
    <font>
      <b/>
      <sz val="10"/>
      <color rgb="FF565A5C"/>
      <name val="Calibri"/>
      <family val="2"/>
      <scheme val="minor"/>
    </font>
    <font>
      <b/>
      <sz val="10"/>
      <color rgb="FF565A5C"/>
      <name val="Calibri"/>
      <family val="2"/>
    </font>
    <font>
      <sz val="9"/>
      <color rgb="FFFF0000"/>
      <name val="Calibri"/>
      <family val="2"/>
      <scheme val="minor"/>
    </font>
    <font>
      <sz val="10"/>
      <color theme="0"/>
      <name val="Calibri"/>
      <family val="2"/>
      <scheme val="minor"/>
    </font>
    <font>
      <sz val="9"/>
      <color theme="0"/>
      <name val="Calibri"/>
      <family val="2"/>
      <scheme val="minor"/>
    </font>
    <font>
      <sz val="12"/>
      <color rgb="FF565A5C"/>
      <name val="Calibri"/>
      <family val="2"/>
      <scheme val="minor"/>
    </font>
    <font>
      <u/>
      <sz val="10"/>
      <color theme="10"/>
      <name val="Calibri"/>
      <family val="2"/>
      <scheme val="minor"/>
    </font>
    <font>
      <b/>
      <sz val="10"/>
      <color theme="0"/>
      <name val="Calibri"/>
      <family val="2"/>
      <scheme val="minor"/>
    </font>
    <font>
      <sz val="10"/>
      <color theme="0" tint="-0.499984740745262"/>
      <name val="Calibri"/>
      <family val="2"/>
    </font>
    <font>
      <u/>
      <sz val="10"/>
      <color theme="11"/>
      <name val="Calibri"/>
      <family val="2"/>
      <scheme val="minor"/>
    </font>
    <font>
      <b/>
      <sz val="11"/>
      <color rgb="FFCFB87C"/>
      <name val="Calibri"/>
      <family val="2"/>
      <scheme val="minor"/>
    </font>
    <font>
      <b/>
      <sz val="9"/>
      <color rgb="FF565A5C"/>
      <name val="Calibri"/>
      <family val="2"/>
      <scheme val="minor"/>
    </font>
    <font>
      <b/>
      <sz val="11"/>
      <color theme="0"/>
      <name val="Calibri"/>
      <family val="2"/>
      <scheme val="minor"/>
    </font>
    <font>
      <b/>
      <sz val="11"/>
      <color theme="1"/>
      <name val="Calibri"/>
      <family val="2"/>
      <scheme val="minor"/>
    </font>
    <font>
      <b/>
      <sz val="10"/>
      <color theme="1"/>
      <name val="Calibri"/>
      <family val="2"/>
      <scheme val="minor"/>
    </font>
    <font>
      <sz val="9"/>
      <color theme="0" tint="-0.499984740745262"/>
      <name val="Calibri"/>
      <family val="2"/>
      <scheme val="minor"/>
    </font>
    <font>
      <b/>
      <sz val="11"/>
      <color theme="5"/>
      <name val="Calibri"/>
      <family val="2"/>
      <scheme val="minor"/>
    </font>
    <font>
      <sz val="10"/>
      <color theme="10"/>
      <name val="Calibri"/>
      <family val="2"/>
      <scheme val="minor"/>
    </font>
    <font>
      <b/>
      <sz val="9"/>
      <color theme="1"/>
      <name val="Calibri"/>
      <family val="2"/>
      <scheme val="minor"/>
    </font>
    <font>
      <sz val="16"/>
      <color theme="1"/>
      <name val="Calibri"/>
      <family val="2"/>
      <scheme val="minor"/>
    </font>
    <font>
      <sz val="8"/>
      <color theme="1"/>
      <name val="Calibri"/>
      <family val="2"/>
      <scheme val="minor"/>
    </font>
    <font>
      <b/>
      <sz val="28"/>
      <color theme="1"/>
      <name val="Calibri"/>
      <family val="2"/>
      <scheme val="minor"/>
    </font>
    <font>
      <sz val="28"/>
      <color theme="1"/>
      <name val="Calibri"/>
      <family val="2"/>
      <scheme val="minor"/>
    </font>
    <font>
      <sz val="8"/>
      <name val="Calibri"/>
      <family val="2"/>
      <scheme val="minor"/>
    </font>
    <font>
      <sz val="10"/>
      <color theme="1"/>
      <name val="Calibri"/>
      <family val="2"/>
    </font>
    <font>
      <sz val="9"/>
      <name val="Calibri"/>
      <family val="2"/>
    </font>
    <font>
      <sz val="10"/>
      <name val="Calibri"/>
      <family val="2"/>
      <scheme val="minor"/>
    </font>
    <font>
      <u/>
      <sz val="11"/>
      <color theme="10"/>
      <name val="Calibri"/>
      <family val="2"/>
      <scheme val="minor"/>
    </font>
    <font>
      <sz val="10"/>
      <color rgb="FFFF0000"/>
      <name val="Calibri"/>
      <family val="2"/>
      <scheme val="minor"/>
    </font>
    <font>
      <b/>
      <sz val="10"/>
      <color rgb="FFCFB87C"/>
      <name val="Calibri"/>
      <family val="2"/>
      <scheme val="minor"/>
    </font>
    <font>
      <sz val="10"/>
      <color theme="0"/>
      <name val="Calibri"/>
      <family val="2"/>
    </font>
    <font>
      <sz val="9"/>
      <color rgb="FF565A5C"/>
      <name val="Calibri"/>
      <family val="2"/>
      <scheme val="minor"/>
    </font>
    <font>
      <sz val="10"/>
      <color rgb="FFFF0000"/>
      <name val="Calibri"/>
      <family val="2"/>
    </font>
    <font>
      <sz val="10"/>
      <name val="Calibri"/>
      <family val="2"/>
    </font>
  </fonts>
  <fills count="15">
    <fill>
      <patternFill patternType="none"/>
    </fill>
    <fill>
      <patternFill patternType="gray125"/>
    </fill>
    <fill>
      <patternFill patternType="solid">
        <fgColor rgb="FFCFB87C"/>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D9D9D9"/>
        <bgColor indexed="64"/>
      </patternFill>
    </fill>
    <fill>
      <patternFill patternType="solid">
        <fgColor rgb="FF565A5C"/>
        <bgColor indexed="64"/>
      </patternFill>
    </fill>
    <fill>
      <patternFill patternType="solid">
        <fgColor rgb="FF7030A0"/>
        <bgColor indexed="64"/>
      </patternFill>
    </fill>
    <fill>
      <patternFill patternType="solid">
        <fgColor theme="0"/>
        <bgColor indexed="64"/>
      </patternFill>
    </fill>
    <fill>
      <patternFill patternType="solid">
        <fgColor rgb="FFCCCCFF"/>
        <bgColor indexed="64"/>
      </patternFill>
    </fill>
    <fill>
      <patternFill patternType="solid">
        <fgColor theme="9" tint="-0.499984740745262"/>
        <bgColor indexed="64"/>
      </patternFill>
    </fill>
    <fill>
      <patternFill patternType="solid">
        <fgColor theme="4"/>
      </patternFill>
    </fill>
    <fill>
      <patternFill patternType="solid">
        <fgColor theme="4"/>
        <bgColor theme="4"/>
      </patternFill>
    </fill>
    <fill>
      <patternFill patternType="solid">
        <fgColor theme="0" tint="-0.249977111117893"/>
        <bgColor indexed="64"/>
      </patternFill>
    </fill>
    <fill>
      <patternFill patternType="solid">
        <fgColor theme="6" tint="0.79998168889431442"/>
        <bgColor theme="6" tint="0.79998168889431442"/>
      </patternFill>
    </fill>
  </fills>
  <borders count="50">
    <border>
      <left/>
      <right/>
      <top/>
      <bottom/>
      <diagonal/>
    </border>
    <border>
      <left style="thin">
        <color rgb="FF565A5C"/>
      </left>
      <right/>
      <top/>
      <bottom/>
      <diagonal/>
    </border>
    <border>
      <left/>
      <right style="thin">
        <color rgb="FF565A5C"/>
      </right>
      <top/>
      <bottom/>
      <diagonal/>
    </border>
    <border>
      <left style="thin">
        <color theme="0" tint="-0.249977111117893"/>
      </left>
      <right/>
      <top/>
      <bottom/>
      <diagonal/>
    </border>
    <border>
      <left style="thin">
        <color rgb="FF565A5C"/>
      </left>
      <right/>
      <top style="thin">
        <color rgb="FF565A5C"/>
      </top>
      <bottom/>
      <diagonal/>
    </border>
    <border>
      <left/>
      <right style="thin">
        <color rgb="FF565A5C"/>
      </right>
      <top style="thin">
        <color rgb="FF565A5C"/>
      </top>
      <bottom/>
      <diagonal/>
    </border>
    <border>
      <left style="thin">
        <color rgb="FF565A5C"/>
      </left>
      <right/>
      <top/>
      <bottom style="thin">
        <color rgb="FF565A5C"/>
      </bottom>
      <diagonal/>
    </border>
    <border>
      <left/>
      <right style="thin">
        <color rgb="FF565A5C"/>
      </right>
      <top/>
      <bottom style="thin">
        <color rgb="FF565A5C"/>
      </bottom>
      <diagonal/>
    </border>
    <border>
      <left style="thin">
        <color rgb="FF565A5C"/>
      </left>
      <right style="thin">
        <color rgb="FF565A5C"/>
      </right>
      <top/>
      <bottom/>
      <diagonal/>
    </border>
    <border>
      <left style="dotted">
        <color rgb="FF565A5C"/>
      </left>
      <right/>
      <top/>
      <bottom/>
      <diagonal/>
    </border>
    <border>
      <left style="dotted">
        <color rgb="FF565A5C"/>
      </left>
      <right/>
      <top style="thin">
        <color rgb="FF565A5C"/>
      </top>
      <bottom/>
      <diagonal/>
    </border>
    <border>
      <left/>
      <right/>
      <top style="thin">
        <color rgb="FF565A5C"/>
      </top>
      <bottom/>
      <diagonal/>
    </border>
    <border>
      <left style="thin">
        <color rgb="FF565A5C"/>
      </left>
      <right style="thin">
        <color rgb="FF565A5C"/>
      </right>
      <top style="thin">
        <color rgb="FF565A5C"/>
      </top>
      <bottom/>
      <diagonal/>
    </border>
    <border>
      <left style="thin">
        <color rgb="FF565A5C"/>
      </left>
      <right style="thin">
        <color rgb="FF565A5C"/>
      </right>
      <top style="thin">
        <color indexed="64"/>
      </top>
      <bottom/>
      <diagonal/>
    </border>
    <border>
      <left style="thin">
        <color rgb="FF565A5C"/>
      </left>
      <right style="thin">
        <color theme="0" tint="-0.249977111117893"/>
      </right>
      <top style="thin">
        <color theme="0" tint="-0.249977111117893"/>
      </top>
      <bottom style="thin">
        <color theme="0" tint="-0.249977111117893"/>
      </bottom>
      <diagonal/>
    </border>
    <border>
      <left/>
      <right style="dotted">
        <color rgb="FF565A5C"/>
      </right>
      <top style="thin">
        <color rgb="FF565A5C"/>
      </top>
      <bottom/>
      <diagonal/>
    </border>
    <border>
      <left/>
      <right/>
      <top/>
      <bottom style="thin">
        <color theme="6" tint="0.39997558519241921"/>
      </bottom>
      <diagonal/>
    </border>
    <border>
      <left style="thin">
        <color rgb="FF565A5C"/>
      </left>
      <right style="thin">
        <color rgb="FF565A5C"/>
      </right>
      <top style="thin">
        <color rgb="FF565A5C"/>
      </top>
      <bottom style="thin">
        <color rgb="FF565A5C"/>
      </bottom>
      <diagonal/>
    </border>
    <border>
      <left style="thin">
        <color rgb="FF565A5C"/>
      </left>
      <right/>
      <top style="thin">
        <color rgb="FF565A5C"/>
      </top>
      <bottom style="thin">
        <color rgb="FF565A5C"/>
      </bottom>
      <diagonal/>
    </border>
    <border>
      <left/>
      <right/>
      <top style="thin">
        <color theme="4" tint="0.39997558519241921"/>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rgb="FF565A5C"/>
      </right>
      <top/>
      <bottom style="thin">
        <color indexed="64"/>
      </bottom>
      <diagonal/>
    </border>
    <border>
      <left/>
      <right/>
      <top style="thin">
        <color indexed="64"/>
      </top>
      <bottom/>
      <diagonal/>
    </border>
    <border>
      <left/>
      <right/>
      <top/>
      <bottom style="thin">
        <color indexed="64"/>
      </bottom>
      <diagonal/>
    </border>
    <border>
      <left style="thin">
        <color rgb="FF565A5C"/>
      </left>
      <right style="thin">
        <color theme="2" tint="-9.9978637043366805E-2"/>
      </right>
      <top style="thin">
        <color rgb="FF565A5C"/>
      </top>
      <bottom/>
      <diagonal/>
    </border>
    <border>
      <left style="thin">
        <color rgb="FF565A5C"/>
      </left>
      <right style="thin">
        <color theme="2" tint="-9.9978637043366805E-2"/>
      </right>
      <top/>
      <bottom style="thin">
        <color rgb="FF565A5C"/>
      </bottom>
      <diagonal/>
    </border>
    <border>
      <left style="thin">
        <color theme="2" tint="-9.9978637043366805E-2"/>
      </left>
      <right style="thin">
        <color theme="2" tint="-9.9978637043366805E-2"/>
      </right>
      <top style="thin">
        <color rgb="FF565A5C"/>
      </top>
      <bottom/>
      <diagonal/>
    </border>
    <border>
      <left style="thin">
        <color theme="2" tint="-9.9978637043366805E-2"/>
      </left>
      <right style="thin">
        <color theme="2" tint="-9.9978637043366805E-2"/>
      </right>
      <top/>
      <bottom style="thin">
        <color rgb="FF565A5C"/>
      </bottom>
      <diagonal/>
    </border>
    <border>
      <left/>
      <right/>
      <top style="thin">
        <color theme="4" tint="0.39997558519241921"/>
      </top>
      <bottom style="dotted">
        <color indexed="64"/>
      </bottom>
      <diagonal/>
    </border>
    <border>
      <left style="thin">
        <color rgb="FF565A5C"/>
      </left>
      <right/>
      <top style="thin">
        <color theme="6" tint="0.39997558519241921"/>
      </top>
      <bottom style="thin">
        <color theme="6" tint="0.39997558519241921"/>
      </bottom>
      <diagonal/>
    </border>
    <border>
      <left/>
      <right style="dotted">
        <color rgb="FF565A5C"/>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dashDot">
        <color indexed="64"/>
      </right>
      <top/>
      <bottom/>
      <diagonal/>
    </border>
    <border>
      <left style="thin">
        <color indexed="64"/>
      </left>
      <right style="thin">
        <color rgb="FF565A5C"/>
      </right>
      <top/>
      <bottom/>
      <diagonal/>
    </border>
    <border>
      <left style="thin">
        <color indexed="64"/>
      </left>
      <right/>
      <top style="thin">
        <color theme="6" tint="0.39997558519241921"/>
      </top>
      <bottom style="thin">
        <color theme="6" tint="0.39997558519241921"/>
      </bottom>
      <diagonal/>
    </border>
    <border>
      <left style="thin">
        <color theme="0" tint="-0.249977111117893"/>
      </left>
      <right style="thin">
        <color rgb="FF565A5C"/>
      </right>
      <top/>
      <bottom/>
      <diagonal/>
    </border>
    <border>
      <left style="thin">
        <color indexed="64"/>
      </left>
      <right style="thin">
        <color theme="0" tint="-0.249977111117893"/>
      </right>
      <top style="thin">
        <color theme="0" tint="-0.249977111117893"/>
      </top>
      <bottom style="thin">
        <color theme="0" tint="-0.249977111117893"/>
      </bottom>
      <diagonal/>
    </border>
    <border>
      <left/>
      <right style="thin">
        <color rgb="FF565A5C"/>
      </right>
      <top/>
      <bottom style="thin">
        <color indexed="64"/>
      </bottom>
      <diagonal/>
    </border>
    <border>
      <left style="dotted">
        <color indexed="64"/>
      </left>
      <right/>
      <top/>
      <bottom/>
      <diagonal/>
    </border>
    <border>
      <left/>
      <right/>
      <top style="thin">
        <color theme="6" tint="0.39997558519241921"/>
      </top>
      <bottom style="thin">
        <color theme="6" tint="0.39997558519241921"/>
      </bottom>
      <diagonal/>
    </border>
  </borders>
  <cellStyleXfs count="4">
    <xf numFmtId="0" fontId="0" fillId="0" borderId="0"/>
    <xf numFmtId="0" fontId="25" fillId="0" borderId="0" applyNumberFormat="0" applyFill="0" applyBorder="0" applyProtection="0">
      <alignment vertical="center"/>
    </xf>
    <xf numFmtId="0" fontId="22" fillId="0" borderId="0" applyNumberFormat="0" applyFill="0" applyBorder="0" applyProtection="0">
      <alignment vertical="center"/>
    </xf>
    <xf numFmtId="0" fontId="2" fillId="11" borderId="0" applyNumberFormat="0" applyBorder="0" applyAlignment="0" applyProtection="0"/>
  </cellStyleXfs>
  <cellXfs count="397">
    <xf numFmtId="0" fontId="0" fillId="0" borderId="0" xfId="0"/>
    <xf numFmtId="0" fontId="3" fillId="0" borderId="0" xfId="0" applyFont="1"/>
    <xf numFmtId="49" fontId="7" fillId="4" borderId="0" xfId="0" applyNumberFormat="1" applyFont="1" applyFill="1" applyAlignment="1">
      <alignment horizontal="center" vertical="center"/>
    </xf>
    <xf numFmtId="49" fontId="8" fillId="3" borderId="0" xfId="0" applyNumberFormat="1" applyFont="1" applyFill="1" applyAlignment="1">
      <alignment horizontal="left" vertical="center"/>
    </xf>
    <xf numFmtId="49" fontId="5" fillId="3" borderId="0" xfId="0" applyNumberFormat="1" applyFont="1" applyFill="1" applyAlignment="1">
      <alignment horizontal="center" vertical="center"/>
    </xf>
    <xf numFmtId="0" fontId="3" fillId="0" borderId="0" xfId="0" applyFont="1" applyAlignment="1">
      <alignment vertical="center"/>
    </xf>
    <xf numFmtId="0" fontId="0" fillId="0" borderId="0" xfId="0" applyAlignment="1">
      <alignment vertical="center"/>
    </xf>
    <xf numFmtId="0" fontId="4" fillId="0" borderId="0" xfId="0" applyFont="1" applyAlignment="1">
      <alignment vertical="center"/>
    </xf>
    <xf numFmtId="49" fontId="9" fillId="4" borderId="3" xfId="0" applyNumberFormat="1" applyFont="1" applyFill="1" applyBorder="1" applyAlignment="1">
      <alignment horizontal="center" vertical="center" wrapText="1"/>
    </xf>
    <xf numFmtId="164" fontId="3" fillId="5" borderId="1" xfId="0" applyNumberFormat="1" applyFont="1" applyFill="1" applyBorder="1" applyAlignment="1">
      <alignment horizontal="left" vertical="center"/>
    </xf>
    <xf numFmtId="165" fontId="3" fillId="5" borderId="2" xfId="0" applyNumberFormat="1" applyFont="1" applyFill="1" applyBorder="1" applyAlignment="1">
      <alignment vertical="center"/>
    </xf>
    <xf numFmtId="164" fontId="3" fillId="5" borderId="6" xfId="0" applyNumberFormat="1" applyFont="1" applyFill="1" applyBorder="1" applyAlignment="1">
      <alignment horizontal="left" vertical="center"/>
    </xf>
    <xf numFmtId="165" fontId="3" fillId="5" borderId="7" xfId="0" applyNumberFormat="1" applyFont="1" applyFill="1" applyBorder="1" applyAlignment="1">
      <alignment vertical="center"/>
    </xf>
    <xf numFmtId="0" fontId="15" fillId="0" borderId="0" xfId="0" applyFont="1"/>
    <xf numFmtId="49" fontId="7" fillId="4" borderId="8" xfId="0" applyNumberFormat="1" applyFont="1" applyFill="1" applyBorder="1" applyAlignment="1">
      <alignment horizontal="center" vertical="center"/>
    </xf>
    <xf numFmtId="49" fontId="7" fillId="4" borderId="9" xfId="0" applyNumberFormat="1" applyFont="1" applyFill="1" applyBorder="1" applyAlignment="1">
      <alignment horizontal="center" vertical="center"/>
    </xf>
    <xf numFmtId="49" fontId="16" fillId="4" borderId="8" xfId="0" applyNumberFormat="1" applyFont="1" applyFill="1" applyBorder="1" applyAlignment="1">
      <alignment horizontal="center" vertical="center" wrapText="1"/>
    </xf>
    <xf numFmtId="49" fontId="16" fillId="4" borderId="3" xfId="0" applyNumberFormat="1" applyFont="1" applyFill="1" applyBorder="1" applyAlignment="1">
      <alignment horizontal="center" vertical="center" wrapText="1"/>
    </xf>
    <xf numFmtId="49" fontId="16" fillId="4" borderId="0" xfId="0" applyNumberFormat="1" applyFont="1" applyFill="1" applyAlignment="1">
      <alignment horizontal="center" vertical="center"/>
    </xf>
    <xf numFmtId="49" fontId="16" fillId="4" borderId="3" xfId="0" applyNumberFormat="1" applyFont="1" applyFill="1" applyBorder="1" applyAlignment="1">
      <alignment horizontal="center" vertical="center"/>
    </xf>
    <xf numFmtId="49" fontId="1" fillId="2" borderId="11" xfId="0" applyNumberFormat="1" applyFont="1" applyFill="1" applyBorder="1" applyAlignment="1">
      <alignment vertical="center"/>
    </xf>
    <xf numFmtId="49" fontId="21" fillId="9" borderId="0" xfId="0" applyNumberFormat="1" applyFont="1" applyFill="1" applyAlignment="1">
      <alignment horizontal="left" vertical="center"/>
    </xf>
    <xf numFmtId="49" fontId="1" fillId="2" borderId="10" xfId="0" applyNumberFormat="1" applyFont="1" applyFill="1" applyBorder="1" applyAlignment="1">
      <alignment vertical="center"/>
    </xf>
    <xf numFmtId="49" fontId="26" fillId="2" borderId="11" xfId="0" applyNumberFormat="1" applyFont="1" applyFill="1" applyBorder="1" applyAlignment="1">
      <alignment vertical="center"/>
    </xf>
    <xf numFmtId="49" fontId="1" fillId="2" borderId="12" xfId="0" applyNumberFormat="1" applyFont="1" applyFill="1" applyBorder="1" applyAlignment="1">
      <alignment vertical="center"/>
    </xf>
    <xf numFmtId="49" fontId="16" fillId="4" borderId="1" xfId="0" applyNumberFormat="1" applyFont="1" applyFill="1" applyBorder="1" applyAlignment="1">
      <alignment horizontal="center" vertical="center" wrapText="1"/>
    </xf>
    <xf numFmtId="49" fontId="1" fillId="2" borderId="4" xfId="0" applyNumberFormat="1" applyFont="1" applyFill="1" applyBorder="1" applyAlignment="1">
      <alignment vertical="center"/>
    </xf>
    <xf numFmtId="49" fontId="7" fillId="4" borderId="1" xfId="0" applyNumberFormat="1" applyFont="1" applyFill="1" applyBorder="1" applyAlignment="1">
      <alignment horizontal="center" vertical="center"/>
    </xf>
    <xf numFmtId="49" fontId="16" fillId="4" borderId="1" xfId="0" applyNumberFormat="1" applyFont="1" applyFill="1" applyBorder="1" applyAlignment="1">
      <alignment horizontal="center" vertical="center"/>
    </xf>
    <xf numFmtId="49" fontId="26" fillId="2" borderId="13" xfId="0" applyNumberFormat="1" applyFont="1" applyFill="1" applyBorder="1" applyAlignment="1">
      <alignment vertical="center"/>
    </xf>
    <xf numFmtId="49" fontId="7" fillId="8" borderId="8" xfId="0" applyNumberFormat="1" applyFont="1" applyFill="1" applyBorder="1" applyAlignment="1">
      <alignment horizontal="center" vertical="center"/>
    </xf>
    <xf numFmtId="49" fontId="23" fillId="8" borderId="8" xfId="0" applyNumberFormat="1" applyFont="1" applyFill="1" applyBorder="1" applyAlignment="1">
      <alignment horizontal="center" vertical="center"/>
    </xf>
    <xf numFmtId="49" fontId="16" fillId="2" borderId="4" xfId="0" applyNumberFormat="1" applyFont="1" applyFill="1" applyBorder="1" applyAlignment="1">
      <alignment vertical="center"/>
    </xf>
    <xf numFmtId="49" fontId="24" fillId="4" borderId="1" xfId="0" applyNumberFormat="1" applyFont="1" applyFill="1" applyBorder="1" applyAlignment="1">
      <alignment horizontal="center" vertical="center"/>
    </xf>
    <xf numFmtId="49" fontId="17" fillId="4" borderId="1" xfId="0" applyNumberFormat="1" applyFont="1" applyFill="1" applyBorder="1" applyAlignment="1">
      <alignment horizontal="center" vertical="center" wrapText="1"/>
    </xf>
    <xf numFmtId="49" fontId="6" fillId="4" borderId="3" xfId="0" applyNumberFormat="1" applyFont="1" applyFill="1" applyBorder="1" applyAlignment="1">
      <alignment horizontal="center" vertical="center" wrapText="1"/>
    </xf>
    <xf numFmtId="49" fontId="1" fillId="9" borderId="1" xfId="0" applyNumberFormat="1" applyFont="1" applyFill="1" applyBorder="1" applyAlignment="1">
      <alignment horizontal="right" vertical="center"/>
    </xf>
    <xf numFmtId="49" fontId="12" fillId="4" borderId="14" xfId="0" applyNumberFormat="1" applyFont="1" applyFill="1" applyBorder="1" applyAlignment="1">
      <alignment horizontal="center" vertical="center" wrapText="1"/>
    </xf>
    <xf numFmtId="49" fontId="5" fillId="7" borderId="1" xfId="0" applyNumberFormat="1" applyFont="1" applyFill="1" applyBorder="1" applyAlignment="1">
      <alignment horizontal="center" vertical="center"/>
    </xf>
    <xf numFmtId="0" fontId="19" fillId="0" borderId="1" xfId="0" applyFont="1" applyBorder="1" applyAlignment="1">
      <alignment vertical="center"/>
    </xf>
    <xf numFmtId="0" fontId="2" fillId="0" borderId="1" xfId="0" applyFont="1" applyBorder="1" applyAlignment="1">
      <alignment vertical="center"/>
    </xf>
    <xf numFmtId="0" fontId="20" fillId="0" borderId="1" xfId="0" applyFont="1" applyBorder="1" applyAlignment="1">
      <alignment vertical="center"/>
    </xf>
    <xf numFmtId="0" fontId="3" fillId="0" borderId="8" xfId="0" applyFont="1" applyBorder="1" applyAlignment="1">
      <alignment vertical="center"/>
    </xf>
    <xf numFmtId="0" fontId="6" fillId="4" borderId="12" xfId="0" applyFont="1" applyFill="1" applyBorder="1" applyAlignment="1">
      <alignment horizontal="center" vertical="center" wrapText="1"/>
    </xf>
    <xf numFmtId="49" fontId="16" fillId="4" borderId="9" xfId="0" applyNumberFormat="1" applyFont="1" applyFill="1" applyBorder="1" applyAlignment="1">
      <alignment horizontal="center" vertical="center" wrapText="1"/>
    </xf>
    <xf numFmtId="49" fontId="5" fillId="9" borderId="1" xfId="0" applyNumberFormat="1" applyFont="1" applyFill="1" applyBorder="1" applyAlignment="1">
      <alignment horizontal="center" vertical="center"/>
    </xf>
    <xf numFmtId="164" fontId="2" fillId="10" borderId="1" xfId="0" applyNumberFormat="1" applyFont="1" applyFill="1" applyBorder="1" applyAlignment="1">
      <alignment vertical="center"/>
    </xf>
    <xf numFmtId="49" fontId="8" fillId="10" borderId="0" xfId="0" applyNumberFormat="1" applyFont="1" applyFill="1" applyAlignment="1">
      <alignment horizontal="left" vertical="center"/>
    </xf>
    <xf numFmtId="49" fontId="5" fillId="10" borderId="0" xfId="0" applyNumberFormat="1" applyFont="1" applyFill="1" applyAlignment="1">
      <alignment horizontal="center" vertical="center"/>
    </xf>
    <xf numFmtId="49" fontId="27" fillId="4" borderId="3" xfId="0" applyNumberFormat="1" applyFont="1" applyFill="1" applyBorder="1" applyAlignment="1">
      <alignment horizontal="center" vertical="center" wrapText="1"/>
    </xf>
    <xf numFmtId="0" fontId="3" fillId="0" borderId="0" xfId="0" applyFont="1" applyAlignment="1">
      <alignment horizontal="center" vertical="center"/>
    </xf>
    <xf numFmtId="0" fontId="3" fillId="0" borderId="1" xfId="0" applyFont="1" applyFill="1" applyBorder="1"/>
    <xf numFmtId="0" fontId="0" fillId="0" borderId="0" xfId="0" pivotButton="1" applyAlignment="1">
      <alignment vertical="center"/>
    </xf>
    <xf numFmtId="1" fontId="3" fillId="0" borderId="0" xfId="0" applyNumberFormat="1" applyFont="1" applyAlignment="1">
      <alignment horizontal="center" vertical="center"/>
    </xf>
    <xf numFmtId="1" fontId="3" fillId="0" borderId="0" xfId="0" applyNumberFormat="1" applyFont="1" applyAlignment="1">
      <alignment vertical="center"/>
    </xf>
    <xf numFmtId="1" fontId="0" fillId="0" borderId="0" xfId="0" applyNumberFormat="1" applyAlignment="1">
      <alignment vertical="center"/>
    </xf>
    <xf numFmtId="0" fontId="3" fillId="0" borderId="0" xfId="0" applyFont="1" applyAlignment="1">
      <alignment horizontal="left" vertical="center"/>
    </xf>
    <xf numFmtId="0" fontId="0" fillId="0" borderId="0" xfId="0" pivotButton="1" applyAlignment="1">
      <alignment horizontal="center" vertical="center"/>
    </xf>
    <xf numFmtId="0" fontId="3" fillId="0" borderId="0" xfId="0" applyNumberFormat="1" applyFont="1" applyAlignment="1">
      <alignment vertical="center"/>
    </xf>
    <xf numFmtId="9" fontId="3" fillId="0" borderId="0" xfId="0" applyNumberFormat="1" applyFont="1" applyAlignment="1">
      <alignment vertical="center"/>
    </xf>
    <xf numFmtId="49" fontId="0" fillId="0" borderId="0" xfId="0" applyNumberFormat="1" applyFont="1" applyAlignment="1">
      <alignment horizontal="center" vertical="center"/>
    </xf>
    <xf numFmtId="1" fontId="3" fillId="0" borderId="0" xfId="0" applyNumberFormat="1" applyFont="1" applyAlignment="1">
      <alignment horizontal="right" vertical="center"/>
    </xf>
    <xf numFmtId="166" fontId="3" fillId="0" borderId="12" xfId="0" applyNumberFormat="1" applyFont="1" applyBorder="1" applyAlignment="1">
      <alignment vertical="center"/>
    </xf>
    <xf numFmtId="0" fontId="3" fillId="0" borderId="17" xfId="0" applyFont="1" applyBorder="1" applyAlignment="1">
      <alignment vertical="center"/>
    </xf>
    <xf numFmtId="0" fontId="3" fillId="0" borderId="5" xfId="0" applyFont="1" applyBorder="1" applyAlignment="1">
      <alignment horizontal="center" vertical="center"/>
    </xf>
    <xf numFmtId="0" fontId="3" fillId="0" borderId="7" xfId="0" applyFont="1" applyBorder="1" applyAlignment="1">
      <alignment horizontal="center" vertical="center"/>
    </xf>
    <xf numFmtId="0" fontId="28" fillId="6" borderId="0" xfId="3" applyFont="1" applyFill="1" applyAlignment="1">
      <alignment horizontal="center" vertical="center"/>
    </xf>
    <xf numFmtId="0" fontId="28" fillId="6" borderId="0" xfId="3" applyFont="1" applyFill="1"/>
    <xf numFmtId="1" fontId="30" fillId="0" borderId="19" xfId="0" applyNumberFormat="1" applyFont="1" applyFill="1" applyBorder="1" applyAlignment="1">
      <alignment horizontal="center" vertical="center"/>
    </xf>
    <xf numFmtId="0" fontId="30" fillId="0" borderId="0" xfId="0" applyFont="1" applyFill="1" applyBorder="1" applyAlignment="1">
      <alignment horizontal="center" vertical="center"/>
    </xf>
    <xf numFmtId="0" fontId="23" fillId="12" borderId="0" xfId="0" applyFont="1" applyFill="1" applyBorder="1" applyAlignment="1">
      <alignment horizontal="center" vertical="center" wrapText="1"/>
    </xf>
    <xf numFmtId="0" fontId="28" fillId="12" borderId="0" xfId="0" applyFont="1" applyFill="1" applyBorder="1" applyAlignment="1">
      <alignment horizontal="center" vertical="center"/>
    </xf>
    <xf numFmtId="0" fontId="30" fillId="0" borderId="0" xfId="0" applyFont="1" applyFill="1" applyBorder="1" applyAlignment="1">
      <alignment horizontal="left" vertical="center"/>
    </xf>
    <xf numFmtId="1" fontId="3" fillId="0" borderId="19" xfId="0" applyNumberFormat="1" applyFont="1" applyFill="1" applyBorder="1" applyAlignment="1">
      <alignment horizontal="right" vertical="center"/>
    </xf>
    <xf numFmtId="9" fontId="3" fillId="0" borderId="0" xfId="0" applyNumberFormat="1" applyFont="1" applyFill="1" applyBorder="1" applyAlignment="1">
      <alignment horizontal="right" vertical="center"/>
    </xf>
    <xf numFmtId="1" fontId="31" fillId="0" borderId="0" xfId="0" applyNumberFormat="1" applyFont="1" applyFill="1" applyBorder="1" applyAlignment="1">
      <alignment horizontal="center" vertical="center"/>
    </xf>
    <xf numFmtId="0" fontId="28" fillId="6" borderId="0" xfId="0" applyFont="1" applyFill="1" applyAlignment="1">
      <alignment horizontal="center" vertical="center" wrapText="1"/>
    </xf>
    <xf numFmtId="0" fontId="28" fillId="6" borderId="16" xfId="0" applyFont="1" applyFill="1" applyBorder="1" applyAlignment="1">
      <alignment horizontal="center" vertical="center" wrapText="1"/>
    </xf>
    <xf numFmtId="0" fontId="0" fillId="4" borderId="0" xfId="0" applyFill="1"/>
    <xf numFmtId="0" fontId="29" fillId="0" borderId="4" xfId="0" applyFont="1" applyBorder="1"/>
    <xf numFmtId="0" fontId="29" fillId="0" borderId="18" xfId="0" applyFont="1" applyBorder="1"/>
    <xf numFmtId="166" fontId="3" fillId="0" borderId="8" xfId="0" applyNumberFormat="1" applyFont="1" applyBorder="1" applyAlignment="1">
      <alignment vertical="center"/>
    </xf>
    <xf numFmtId="0" fontId="29" fillId="0" borderId="26" xfId="0" applyFont="1" applyBorder="1"/>
    <xf numFmtId="166" fontId="3" fillId="0" borderId="29" xfId="0" applyNumberFormat="1" applyFont="1" applyBorder="1" applyAlignment="1">
      <alignment vertical="center"/>
    </xf>
    <xf numFmtId="0" fontId="31" fillId="0" borderId="0" xfId="0" applyFont="1" applyAlignment="1">
      <alignment horizontal="left" vertical="center"/>
    </xf>
    <xf numFmtId="0" fontId="0" fillId="0" borderId="21" xfId="0" applyBorder="1" applyAlignment="1">
      <alignment vertical="center"/>
    </xf>
    <xf numFmtId="0" fontId="16" fillId="0" borderId="27" xfId="0" applyFont="1" applyBorder="1" applyAlignment="1">
      <alignment horizontal="right"/>
    </xf>
    <xf numFmtId="0" fontId="16" fillId="0" borderId="28" xfId="0" applyFont="1" applyBorder="1" applyAlignment="1">
      <alignment horizontal="right"/>
    </xf>
    <xf numFmtId="0" fontId="3" fillId="0" borderId="32" xfId="0" applyFont="1" applyBorder="1" applyAlignment="1">
      <alignment vertical="center"/>
    </xf>
    <xf numFmtId="0" fontId="3" fillId="0" borderId="33" xfId="0" applyFont="1" applyBorder="1" applyAlignment="1">
      <alignment vertical="center"/>
    </xf>
    <xf numFmtId="0" fontId="3" fillId="0" borderId="34" xfId="0" applyFont="1" applyBorder="1" applyAlignment="1">
      <alignment vertical="center"/>
    </xf>
    <xf numFmtId="0" fontId="3" fillId="0" borderId="35" xfId="0" applyFont="1" applyBorder="1" applyAlignment="1">
      <alignment vertical="center"/>
    </xf>
    <xf numFmtId="0" fontId="22" fillId="0" borderId="35" xfId="2" applyFont="1" applyBorder="1" applyAlignment="1">
      <alignment vertical="center"/>
    </xf>
    <xf numFmtId="0" fontId="3" fillId="0" borderId="34" xfId="0" applyFont="1" applyBorder="1" applyAlignment="1">
      <alignment horizontal="center" vertical="center"/>
    </xf>
    <xf numFmtId="0" fontId="3" fillId="0" borderId="35" xfId="0" applyFont="1" applyBorder="1" applyAlignment="1">
      <alignment horizontal="center" vertical="center"/>
    </xf>
    <xf numFmtId="1" fontId="3" fillId="0" borderId="0" xfId="0" applyNumberFormat="1" applyFont="1" applyFill="1" applyBorder="1" applyAlignment="1">
      <alignment horizontal="right" vertical="center"/>
    </xf>
    <xf numFmtId="10" fontId="3" fillId="0" borderId="19" xfId="0" applyNumberFormat="1" applyFont="1" applyFill="1" applyBorder="1" applyAlignment="1">
      <alignment horizontal="right" vertical="center"/>
    </xf>
    <xf numFmtId="1" fontId="30" fillId="0" borderId="36" xfId="0" applyNumberFormat="1" applyFont="1" applyFill="1" applyBorder="1" applyAlignment="1">
      <alignment horizontal="center" vertical="center"/>
    </xf>
    <xf numFmtId="1" fontId="31" fillId="0" borderId="36" xfId="0" applyNumberFormat="1" applyFont="1" applyFill="1" applyBorder="1" applyAlignment="1">
      <alignment horizontal="center" vertical="center"/>
    </xf>
    <xf numFmtId="1" fontId="3" fillId="0" borderId="36" xfId="0" applyNumberFormat="1" applyFont="1" applyFill="1" applyBorder="1" applyAlignment="1">
      <alignment horizontal="right" vertical="center"/>
    </xf>
    <xf numFmtId="10" fontId="3" fillId="0" borderId="36" xfId="0" applyNumberFormat="1" applyFont="1" applyFill="1" applyBorder="1" applyAlignment="1">
      <alignment horizontal="right" vertical="center"/>
    </xf>
    <xf numFmtId="0" fontId="0" fillId="0" borderId="0" xfId="0" applyAlignment="1">
      <alignment horizontal="left"/>
    </xf>
    <xf numFmtId="0" fontId="0" fillId="0" borderId="0" xfId="0" applyFont="1" applyAlignment="1">
      <alignment horizontal="left"/>
    </xf>
    <xf numFmtId="0" fontId="29" fillId="0" borderId="0" xfId="0" applyFont="1" applyAlignment="1">
      <alignment horizontal="center" vertical="center"/>
    </xf>
    <xf numFmtId="0" fontId="32" fillId="0" borderId="0" xfId="0" applyFont="1" applyAlignment="1">
      <alignment horizontal="center" vertical="center"/>
    </xf>
    <xf numFmtId="166" fontId="0" fillId="0" borderId="0" xfId="0" applyNumberFormat="1" applyFill="1" applyAlignment="1">
      <alignment horizontal="center"/>
    </xf>
    <xf numFmtId="49" fontId="0" fillId="0" borderId="0" xfId="0" applyNumberFormat="1" applyFill="1" applyAlignment="1">
      <alignment horizontal="left"/>
    </xf>
    <xf numFmtId="49" fontId="0" fillId="0" borderId="0" xfId="0" applyNumberFormat="1" applyFill="1" applyAlignment="1">
      <alignment horizontal="center"/>
    </xf>
    <xf numFmtId="49" fontId="18" fillId="0" borderId="0" xfId="0" applyNumberFormat="1" applyFont="1" applyFill="1" applyAlignment="1">
      <alignment horizontal="left"/>
    </xf>
    <xf numFmtId="49" fontId="3" fillId="0" borderId="1" xfId="0" applyNumberFormat="1" applyFont="1" applyFill="1" applyBorder="1" applyAlignment="1">
      <alignment horizontal="left"/>
    </xf>
    <xf numFmtId="49" fontId="4" fillId="0" borderId="0" xfId="0" applyNumberFormat="1" applyFont="1" applyFill="1" applyAlignment="1">
      <alignment horizontal="left"/>
    </xf>
    <xf numFmtId="49" fontId="0" fillId="0" borderId="0" xfId="0" applyNumberFormat="1" applyFill="1" applyAlignment="1">
      <alignment horizontal="center" vertical="center"/>
    </xf>
    <xf numFmtId="1" fontId="0" fillId="0" borderId="0" xfId="0" applyNumberFormat="1" applyFill="1"/>
    <xf numFmtId="1" fontId="0" fillId="0" borderId="1" xfId="0" applyNumberFormat="1" applyFill="1" applyBorder="1" applyAlignment="1">
      <alignment horizontal="right"/>
    </xf>
    <xf numFmtId="44" fontId="0" fillId="0" borderId="0" xfId="0" applyNumberFormat="1" applyFill="1"/>
    <xf numFmtId="0" fontId="0" fillId="0" borderId="0" xfId="0" applyFill="1"/>
    <xf numFmtId="49" fontId="0" fillId="0" borderId="0" xfId="0" applyNumberFormat="1" applyFill="1" applyAlignment="1">
      <alignment horizontal="right"/>
    </xf>
    <xf numFmtId="1" fontId="0" fillId="0" borderId="1" xfId="0" applyNumberFormat="1" applyFill="1" applyBorder="1" applyAlignment="1">
      <alignment horizontal="left"/>
    </xf>
    <xf numFmtId="49" fontId="0" fillId="0" borderId="1" xfId="0" applyNumberFormat="1" applyFill="1" applyBorder="1"/>
    <xf numFmtId="0" fontId="2" fillId="0" borderId="0" xfId="0" applyFont="1" applyFill="1"/>
    <xf numFmtId="0" fontId="33" fillId="0" borderId="1" xfId="2" applyFont="1" applyFill="1" applyBorder="1">
      <alignment vertical="center"/>
    </xf>
    <xf numFmtId="1" fontId="31" fillId="0" borderId="19" xfId="0" applyNumberFormat="1" applyFont="1" applyFill="1" applyBorder="1" applyAlignment="1">
      <alignment horizontal="center" vertical="center"/>
    </xf>
    <xf numFmtId="0" fontId="22" fillId="0" borderId="34" xfId="2" applyBorder="1">
      <alignment vertical="center"/>
    </xf>
    <xf numFmtId="0" fontId="0" fillId="0" borderId="0" xfId="0" applyAlignment="1">
      <alignment horizontal="center" vertical="center" textRotation="90"/>
    </xf>
    <xf numFmtId="0" fontId="29" fillId="0" borderId="0" xfId="0" applyFont="1"/>
    <xf numFmtId="0" fontId="34" fillId="0" borderId="39" xfId="0" applyFont="1" applyBorder="1" applyAlignment="1">
      <alignment horizontal="center" vertical="center" textRotation="90" wrapText="1"/>
    </xf>
    <xf numFmtId="0" fontId="0" fillId="0" borderId="40" xfId="0" applyBorder="1"/>
    <xf numFmtId="0" fontId="34" fillId="0" borderId="41" xfId="0" applyFont="1" applyBorder="1" applyAlignment="1">
      <alignment horizontal="center" vertical="center" textRotation="90" wrapText="1"/>
    </xf>
    <xf numFmtId="0" fontId="34" fillId="0" borderId="41" xfId="0" applyFont="1" applyFill="1" applyBorder="1" applyAlignment="1">
      <alignment horizontal="center" vertical="center" textRotation="90"/>
    </xf>
    <xf numFmtId="0" fontId="3" fillId="0" borderId="41" xfId="0" applyFont="1" applyBorder="1" applyAlignment="1">
      <alignment horizontal="right" vertical="top" wrapText="1"/>
    </xf>
    <xf numFmtId="0" fontId="35" fillId="0" borderId="41" xfId="0" applyFont="1" applyBorder="1" applyAlignment="1">
      <alignment horizontal="center" vertical="center" textRotation="90" wrapText="1"/>
    </xf>
    <xf numFmtId="0" fontId="29" fillId="0" borderId="41" xfId="0" applyFont="1" applyBorder="1" applyAlignment="1">
      <alignment horizontal="left" vertical="center" textRotation="90" shrinkToFit="1"/>
    </xf>
    <xf numFmtId="0" fontId="0" fillId="0" borderId="39" xfId="0" applyFont="1" applyBorder="1" applyAlignment="1">
      <alignment horizontal="center" vertical="center" textRotation="90" wrapText="1"/>
    </xf>
    <xf numFmtId="0" fontId="3" fillId="0" borderId="41" xfId="0" applyFont="1" applyBorder="1" applyAlignment="1">
      <alignment vertical="top"/>
    </xf>
    <xf numFmtId="0" fontId="0" fillId="0" borderId="41" xfId="0" applyBorder="1" applyAlignment="1">
      <alignment horizontal="left" vertical="top"/>
    </xf>
    <xf numFmtId="49" fontId="37" fillId="0" borderId="40" xfId="0" applyNumberFormat="1" applyFont="1" applyBorder="1" applyAlignment="1">
      <alignment horizontal="center" vertical="center" textRotation="90" shrinkToFit="1"/>
    </xf>
    <xf numFmtId="0" fontId="38" fillId="0" borderId="0" xfId="0" applyFont="1"/>
    <xf numFmtId="0" fontId="36" fillId="0" borderId="41" xfId="0" applyFont="1" applyBorder="1" applyAlignment="1">
      <alignment horizontal="left" vertical="top" textRotation="90"/>
    </xf>
    <xf numFmtId="49" fontId="1" fillId="2" borderId="11" xfId="0" applyNumberFormat="1" applyFont="1" applyFill="1" applyBorder="1" applyAlignment="1">
      <alignment horizontal="center" vertical="center"/>
    </xf>
    <xf numFmtId="49" fontId="3" fillId="0" borderId="40" xfId="0" applyNumberFormat="1" applyFont="1" applyBorder="1" applyAlignment="1">
      <alignment vertical="center"/>
    </xf>
    <xf numFmtId="0" fontId="29" fillId="0" borderId="0" xfId="0" applyFont="1" applyAlignment="1">
      <alignment horizontal="center" vertical="center" wrapText="1"/>
    </xf>
    <xf numFmtId="0" fontId="3" fillId="0" borderId="27" xfId="0" applyFont="1" applyBorder="1" applyAlignment="1">
      <alignment vertical="center" wrapText="1"/>
    </xf>
    <xf numFmtId="0" fontId="3" fillId="0" borderId="22" xfId="0" applyFont="1" applyBorder="1" applyAlignment="1">
      <alignment vertical="center" wrapText="1"/>
    </xf>
    <xf numFmtId="164" fontId="0" fillId="3" borderId="1" xfId="0" applyNumberFormat="1" applyFont="1" applyFill="1" applyBorder="1" applyAlignment="1">
      <alignment vertical="center"/>
    </xf>
    <xf numFmtId="0" fontId="0" fillId="0" borderId="0" xfId="0" applyFill="1" applyBorder="1"/>
    <xf numFmtId="49" fontId="0" fillId="0" borderId="0" xfId="0" applyNumberFormat="1" applyFill="1" applyBorder="1" applyAlignment="1">
      <alignment horizontal="center"/>
    </xf>
    <xf numFmtId="49" fontId="0" fillId="0" borderId="0" xfId="0" applyNumberFormat="1" applyFill="1" applyBorder="1" applyAlignment="1">
      <alignment horizontal="left"/>
    </xf>
    <xf numFmtId="49" fontId="3" fillId="0" borderId="0" xfId="0" applyNumberFormat="1" applyFont="1" applyFill="1" applyBorder="1" applyAlignment="1">
      <alignment horizontal="left"/>
    </xf>
    <xf numFmtId="49" fontId="4" fillId="0" borderId="0" xfId="0" applyNumberFormat="1" applyFont="1" applyFill="1" applyBorder="1" applyAlignment="1">
      <alignment horizontal="left"/>
    </xf>
    <xf numFmtId="49" fontId="0" fillId="0" borderId="0" xfId="0" applyNumberFormat="1" applyFill="1" applyBorder="1" applyAlignment="1">
      <alignment horizontal="center" vertical="center"/>
    </xf>
    <xf numFmtId="1" fontId="0" fillId="0" borderId="0" xfId="0" applyNumberFormat="1" applyFill="1" applyBorder="1"/>
    <xf numFmtId="0" fontId="30" fillId="0" borderId="0" xfId="0" applyFont="1" applyAlignment="1">
      <alignment horizontal="left" vertical="center"/>
    </xf>
    <xf numFmtId="0" fontId="3" fillId="0" borderId="8" xfId="0" applyFont="1" applyFill="1" applyBorder="1" applyAlignment="1">
      <alignment horizontal="center" vertical="center"/>
    </xf>
    <xf numFmtId="0" fontId="33" fillId="0" borderId="1" xfId="2" applyFont="1" applyFill="1" applyBorder="1" applyAlignment="1">
      <alignment horizontal="center" vertical="center"/>
    </xf>
    <xf numFmtId="0" fontId="42" fillId="0" borderId="0" xfId="0" applyFont="1" applyAlignment="1">
      <alignment horizontal="center" vertical="center"/>
    </xf>
    <xf numFmtId="49" fontId="40" fillId="0" borderId="43" xfId="0" applyNumberFormat="1" applyFont="1" applyFill="1" applyBorder="1" applyAlignment="1">
      <alignment horizontal="center" vertical="center"/>
    </xf>
    <xf numFmtId="0" fontId="3" fillId="0" borderId="8" xfId="0" applyFont="1" applyFill="1" applyBorder="1" applyAlignment="1">
      <alignment vertical="center"/>
    </xf>
    <xf numFmtId="0" fontId="43" fillId="0" borderId="0" xfId="2" applyFont="1">
      <alignment vertical="center"/>
    </xf>
    <xf numFmtId="0" fontId="43" fillId="0" borderId="0" xfId="2" applyFont="1" applyAlignment="1">
      <alignment vertical="center"/>
    </xf>
    <xf numFmtId="0" fontId="22" fillId="0" borderId="0" xfId="2" applyFont="1" applyAlignment="1">
      <alignment vertical="center"/>
    </xf>
    <xf numFmtId="0" fontId="0" fillId="0" borderId="0" xfId="0" applyAlignment="1">
      <alignment horizontal="center" vertical="center"/>
    </xf>
    <xf numFmtId="49" fontId="16" fillId="4" borderId="22" xfId="0" applyNumberFormat="1" applyFont="1" applyFill="1" applyBorder="1" applyAlignment="1">
      <alignment horizontal="center" vertical="center" wrapText="1"/>
    </xf>
    <xf numFmtId="49" fontId="16" fillId="4" borderId="45" xfId="0" applyNumberFormat="1" applyFont="1" applyFill="1" applyBorder="1" applyAlignment="1">
      <alignment horizontal="center" vertical="center" wrapText="1"/>
    </xf>
    <xf numFmtId="0" fontId="0" fillId="0" borderId="0" xfId="0" applyFill="1" applyBorder="1" applyAlignment="1">
      <alignment vertical="center"/>
    </xf>
    <xf numFmtId="0" fontId="3" fillId="0" borderId="0" xfId="0" applyFont="1" applyBorder="1" applyAlignment="1">
      <alignment vertical="center"/>
    </xf>
    <xf numFmtId="0" fontId="0" fillId="0" borderId="0" xfId="0" applyBorder="1" applyAlignment="1">
      <alignment vertical="center"/>
    </xf>
    <xf numFmtId="49" fontId="23" fillId="8" borderId="22" xfId="0" applyNumberFormat="1" applyFont="1" applyFill="1" applyBorder="1" applyAlignment="1">
      <alignment horizontal="center" vertical="center"/>
    </xf>
    <xf numFmtId="49" fontId="24" fillId="4" borderId="22" xfId="0" applyNumberFormat="1" applyFont="1" applyFill="1" applyBorder="1" applyAlignment="1">
      <alignment horizontal="center" vertical="center"/>
    </xf>
    <xf numFmtId="49" fontId="17" fillId="4" borderId="22" xfId="0" applyNumberFormat="1" applyFont="1" applyFill="1" applyBorder="1" applyAlignment="1">
      <alignment horizontal="center" vertical="center" wrapText="1"/>
    </xf>
    <xf numFmtId="49" fontId="3" fillId="0" borderId="22" xfId="0" applyNumberFormat="1" applyFont="1" applyFill="1" applyBorder="1" applyAlignment="1">
      <alignment horizontal="left" vertical="center"/>
    </xf>
    <xf numFmtId="49" fontId="16" fillId="2" borderId="22" xfId="0" applyNumberFormat="1" applyFont="1" applyFill="1" applyBorder="1" applyAlignment="1">
      <alignment vertical="center"/>
    </xf>
    <xf numFmtId="49" fontId="5" fillId="3" borderId="31" xfId="0" applyNumberFormat="1" applyFont="1" applyFill="1" applyBorder="1" applyAlignment="1">
      <alignment horizontal="center" vertical="center"/>
    </xf>
    <xf numFmtId="49" fontId="5" fillId="3" borderId="47" xfId="0" applyNumberFormat="1" applyFont="1" applyFill="1" applyBorder="1" applyAlignment="1">
      <alignment horizontal="center" vertical="center"/>
    </xf>
    <xf numFmtId="49" fontId="16" fillId="4" borderId="0" xfId="0" applyNumberFormat="1" applyFont="1" applyFill="1" applyBorder="1" applyAlignment="1">
      <alignment horizontal="center" vertical="center" wrapText="1"/>
    </xf>
    <xf numFmtId="164" fontId="2" fillId="3" borderId="31" xfId="0" applyNumberFormat="1" applyFont="1" applyFill="1" applyBorder="1" applyAlignment="1">
      <alignment vertical="center"/>
    </xf>
    <xf numFmtId="49" fontId="6" fillId="4" borderId="0" xfId="0" applyNumberFormat="1" applyFont="1" applyFill="1" applyBorder="1" applyAlignment="1">
      <alignment horizontal="center" vertical="center" wrapText="1"/>
    </xf>
    <xf numFmtId="0" fontId="3" fillId="8" borderId="22" xfId="0" applyFont="1" applyFill="1" applyBorder="1" applyAlignment="1">
      <alignment horizontal="center" vertical="center"/>
    </xf>
    <xf numFmtId="0" fontId="3" fillId="0" borderId="0" xfId="0" applyFont="1" applyAlignment="1">
      <alignment horizontal="center" vertical="center"/>
    </xf>
    <xf numFmtId="49" fontId="14" fillId="7" borderId="0" xfId="0" applyNumberFormat="1" applyFont="1" applyFill="1" applyAlignment="1">
      <alignment horizontal="left" vertical="center"/>
    </xf>
    <xf numFmtId="0" fontId="13" fillId="2" borderId="4" xfId="0" applyFont="1" applyFill="1" applyBorder="1" applyAlignment="1">
      <alignment horizontal="center" vertical="center"/>
    </xf>
    <xf numFmtId="0" fontId="13" fillId="2" borderId="5" xfId="0" applyFont="1" applyFill="1" applyBorder="1" applyAlignment="1">
      <alignment horizontal="center" vertical="center"/>
    </xf>
    <xf numFmtId="49" fontId="16" fillId="9" borderId="31" xfId="0" applyNumberFormat="1" applyFont="1" applyFill="1" applyBorder="1" applyAlignment="1">
      <alignment horizontal="left" vertical="center"/>
    </xf>
    <xf numFmtId="49" fontId="16" fillId="9" borderId="0" xfId="0" applyNumberFormat="1" applyFont="1" applyFill="1" applyBorder="1" applyAlignment="1">
      <alignment horizontal="left" vertical="center"/>
    </xf>
    <xf numFmtId="49" fontId="16" fillId="9" borderId="25" xfId="0" applyNumberFormat="1" applyFont="1" applyFill="1" applyBorder="1" applyAlignment="1">
      <alignment horizontal="left" vertical="center"/>
    </xf>
    <xf numFmtId="49" fontId="14" fillId="7" borderId="2" xfId="0" applyNumberFormat="1" applyFont="1" applyFill="1" applyBorder="1" applyAlignment="1">
      <alignment horizontal="left" vertical="center"/>
    </xf>
    <xf numFmtId="49" fontId="1" fillId="9" borderId="0" xfId="0" applyNumberFormat="1" applyFont="1" applyFill="1" applyAlignment="1">
      <alignment horizontal="left" vertical="center"/>
    </xf>
    <xf numFmtId="49" fontId="1" fillId="9" borderId="2" xfId="0" applyNumberFormat="1" applyFont="1" applyFill="1" applyBorder="1" applyAlignment="1">
      <alignment horizontal="left" vertical="center"/>
    </xf>
    <xf numFmtId="49" fontId="1" fillId="2" borderId="4" xfId="0" applyNumberFormat="1" applyFont="1" applyFill="1" applyBorder="1" applyAlignment="1">
      <alignment horizontal="center" vertical="center"/>
    </xf>
    <xf numFmtId="49" fontId="1" fillId="2" borderId="11" xfId="0" applyNumberFormat="1" applyFont="1" applyFill="1" applyBorder="1" applyAlignment="1">
      <alignment horizontal="center" vertical="center"/>
    </xf>
    <xf numFmtId="49" fontId="1" fillId="2" borderId="15" xfId="0" applyNumberFormat="1" applyFont="1" applyFill="1" applyBorder="1" applyAlignment="1">
      <alignment horizontal="center" vertical="center"/>
    </xf>
    <xf numFmtId="49" fontId="1" fillId="2" borderId="5" xfId="0" applyNumberFormat="1" applyFont="1" applyFill="1" applyBorder="1" applyAlignment="1">
      <alignment horizontal="center" vertical="center"/>
    </xf>
    <xf numFmtId="0" fontId="3" fillId="0" borderId="0" xfId="0" applyFont="1" applyAlignment="1">
      <alignment horizontal="center" vertical="center"/>
    </xf>
    <xf numFmtId="0" fontId="3" fillId="0" borderId="20" xfId="0" applyFont="1" applyBorder="1" applyAlignment="1">
      <alignment horizontal="left" vertical="top"/>
    </xf>
    <xf numFmtId="0" fontId="3" fillId="0" borderId="3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0" xfId="0" applyFont="1" applyBorder="1" applyAlignment="1">
      <alignment horizontal="left" vertical="top"/>
    </xf>
    <xf numFmtId="0" fontId="3" fillId="0" borderId="23" xfId="0" applyFont="1" applyBorder="1" applyAlignment="1">
      <alignment horizontal="left" vertical="top"/>
    </xf>
    <xf numFmtId="0" fontId="3" fillId="0" borderId="24" xfId="0" applyFont="1" applyBorder="1" applyAlignment="1">
      <alignment horizontal="left" vertical="top"/>
    </xf>
    <xf numFmtId="0" fontId="3" fillId="0" borderId="31" xfId="0" applyFont="1" applyBorder="1" applyAlignment="1">
      <alignment horizontal="left" vertical="top"/>
    </xf>
    <xf numFmtId="0" fontId="3" fillId="0" borderId="25" xfId="0" applyFont="1" applyBorder="1" applyAlignment="1">
      <alignment horizontal="left" vertical="top"/>
    </xf>
    <xf numFmtId="0" fontId="44" fillId="0" borderId="0" xfId="0" applyFont="1" applyBorder="1" applyAlignment="1">
      <alignment horizontal="left" vertical="center"/>
    </xf>
    <xf numFmtId="0" fontId="3" fillId="0" borderId="22" xfId="0" applyFont="1" applyBorder="1" applyAlignment="1">
      <alignment horizontal="center" vertical="center"/>
    </xf>
    <xf numFmtId="49" fontId="40" fillId="0" borderId="0" xfId="0" applyNumberFormat="1" applyFont="1" applyFill="1" applyAlignment="1">
      <alignment horizontal="center" vertical="center"/>
    </xf>
    <xf numFmtId="0" fontId="40" fillId="0" borderId="0" xfId="0" applyNumberFormat="1" applyFont="1" applyFill="1" applyBorder="1" applyAlignment="1">
      <alignment horizontal="center" vertical="center"/>
    </xf>
    <xf numFmtId="49" fontId="40" fillId="0" borderId="0" xfId="0" applyNumberFormat="1" applyFont="1" applyFill="1" applyAlignment="1">
      <alignment horizontal="left" vertical="center"/>
    </xf>
    <xf numFmtId="0" fontId="3" fillId="0" borderId="22" xfId="0" applyFont="1" applyBorder="1" applyAlignment="1">
      <alignment horizontal="left" vertical="center"/>
    </xf>
    <xf numFmtId="167" fontId="40" fillId="0" borderId="22" xfId="0" applyNumberFormat="1" applyFont="1" applyFill="1" applyBorder="1" applyAlignment="1">
      <alignment horizontal="center" vertical="center"/>
    </xf>
    <xf numFmtId="167" fontId="40" fillId="0" borderId="0" xfId="0" applyNumberFormat="1" applyFont="1" applyFill="1" applyAlignment="1">
      <alignment horizontal="center" vertical="center"/>
    </xf>
    <xf numFmtId="1" fontId="40" fillId="0" borderId="22" xfId="0" applyNumberFormat="1" applyFont="1" applyFill="1" applyBorder="1" applyAlignment="1">
      <alignment horizontal="center" vertical="center"/>
    </xf>
    <xf numFmtId="1" fontId="40" fillId="0" borderId="0" xfId="0" applyNumberFormat="1" applyFont="1" applyFill="1" applyAlignment="1">
      <alignment horizontal="center" vertical="center"/>
    </xf>
    <xf numFmtId="1" fontId="40" fillId="0" borderId="0" xfId="0" applyNumberFormat="1" applyFont="1" applyFill="1" applyBorder="1" applyAlignment="1">
      <alignment horizontal="center" vertical="center"/>
    </xf>
    <xf numFmtId="49" fontId="40" fillId="0" borderId="0" xfId="0" applyNumberFormat="1" applyFont="1" applyFill="1" applyBorder="1" applyAlignment="1">
      <alignment horizontal="left" vertical="center"/>
    </xf>
    <xf numFmtId="1" fontId="40" fillId="0" borderId="0" xfId="0" applyNumberFormat="1" applyFont="1" applyFill="1" applyBorder="1" applyAlignment="1">
      <alignment horizontal="right" vertical="center"/>
    </xf>
    <xf numFmtId="49" fontId="40" fillId="0" borderId="23" xfId="0" applyNumberFormat="1" applyFont="1" applyFill="1" applyBorder="1" applyAlignment="1">
      <alignment vertical="center"/>
    </xf>
    <xf numFmtId="44" fontId="40" fillId="0" borderId="0" xfId="0" applyNumberFormat="1" applyFont="1" applyFill="1" applyBorder="1" applyAlignment="1">
      <alignment horizontal="left" vertical="center"/>
    </xf>
    <xf numFmtId="49" fontId="40" fillId="0" borderId="0" xfId="0" applyNumberFormat="1" applyFont="1" applyFill="1" applyBorder="1" applyAlignment="1">
      <alignment horizontal="right" vertical="center"/>
    </xf>
    <xf numFmtId="3" fontId="40" fillId="0" borderId="2" xfId="0" applyNumberFormat="1" applyFont="1" applyFill="1" applyBorder="1" applyAlignment="1">
      <alignment horizontal="left" vertical="center"/>
    </xf>
    <xf numFmtId="0" fontId="22" fillId="0" borderId="22" xfId="2" applyFont="1" applyFill="1" applyBorder="1" applyAlignment="1">
      <alignment horizontal="left" vertical="center"/>
    </xf>
    <xf numFmtId="1" fontId="40" fillId="0" borderId="0" xfId="0" applyNumberFormat="1" applyFont="1" applyFill="1" applyAlignment="1">
      <alignment horizontal="right" vertical="center"/>
    </xf>
    <xf numFmtId="49" fontId="40" fillId="0" borderId="22" xfId="0" applyNumberFormat="1" applyFont="1" applyFill="1" applyBorder="1" applyAlignment="1">
      <alignment horizontal="left" vertical="center"/>
    </xf>
    <xf numFmtId="49" fontId="3" fillId="0" borderId="0" xfId="0" applyNumberFormat="1" applyFont="1" applyFill="1" applyAlignment="1">
      <alignment horizontal="center" vertical="center"/>
    </xf>
    <xf numFmtId="0" fontId="3" fillId="0" borderId="0" xfId="0" applyNumberFormat="1" applyFont="1" applyFill="1" applyBorder="1" applyAlignment="1">
      <alignment horizontal="center" vertical="center"/>
    </xf>
    <xf numFmtId="49" fontId="44" fillId="0" borderId="0" xfId="0" applyNumberFormat="1" applyFont="1" applyFill="1" applyAlignment="1">
      <alignment horizontal="left" vertical="center"/>
    </xf>
    <xf numFmtId="1" fontId="3" fillId="0" borderId="22" xfId="0" applyNumberFormat="1" applyFont="1" applyFill="1" applyBorder="1" applyAlignment="1">
      <alignment horizontal="center" vertical="center"/>
    </xf>
    <xf numFmtId="1" fontId="3" fillId="0" borderId="0" xfId="0" applyNumberFormat="1" applyFont="1" applyFill="1" applyAlignment="1">
      <alignment horizontal="center" vertical="center"/>
    </xf>
    <xf numFmtId="1" fontId="3" fillId="0" borderId="0" xfId="0" applyNumberFormat="1" applyFont="1" applyFill="1" applyBorder="1" applyAlignment="1">
      <alignment horizontal="center" vertical="center"/>
    </xf>
    <xf numFmtId="49" fontId="3" fillId="0" borderId="0" xfId="0" applyNumberFormat="1" applyFont="1" applyFill="1" applyAlignment="1">
      <alignment horizontal="left" vertical="center"/>
    </xf>
    <xf numFmtId="49" fontId="3" fillId="0" borderId="23" xfId="0" applyNumberFormat="1" applyFont="1" applyFill="1" applyBorder="1" applyAlignment="1">
      <alignment vertical="center"/>
    </xf>
    <xf numFmtId="49" fontId="3" fillId="0" borderId="0" xfId="0" applyNumberFormat="1" applyFont="1" applyFill="1" applyBorder="1" applyAlignment="1">
      <alignment horizontal="right" vertical="center"/>
    </xf>
    <xf numFmtId="3" fontId="3" fillId="0" borderId="2" xfId="0" applyNumberFormat="1" applyFont="1" applyFill="1" applyBorder="1" applyAlignment="1">
      <alignment horizontal="left" vertical="center"/>
    </xf>
    <xf numFmtId="49" fontId="3" fillId="0" borderId="0" xfId="0" applyNumberFormat="1" applyFont="1" applyFill="1" applyBorder="1" applyAlignment="1">
      <alignment horizontal="center" vertical="center"/>
    </xf>
    <xf numFmtId="49" fontId="44" fillId="0" borderId="0" xfId="0" applyNumberFormat="1" applyFont="1" applyFill="1" applyBorder="1" applyAlignment="1">
      <alignment horizontal="left" vertical="center"/>
    </xf>
    <xf numFmtId="49" fontId="3" fillId="0" borderId="0" xfId="0" applyNumberFormat="1" applyFont="1" applyFill="1" applyBorder="1" applyAlignment="1">
      <alignment horizontal="left" vertical="center"/>
    </xf>
    <xf numFmtId="49" fontId="40" fillId="0" borderId="0" xfId="0" applyNumberFormat="1" applyFont="1" applyFill="1" applyBorder="1" applyAlignment="1">
      <alignment horizontal="center" vertical="center"/>
    </xf>
    <xf numFmtId="1" fontId="3" fillId="0" borderId="44" xfId="0" applyNumberFormat="1" applyFont="1" applyFill="1" applyBorder="1" applyAlignment="1">
      <alignment horizontal="center" vertical="center"/>
    </xf>
    <xf numFmtId="16" fontId="3" fillId="0" borderId="22" xfId="0" applyNumberFormat="1" applyFont="1" applyBorder="1" applyAlignment="1">
      <alignment horizontal="center" vertical="center"/>
    </xf>
    <xf numFmtId="49" fontId="3" fillId="0" borderId="48" xfId="0" applyNumberFormat="1" applyFont="1" applyFill="1" applyBorder="1" applyAlignment="1">
      <alignment horizontal="left" vertical="center"/>
    </xf>
    <xf numFmtId="49" fontId="23" fillId="7" borderId="0" xfId="0" applyNumberFormat="1" applyFont="1" applyFill="1" applyAlignment="1">
      <alignment horizontal="left" vertical="center"/>
    </xf>
    <xf numFmtId="49" fontId="23" fillId="7" borderId="23" xfId="0" applyNumberFormat="1" applyFont="1" applyFill="1" applyBorder="1" applyAlignment="1">
      <alignment horizontal="left" vertical="center"/>
    </xf>
    <xf numFmtId="164" fontId="23" fillId="10" borderId="22" xfId="0" applyNumberFormat="1" applyFont="1" applyFill="1" applyBorder="1" applyAlignment="1">
      <alignment horizontal="center" vertical="center"/>
    </xf>
    <xf numFmtId="164" fontId="23" fillId="10" borderId="0" xfId="0" applyNumberFormat="1" applyFont="1" applyFill="1" applyBorder="1" applyAlignment="1">
      <alignment horizontal="center" vertical="center"/>
    </xf>
    <xf numFmtId="164" fontId="23" fillId="10" borderId="2" xfId="0" applyNumberFormat="1" applyFont="1" applyFill="1" applyBorder="1" applyAlignment="1">
      <alignment horizontal="center" vertical="center"/>
    </xf>
    <xf numFmtId="0" fontId="16" fillId="2" borderId="4" xfId="0" applyFont="1" applyFill="1" applyBorder="1" applyAlignment="1">
      <alignment horizontal="center" vertical="center"/>
    </xf>
    <xf numFmtId="0" fontId="16" fillId="2" borderId="5" xfId="0" applyFont="1" applyFill="1" applyBorder="1" applyAlignment="1">
      <alignment horizontal="center" vertical="center"/>
    </xf>
    <xf numFmtId="49" fontId="6" fillId="9" borderId="31" xfId="0" applyNumberFormat="1" applyFont="1" applyFill="1" applyBorder="1" applyAlignment="1">
      <alignment horizontal="left" vertical="center"/>
    </xf>
    <xf numFmtId="49" fontId="16" fillId="9" borderId="24" xfId="0" applyNumberFormat="1" applyFont="1" applyFill="1" applyBorder="1" applyAlignment="1">
      <alignment horizontal="right" vertical="center"/>
    </xf>
    <xf numFmtId="49" fontId="16" fillId="2" borderId="0" xfId="0" applyNumberFormat="1" applyFont="1" applyFill="1" applyBorder="1" applyAlignment="1">
      <alignment horizontal="center" vertical="center"/>
    </xf>
    <xf numFmtId="49" fontId="16" fillId="2" borderId="1" xfId="0" applyNumberFormat="1" applyFont="1" applyFill="1" applyBorder="1" applyAlignment="1">
      <alignment horizontal="center" vertical="center"/>
    </xf>
    <xf numFmtId="49" fontId="16" fillId="2" borderId="0" xfId="0" applyNumberFormat="1" applyFont="1" applyFill="1" applyBorder="1" applyAlignment="1">
      <alignment horizontal="center" vertical="center"/>
    </xf>
    <xf numFmtId="49" fontId="16" fillId="2" borderId="20" xfId="0" applyNumberFormat="1" applyFont="1" applyFill="1" applyBorder="1" applyAlignment="1">
      <alignment vertical="center"/>
    </xf>
    <xf numFmtId="49" fontId="16" fillId="2" borderId="0" xfId="0" applyNumberFormat="1" applyFont="1" applyFill="1" applyBorder="1" applyAlignment="1">
      <alignment vertical="center"/>
    </xf>
    <xf numFmtId="49" fontId="45" fillId="2" borderId="0" xfId="0" applyNumberFormat="1" applyFont="1" applyFill="1" applyBorder="1" applyAlignment="1">
      <alignment vertical="center"/>
    </xf>
    <xf numFmtId="49" fontId="45" fillId="2" borderId="22" xfId="0" applyNumberFormat="1" applyFont="1" applyFill="1" applyBorder="1" applyAlignment="1">
      <alignment vertical="center"/>
    </xf>
    <xf numFmtId="49" fontId="16" fillId="2" borderId="2" xfId="0" applyNumberFormat="1" applyFont="1" applyFill="1" applyBorder="1" applyAlignment="1">
      <alignment horizontal="center" vertical="center"/>
    </xf>
    <xf numFmtId="49" fontId="16" fillId="2" borderId="30" xfId="0" applyNumberFormat="1" applyFont="1" applyFill="1" applyBorder="1" applyAlignment="1">
      <alignment horizontal="center" vertical="center"/>
    </xf>
    <xf numFmtId="49" fontId="16" fillId="2" borderId="23" xfId="0" applyNumberFormat="1" applyFont="1" applyFill="1" applyBorder="1" applyAlignment="1">
      <alignment horizontal="center" vertical="center"/>
    </xf>
    <xf numFmtId="49" fontId="16" fillId="2" borderId="2" xfId="0" applyNumberFormat="1" applyFont="1" applyFill="1" applyBorder="1" applyAlignment="1">
      <alignment vertical="center"/>
    </xf>
    <xf numFmtId="49" fontId="24" fillId="4" borderId="0" xfId="0" applyNumberFormat="1" applyFont="1" applyFill="1" applyAlignment="1">
      <alignment horizontal="center" vertical="center"/>
    </xf>
    <xf numFmtId="49" fontId="24" fillId="8" borderId="22" xfId="0" applyNumberFormat="1" applyFont="1" applyFill="1" applyBorder="1" applyAlignment="1">
      <alignment horizontal="center" vertical="center"/>
    </xf>
    <xf numFmtId="49" fontId="24" fillId="4" borderId="0" xfId="0" applyNumberFormat="1" applyFont="1" applyFill="1" applyBorder="1" applyAlignment="1">
      <alignment horizontal="center" vertical="center"/>
    </xf>
    <xf numFmtId="49" fontId="24" fillId="4" borderId="23" xfId="0" applyNumberFormat="1" applyFont="1" applyFill="1" applyBorder="1" applyAlignment="1">
      <alignment horizontal="center" vertical="center"/>
    </xf>
    <xf numFmtId="49" fontId="24" fillId="4" borderId="2" xfId="0" applyNumberFormat="1" applyFont="1" applyFill="1" applyBorder="1" applyAlignment="1">
      <alignment horizontal="center" vertical="center"/>
    </xf>
    <xf numFmtId="49" fontId="6" fillId="4" borderId="22" xfId="0" applyNumberFormat="1" applyFont="1" applyFill="1" applyBorder="1" applyAlignment="1">
      <alignment horizontal="center" vertical="center" wrapText="1"/>
    </xf>
    <xf numFmtId="49" fontId="16" fillId="4" borderId="22" xfId="0" applyNumberFormat="1" applyFont="1" applyFill="1" applyBorder="1" applyAlignment="1">
      <alignment horizontal="center" vertical="center"/>
    </xf>
    <xf numFmtId="49" fontId="16" fillId="13" borderId="0" xfId="0" applyNumberFormat="1" applyFont="1" applyFill="1" applyBorder="1" applyAlignment="1">
      <alignment horizontal="center" vertical="center"/>
    </xf>
    <xf numFmtId="49" fontId="16" fillId="13" borderId="3" xfId="0" applyNumberFormat="1" applyFont="1" applyFill="1" applyBorder="1" applyAlignment="1">
      <alignment horizontal="center" vertical="center"/>
    </xf>
    <xf numFmtId="0" fontId="46" fillId="0" borderId="1" xfId="0" applyFont="1" applyBorder="1" applyAlignment="1">
      <alignment vertical="center"/>
    </xf>
    <xf numFmtId="0" fontId="40" fillId="0" borderId="0" xfId="0" applyFont="1" applyAlignment="1">
      <alignment vertical="center"/>
    </xf>
    <xf numFmtId="0" fontId="22" fillId="14" borderId="44" xfId="2" applyFont="1" applyFill="1" applyBorder="1" applyAlignment="1">
      <alignment horizontal="left" vertical="center"/>
    </xf>
    <xf numFmtId="1" fontId="40" fillId="14" borderId="44" xfId="0" applyNumberFormat="1" applyFont="1" applyFill="1" applyBorder="1" applyAlignment="1">
      <alignment horizontal="center" vertical="center"/>
    </xf>
    <xf numFmtId="1" fontId="40" fillId="14" borderId="49" xfId="0" applyNumberFormat="1" applyFont="1" applyFill="1" applyBorder="1" applyAlignment="1">
      <alignment horizontal="center" vertical="center"/>
    </xf>
    <xf numFmtId="49" fontId="40" fillId="14" borderId="44" xfId="0" applyNumberFormat="1" applyFont="1" applyFill="1" applyBorder="1" applyAlignment="1">
      <alignment horizontal="left" vertical="center"/>
    </xf>
    <xf numFmtId="49" fontId="40" fillId="14" borderId="49" xfId="0" applyNumberFormat="1" applyFont="1" applyFill="1" applyBorder="1" applyAlignment="1">
      <alignment horizontal="left" vertical="center"/>
    </xf>
    <xf numFmtId="0" fontId="40" fillId="0" borderId="0" xfId="0" applyFont="1" applyAlignment="1">
      <alignment vertical="center" wrapText="1"/>
    </xf>
    <xf numFmtId="0" fontId="19" fillId="0" borderId="0" xfId="0" applyFont="1" applyFill="1" applyAlignment="1">
      <alignment vertical="center"/>
    </xf>
    <xf numFmtId="0" fontId="3" fillId="0" borderId="0" xfId="0" applyFont="1" applyFill="1" applyAlignment="1">
      <alignment vertical="center"/>
    </xf>
    <xf numFmtId="49" fontId="3" fillId="0" borderId="1" xfId="0" applyNumberFormat="1" applyFont="1" applyFill="1" applyBorder="1" applyAlignment="1">
      <alignment vertical="center"/>
    </xf>
    <xf numFmtId="166" fontId="3" fillId="0" borderId="0" xfId="0" applyNumberFormat="1" applyFont="1" applyFill="1" applyAlignment="1">
      <alignment horizontal="center" vertical="center"/>
    </xf>
    <xf numFmtId="0" fontId="3" fillId="0" borderId="22" xfId="0" applyFont="1" applyFill="1" applyBorder="1" applyAlignment="1">
      <alignment vertical="center"/>
    </xf>
    <xf numFmtId="49" fontId="3" fillId="0" borderId="22" xfId="0" applyNumberFormat="1" applyFont="1" applyFill="1" applyBorder="1" applyAlignment="1">
      <alignment horizontal="center" vertical="center"/>
    </xf>
    <xf numFmtId="1" fontId="3" fillId="0" borderId="0" xfId="0" applyNumberFormat="1" applyFont="1" applyFill="1" applyAlignment="1">
      <alignment vertical="center"/>
    </xf>
    <xf numFmtId="1" fontId="3" fillId="0" borderId="22" xfId="0" applyNumberFormat="1" applyFont="1" applyFill="1" applyBorder="1" applyAlignment="1">
      <alignment vertical="center"/>
    </xf>
    <xf numFmtId="49" fontId="3" fillId="0" borderId="23" xfId="0" applyNumberFormat="1" applyFont="1" applyFill="1" applyBorder="1" applyAlignment="1">
      <alignment horizontal="left" vertical="center"/>
    </xf>
    <xf numFmtId="0" fontId="3" fillId="0" borderId="0" xfId="0" applyFont="1" applyFill="1" applyBorder="1" applyAlignment="1">
      <alignment vertical="center"/>
    </xf>
    <xf numFmtId="49" fontId="3" fillId="0" borderId="2" xfId="0" applyNumberFormat="1" applyFont="1" applyFill="1" applyBorder="1" applyAlignment="1">
      <alignment horizontal="right" vertical="center"/>
    </xf>
    <xf numFmtId="49" fontId="3" fillId="0" borderId="0" xfId="0" applyNumberFormat="1" applyFont="1" applyFill="1" applyAlignment="1">
      <alignment horizontal="left"/>
    </xf>
    <xf numFmtId="49" fontId="3" fillId="0" borderId="0" xfId="0" applyNumberFormat="1" applyFont="1" applyFill="1" applyAlignment="1">
      <alignment horizontal="center"/>
    </xf>
    <xf numFmtId="49" fontId="44" fillId="0" borderId="0" xfId="0" applyNumberFormat="1" applyFont="1" applyFill="1" applyAlignment="1">
      <alignment horizontal="left"/>
    </xf>
    <xf numFmtId="166" fontId="3" fillId="0" borderId="0" xfId="0" applyNumberFormat="1" applyFont="1" applyFill="1" applyAlignment="1">
      <alignment horizontal="center"/>
    </xf>
    <xf numFmtId="0" fontId="22" fillId="0" borderId="22" xfId="2" applyFont="1" applyFill="1" applyBorder="1" applyAlignment="1">
      <alignment vertical="center"/>
    </xf>
    <xf numFmtId="49" fontId="47" fillId="4" borderId="46" xfId="0" applyNumberFormat="1" applyFont="1" applyFill="1" applyBorder="1" applyAlignment="1">
      <alignment horizontal="center" vertical="center" wrapText="1"/>
    </xf>
    <xf numFmtId="49" fontId="48" fillId="0" borderId="0" xfId="0" applyNumberFormat="1" applyFont="1" applyFill="1" applyAlignment="1">
      <alignment horizontal="center" vertical="center"/>
    </xf>
    <xf numFmtId="49" fontId="40" fillId="0" borderId="1" xfId="0" applyNumberFormat="1" applyFont="1" applyFill="1" applyBorder="1" applyAlignment="1">
      <alignment horizontal="center" vertical="center"/>
    </xf>
    <xf numFmtId="1" fontId="48" fillId="0" borderId="9" xfId="0" applyNumberFormat="1" applyFont="1" applyFill="1" applyBorder="1" applyAlignment="1">
      <alignment horizontal="center" vertical="center"/>
    </xf>
    <xf numFmtId="49" fontId="40" fillId="0" borderId="8" xfId="0" applyNumberFormat="1" applyFont="1" applyFill="1" applyBorder="1" applyAlignment="1">
      <alignment horizontal="center" vertical="center"/>
    </xf>
    <xf numFmtId="167" fontId="40" fillId="0" borderId="1" xfId="0" applyNumberFormat="1" applyFont="1" applyFill="1" applyBorder="1" applyAlignment="1">
      <alignment horizontal="center" vertical="center"/>
    </xf>
    <xf numFmtId="1" fontId="40" fillId="0" borderId="1" xfId="0" applyNumberFormat="1" applyFont="1" applyFill="1" applyBorder="1" applyAlignment="1">
      <alignment horizontal="center" vertical="center"/>
    </xf>
    <xf numFmtId="44" fontId="40" fillId="0" borderId="1" xfId="0" applyNumberFormat="1" applyFont="1" applyFill="1" applyBorder="1" applyAlignment="1">
      <alignment horizontal="center" vertical="center"/>
    </xf>
    <xf numFmtId="0" fontId="40" fillId="0" borderId="0" xfId="0" applyFont="1" applyFill="1" applyAlignment="1">
      <alignment horizontal="center" vertical="center"/>
    </xf>
    <xf numFmtId="49" fontId="49" fillId="0" borderId="1" xfId="0" applyNumberFormat="1" applyFont="1" applyFill="1" applyBorder="1" applyAlignment="1">
      <alignment horizontal="center" vertical="center"/>
    </xf>
    <xf numFmtId="49" fontId="49" fillId="0" borderId="0" xfId="0" applyNumberFormat="1" applyFont="1" applyFill="1" applyAlignment="1">
      <alignment horizontal="center" vertical="center"/>
    </xf>
    <xf numFmtId="1" fontId="49" fillId="0" borderId="0" xfId="0" applyNumberFormat="1" applyFont="1" applyFill="1" applyAlignment="1">
      <alignment horizontal="center" vertical="center"/>
    </xf>
    <xf numFmtId="0" fontId="22" fillId="0" borderId="1" xfId="2" applyFont="1" applyFill="1" applyBorder="1" applyAlignment="1">
      <alignment horizontal="center" vertical="center"/>
    </xf>
    <xf numFmtId="1" fontId="49" fillId="0" borderId="9" xfId="0" applyNumberFormat="1" applyFont="1" applyFill="1" applyBorder="1" applyAlignment="1">
      <alignment horizontal="center" vertical="center"/>
    </xf>
    <xf numFmtId="0" fontId="22" fillId="0" borderId="0" xfId="2" applyFont="1" applyFill="1" applyBorder="1" applyAlignment="1">
      <alignment horizontal="center" vertical="center"/>
    </xf>
    <xf numFmtId="49" fontId="49" fillId="0" borderId="0" xfId="0" applyNumberFormat="1" applyFont="1" applyAlignment="1">
      <alignment horizontal="center" vertical="center"/>
    </xf>
    <xf numFmtId="167" fontId="49" fillId="0" borderId="0" xfId="0" applyNumberFormat="1" applyFont="1" applyAlignment="1">
      <alignment horizontal="center" vertical="center"/>
    </xf>
    <xf numFmtId="167" fontId="49" fillId="0" borderId="42" xfId="0" applyNumberFormat="1" applyFont="1" applyBorder="1" applyAlignment="1">
      <alignment horizontal="center" vertical="center"/>
    </xf>
    <xf numFmtId="49" fontId="40" fillId="0" borderId="1" xfId="0" applyNumberFormat="1" applyFont="1" applyFill="1" applyBorder="1" applyAlignment="1">
      <alignment vertical="center"/>
    </xf>
    <xf numFmtId="49" fontId="49" fillId="0" borderId="0" xfId="0" applyNumberFormat="1" applyFont="1" applyFill="1" applyAlignment="1">
      <alignment horizontal="left" vertical="center"/>
    </xf>
    <xf numFmtId="49" fontId="49" fillId="0" borderId="1" xfId="0" applyNumberFormat="1" applyFont="1" applyFill="1" applyBorder="1" applyAlignment="1">
      <alignment horizontal="left" vertical="center"/>
    </xf>
    <xf numFmtId="49" fontId="40" fillId="0" borderId="8" xfId="0" applyNumberFormat="1" applyFont="1" applyFill="1" applyBorder="1" applyAlignment="1">
      <alignment horizontal="left" vertical="center"/>
    </xf>
    <xf numFmtId="0" fontId="22" fillId="0" borderId="1" xfId="2" applyFont="1" applyFill="1" applyBorder="1">
      <alignment vertical="center"/>
    </xf>
    <xf numFmtId="167" fontId="40" fillId="0" borderId="1" xfId="0" applyNumberFormat="1" applyFont="1" applyFill="1" applyBorder="1" applyAlignment="1">
      <alignment horizontal="left" vertical="center"/>
    </xf>
    <xf numFmtId="167" fontId="40" fillId="0" borderId="0" xfId="0" applyNumberFormat="1" applyFont="1" applyFill="1" applyAlignment="1">
      <alignment horizontal="left" vertical="center"/>
    </xf>
    <xf numFmtId="1" fontId="40" fillId="0" borderId="1" xfId="0" applyNumberFormat="1" applyFont="1" applyFill="1" applyBorder="1" applyAlignment="1">
      <alignment horizontal="left" vertical="center"/>
    </xf>
    <xf numFmtId="1" fontId="40" fillId="0" borderId="0" xfId="0" applyNumberFormat="1" applyFont="1" applyFill="1" applyAlignment="1">
      <alignment horizontal="left" vertical="center"/>
    </xf>
    <xf numFmtId="49" fontId="40" fillId="0" borderId="1" xfId="0" applyNumberFormat="1" applyFont="1" applyFill="1" applyBorder="1" applyAlignment="1">
      <alignment horizontal="left" vertical="center"/>
    </xf>
    <xf numFmtId="44" fontId="40" fillId="0" borderId="1" xfId="0" applyNumberFormat="1" applyFont="1" applyFill="1" applyBorder="1" applyAlignment="1">
      <alignment horizontal="left" vertical="center"/>
    </xf>
    <xf numFmtId="0" fontId="40" fillId="0" borderId="0" xfId="0" applyFont="1" applyFill="1" applyAlignment="1">
      <alignment vertical="center"/>
    </xf>
    <xf numFmtId="49" fontId="40" fillId="0" borderId="0" xfId="0" applyNumberFormat="1" applyFont="1" applyFill="1" applyAlignment="1">
      <alignment horizontal="right" vertical="center"/>
    </xf>
    <xf numFmtId="49" fontId="49" fillId="0" borderId="0" xfId="0" applyNumberFormat="1" applyFont="1" applyFill="1" applyBorder="1" applyAlignment="1">
      <alignment horizontal="left" vertical="center"/>
    </xf>
    <xf numFmtId="167" fontId="40" fillId="0" borderId="0" xfId="0" applyNumberFormat="1" applyFont="1" applyFill="1" applyBorder="1" applyAlignment="1">
      <alignment horizontal="left" vertical="center"/>
    </xf>
    <xf numFmtId="1" fontId="40" fillId="0" borderId="0" xfId="0" applyNumberFormat="1" applyFont="1" applyFill="1" applyBorder="1" applyAlignment="1">
      <alignment horizontal="left" vertical="center"/>
    </xf>
    <xf numFmtId="49" fontId="49" fillId="0" borderId="2" xfId="0" applyNumberFormat="1" applyFont="1" applyFill="1" applyBorder="1" applyAlignment="1">
      <alignment horizontal="left" vertical="center"/>
    </xf>
    <xf numFmtId="49" fontId="42" fillId="0" borderId="0" xfId="0" applyNumberFormat="1" applyFont="1" applyFill="1" applyAlignment="1">
      <alignment horizontal="center" vertical="center"/>
    </xf>
    <xf numFmtId="0" fontId="40" fillId="0" borderId="0" xfId="0" applyFont="1" applyFill="1" applyBorder="1" applyAlignment="1">
      <alignment vertical="center"/>
    </xf>
    <xf numFmtId="49" fontId="49" fillId="0" borderId="0" xfId="0" applyNumberFormat="1" applyFont="1" applyFill="1" applyBorder="1" applyAlignment="1">
      <alignment horizontal="center" vertical="center"/>
    </xf>
    <xf numFmtId="49" fontId="42" fillId="0" borderId="1" xfId="0" applyNumberFormat="1" applyFont="1" applyFill="1" applyBorder="1" applyAlignment="1">
      <alignment horizontal="left" vertical="center"/>
    </xf>
    <xf numFmtId="1" fontId="42" fillId="0" borderId="38" xfId="0" applyNumberFormat="1" applyFont="1" applyFill="1" applyBorder="1" applyAlignment="1">
      <alignment horizontal="center" vertical="center"/>
    </xf>
    <xf numFmtId="1" fontId="42" fillId="0" borderId="9" xfId="0" applyNumberFormat="1" applyFont="1" applyFill="1" applyBorder="1" applyAlignment="1">
      <alignment horizontal="center" vertical="center"/>
    </xf>
    <xf numFmtId="49" fontId="46" fillId="0" borderId="8" xfId="0" applyNumberFormat="1" applyFont="1" applyFill="1" applyBorder="1" applyAlignment="1">
      <alignment horizontal="left" vertical="center"/>
    </xf>
    <xf numFmtId="167" fontId="3" fillId="0" borderId="1" xfId="0" applyNumberFormat="1" applyFont="1" applyFill="1" applyBorder="1" applyAlignment="1">
      <alignment horizontal="center" vertical="center"/>
    </xf>
    <xf numFmtId="167" fontId="3" fillId="0" borderId="0" xfId="2" applyNumberFormat="1" applyFont="1" applyFill="1" applyBorder="1" applyAlignment="1">
      <alignment horizontal="center" vertical="center"/>
    </xf>
    <xf numFmtId="167" fontId="3" fillId="0" borderId="2" xfId="0" applyNumberFormat="1" applyFont="1" applyFill="1" applyBorder="1" applyAlignment="1">
      <alignment horizontal="center" vertical="center"/>
    </xf>
    <xf numFmtId="1" fontId="3" fillId="0" borderId="1" xfId="0" applyNumberFormat="1" applyFont="1" applyFill="1" applyBorder="1" applyAlignment="1">
      <alignment horizontal="left" vertical="center"/>
    </xf>
    <xf numFmtId="1" fontId="3" fillId="0" borderId="0" xfId="0" applyNumberFormat="1" applyFont="1" applyFill="1" applyAlignment="1">
      <alignment horizontal="left" vertical="center"/>
    </xf>
    <xf numFmtId="1" fontId="3" fillId="0" borderId="2" xfId="0" applyNumberFormat="1" applyFont="1" applyFill="1" applyBorder="1" applyAlignment="1">
      <alignment horizontal="left" vertical="center"/>
    </xf>
    <xf numFmtId="49" fontId="3" fillId="0" borderId="1" xfId="0" applyNumberFormat="1" applyFont="1" applyFill="1" applyBorder="1" applyAlignment="1">
      <alignment horizontal="left" vertical="center"/>
    </xf>
    <xf numFmtId="1" fontId="3" fillId="0" borderId="2" xfId="0" applyNumberFormat="1" applyFont="1" applyFill="1" applyBorder="1" applyAlignment="1">
      <alignment horizontal="right" vertical="center"/>
    </xf>
    <xf numFmtId="44" fontId="3" fillId="0" borderId="1" xfId="0" applyNumberFormat="1" applyFont="1" applyFill="1" applyBorder="1" applyAlignment="1">
      <alignment horizontal="left" vertical="center"/>
    </xf>
    <xf numFmtId="49" fontId="3" fillId="0" borderId="0" xfId="0" applyNumberFormat="1" applyFont="1" applyFill="1" applyAlignment="1">
      <alignment horizontal="right" vertical="center"/>
    </xf>
    <xf numFmtId="167" fontId="3" fillId="0" borderId="0" xfId="0" applyNumberFormat="1" applyFont="1" applyFill="1" applyAlignment="1">
      <alignment horizontal="center" vertical="center"/>
    </xf>
    <xf numFmtId="49" fontId="42" fillId="0" borderId="22" xfId="0" applyNumberFormat="1" applyFont="1" applyFill="1" applyBorder="1" applyAlignment="1">
      <alignment horizontal="left" vertical="center"/>
    </xf>
    <xf numFmtId="49" fontId="42" fillId="0" borderId="0" xfId="0" applyNumberFormat="1" applyFont="1" applyFill="1" applyBorder="1" applyAlignment="1">
      <alignment horizontal="center" vertical="center"/>
    </xf>
    <xf numFmtId="167" fontId="3" fillId="0" borderId="0" xfId="0" applyNumberFormat="1" applyFont="1" applyFill="1" applyBorder="1" applyAlignment="1">
      <alignment horizontal="center" vertical="center"/>
    </xf>
    <xf numFmtId="1" fontId="3" fillId="0" borderId="0" xfId="0" applyNumberFormat="1" applyFont="1" applyFill="1" applyBorder="1" applyAlignment="1">
      <alignment horizontal="left" vertical="center"/>
    </xf>
    <xf numFmtId="44" fontId="3" fillId="0" borderId="0" xfId="0" applyNumberFormat="1" applyFont="1" applyFill="1" applyAlignment="1">
      <alignment vertical="center"/>
    </xf>
    <xf numFmtId="49" fontId="3" fillId="0" borderId="1" xfId="0" applyNumberFormat="1" applyFont="1" applyFill="1" applyBorder="1"/>
    <xf numFmtId="0" fontId="19" fillId="0" borderId="0" xfId="0" applyFont="1" applyFill="1"/>
    <xf numFmtId="0" fontId="3" fillId="0" borderId="0" xfId="0" applyFont="1" applyFill="1"/>
    <xf numFmtId="0" fontId="3" fillId="0" borderId="8" xfId="0" applyFont="1" applyFill="1" applyBorder="1"/>
    <xf numFmtId="1" fontId="3" fillId="0" borderId="37" xfId="0" applyNumberFormat="1" applyFont="1" applyFill="1" applyBorder="1" applyAlignment="1">
      <alignment horizontal="left" vertical="center"/>
    </xf>
    <xf numFmtId="49" fontId="3" fillId="0" borderId="9" xfId="0" applyNumberFormat="1" applyFont="1" applyFill="1" applyBorder="1" applyAlignment="1">
      <alignment horizontal="center"/>
    </xf>
    <xf numFmtId="49" fontId="3" fillId="0" borderId="8" xfId="0" applyNumberFormat="1" applyFont="1" applyFill="1" applyBorder="1" applyAlignment="1">
      <alignment horizontal="left"/>
    </xf>
    <xf numFmtId="49" fontId="3" fillId="0" borderId="1" xfId="0" applyNumberFormat="1" applyFont="1" applyFill="1" applyBorder="1" applyAlignment="1">
      <alignment horizontal="center" vertical="center"/>
    </xf>
    <xf numFmtId="1" fontId="3" fillId="0" borderId="0" xfId="0" applyNumberFormat="1" applyFont="1" applyFill="1"/>
    <xf numFmtId="1" fontId="3" fillId="0" borderId="1" xfId="0" applyNumberFormat="1" applyFont="1" applyFill="1" applyBorder="1"/>
    <xf numFmtId="1" fontId="3" fillId="0" borderId="1" xfId="0" applyNumberFormat="1" applyFont="1" applyFill="1" applyBorder="1" applyAlignment="1">
      <alignment horizontal="right"/>
    </xf>
    <xf numFmtId="44" fontId="3" fillId="0" borderId="0" xfId="0" applyNumberFormat="1" applyFont="1" applyFill="1"/>
    <xf numFmtId="49" fontId="3" fillId="0" borderId="0" xfId="0" applyNumberFormat="1" applyFont="1" applyFill="1" applyAlignment="1">
      <alignment horizontal="right"/>
    </xf>
    <xf numFmtId="1" fontId="3" fillId="0" borderId="1" xfId="0" applyNumberFormat="1" applyFont="1" applyFill="1" applyBorder="1" applyAlignment="1">
      <alignment horizontal="left"/>
    </xf>
    <xf numFmtId="0" fontId="3" fillId="0" borderId="22" xfId="0" applyFont="1" applyBorder="1" applyAlignment="1">
      <alignment vertical="center"/>
    </xf>
    <xf numFmtId="49" fontId="16" fillId="13" borderId="23" xfId="0" applyNumberFormat="1" applyFont="1" applyFill="1" applyBorder="1" applyAlignment="1">
      <alignment horizontal="center" vertical="center" wrapText="1"/>
    </xf>
    <xf numFmtId="0" fontId="3" fillId="0" borderId="0" xfId="0" applyFont="1" applyAlignment="1">
      <alignment horizontal="right" vertical="center"/>
    </xf>
    <xf numFmtId="0" fontId="0" fillId="0" borderId="0" xfId="0" applyFont="1" applyAlignment="1">
      <alignment horizontal="left" vertical="center"/>
    </xf>
    <xf numFmtId="0" fontId="0" fillId="0" borderId="0" xfId="0" applyFont="1" applyAlignment="1">
      <alignment vertical="center"/>
    </xf>
    <xf numFmtId="0" fontId="0" fillId="0" borderId="22" xfId="0" applyBorder="1"/>
    <xf numFmtId="0" fontId="0" fillId="0" borderId="22" xfId="0" applyBorder="1" applyAlignment="1">
      <alignment vertical="center"/>
    </xf>
    <xf numFmtId="0" fontId="0" fillId="0" borderId="0" xfId="0" applyBorder="1"/>
    <xf numFmtId="0" fontId="0" fillId="0" borderId="23" xfId="0" applyBorder="1"/>
    <xf numFmtId="0" fontId="0" fillId="0" borderId="24" xfId="0" applyFill="1" applyBorder="1" applyAlignment="1">
      <alignment vertical="center"/>
    </xf>
    <xf numFmtId="0" fontId="3" fillId="0" borderId="31" xfId="0" applyFont="1" applyBorder="1" applyAlignment="1">
      <alignment vertical="center"/>
    </xf>
    <xf numFmtId="0" fontId="0" fillId="0" borderId="31" xfId="0" applyBorder="1"/>
    <xf numFmtId="0" fontId="0" fillId="0" borderId="25" xfId="0" applyBorder="1"/>
    <xf numFmtId="0" fontId="0" fillId="4" borderId="20" xfId="0" applyFill="1" applyBorder="1" applyAlignment="1">
      <alignment horizontal="center" vertical="center"/>
    </xf>
    <xf numFmtId="0" fontId="0" fillId="4" borderId="30" xfId="0" applyFont="1" applyFill="1" applyBorder="1" applyAlignment="1">
      <alignment vertical="center"/>
    </xf>
    <xf numFmtId="0" fontId="0" fillId="4" borderId="30" xfId="0" applyFill="1" applyBorder="1"/>
    <xf numFmtId="0" fontId="0" fillId="4" borderId="21" xfId="0" applyFill="1" applyBorder="1"/>
    <xf numFmtId="1" fontId="3" fillId="0" borderId="0" xfId="0" quotePrefix="1" applyNumberFormat="1" applyFont="1" applyBorder="1" applyAlignment="1">
      <alignment horizontal="center" vertical="center"/>
    </xf>
    <xf numFmtId="1" fontId="3" fillId="0" borderId="0" xfId="0" applyNumberFormat="1" applyFont="1" applyBorder="1" applyAlignment="1">
      <alignment vertical="center"/>
    </xf>
    <xf numFmtId="9" fontId="3" fillId="0" borderId="0" xfId="0" applyNumberFormat="1" applyFont="1" applyBorder="1" applyAlignment="1">
      <alignment vertical="center"/>
    </xf>
    <xf numFmtId="1" fontId="3" fillId="0" borderId="0" xfId="0" applyNumberFormat="1" applyFont="1" applyBorder="1" applyAlignment="1">
      <alignment horizontal="center" vertical="center"/>
    </xf>
    <xf numFmtId="0" fontId="0" fillId="0" borderId="23" xfId="0" applyBorder="1" applyAlignment="1">
      <alignment vertical="center"/>
    </xf>
    <xf numFmtId="0" fontId="0" fillId="0" borderId="24" xfId="0" applyBorder="1" applyAlignment="1">
      <alignment vertical="center"/>
    </xf>
    <xf numFmtId="0" fontId="0" fillId="0" borderId="31" xfId="0" applyBorder="1" applyAlignment="1">
      <alignment vertical="center"/>
    </xf>
    <xf numFmtId="0" fontId="0" fillId="0" borderId="25" xfId="0" applyBorder="1" applyAlignment="1">
      <alignment vertical="center"/>
    </xf>
    <xf numFmtId="0" fontId="0" fillId="4" borderId="30" xfId="0" applyFill="1" applyBorder="1" applyAlignment="1">
      <alignment vertical="center"/>
    </xf>
    <xf numFmtId="0" fontId="0" fillId="4" borderId="21" xfId="0" applyFill="1" applyBorder="1" applyAlignment="1">
      <alignment vertical="center"/>
    </xf>
    <xf numFmtId="0" fontId="22" fillId="0" borderId="0" xfId="2">
      <alignment vertical="center"/>
    </xf>
    <xf numFmtId="0" fontId="29" fillId="4" borderId="20" xfId="0" applyFont="1" applyFill="1" applyBorder="1" applyAlignment="1">
      <alignment horizontal="center" vertical="center"/>
    </xf>
    <xf numFmtId="0" fontId="29" fillId="4" borderId="30" xfId="0" applyFont="1" applyFill="1" applyBorder="1" applyAlignment="1">
      <alignment horizontal="left" vertical="center"/>
    </xf>
    <xf numFmtId="0" fontId="29" fillId="4" borderId="30" xfId="0" applyFont="1" applyFill="1" applyBorder="1" applyAlignment="1">
      <alignment vertical="center"/>
    </xf>
    <xf numFmtId="0" fontId="6" fillId="4" borderId="0" xfId="0" applyFont="1" applyFill="1" applyBorder="1" applyAlignment="1">
      <alignment horizontal="center" vertical="center" wrapText="1"/>
    </xf>
    <xf numFmtId="49" fontId="41" fillId="0" borderId="22" xfId="0" applyNumberFormat="1" applyFont="1" applyBorder="1" applyAlignment="1">
      <alignment horizontal="left" vertical="center"/>
    </xf>
    <xf numFmtId="49" fontId="41" fillId="0" borderId="0" xfId="0" applyNumberFormat="1" applyFont="1" applyAlignment="1">
      <alignment horizontal="left" vertical="center"/>
    </xf>
  </cellXfs>
  <cellStyles count="4">
    <cellStyle name="Accent1" xfId="3" builtinId="29"/>
    <cellStyle name="Followed Hyperlink" xfId="1" builtinId="9" customBuiltin="1"/>
    <cellStyle name="Hyperlink" xfId="2" builtinId="8" customBuiltin="1"/>
    <cellStyle name="Normal" xfId="0" builtinId="0"/>
  </cellStyles>
  <dxfs count="289">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strike val="0"/>
        <outline val="0"/>
        <shadow val="0"/>
        <vertAlign val="baseline"/>
        <sz val="10"/>
        <name val="Calibri"/>
        <family val="2"/>
      </font>
    </dxf>
    <dxf>
      <border diagonalUp="0" diagonalDown="0">
        <left style="thin">
          <color indexed="64"/>
        </left>
        <right style="thin">
          <color indexed="64"/>
        </right>
        <top style="thin">
          <color rgb="FF565A5C"/>
        </top>
        <bottom/>
      </border>
    </dxf>
    <dxf>
      <font>
        <color theme="7" tint="-0.499984740745262"/>
      </font>
      <fill>
        <patternFill>
          <bgColor rgb="FFFFEB9C"/>
        </patternFill>
      </fill>
    </dxf>
    <dxf>
      <font>
        <b val="0"/>
        <i val="0"/>
        <strike val="0"/>
        <condense val="0"/>
        <extend val="0"/>
        <outline val="0"/>
        <shadow val="0"/>
        <u val="none"/>
        <vertAlign val="baseline"/>
        <sz val="10"/>
        <color theme="1"/>
        <name val="Calibri"/>
        <family val="2"/>
        <scheme val="minor"/>
      </font>
      <numFmt numFmtId="13" formatCode="0%"/>
      <fill>
        <patternFill patternType="none">
          <fgColor indexed="64"/>
          <bgColor indexed="65"/>
        </patternFill>
      </fill>
      <alignment horizontal="righ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numFmt numFmtId="1" formatCode="0"/>
      <fill>
        <patternFill patternType="none">
          <fgColor indexed="64"/>
          <bgColor indexed="65"/>
        </patternFill>
      </fill>
      <alignment horizontal="right" vertical="center" textRotation="0" wrapText="0" indent="0" justifyLastLine="0" shrinkToFit="0" readingOrder="0"/>
      <border diagonalUp="0" diagonalDown="0" outline="0">
        <left/>
        <right/>
        <top/>
        <bottom/>
      </border>
    </dxf>
    <dxf>
      <alignment horizontal="general" vertical="center" textRotation="0" wrapText="0" indent="0" justifyLastLine="0" shrinkToFit="0" readingOrder="0"/>
    </dxf>
    <dxf>
      <font>
        <b/>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color theme="7" tint="-0.499984740745262"/>
      </font>
      <fill>
        <patternFill>
          <bgColor theme="7" tint="0.59996337778862885"/>
        </patternFill>
      </fill>
    </dxf>
    <dxf>
      <font>
        <color theme="0" tint="-0.499984740745262"/>
      </font>
      <fill>
        <patternFill patternType="none">
          <bgColor auto="1"/>
        </patternFill>
      </fill>
    </dxf>
    <dxf>
      <font>
        <color theme="7" tint="-0.499984740745262"/>
      </font>
      <fill>
        <patternFill>
          <bgColor theme="7" tint="0.59996337778862885"/>
        </patternFill>
      </fill>
    </dxf>
    <dxf>
      <font>
        <color theme="0" tint="-0.499984740745262"/>
      </font>
      <fill>
        <patternFill patternType="none">
          <bgColor auto="1"/>
        </patternFill>
      </fill>
    </dxf>
    <dxf>
      <font>
        <color theme="7" tint="-0.499984740745262"/>
      </font>
      <fill>
        <patternFill>
          <bgColor theme="7" tint="0.59996337778862885"/>
        </patternFill>
      </fill>
    </dxf>
    <dxf>
      <font>
        <color theme="0" tint="-0.499984740745262"/>
      </font>
      <fill>
        <patternFill patternType="none">
          <bgColor auto="1"/>
        </patternFill>
      </fill>
    </dxf>
    <dxf>
      <font>
        <b/>
        <i val="0"/>
        <color theme="9"/>
      </font>
    </dxf>
    <dxf>
      <font>
        <b/>
        <i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patternType="none">
          <bgColor auto="1"/>
        </patternFill>
      </fill>
    </dxf>
    <dxf>
      <font>
        <color rgb="FF9C0006"/>
      </font>
      <fill>
        <patternFill patternType="none">
          <bgColor auto="1"/>
        </patternFill>
      </fill>
    </dxf>
    <dxf>
      <font>
        <color rgb="FF9C0006"/>
      </font>
      <fill>
        <patternFill>
          <bgColor rgb="FFFFC7CE"/>
        </patternFill>
      </fill>
    </dxf>
    <dxf>
      <font>
        <color rgb="FF9C0006"/>
      </font>
      <fill>
        <patternFill>
          <bgColor rgb="FFFFC7CE"/>
        </patternFill>
      </fill>
    </dxf>
    <dxf>
      <font>
        <color rgb="FF9C5700"/>
      </font>
      <fill>
        <patternFill>
          <bgColor theme="7" tint="0.59996337778862885"/>
        </patternFill>
      </fill>
    </dxf>
    <dxf>
      <font>
        <color rgb="FF9C5700"/>
      </font>
      <fill>
        <patternFill>
          <bgColor theme="7" tint="0.59996337778862885"/>
        </patternFill>
      </fill>
    </dxf>
    <dxf>
      <font>
        <color rgb="FF9C5700"/>
      </font>
      <fill>
        <patternFill>
          <bgColor theme="7" tint="0.59996337778862885"/>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7" tint="-0.499984740745262"/>
      </font>
      <fill>
        <patternFill>
          <bgColor rgb="FFFFEB9C"/>
        </patternFill>
      </fill>
    </dxf>
    <dxf>
      <font>
        <color theme="0" tint="-0.499984740745262"/>
      </font>
      <fill>
        <patternFill patternType="none">
          <bgColor auto="1"/>
        </patternFill>
      </fill>
    </dxf>
    <dxf>
      <font>
        <color rgb="FF9C0006"/>
      </font>
      <fill>
        <patternFill>
          <bgColor rgb="FFFFC7CE"/>
        </patternFill>
      </fill>
    </dxf>
    <dxf>
      <font>
        <color rgb="FF9C0006"/>
      </font>
      <fill>
        <patternFill patternType="none">
          <bgColor auto="1"/>
        </patternFill>
      </fill>
    </dxf>
    <dxf>
      <font>
        <color rgb="FF9C0006"/>
      </font>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theme="7" tint="0.59996337778862885"/>
        </patternFill>
      </fill>
    </dxf>
    <dxf>
      <font>
        <color rgb="FF9C5700"/>
      </font>
      <fill>
        <patternFill>
          <bgColor theme="7" tint="0.59996337778862885"/>
        </patternFill>
      </fill>
    </dxf>
    <dxf>
      <font>
        <color rgb="FF9C5700"/>
      </font>
      <fill>
        <patternFill>
          <bgColor theme="7" tint="0.59996337778862885"/>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7" tint="-0.499984740745262"/>
      </font>
      <fill>
        <patternFill>
          <bgColor rgb="FFFFEB9C"/>
        </patternFill>
      </fill>
    </dxf>
    <dxf>
      <font>
        <color theme="0" tint="-0.499984740745262"/>
      </font>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theme="7" tint="0.59996337778862885"/>
        </patternFill>
      </fill>
    </dxf>
    <dxf>
      <font>
        <color rgb="FF9C5700"/>
      </font>
      <fill>
        <patternFill>
          <bgColor theme="7" tint="0.59996337778862885"/>
        </patternFill>
      </fill>
    </dxf>
    <dxf>
      <font>
        <color rgb="FF9C5700"/>
      </font>
      <fill>
        <patternFill>
          <bgColor theme="7" tint="0.59996337778862885"/>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7" tint="-0.499984740745262"/>
      </font>
      <fill>
        <patternFill>
          <bgColor rgb="FFFFEB9C"/>
        </patternFill>
      </fill>
    </dxf>
    <dxf>
      <font>
        <color theme="0" tint="-0.499984740745262"/>
      </font>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border diagonalUp="0" diagonalDown="0">
        <left style="thin">
          <color indexed="64"/>
        </left>
        <vertical/>
      </border>
    </dxf>
    <dxf>
      <font>
        <color rgb="FF9C0006"/>
      </font>
      <fill>
        <patternFill>
          <bgColor rgb="FFFFC7CE"/>
        </patternFill>
      </fill>
    </dxf>
    <dxf>
      <font>
        <color rgb="FF9C0006"/>
      </font>
      <fill>
        <patternFill>
          <bgColor rgb="FFFFC7CE"/>
        </patternFill>
      </fill>
    </dxf>
    <dxf>
      <font>
        <color theme="7" tint="-0.499984740745262"/>
      </font>
      <fill>
        <patternFill>
          <bgColor theme="7"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7" tint="-0.499984740745262"/>
      </font>
      <fill>
        <patternFill>
          <bgColor rgb="FFFFEB9C"/>
        </patternFill>
      </fill>
    </dxf>
    <dxf>
      <font>
        <color theme="0" tint="-0.499984740745262"/>
      </font>
      <fill>
        <patternFill patternType="none">
          <bgColor auto="1"/>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tint="-0.499984740745262"/>
      </font>
      <fill>
        <patternFill patternType="none">
          <bgColor auto="1"/>
        </patternFill>
      </fill>
    </dxf>
    <dxf>
      <font>
        <color theme="0" tint="-0.499984740745262"/>
      </font>
      <fill>
        <patternFill patternType="none">
          <bgColor auto="1"/>
        </patternFill>
      </fill>
    </dxf>
    <dxf>
      <font>
        <color theme="0" tint="-0.499984740745262"/>
      </font>
      <fill>
        <patternFill patternType="none">
          <bgColor auto="1"/>
        </patternFill>
      </fill>
    </dxf>
    <dxf>
      <font>
        <color rgb="FF9C0006"/>
      </font>
      <fill>
        <patternFill>
          <bgColor rgb="FFFFC7CE"/>
        </patternFill>
      </fill>
    </dxf>
    <dxf>
      <font>
        <color theme="0" tint="-0.499984740745262"/>
      </font>
      <fill>
        <patternFill patternType="none">
          <bgColor auto="1"/>
        </patternFill>
      </fill>
    </dxf>
    <dxf>
      <font>
        <color rgb="FF9C0006"/>
      </font>
      <fill>
        <patternFill>
          <bgColor rgb="FFFFC7CE"/>
        </patternFill>
      </fill>
    </dxf>
    <dxf>
      <font>
        <color theme="0" tint="-0.499984740745262"/>
      </font>
      <fill>
        <patternFill patternType="none">
          <bgColor auto="1"/>
        </patternFill>
      </fill>
    </dxf>
    <dxf>
      <font>
        <color rgb="FF9C0006"/>
      </font>
      <fill>
        <patternFill>
          <bgColor rgb="FFFFC7CE"/>
        </patternFill>
      </fill>
    </dxf>
    <dxf>
      <font>
        <color theme="0" tint="-0.499984740745262"/>
      </font>
      <fill>
        <patternFill patternType="none">
          <bgColor auto="1"/>
        </patternFill>
      </fill>
    </dxf>
    <dxf>
      <font>
        <color rgb="FF9C5700"/>
      </font>
      <fill>
        <patternFill>
          <bgColor rgb="FFFFEB9C"/>
        </patternFill>
      </fill>
    </dxf>
    <dxf>
      <font>
        <color rgb="FF9C0006"/>
      </font>
      <fill>
        <patternFill>
          <bgColor rgb="FFFFC7CE"/>
        </patternFill>
      </fill>
    </dxf>
    <dxf>
      <font>
        <color theme="0" tint="-0.499984740745262"/>
      </font>
      <fill>
        <patternFill patternType="none">
          <bgColor auto="1"/>
        </patternFill>
      </fill>
    </dxf>
    <dxf>
      <font>
        <color rgb="FF9C5700"/>
      </font>
      <fill>
        <patternFill>
          <bgColor rgb="FFFFEB9C"/>
        </patternFill>
      </fill>
    </dxf>
    <dxf>
      <font>
        <color rgb="FF9C0006"/>
      </font>
      <fill>
        <patternFill>
          <bgColor rgb="FFFFC7CE"/>
        </patternFill>
      </fill>
    </dxf>
    <dxf>
      <font>
        <color theme="0" tint="-0.499984740745262"/>
      </font>
      <fill>
        <patternFill patternType="none">
          <bgColor auto="1"/>
        </patternFill>
      </fill>
    </dxf>
    <dxf>
      <font>
        <color rgb="FF9C0006"/>
      </font>
      <fill>
        <patternFill>
          <bgColor rgb="FFFFC7CE"/>
        </patternFill>
      </fill>
    </dxf>
    <dxf>
      <font>
        <color rgb="FF9C0006"/>
      </font>
      <fill>
        <patternFill>
          <bgColor rgb="FFFFC7CE"/>
        </patternFill>
      </fill>
    </dxf>
    <dxf>
      <font>
        <color theme="7" tint="-0.499984740745262"/>
      </font>
      <fill>
        <patternFill>
          <bgColor theme="7"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7" tint="-0.499984740745262"/>
      </font>
      <fill>
        <patternFill>
          <bgColor rgb="FFFFEB9C"/>
        </patternFill>
      </fill>
    </dxf>
    <dxf>
      <font>
        <color theme="0" tint="-0.499984740745262"/>
      </font>
      <fill>
        <patternFill patternType="none">
          <bgColor auto="1"/>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theme="1"/>
        <name val="Calibri"/>
        <family val="2"/>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dxf>
    <dxf>
      <font>
        <strike val="0"/>
        <outline val="0"/>
        <shadow val="0"/>
        <u val="none"/>
        <vertAlign val="baseline"/>
        <sz val="10"/>
        <color theme="1"/>
        <name val="Calibri"/>
        <family val="2"/>
        <scheme val="minor"/>
      </font>
      <numFmt numFmtId="0" formatCode="General"/>
      <alignment vertical="center" textRotation="0" wrapText="0" indent="0" justifyLastLine="0" shrinkToFit="0" readingOrder="0"/>
    </dxf>
    <dxf>
      <fill>
        <patternFill patternType="none">
          <fgColor indexed="64"/>
          <bgColor auto="1"/>
        </patternFill>
      </fill>
      <alignment vertical="center" textRotation="0" indent="0" justifyLastLine="0" shrinkToFit="0" readingOrder="0"/>
    </dxf>
    <dxf>
      <alignment vertical="center" textRotation="0" indent="0" justifyLastLine="0" shrinkToFit="0" readingOrder="0"/>
    </dxf>
    <dxf>
      <alignment horizontal="center" vertical="center" textRotation="0" indent="0" justifyLastLine="0" shrinkToFit="0" readingOrder="0"/>
    </dxf>
    <dxf>
      <font>
        <b val="0"/>
        <i val="0"/>
        <strike val="0"/>
        <condense val="0"/>
        <extend val="0"/>
        <outline val="0"/>
        <shadow val="0"/>
        <u val="none"/>
        <vertAlign val="baseline"/>
        <sz val="10"/>
        <color theme="1"/>
        <name val="Calibri"/>
        <family val="2"/>
        <scheme val="minor"/>
      </font>
      <numFmt numFmtId="14" formatCode="0.00%"/>
      <fill>
        <patternFill patternType="none">
          <fgColor indexed="64"/>
          <bgColor auto="1"/>
        </patternFill>
      </fill>
      <alignment horizontal="right"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0"/>
        <color theme="1"/>
        <name val="Calibri"/>
        <family val="2"/>
        <scheme val="minor"/>
      </font>
      <numFmt numFmtId="1" formatCode="0"/>
      <fill>
        <patternFill patternType="none">
          <fgColor indexed="64"/>
          <bgColor indexed="65"/>
        </patternFill>
      </fill>
      <alignment horizontal="right"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9"/>
        <color theme="0" tint="-0.499984740745262"/>
        <name val="Calibri"/>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0"/>
        <color theme="1"/>
        <name val="Calibri"/>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0"/>
        <color theme="1"/>
        <name val="Calibri"/>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strike val="0"/>
        <outline val="0"/>
        <shadow val="0"/>
        <u val="none"/>
        <vertAlign val="baseline"/>
        <sz val="10"/>
        <color theme="1"/>
        <name val="Calibri"/>
        <family val="2"/>
        <scheme val="minor"/>
      </font>
      <numFmt numFmtId="30" formatCode="@"/>
      <alignment vertical="center" textRotation="0" wrapText="0" indent="0" justifyLastLine="0" shrinkToFit="0" readingOrder="0"/>
    </dxf>
    <dxf>
      <numFmt numFmtId="30" formatCode="@"/>
      <alignment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vertical="center" textRotation="0" wrapText="0" indent="0" justifyLastLine="0" shrinkToFit="0" readingOrder="0"/>
    </dxf>
    <dxf>
      <font>
        <strike val="0"/>
        <outline val="0"/>
        <shadow val="0"/>
        <u val="none"/>
        <vertAlign val="baseline"/>
        <sz val="10"/>
        <color theme="1"/>
        <name val="Calibri"/>
        <family val="2"/>
        <scheme val="minor"/>
      </font>
      <numFmt numFmtId="13" formatCode="0%"/>
      <alignment horizontal="general" vertical="center" textRotation="0" wrapText="0" indent="0" justifyLastLine="0" shrinkToFit="0" readingOrder="0"/>
    </dxf>
    <dxf>
      <font>
        <strike val="0"/>
        <outline val="0"/>
        <shadow val="0"/>
        <u val="none"/>
        <vertAlign val="baseline"/>
        <sz val="10"/>
        <color theme="1"/>
        <name val="Calibri"/>
        <family val="2"/>
        <scheme val="minor"/>
      </font>
      <numFmt numFmtId="1" formatCode="0"/>
      <alignment horizontal="general" vertical="center" textRotation="0" wrapText="0" indent="0" justifyLastLine="0" shrinkToFit="0" readingOrder="0"/>
    </dxf>
    <dxf>
      <font>
        <strike val="0"/>
        <outline val="0"/>
        <shadow val="0"/>
        <u val="none"/>
        <vertAlign val="baseline"/>
        <sz val="10"/>
        <color theme="1"/>
        <name val="Calibri"/>
        <family val="2"/>
        <scheme val="minor"/>
      </font>
      <numFmt numFmtId="1" formatCode="0"/>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vertical="center" textRotation="0" wrapText="0" indent="0" justifyLastLine="0" shrinkToFit="0" readingOrder="0"/>
    </dxf>
    <dxf>
      <font>
        <strike val="0"/>
        <outline val="0"/>
        <shadow val="0"/>
        <vertAlign val="baseline"/>
        <sz val="10"/>
        <name val="Calibri"/>
        <family val="2"/>
      </font>
    </dxf>
    <dxf>
      <font>
        <strike val="0"/>
        <outline val="0"/>
        <shadow val="0"/>
        <u val="none"/>
        <vertAlign val="baseline"/>
        <sz val="10"/>
        <color rgb="FF565A5C"/>
        <name val="Calibri"/>
        <family val="2"/>
        <scheme val="minor"/>
      </font>
      <fill>
        <patternFill patternType="solid">
          <fgColor indexed="64"/>
          <bgColor theme="0" tint="-0.14999847407452621"/>
        </patternFill>
      </fill>
      <alignment horizontal="center" vertical="center" textRotation="0" wrapText="1" indent="0" justifyLastLine="0" shrinkToFit="0" readingOrder="0"/>
    </dxf>
    <dxf>
      <border outline="0">
        <right style="thin">
          <color indexed="64"/>
        </right>
      </border>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indexed="64"/>
          <bgColor indexed="65"/>
        </patternFill>
      </fill>
      <alignment horizontal="general" vertical="center" textRotation="0" wrapText="0" indent="0" justifyLastLine="0" shrinkToFit="0" readingOrder="0"/>
      <border diagonalUp="0" diagonalDown="0" outline="0">
        <left/>
        <right style="thin">
          <color indexed="64"/>
        </right>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strike val="0"/>
        <outline val="0"/>
        <shadow val="0"/>
        <vertAlign val="baseline"/>
        <sz val="10"/>
        <name val="Calibri"/>
        <family val="2"/>
      </font>
      <alignment vertical="center" textRotation="0" indent="0" justifyLastLine="0" shrinkToFit="0" readingOrder="0"/>
      <border diagonalUp="0" diagonalDown="0">
        <left style="thin">
          <color indexed="64"/>
        </left>
        <right/>
        <top/>
        <bottom/>
        <vertical/>
        <horizontal/>
      </border>
    </dxf>
    <dxf>
      <alignment horizontal="center"/>
    </dxf>
    <dxf>
      <alignment vertical="center"/>
    </dxf>
    <dxf>
      <alignment vertical="center"/>
    </dxf>
    <dxf>
      <alignment vertical="center"/>
    </dxf>
    <dxf>
      <alignment vertical="center"/>
    </dxf>
    <dxf>
      <alignment vertical="center"/>
    </dxf>
    <dxf>
      <alignment vertical="center"/>
    </dxf>
    <dxf>
      <alignment horizontal="center"/>
    </dxf>
    <dxf>
      <font>
        <sz val="10"/>
      </font>
    </dxf>
    <dxf>
      <font>
        <sz val="10"/>
      </font>
    </dxf>
    <dxf>
      <font>
        <sz val="10"/>
      </font>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sz val="10"/>
      </font>
    </dxf>
    <dxf>
      <font>
        <sz val="10"/>
      </font>
    </dxf>
    <dxf>
      <font>
        <sz val="10"/>
      </font>
    </dxf>
    <dxf>
      <font>
        <sz val="10"/>
      </font>
    </dxf>
    <dxf>
      <font>
        <sz val="10"/>
      </font>
    </dxf>
    <dxf>
      <font>
        <strike val="0"/>
        <outline val="0"/>
        <shadow val="0"/>
        <vertAlign val="baseline"/>
        <sz val="10"/>
        <name val="Calibri"/>
        <family val="2"/>
      </font>
    </dxf>
    <dxf>
      <font>
        <strike val="0"/>
        <outline val="0"/>
        <shadow val="0"/>
        <vertAlign val="baseline"/>
        <sz val="10"/>
        <name val="Calibri"/>
        <family val="2"/>
      </font>
    </dxf>
    <dxf>
      <font>
        <strike val="0"/>
        <outline val="0"/>
        <shadow val="0"/>
        <vertAlign val="baseline"/>
        <sz val="10"/>
        <name val="Calibri"/>
        <family val="2"/>
      </font>
      <fill>
        <patternFill patternType="none">
          <bgColor auto="1"/>
        </patternFill>
      </fill>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general" vertical="center" textRotation="0" wrapText="0" indent="0" justifyLastLine="0" shrinkToFit="0" readingOrder="0"/>
      <border diagonalUp="0" diagonalDown="0" outline="0">
        <left style="thin">
          <color rgb="FF565A5C"/>
        </left>
      </border>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lef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none">
          <fgColor theme="6" tint="0.79998168889431442"/>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4" formatCode="_(&quot;$&quot;* #,##0.00_);_(&quot;$&quot;* \(#,##0.00\);_(&quot;$&quot;* &quot;-&quot;??_);_(@_)"/>
      <fill>
        <patternFill patternType="none">
          <fgColor theme="6" tint="0.79998168889431442"/>
          <bgColor auto="1"/>
        </patternFill>
      </fill>
      <alignment horizontal="left" vertical="center" textRotation="0" wrapText="0" indent="0" justifyLastLine="0" shrinkToFit="0" readingOrder="0"/>
      <border diagonalUp="0" diagonalDown="0" outline="0">
        <left style="thin">
          <color rgb="FF565A5C"/>
        </left>
      </border>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border diagonalUp="0" diagonalDown="0" outline="0">
        <left style="thin">
          <color rgb="FF565A5C"/>
        </left>
      </border>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lef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left" vertical="center" textRotation="0" wrapText="0" indent="0" justifyLastLine="0" shrinkToFit="0" readingOrder="0"/>
      <border diagonalUp="0" diagonalDown="0" outline="0">
        <left style="thin">
          <color rgb="FF565A5C"/>
        </left>
      </border>
    </dxf>
    <dxf>
      <font>
        <b val="0"/>
        <i val="0"/>
        <strike val="0"/>
        <condense val="0"/>
        <extend val="0"/>
        <outline val="0"/>
        <shadow val="0"/>
        <u val="none"/>
        <vertAlign val="baseline"/>
        <sz val="10"/>
        <color theme="1"/>
        <name val="Calibri"/>
        <family val="2"/>
        <scheme val="minor"/>
      </font>
      <numFmt numFmtId="167" formatCode="0.0"/>
      <fill>
        <patternFill patternType="none">
          <fgColor theme="6" tint="0.79998168889431442"/>
          <bgColor auto="1"/>
        </patternFill>
      </fill>
      <alignment horizontal="center"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167" formatCode="0.0"/>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7" formatCode="0.0"/>
      <fill>
        <patternFill patternType="none">
          <fgColor theme="6" tint="0.79998168889431442"/>
          <bgColor auto="1"/>
        </patternFill>
      </fill>
      <alignment horizontal="center" vertical="center" textRotation="0" wrapText="0" indent="0" justifyLastLine="0" shrinkToFit="0" readingOrder="0"/>
      <border diagonalUp="0" diagonalDown="0" outline="0">
        <left style="thin">
          <color rgb="FF565A5C"/>
        </left>
        <right/>
      </border>
    </dxf>
    <dxf>
      <font>
        <strike val="0"/>
        <outline val="0"/>
        <shadow val="0"/>
        <u val="none"/>
        <vertAlign val="baseline"/>
        <sz val="10"/>
        <color theme="1"/>
        <name val="Calibri"/>
        <family val="2"/>
      </font>
      <fill>
        <patternFill patternType="none">
          <fgColor indexed="64"/>
          <bgColor auto="1"/>
        </patternFill>
      </fill>
      <alignment vertical="center" textRotation="0" wrapText="0" indent="0" justifyLastLine="0" shrinkToFit="0" readingOrder="0"/>
      <border diagonalUp="0" diagonalDown="0" outline="0">
        <left style="thin">
          <color rgb="FF565A5C"/>
        </left>
        <right style="thin">
          <color rgb="FF565A5C"/>
        </right>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strike val="0"/>
        <outline val="0"/>
        <shadow val="0"/>
        <vertAlign val="baseline"/>
        <sz val="10"/>
        <name val="Calibri"/>
        <family val="2"/>
      </font>
      <fill>
        <patternFill patternType="none">
          <bgColor auto="1"/>
        </patternFill>
      </fill>
      <border diagonalUp="0" diagonalDown="0" outline="0">
        <left style="thin">
          <color rgb="FF565A5C"/>
        </left>
      </border>
    </dxf>
    <dxf>
      <font>
        <b val="0"/>
        <i val="0"/>
        <strike val="0"/>
        <condense val="0"/>
        <extend val="0"/>
        <outline val="0"/>
        <shadow val="0"/>
        <u val="none"/>
        <vertAlign val="baseline"/>
        <sz val="10"/>
        <color theme="0"/>
        <name val="Calibri"/>
        <family val="2"/>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style="thin">
          <color rgb="FF565A5C"/>
        </left>
        <right style="thin">
          <color rgb="FF565A5C"/>
        </right>
        <top/>
        <bottom/>
      </border>
    </dxf>
    <dxf>
      <font>
        <b val="0"/>
        <i val="0"/>
        <strike val="0"/>
        <condense val="0"/>
        <extend val="0"/>
        <outline val="0"/>
        <shadow val="0"/>
        <u val="none"/>
        <vertAlign val="baseline"/>
        <sz val="10"/>
        <color rgb="FFFF0000"/>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rgb="FFFF0000"/>
        <name val="Calibri"/>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dotted">
          <color rgb="FF565A5C"/>
        </left>
      </border>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center" vertical="center" textRotation="0" wrapText="0" indent="0" justifyLastLine="0" shrinkToFit="0" readingOrder="0"/>
      <border outline="0">
        <right style="dotted">
          <color rgb="FF565A5C"/>
        </right>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rgb="FFFF0000"/>
        <name val="Calibri"/>
        <family val="2"/>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right style="thin">
          <color rgb="FF565A5C"/>
        </right>
        <top/>
        <bottom/>
      </border>
    </dxf>
    <dxf>
      <font>
        <strike val="0"/>
        <outline val="0"/>
        <shadow val="0"/>
        <vertAlign val="baseline"/>
        <sz val="10"/>
        <name val="Calibri"/>
        <family val="2"/>
      </font>
      <numFmt numFmtId="30" formatCode="@"/>
      <fill>
        <patternFill patternType="none">
          <bgColor auto="1"/>
        </patternFill>
      </fill>
      <alignment vertical="center" textRotation="0" indent="0" justifyLastLine="0" shrinkToFit="0" readingOrder="0"/>
    </dxf>
    <dxf>
      <font>
        <b/>
        <i val="0"/>
        <strike val="0"/>
        <condense val="0"/>
        <extend val="0"/>
        <outline val="0"/>
        <shadow val="0"/>
        <u val="none"/>
        <vertAlign val="baseline"/>
        <sz val="10"/>
        <color rgb="FF565A5C"/>
        <name val="Calibri"/>
        <family val="2"/>
        <scheme val="minor"/>
      </font>
      <numFmt numFmtId="30" formatCode="@"/>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3" formatCode="#,##0"/>
      <fill>
        <patternFill patternType="none">
          <fgColor theme="6" tint="0.79998168889431442"/>
          <bgColor auto="1"/>
        </patternFill>
      </fill>
      <alignment horizontal="lef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Calibri"/>
        <family val="2"/>
        <scheme val="none"/>
      </font>
      <numFmt numFmtId="34" formatCode="_(&quot;$&quot;* #,##0.00_);_(&quot;$&quot;* \(#,##0.00\);_(&quot;$&quot;* &quot;-&quot;??_);_(@_)"/>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center"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center" vertical="center" textRotation="0" wrapText="0" indent="0" justifyLastLine="0" shrinkToFit="0" readingOrder="0"/>
      <border diagonalUp="0" diagonalDown="0" outline="0">
        <left style="thin">
          <color indexed="64"/>
        </left>
      </border>
    </dxf>
    <dxf>
      <font>
        <b val="0"/>
        <i val="0"/>
        <strike val="0"/>
        <condense val="0"/>
        <extend val="0"/>
        <outline val="0"/>
        <shadow val="0"/>
        <u val="none"/>
        <vertAlign val="baseline"/>
        <sz val="10"/>
        <color theme="1"/>
        <name val="Calibri"/>
        <family val="2"/>
        <scheme val="minor"/>
      </font>
      <numFmt numFmtId="167" formatCode="0.0"/>
      <fill>
        <patternFill patternType="none">
          <fgColor theme="6" tint="0.79998168889431442"/>
          <bgColor auto="1"/>
        </patternFill>
      </fill>
      <alignment horizontal="center"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167" formatCode="0.0"/>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7" formatCode="0.0"/>
      <fill>
        <patternFill patternType="none">
          <fgColor theme="6" tint="0.79998168889431442"/>
          <bgColor auto="1"/>
        </patternFill>
      </fill>
      <alignment horizontal="center" vertical="center" textRotation="0" wrapText="0" indent="0" justifyLastLine="0" shrinkToFit="0" readingOrder="0"/>
    </dxf>
    <dxf>
      <font>
        <strike val="0"/>
        <outline val="0"/>
        <shadow val="0"/>
        <u val="none"/>
        <vertAlign val="baseline"/>
        <sz val="10"/>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rgb="FF565A5C"/>
        </right>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border outline="0">
        <left/>
        <right style="thin">
          <color indexed="64"/>
        </right>
      </border>
    </dxf>
    <dxf>
      <font>
        <strike val="0"/>
        <outline val="0"/>
        <shadow val="0"/>
        <vertAlign val="baseline"/>
        <sz val="10"/>
        <name val="Calibri"/>
        <family val="2"/>
      </font>
      <fill>
        <patternFill patternType="none">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0"/>
        <name val="Calibri"/>
        <family val="2"/>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rgb="FF565A5C"/>
        </right>
        <top/>
        <bottom/>
      </border>
    </dxf>
    <dxf>
      <font>
        <b val="0"/>
        <i val="0"/>
        <strike val="0"/>
        <condense val="0"/>
        <extend val="0"/>
        <outline val="0"/>
        <shadow val="0"/>
        <u val="none"/>
        <vertAlign val="baseline"/>
        <sz val="10"/>
        <color rgb="FFFF0000"/>
        <name val="Calibri"/>
        <family val="2"/>
        <scheme val="minor"/>
      </font>
      <numFmt numFmtId="30" formatCode="@"/>
      <fill>
        <patternFill patternType="none">
          <fgColor indexed="64"/>
          <bgColor auto="1"/>
        </patternFill>
      </fill>
      <alignment horizontal="left"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0"/>
        <color theme="1"/>
        <name val="Calibri"/>
        <family val="2"/>
        <scheme val="minor"/>
      </font>
      <numFmt numFmtId="0" formatCode="General"/>
      <fill>
        <patternFill patternType="none">
          <fgColor theme="6" tint="0.79998168889431442"/>
          <bgColor auto="1"/>
        </patternFill>
      </fill>
      <alignment horizontal="center" vertical="center" textRotation="0" wrapText="0" indent="0" justifyLastLine="0" shrinkToFit="0" readingOrder="0"/>
      <border outline="0">
        <right style="thin">
          <color indexed="64"/>
        </right>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border diagonalUp="0" diagonalDown="0" outline="0">
        <left style="thin">
          <color indexed="64"/>
        </left>
      </border>
    </dxf>
    <dxf>
      <font>
        <b val="0"/>
        <i val="0"/>
        <strike val="0"/>
        <condense val="0"/>
        <extend val="0"/>
        <outline val="0"/>
        <shadow val="0"/>
        <u val="none"/>
        <vertAlign val="baseline"/>
        <sz val="10"/>
        <color rgb="FFFF0000"/>
        <name val="Calibri"/>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border diagonalUp="0" diagonalDown="0">
        <left style="thin">
          <color rgb="FF565A5C"/>
        </left>
        <right style="thin">
          <color rgb="FF565A5C"/>
        </right>
        <top style="thin">
          <color rgb="FF565A5C"/>
        </top>
        <bottom style="thin">
          <color rgb="FF565A5C"/>
        </bottom>
      </border>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border outline="0">
        <bottom style="thin">
          <color theme="6"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565A5C"/>
        </patternFill>
      </fill>
      <alignment horizontal="center" vertical="center" textRotation="0" wrapText="1" indent="0" justifyLastLine="0" shrinkToFit="0" readingOrder="0"/>
    </dxf>
    <dxf>
      <font>
        <strike val="0"/>
        <outline val="0"/>
        <shadow val="0"/>
        <u val="none"/>
        <vertAlign val="baseline"/>
        <sz val="10"/>
        <color theme="1"/>
        <name val="Calibri"/>
        <family val="2"/>
        <scheme val="minor"/>
      </font>
    </dxf>
    <dxf>
      <border diagonalUp="0" diagonalDown="0">
        <left style="thin">
          <color rgb="FF565A5C"/>
        </left>
        <right style="thin">
          <color rgb="FF565A5C"/>
        </right>
        <top style="thin">
          <color rgb="FF565A5C"/>
        </top>
        <bottom style="thin">
          <color rgb="FF565A5C"/>
        </bottom>
      </border>
    </dxf>
    <dxf>
      <font>
        <strike val="0"/>
        <outline val="0"/>
        <shadow val="0"/>
        <u val="none"/>
        <vertAlign val="baseline"/>
        <sz val="10"/>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indexed="64"/>
          <bgColor rgb="FF565A5C"/>
        </patternFill>
      </fill>
      <alignment horizontal="center" vertical="center" textRotation="0" wrapText="1" indent="0" justifyLastLine="0" shrinkToFit="0" readingOrder="0"/>
    </dxf>
    <dxf>
      <font>
        <strike val="0"/>
        <outline val="0"/>
        <shadow val="0"/>
        <u val="none"/>
        <vertAlign val="baseline"/>
        <sz val="10"/>
        <color theme="1"/>
        <name val="Calibri"/>
        <family val="2"/>
        <scheme val="minor"/>
      </font>
    </dxf>
    <dxf>
      <border outline="0">
        <left style="thin">
          <color rgb="FF000000"/>
        </left>
        <right style="thin">
          <color rgb="FF000000"/>
        </right>
        <top style="thin">
          <color rgb="FF000000"/>
        </top>
        <bottom style="thin">
          <color rgb="FF000000"/>
        </bottom>
      </border>
    </dxf>
    <dxf>
      <font>
        <strike val="0"/>
        <outline val="0"/>
        <shadow val="0"/>
        <u val="none"/>
        <vertAlign val="baseline"/>
        <sz val="10"/>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indexed="64"/>
          <bgColor rgb="FF565A5C"/>
        </patternFill>
      </fill>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general" vertical="center" textRotation="0" wrapText="1" indent="0" justifyLastLine="0" shrinkToFit="0" readingOrder="0"/>
      <border diagonalUp="0" diagonalDown="0">
        <left style="thin">
          <color indexed="64"/>
        </left>
        <right/>
        <top/>
        <bottom/>
        <vertical/>
        <horizontal/>
      </border>
    </dxf>
    <dxf>
      <font>
        <strike val="0"/>
        <outline val="0"/>
        <shadow val="0"/>
        <u val="none"/>
        <vertAlign val="baseline"/>
        <sz val="10"/>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general" vertical="center" textRotation="0" wrapText="0" indent="0" justifyLastLine="0" shrinkToFit="0" readingOrder="0"/>
    </dxf>
    <dxf>
      <font>
        <b/>
      </font>
      <alignment horizontal="center" vertical="center" textRotation="0" wrapText="0" indent="0" justifyLastLine="0" shrinkToFit="0" readingOrder="0"/>
    </dxf>
    <dxf>
      <border outline="0">
        <left style="thin">
          <color theme="4" tint="0.39997558519241921"/>
        </left>
        <right style="thin">
          <color theme="4" tint="0.39997558519241921"/>
        </right>
        <top style="thin">
          <color theme="4" tint="0.39997558519241921"/>
        </top>
      </border>
    </dxf>
    <dxf>
      <alignment horizontal="general"/>
    </dxf>
    <dxf>
      <alignment horizontal="general"/>
    </dxf>
    <dxf>
      <alignment horizontal="general"/>
    </dxf>
    <dxf>
      <alignment vertical="center"/>
    </dxf>
    <dxf>
      <alignment vertical="center"/>
    </dxf>
    <dxf>
      <alignment vertical="center"/>
    </dxf>
    <dxf>
      <font>
        <strike val="0"/>
        <outline val="0"/>
        <shadow val="0"/>
        <u val="none"/>
        <vertAlign val="baseline"/>
        <sz val="10"/>
        <color rgb="FF565A5C"/>
        <name val="Calibri"/>
        <family val="2"/>
        <scheme val="minor"/>
      </font>
      <fill>
        <patternFill patternType="solid">
          <fgColor indexed="64"/>
          <bgColor theme="0" tint="-0.14999847407452621"/>
        </patternFill>
      </fill>
      <alignment horizontal="center" vertical="center" textRotation="0" wrapText="1" indent="0" justifyLastLine="0" shrinkToFit="0" readingOrder="0"/>
    </dxf>
    <dxf>
      <border outline="0">
        <left style="thin">
          <color rgb="FFC9C9C9"/>
        </left>
        <right style="thin">
          <color rgb="FF000000"/>
        </right>
        <top style="thin">
          <color rgb="FFBFBFBF"/>
        </top>
        <bottom style="thin">
          <color rgb="FFC9C9C9"/>
        </bottom>
      </border>
    </dxf>
    <dxf>
      <font>
        <b/>
        <i val="0"/>
        <strike val="0"/>
        <condense val="0"/>
        <extend val="0"/>
        <outline val="0"/>
        <shadow val="0"/>
        <u val="none"/>
        <vertAlign val="baseline"/>
        <sz val="9"/>
        <color rgb="FF565A5C"/>
        <name val="Calibri"/>
        <family val="2"/>
        <scheme val="minor"/>
      </font>
      <numFmt numFmtId="30" formatCode="@"/>
      <fill>
        <patternFill patternType="solid">
          <fgColor indexed="64"/>
          <bgColor theme="0" tint="-0.14999847407452621"/>
        </patternFill>
      </fill>
      <alignment horizontal="center" vertical="center" textRotation="0" wrapText="1" indent="0" justifyLastLine="0" shrinkToFit="0" readingOrder="0"/>
    </dxf>
    <dxf>
      <border outline="0">
        <left style="thin">
          <color theme="6" tint="0.39997558519241921"/>
        </left>
        <right style="thin">
          <color rgb="FF000000"/>
        </right>
        <top style="thin">
          <color theme="0" tint="-0.249977111117893"/>
        </top>
        <bottom style="thin">
          <color theme="6" tint="0.39997558519241921"/>
        </bottom>
      </border>
    </dxf>
  </dxfs>
  <tableStyles count="0" defaultTableStyle="TableStyleMedium2" defaultPivotStyle="PivotStyleMedium9"/>
  <colors>
    <mruColors>
      <color rgb="FF9933FF"/>
      <color rgb="FF9C5700"/>
      <color rgb="FF565A5C"/>
      <color rgb="FFCCCCFF"/>
      <color rgb="FFCFB87C"/>
      <color rgb="FFCC99FF"/>
      <color rgb="FFA2A4A3"/>
      <color rgb="FF9C0006"/>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06/relationships/richStyles" Target="richData/rich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17/06/relationships/rdSupportingPropertyBag" Target="richData/rdsupportingpropertybag.xml"/><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17/06/relationships/rdSupportingPropertyBagStructure" Target="richData/rdsupportingpropertybag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[Collection Development - Donation - Template.xlsm]s-Format!Fomats</c:name>
    <c:fmtId val="3"/>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's-Format'!$B$1</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's-Format'!$A$2:$A$7</c:f>
              <c:strCache>
                <c:ptCount val="5"/>
                <c:pt idx="0">
                  <c:v>Book - Part of Set</c:v>
                </c:pt>
                <c:pt idx="1">
                  <c:v>CD - Data</c:v>
                </c:pt>
                <c:pt idx="2">
                  <c:v>CD - Other</c:v>
                </c:pt>
                <c:pt idx="3">
                  <c:v>(blank)</c:v>
                </c:pt>
                <c:pt idx="4">
                  <c:v>Comic</c:v>
                </c:pt>
              </c:strCache>
            </c:strRef>
          </c:cat>
          <c:val>
            <c:numRef>
              <c:f>'s-Format'!$B$2:$B$7</c:f>
              <c:numCache>
                <c:formatCode>General</c:formatCode>
                <c:ptCount val="5"/>
                <c:pt idx="0">
                  <c:v>1</c:v>
                </c:pt>
                <c:pt idx="1">
                  <c:v>1</c:v>
                </c:pt>
                <c:pt idx="2">
                  <c:v>1</c:v>
                </c:pt>
                <c:pt idx="4">
                  <c:v>1</c:v>
                </c:pt>
              </c:numCache>
            </c:numRef>
          </c:val>
          <c:extLst>
            <c:ext xmlns:c16="http://schemas.microsoft.com/office/drawing/2014/chart" uri="{C3380CC4-5D6E-409C-BE32-E72D297353CC}">
              <c16:uniqueId val="{00000000-0762-4DA8-BF03-DF94073B042E}"/>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[Collection Development - Donation - Template.xlsm]s-Assign!Assigned_Collection</c:name>
    <c:fmtId val="0"/>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s>
    <c:plotArea>
      <c:layout/>
      <c:pieChart>
        <c:varyColors val="1"/>
        <c:ser>
          <c:idx val="0"/>
          <c:order val="0"/>
          <c:tx>
            <c:strRef>
              <c:f>'s-Assign'!$B$1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D18-4BE9-8CC4-A7FAB18EFF0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D18-4BE9-8CC4-A7FAB18EFF0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D18-4BE9-8CC4-A7FAB18EFF0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D18-4BE9-8CC4-A7FAB18EFF00}"/>
              </c:ext>
            </c:extLst>
          </c:dPt>
          <c:dPt>
            <c:idx val="4"/>
            <c:bubble3D val="0"/>
            <c:spPr>
              <a:solidFill>
                <a:schemeClr val="accent5"/>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's-Assign'!$A$2:$A$7</c:f>
              <c:strCache>
                <c:ptCount val="5"/>
                <c:pt idx="0">
                  <c:v>n/a</c:v>
                </c:pt>
                <c:pt idx="1">
                  <c:v>dupe</c:v>
                </c:pt>
                <c:pt idx="2">
                  <c:v>reject</c:v>
                </c:pt>
                <c:pt idx="3">
                  <c:v>asnser</c:v>
                </c:pt>
                <c:pt idx="4">
                  <c:v>norst</c:v>
                </c:pt>
              </c:strCache>
            </c:strRef>
          </c:cat>
          <c:val>
            <c:numRef>
              <c:f>'s-Assign'!$B$2:$B$7</c:f>
              <c:numCache>
                <c:formatCode>General</c:formatCode>
                <c:ptCount val="5"/>
                <c:pt idx="0">
                  <c:v>655</c:v>
                </c:pt>
                <c:pt idx="1">
                  <c:v>1</c:v>
                </c:pt>
                <c:pt idx="2">
                  <c:v>1</c:v>
                </c:pt>
                <c:pt idx="3">
                  <c:v>1</c:v>
                </c:pt>
                <c:pt idx="4">
                  <c:v>1</c:v>
                </c:pt>
              </c:numCache>
            </c:numRef>
          </c:val>
          <c:extLst>
            <c:ext xmlns:c16="http://schemas.microsoft.com/office/drawing/2014/chart" uri="{C3380CC4-5D6E-409C-BE32-E72D297353CC}">
              <c16:uniqueId val="{00000000-5FDE-4D92-BBB8-601DCB4658B1}"/>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Series Titles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's-Series'!$B$1</c:f>
              <c:strCache>
                <c:ptCount val="1"/>
                <c:pt idx="0">
                  <c:v>Count</c:v>
                </c:pt>
              </c:strCache>
            </c:strRef>
          </c:tx>
          <c:spPr>
            <a:solidFill>
              <a:schemeClr val="accent1"/>
            </a:solidFill>
            <a:ln>
              <a:noFill/>
            </a:ln>
            <a:effectLst/>
          </c:spPr>
          <c:invertIfNegative val="0"/>
          <c:cat>
            <c:numRef>
              <c:f>'s-Series'!$A$2:$A$10</c:f>
              <c:numCache>
                <c:formatCode>General</c:formatCode>
                <c:ptCount val="9"/>
              </c:numCache>
            </c:numRef>
          </c:cat>
          <c:val>
            <c:numRef>
              <c:f>'s-Series'!$B$2:$B$10</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22E5-43CD-B4EA-1A7C77FC9BB4}"/>
            </c:ext>
          </c:extLst>
        </c:ser>
        <c:dLbls>
          <c:showLegendKey val="0"/>
          <c:showVal val="0"/>
          <c:showCatName val="0"/>
          <c:showSerName val="0"/>
          <c:showPercent val="0"/>
          <c:showBubbleSize val="0"/>
        </c:dLbls>
        <c:gapWidth val="219"/>
        <c:overlap val="-27"/>
        <c:axId val="324380288"/>
        <c:axId val="324380704"/>
      </c:barChart>
      <c:catAx>
        <c:axId val="324380288"/>
        <c:scaling>
          <c:orientation val="minMax"/>
        </c:scaling>
        <c:delete val="0"/>
        <c:axPos val="b"/>
        <c:numFmt formatCode="@"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4380704"/>
        <c:crosses val="autoZero"/>
        <c:auto val="1"/>
        <c:lblAlgn val="ctr"/>
        <c:lblOffset val="100"/>
        <c:noMultiLvlLbl val="0"/>
      </c:catAx>
      <c:valAx>
        <c:axId val="324380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4380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[Collection Development - Donation - Template.xlsm]s-Pub!Publishers</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a:t>
            </a:r>
            <a:r>
              <a:rPr lang="en-US" baseline="0"/>
              <a:t> of Materials by Publisher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's-Pub'!$B$1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's-Pub'!$A$2:$A$189</c:f>
              <c:strCache>
                <c:ptCount val="187"/>
                <c:pt idx="0">
                  <c:v>n/a</c:v>
                </c:pt>
                <c:pt idx="1">
                  <c:v>Meitoku Shuppansha</c:v>
                </c:pt>
                <c:pt idx="2">
                  <c:v>Chūbun Shuppansha</c:v>
                </c:pt>
                <c:pt idx="3">
                  <c:v>Tōyō Bunko</c:v>
                </c:pt>
                <c:pt idx="4">
                  <c:v>Iwanami Shoten</c:v>
                </c:pt>
                <c:pt idx="5">
                  <c:v>Heibonsha</c:v>
                </c:pt>
                <c:pt idx="6">
                  <c:v>Sōbunsha</c:v>
                </c:pt>
                <c:pt idx="7">
                  <c:v>Kōdansha</c:v>
                </c:pt>
                <c:pt idx="8">
                  <c:v>Kōbun Shokyoku</c:v>
                </c:pt>
                <c:pt idx="9">
                  <c:v>Chūō Kōronsha</c:v>
                </c:pt>
                <c:pt idx="10">
                  <c:v>Chikuma Shobō</c:v>
                </c:pt>
                <c:pt idx="11">
                  <c:v>Iwanamishoten</c:v>
                </c:pt>
                <c:pt idx="12">
                  <c:v>Tōkyō Daigaku Shuppankai</c:v>
                </c:pt>
                <c:pt idx="13">
                  <c:v>Hōzōkan</c:v>
                </c:pt>
                <c:pt idx="14">
                  <c:v>Kyōto Daigaku Jinbun Kagaku Kenkyūjo</c:v>
                </c:pt>
                <c:pt idx="15">
                  <c:v>Yoshikawa Kōbunkan</c:v>
                </c:pt>
                <c:pt idx="16">
                  <c:v>Hābādo Enkei Dōshisha Tōhō Bunka Kōza Iinkai</c:v>
                </c:pt>
                <c:pt idx="17">
                  <c:v>Kokusho Kankōkai</c:v>
                </c:pt>
                <c:pt idx="18">
                  <c:v>Tōyōshi Kenkyūkai</c:v>
                </c:pt>
                <c:pt idx="19">
                  <c:v>Dōhōsha</c:v>
                </c:pt>
                <c:pt idx="20">
                  <c:v>Meiji Shoin</c:v>
                </c:pt>
                <c:pt idx="21">
                  <c:v>Asahi Shinbunsha</c:v>
                </c:pt>
                <c:pt idx="22">
                  <c:v>Heirakuji Shoten</c:v>
                </c:pt>
                <c:pt idx="23">
                  <c:v>Hyakkaen</c:v>
                </c:pt>
                <c:pt idx="24">
                  <c:v>Perikansha</c:v>
                </c:pt>
                <c:pt idx="25">
                  <c:v>Ōsaka Daigaku Shuppankai</c:v>
                </c:pt>
                <c:pt idx="26">
                  <c:v>Shūei Shuppan</c:v>
                </c:pt>
                <c:pt idx="27">
                  <c:v>Nichirenshū Overseas Propagation Promotion Association</c:v>
                </c:pt>
                <c:pt idx="28">
                  <c:v>Kyūshū Daigaku Bungakubu</c:v>
                </c:pt>
                <c:pt idx="29">
                  <c:v>Hirakawa Shuppansha</c:v>
                </c:pt>
                <c:pt idx="30">
                  <c:v>Yūhikaku</c:v>
                </c:pt>
                <c:pt idx="31">
                  <c:v>Tenrikyō Kyōkai Honbu</c:v>
                </c:pt>
                <c:pt idx="32">
                  <c:v>Kazama Shobō</c:v>
                </c:pt>
                <c:pt idx="33">
                  <c:v>Kenbun Shuppan</c:v>
                </c:pt>
                <c:pt idx="34">
                  <c:v>Shibundō</c:v>
                </c:pt>
                <c:pt idx="35">
                  <c:v>Bungensha</c:v>
                </c:pt>
                <c:pt idx="36">
                  <c:v>Mokujisha</c:v>
                </c:pt>
                <c:pt idx="37">
                  <c:v>Konkōkyō Honbu Kyōchō</c:v>
                </c:pt>
                <c:pt idx="38">
                  <c:v>Jinbutsu Ōraisha</c:v>
                </c:pt>
                <c:pt idx="39">
                  <c:v>Tōhoku Daigaku Fuzoku Toshokan</c:v>
                </c:pt>
                <c:pt idx="40">
                  <c:v>Aoki Shoten</c:v>
                </c:pt>
                <c:pt idx="41">
                  <c:v>Ryūbunkan</c:v>
                </c:pt>
                <c:pt idx="42">
                  <c:v>Misuzushobō</c:v>
                </c:pt>
                <c:pt idx="43">
                  <c:v>Kusumoto Masatsugu</c:v>
                </c:pt>
                <c:pt idx="44">
                  <c:v>Meiji Jingū Shamusho</c:v>
                </c:pt>
                <c:pt idx="45">
                  <c:v>Ikedasōanzenshūhenshūiinkai</c:v>
                </c:pt>
                <c:pt idx="46">
                  <c:v>Miraisha</c:v>
                </c:pt>
                <c:pt idx="47">
                  <c:v>Sōka Gakkai</c:v>
                </c:pt>
                <c:pt idx="48">
                  <c:v>Shibunkaku Shuppan</c:v>
                </c:pt>
                <c:pt idx="49">
                  <c:v>Tenri Daigaku Shuppanbu</c:v>
                </c:pt>
                <c:pt idx="50">
                  <c:v>Sekimon Shingakukai</c:v>
                </c:pt>
                <c:pt idx="51">
                  <c:v>Tōeisha</c:v>
                </c:pt>
                <c:pt idx="52">
                  <c:v>Nishi Nihon Shinbunsha</c:v>
                </c:pt>
                <c:pt idx="53">
                  <c:v>Kadokawa Shoten</c:v>
                </c:pt>
                <c:pt idx="54">
                  <c:v>Ashi Shobō</c:v>
                </c:pt>
                <c:pt idx="55">
                  <c:v>Tōyōbunko</c:v>
                </c:pt>
                <c:pt idx="56">
                  <c:v>Shunjūsha</c:v>
                </c:pt>
                <c:pt idx="57">
                  <c:v>Meitokushuppansha</c:v>
                </c:pt>
                <c:pt idx="58">
                  <c:v>Hōsei Daigaku Shuppankyoku</c:v>
                </c:pt>
                <c:pt idx="59">
                  <c:v>Akitaya</c:v>
                </c:pt>
                <c:pt idx="60">
                  <c:v>Gotō Toshimizu Hakushi Ikō Kankōkai</c:v>
                </c:pt>
                <c:pt idx="61">
                  <c:v>Tōkyō Sōgensha</c:v>
                </c:pt>
                <c:pt idx="62">
                  <c:v>Nichiren Buddhist Temple of San Jose</c:v>
                </c:pt>
                <c:pt idx="63">
                  <c:v>Nihon Keizai Shinbun Shuppansha Nikkei Jigyō Shuppan Sentā</c:v>
                </c:pt>
                <c:pt idx="64">
                  <c:v>Kyōtodaigakutōyōshikenkyūkai</c:v>
                </c:pt>
                <c:pt idx="65">
                  <c:v>Takasaki Tetsugakudō Setsuritsu no Kai</c:v>
                </c:pt>
                <c:pt idx="66">
                  <c:v>Shūeisha</c:v>
                </c:pt>
                <c:pt idx="67">
                  <c:v>Shimizu Shoin</c:v>
                </c:pt>
                <c:pt idx="68">
                  <c:v>Auna Kyōdan Honbu</c:v>
                </c:pt>
                <c:pt idx="69">
                  <c:v>Kokusai Kirisutokyō Daigaku Ajia Bunka Kenkyūjo</c:v>
                </c:pt>
                <c:pt idx="70">
                  <c:v>Hābādo Enkei Doshisha Tōhō Bunka Kōza Iinkai</c:v>
                </c:pt>
                <c:pt idx="71">
                  <c:v>Fujiwara Shoten</c:v>
                </c:pt>
                <c:pt idx="72">
                  <c:v>Tōkyō Daigaku Bungakubu</c:v>
                </c:pt>
                <c:pt idx="73">
                  <c:v>Eishinsha</c:v>
                </c:pt>
                <c:pt idx="74">
                  <c:v>Kinamitaku Ichi</c:v>
                </c:pt>
                <c:pt idx="75">
                  <c:v>Chūō Kōron Shinsha</c:v>
                </c:pt>
                <c:pt idx="76">
                  <c:v>Shimizu Kōbundō Shobō</c:v>
                </c:pt>
                <c:pt idx="77">
                  <c:v>Daiichi Shobō</c:v>
                </c:pt>
                <c:pt idx="78">
                  <c:v>Toyoshima Shobō</c:v>
                </c:pt>
                <c:pt idx="79">
                  <c:v>Shienkai</c:v>
                </c:pt>
                <c:pt idx="80">
                  <c:v>Chichi Shuppansha</c:v>
                </c:pt>
                <c:pt idx="81">
                  <c:v>Sanseidō</c:v>
                </c:pt>
                <c:pt idx="82">
                  <c:v>Hori Shoten</c:v>
                </c:pt>
                <c:pt idx="83">
                  <c:v>Meijishoin</c:v>
                </c:pt>
                <c:pt idx="84">
                  <c:v>Heibon Sha</c:v>
                </c:pt>
                <c:pt idx="85">
                  <c:v>Keigaku Shuppan</c:v>
                </c:pt>
                <c:pt idx="86">
                  <c:v>[京都大学人文科学研究所]</c:v>
                </c:pt>
                <c:pt idx="87">
                  <c:v>Mishima Kaiun</c:v>
                </c:pt>
                <c:pt idx="88">
                  <c:v>[Asahi Shinbunsha]</c:v>
                </c:pt>
                <c:pt idx="89">
                  <c:v>Hōbunkan</c:v>
                </c:pt>
                <c:pt idx="90">
                  <c:v>Dōtoshokan</c:v>
                </c:pt>
                <c:pt idx="91">
                  <c:v>Dōhōsha Shuppan</c:v>
                </c:pt>
                <c:pt idx="92">
                  <c:v>Tenshō Kōtai Jingūkyō Honbu</c:v>
                </c:pt>
                <c:pt idx="93">
                  <c:v>Mikasa Shobō</c:v>
                </c:pt>
                <c:pt idx="94">
                  <c:v>Kōmeisha</c:v>
                </c:pt>
                <c:pt idx="95">
                  <c:v>Kōbundō</c:v>
                </c:pt>
                <c:pt idx="96">
                  <c:v>Yūhōdō Shoten</c:v>
                </c:pt>
                <c:pt idx="97">
                  <c:v>Hōyū Shoten</c:v>
                </c:pt>
                <c:pt idx="98">
                  <c:v>Kokudosha</c:v>
                </c:pt>
                <c:pt idx="99">
                  <c:v>Yamakawa Shuppansha</c:v>
                </c:pt>
                <c:pt idx="100">
                  <c:v>Nihon Gakujutsu Fukyūkai</c:v>
                </c:pt>
                <c:pt idx="101">
                  <c:v>Keisō Shobō</c:v>
                </c:pt>
                <c:pt idx="102">
                  <c:v>Nishō Gakusha Daigaku Shuppanbu</c:v>
                </c:pt>
                <c:pt idx="103">
                  <c:v>Hakuteisha</c:v>
                </c:pt>
                <c:pt idx="104">
                  <c:v>Hatsubaimoto Domesu Shuppan</c:v>
                </c:pt>
                <c:pt idx="105">
                  <c:v>Daitō Bunka Daigaku Tōyō Kenkyūjo</c:v>
                </c:pt>
                <c:pt idx="106">
                  <c:v>Makarē Higashi Honganji</c:v>
                </c:pt>
                <c:pt idx="107">
                  <c:v>Yūzankaku</c:v>
                </c:pt>
                <c:pt idx="108">
                  <c:v>Jinja Honchō</c:v>
                </c:pt>
                <c:pt idx="109">
                  <c:v>Kyōto Daigaku Bungakubu</c:v>
                </c:pt>
                <c:pt idx="110">
                  <c:v>Hābādo</c:v>
                </c:pt>
                <c:pt idx="111">
                  <c:v>Gakuseisha</c:v>
                </c:pt>
                <c:pt idx="112">
                  <c:v>Hya' Kaen</c:v>
                </c:pt>
                <c:pt idx="113">
                  <c:v>Chuo Koronsha</c:v>
                </c:pt>
                <c:pt idx="114">
                  <c:v>Fuzanbō</c:v>
                </c:pt>
                <c:pt idx="115">
                  <c:v>Sekaidō Shoten</c:v>
                </c:pt>
                <c:pt idx="116">
                  <c:v>Toyo shoin</c:v>
                </c:pt>
                <c:pt idx="117">
                  <c:v>Kyūko Shoin: Koten Kenkyūkai</c:v>
                </c:pt>
                <c:pt idx="118">
                  <c:v>[Tōhō Gakkai]</c:v>
                </c:pt>
                <c:pt idx="119">
                  <c:v>Kyōgaku Kenkyūkai</c:v>
                </c:pt>
                <c:pt idx="120">
                  <c:v>Kyūko Shoin</c:v>
                </c:pt>
                <c:pt idx="121">
                  <c:v>Gakuyūkai</c:v>
                </c:pt>
                <c:pt idx="122">
                  <c:v>Hyōronsha</c:v>
                </c:pt>
                <c:pt idx="123">
                  <c:v>Kokugakuin Daigaku Nihon Bunka Kenkyūjo</c:v>
                </c:pt>
                <c:pt idx="124">
                  <c:v>Sekibunkan Shoten</c:v>
                </c:pt>
                <c:pt idx="125">
                  <c:v>Daiichi Hōki</c:v>
                </c:pt>
                <c:pt idx="126">
                  <c:v>Bunri Shoin</c:v>
                </c:pt>
                <c:pt idx="127">
                  <c:v>Taishūkan Shoten</c:v>
                </c:pt>
                <c:pt idx="128">
                  <c:v>Ishida Hakushi Koki Kinen Jigyōkai</c:v>
                </c:pt>
                <c:pt idx="129">
                  <c:v>Kyūshū Shuppan Bunka Kenkyūkai</c:v>
                </c:pt>
                <c:pt idx="130">
                  <c:v>Tenshō Kōtai Jingūkyō</c:v>
                </c:pt>
                <c:pt idx="131">
                  <c:v>Kokuritsu Kokkai Toshokan</c:v>
                </c:pt>
                <c:pt idx="132">
                  <c:v>Kōgeisha</c:v>
                </c:pt>
                <c:pt idx="133">
                  <c:v>Kyūshū Daigaku Bungakubu Sō Min Shisō Kenkyūkai</c:v>
                </c:pt>
                <c:pt idx="134">
                  <c:v>Yūhōdō</c:v>
                </c:pt>
                <c:pt idx="135">
                  <c:v>Chūō Kōron̄sha</c:v>
                </c:pt>
                <c:pt idx="136">
                  <c:v>Kōeki Zaidan Hōjin Tōyō Bunko</c:v>
                </c:pt>
                <c:pt idx="137">
                  <c:v>Daitō Shuppansha</c:v>
                </c:pt>
                <c:pt idx="138">
                  <c:v>Ashikagashi</c:v>
                </c:pt>
                <c:pt idx="139">
                  <c:v>Daitō Bunka Gakuen</c:v>
                </c:pt>
                <c:pt idx="140">
                  <c:v>Kirisutokyō Gakuto Kyōdaidan</c:v>
                </c:pt>
                <c:pt idx="141">
                  <c:v>Tenrikyō Dōyūsha</c:v>
                </c:pt>
                <c:pt idx="142">
                  <c:v>Bukkyōto Bunka Kōryū Kyōkai</c:v>
                </c:pt>
                <c:pt idx="143">
                  <c:v>Chūōkōronsha</c:v>
                </c:pt>
                <c:pt idx="144">
                  <c:v>Tenshō Kōtai Jingū Kyō Honbu</c:v>
                </c:pt>
                <c:pt idx="145">
                  <c:v>Nō-san-gyoson Bunka Kyōkai</c:v>
                </c:pt>
                <c:pt idx="146">
                  <c:v>Yutani Hakubundō</c:v>
                </c:pt>
                <c:pt idx="147">
                  <c:v>Veritasu Shoin</c:v>
                </c:pt>
                <c:pt idx="148">
                  <c:v>Seikadō Bunko</c:v>
                </c:pt>
                <c:pt idx="149">
                  <c:v>Tōhō Shoin</c:v>
                </c:pt>
                <c:pt idx="150">
                  <c:v>Moriyama Fumihiko</c:v>
                </c:pt>
                <c:pt idx="151">
                  <c:v>Nichiren Shu Kaigai Fukyō Kōenkai</c:v>
                </c:pt>
                <c:pt idx="152">
                  <c:v>Okada Takehiko Sensei Tsuitō Bunshū Kankōkai</c:v>
                </c:pt>
                <c:pt idx="153">
                  <c:v>Chūgoku Shoten</c:v>
                </c:pt>
                <c:pt idx="154">
                  <c:v>Mineruva Shobō</c:v>
                </c:pt>
                <c:pt idx="155">
                  <c:v>Nisshindō Shoten</c:v>
                </c:pt>
                <c:pt idx="156">
                  <c:v>[Publisher Not Identified]</c:v>
                </c:pt>
                <c:pt idx="157">
                  <c:v>Bungei Shunjū Shinsha</c:v>
                </c:pt>
                <c:pt idx="158">
                  <c:v>Toyo Bunko</c:v>
                </c:pt>
                <c:pt idx="159">
                  <c:v>Hiroike Gakuen Shuppanbu</c:v>
                </c:pt>
                <c:pt idx="160">
                  <c:v>[Tōyō Bunko]</c:v>
                </c:pt>
                <c:pt idx="161">
                  <c:v>Okada Takehiko</c:v>
                </c:pt>
                <c:pt idx="162">
                  <c:v>Shinchōsha</c:v>
                </c:pt>
                <c:pt idx="163">
                  <c:v>Kawade Shobō Shinsha</c:v>
                </c:pt>
                <c:pt idx="164">
                  <c:v>Nagoyashikyōikuiinkai</c:v>
                </c:pt>
                <c:pt idx="165">
                  <c:v>Zenkoku Shobō</c:v>
                </c:pt>
                <c:pt idx="166">
                  <c:v>Tōyō Bunka Kyōkai</c:v>
                </c:pt>
                <c:pt idx="167">
                  <c:v>Ōzorasha</c:v>
                </c:pt>
                <c:pt idx="168">
                  <c:v>Tōkyō Daigaku Tōyō Bunka Kenkyūjo</c:v>
                </c:pt>
                <c:pt idx="169">
                  <c:v>Bunkaidō Shoten</c:v>
                </c:pt>
                <c:pt idx="170">
                  <c:v>Nichirenshū Overseas Propagation Pomotion Association</c:v>
                </c:pt>
                <c:pt idx="171">
                  <c:v>Tōyō Bunko Tonkō Bunken Kenkyū Iinkai</c:v>
                </c:pt>
                <c:pt idx="172">
                  <c:v>Tōkyō Joshi Daigaku Gakkai</c:v>
                </c:pt>
                <c:pt idx="173">
                  <c:v>Jinja Shinpōsha</c:v>
                </c:pt>
                <c:pt idx="174">
                  <c:v>Kokushokankōkai</c:v>
                </c:pt>
                <c:pt idx="175">
                  <c:v>Monbushō Chōsakyoku Shūmu Kahen</c:v>
                </c:pt>
                <c:pt idx="176">
                  <c:v>[多田屋]</c:v>
                </c:pt>
                <c:pt idx="177">
                  <c:v>Nihon Kindaika Kenkyūkai</c:v>
                </c:pt>
                <c:pt idx="178">
                  <c:v>Tōhokudaigakufuzokutoshokan</c:v>
                </c:pt>
                <c:pt idx="179">
                  <c:v>Daitō Bunka Kenkyūjo</c:v>
                </c:pt>
                <c:pt idx="180">
                  <c:v>Ōsakakagakugijutsusentā</c:v>
                </c:pt>
                <c:pt idx="181">
                  <c:v>Nihon Hōsō Shuppan Kyōkai</c:v>
                </c:pt>
                <c:pt idx="182">
                  <c:v>Nagoyashitsurumaitoshokan</c:v>
                </c:pt>
                <c:pt idx="183">
                  <c:v>Risōsha</c:v>
                </c:pt>
                <c:pt idx="184">
                  <c:v>Hirasaka Kenji</c:v>
                </c:pt>
                <c:pt idx="185">
                  <c:v>Shibunkaku</c:v>
                </c:pt>
                <c:pt idx="186">
                  <c:v>Chōsen sōtokufu</c:v>
                </c:pt>
              </c:strCache>
            </c:strRef>
          </c:cat>
          <c:val>
            <c:numRef>
              <c:f>'s-Pub'!$B$2:$B$189</c:f>
              <c:numCache>
                <c:formatCode>General</c:formatCode>
                <c:ptCount val="187"/>
                <c:pt idx="0">
                  <c:v>103</c:v>
                </c:pt>
                <c:pt idx="1">
                  <c:v>55</c:v>
                </c:pt>
                <c:pt idx="2">
                  <c:v>38</c:v>
                </c:pt>
                <c:pt idx="3">
                  <c:v>36</c:v>
                </c:pt>
                <c:pt idx="4">
                  <c:v>26</c:v>
                </c:pt>
                <c:pt idx="5">
                  <c:v>17</c:v>
                </c:pt>
                <c:pt idx="6">
                  <c:v>15</c:v>
                </c:pt>
                <c:pt idx="7">
                  <c:v>14</c:v>
                </c:pt>
                <c:pt idx="8">
                  <c:v>12</c:v>
                </c:pt>
                <c:pt idx="9">
                  <c:v>11</c:v>
                </c:pt>
                <c:pt idx="10">
                  <c:v>11</c:v>
                </c:pt>
                <c:pt idx="11">
                  <c:v>11</c:v>
                </c:pt>
                <c:pt idx="12">
                  <c:v>11</c:v>
                </c:pt>
                <c:pt idx="13">
                  <c:v>10</c:v>
                </c:pt>
                <c:pt idx="14">
                  <c:v>10</c:v>
                </c:pt>
                <c:pt idx="15">
                  <c:v>10</c:v>
                </c:pt>
                <c:pt idx="16">
                  <c:v>9</c:v>
                </c:pt>
                <c:pt idx="17">
                  <c:v>8</c:v>
                </c:pt>
                <c:pt idx="18">
                  <c:v>7</c:v>
                </c:pt>
                <c:pt idx="19">
                  <c:v>6</c:v>
                </c:pt>
                <c:pt idx="20">
                  <c:v>6</c:v>
                </c:pt>
                <c:pt idx="21">
                  <c:v>6</c:v>
                </c:pt>
                <c:pt idx="22">
                  <c:v>5</c:v>
                </c:pt>
                <c:pt idx="23">
                  <c:v>5</c:v>
                </c:pt>
                <c:pt idx="24">
                  <c:v>4</c:v>
                </c:pt>
                <c:pt idx="25">
                  <c:v>4</c:v>
                </c:pt>
                <c:pt idx="26">
                  <c:v>4</c:v>
                </c:pt>
                <c:pt idx="27">
                  <c:v>3</c:v>
                </c:pt>
                <c:pt idx="28">
                  <c:v>3</c:v>
                </c:pt>
                <c:pt idx="29">
                  <c:v>3</c:v>
                </c:pt>
                <c:pt idx="30">
                  <c:v>3</c:v>
                </c:pt>
                <c:pt idx="31">
                  <c:v>3</c:v>
                </c:pt>
                <c:pt idx="32">
                  <c:v>3</c:v>
                </c:pt>
                <c:pt idx="33">
                  <c:v>3</c:v>
                </c:pt>
                <c:pt idx="34">
                  <c:v>3</c:v>
                </c:pt>
                <c:pt idx="35">
                  <c:v>3</c:v>
                </c:pt>
                <c:pt idx="36">
                  <c:v>3</c:v>
                </c:pt>
                <c:pt idx="37">
                  <c:v>3</c:v>
                </c:pt>
                <c:pt idx="38">
                  <c:v>3</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numCache>
            </c:numRef>
          </c:val>
          <c:extLst>
            <c:ext xmlns:c16="http://schemas.microsoft.com/office/drawing/2014/chart" uri="{C3380CC4-5D6E-409C-BE32-E72D297353CC}">
              <c16:uniqueId val="{00000000-49B8-4187-999B-99BF0FF0BF72}"/>
            </c:ext>
          </c:extLst>
        </c:ser>
        <c:dLbls>
          <c:dLblPos val="outEnd"/>
          <c:showLegendKey val="0"/>
          <c:showVal val="1"/>
          <c:showCatName val="0"/>
          <c:showSerName val="0"/>
          <c:showPercent val="0"/>
          <c:showBubbleSize val="0"/>
        </c:dLbls>
        <c:gapWidth val="219"/>
        <c:axId val="1526128176"/>
        <c:axId val="1526119024"/>
      </c:barChart>
      <c:catAx>
        <c:axId val="152612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119024"/>
        <c:crosses val="autoZero"/>
        <c:auto val="1"/>
        <c:lblAlgn val="ctr"/>
        <c:lblOffset val="100"/>
        <c:noMultiLvlLbl val="0"/>
      </c:catAx>
      <c:valAx>
        <c:axId val="15261190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12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a:t>
            </a:r>
            <a:r>
              <a:rPr lang="en-US" baseline="0"/>
              <a:t> of Materials by Year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's-Date'!$C$1</c:f>
              <c:strCache>
                <c:ptCount val="1"/>
                <c:pt idx="0">
                  <c:v>%</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's-Date'!$A$2:$B$10</c:f>
              <c:multiLvlStrCache>
                <c:ptCount val="9"/>
                <c:lvl>
                  <c:pt idx="0">
                    <c:v>0</c:v>
                  </c:pt>
                  <c:pt idx="1">
                    <c:v>0</c:v>
                  </c:pt>
                  <c:pt idx="2">
                    <c:v>0</c:v>
                  </c:pt>
                  <c:pt idx="3">
                    <c:v>0</c:v>
                  </c:pt>
                  <c:pt idx="4">
                    <c:v>0</c:v>
                  </c:pt>
                  <c:pt idx="5">
                    <c:v>0</c:v>
                  </c:pt>
                  <c:pt idx="6">
                    <c:v>0</c:v>
                  </c:pt>
                  <c:pt idx="7">
                    <c:v>0</c:v>
                  </c:pt>
                  <c:pt idx="8">
                    <c:v>0</c:v>
                  </c:pt>
                </c:lvl>
                <c:lvl>
                  <c:pt idx="0">
                    <c:v>n/a</c:v>
                  </c:pt>
                  <c:pt idx="1">
                    <c:v>1998</c:v>
                  </c:pt>
                  <c:pt idx="2">
                    <c:v>1999</c:v>
                  </c:pt>
                  <c:pt idx="3">
                    <c:v>2000</c:v>
                  </c:pt>
                  <c:pt idx="4">
                    <c:v>2001</c:v>
                  </c:pt>
                  <c:pt idx="5">
                    <c:v>2002</c:v>
                  </c:pt>
                  <c:pt idx="6">
                    <c:v>2003</c:v>
                  </c:pt>
                  <c:pt idx="7">
                    <c:v>2004</c:v>
                  </c:pt>
                  <c:pt idx="8">
                    <c:v>2005</c:v>
                  </c:pt>
                </c:lvl>
              </c:multiLvlStrCache>
            </c:multiLvlStrRef>
          </c:cat>
          <c:val>
            <c:numRef>
              <c:f>'s-Date'!$C$2:$C$10</c:f>
              <c:numCache>
                <c:formatCode>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776C-44BF-81FE-705C6DAB9A7C}"/>
            </c:ext>
          </c:extLst>
        </c:ser>
        <c:dLbls>
          <c:dLblPos val="outEnd"/>
          <c:showLegendKey val="0"/>
          <c:showVal val="1"/>
          <c:showCatName val="0"/>
          <c:showSerName val="0"/>
          <c:showPercent val="0"/>
          <c:showBubbleSize val="0"/>
        </c:dLbls>
        <c:gapWidth val="219"/>
        <c:overlap val="-27"/>
        <c:axId val="1526120688"/>
        <c:axId val="1526113200"/>
      </c:barChart>
      <c:catAx>
        <c:axId val="1526120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113200"/>
        <c:crosses val="autoZero"/>
        <c:auto val="1"/>
        <c:lblAlgn val="ctr"/>
        <c:lblOffset val="100"/>
        <c:noMultiLvlLbl val="0"/>
      </c:catAx>
      <c:valAx>
        <c:axId val="15261132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120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Materials</a:t>
            </a:r>
            <a:r>
              <a:rPr lang="en-US" baseline="0"/>
              <a:t> by Decade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's-Date'!$Z$2:$Z$7</c:f>
              <c:strCache>
                <c:ptCount val="6"/>
                <c:pt idx="0">
                  <c:v>n/a</c:v>
                </c:pt>
                <c:pt idx="1">
                  <c:v>1990-1999</c:v>
                </c:pt>
                <c:pt idx="2">
                  <c:v>2010-2019</c:v>
                </c:pt>
                <c:pt idx="3">
                  <c:v>2000-2009</c:v>
                </c:pt>
                <c:pt idx="4">
                  <c:v>-</c:v>
                </c:pt>
                <c:pt idx="5">
                  <c:v>-</c:v>
                </c:pt>
              </c:strCache>
            </c:strRef>
          </c:cat>
          <c:val>
            <c:numRef>
              <c:f>'s-Date'!$AA$2:$AA$7</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F83-4E5D-95BA-3E3088D853EF}"/>
            </c:ext>
          </c:extLst>
        </c:ser>
        <c:dLbls>
          <c:dLblPos val="outEnd"/>
          <c:showLegendKey val="0"/>
          <c:showVal val="1"/>
          <c:showCatName val="0"/>
          <c:showSerName val="0"/>
          <c:showPercent val="0"/>
          <c:showBubbleSize val="0"/>
        </c:dLbls>
        <c:gapWidth val="219"/>
        <c:overlap val="-27"/>
        <c:axId val="418789119"/>
        <c:axId val="418777055"/>
      </c:barChart>
      <c:catAx>
        <c:axId val="418789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6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777055"/>
        <c:crosses val="autoZero"/>
        <c:auto val="1"/>
        <c:lblAlgn val="ctr"/>
        <c:lblOffset val="100"/>
        <c:noMultiLvlLbl val="0"/>
      </c:catAx>
      <c:valAx>
        <c:axId val="41877705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7891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0</xdr:colOff>
      <xdr:row>1</xdr:row>
      <xdr:rowOff>0</xdr:rowOff>
    </xdr:from>
    <xdr:to>
      <xdr:col>14</xdr:col>
      <xdr:colOff>0</xdr:colOff>
      <xdr:row>26</xdr:row>
      <xdr:rowOff>0</xdr:rowOff>
    </xdr:to>
    <xdr:graphicFrame macro="">
      <xdr:nvGraphicFramePr>
        <xdr:cNvPr id="3" name="Chart 2">
          <a:extLst>
            <a:ext uri="{FF2B5EF4-FFF2-40B4-BE49-F238E27FC236}">
              <a16:creationId xmlns:a16="http://schemas.microsoft.com/office/drawing/2014/main" id="{5E0D638F-4C97-91F0-4059-FA8B88DBE5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xdr:row>
      <xdr:rowOff>0</xdr:rowOff>
    </xdr:from>
    <xdr:to>
      <xdr:col>9</xdr:col>
      <xdr:colOff>0</xdr:colOff>
      <xdr:row>18</xdr:row>
      <xdr:rowOff>0</xdr:rowOff>
    </xdr:to>
    <xdr:graphicFrame macro="">
      <xdr:nvGraphicFramePr>
        <xdr:cNvPr id="2" name="Chart 1">
          <a:extLst>
            <a:ext uri="{FF2B5EF4-FFF2-40B4-BE49-F238E27FC236}">
              <a16:creationId xmlns:a16="http://schemas.microsoft.com/office/drawing/2014/main" id="{046D48E9-D236-4680-A06F-106E000EF0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9</xdr:row>
      <xdr:rowOff>0</xdr:rowOff>
    </xdr:from>
    <xdr:to>
      <xdr:col>18</xdr:col>
      <xdr:colOff>0</xdr:colOff>
      <xdr:row>34</xdr:row>
      <xdr:rowOff>0</xdr:rowOff>
    </xdr:to>
    <xdr:graphicFrame macro="">
      <xdr:nvGraphicFramePr>
        <xdr:cNvPr id="2" name="Chart 1">
          <a:extLst>
            <a:ext uri="{FF2B5EF4-FFF2-40B4-BE49-F238E27FC236}">
              <a16:creationId xmlns:a16="http://schemas.microsoft.com/office/drawing/2014/main" id="{A0FF6D58-5547-3C9E-9EF6-61D33747C6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2</xdr:row>
      <xdr:rowOff>0</xdr:rowOff>
    </xdr:from>
    <xdr:to>
      <xdr:col>14</xdr:col>
      <xdr:colOff>0</xdr:colOff>
      <xdr:row>29</xdr:row>
      <xdr:rowOff>0</xdr:rowOff>
    </xdr:to>
    <xdr:graphicFrame macro="">
      <xdr:nvGraphicFramePr>
        <xdr:cNvPr id="4" name="Chart 3">
          <a:extLst>
            <a:ext uri="{FF2B5EF4-FFF2-40B4-BE49-F238E27FC236}">
              <a16:creationId xmlns:a16="http://schemas.microsoft.com/office/drawing/2014/main" id="{EA227038-FFF0-42F0-B178-09773D6683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6</xdr:row>
      <xdr:rowOff>0</xdr:rowOff>
    </xdr:from>
    <xdr:to>
      <xdr:col>22</xdr:col>
      <xdr:colOff>0</xdr:colOff>
      <xdr:row>33</xdr:row>
      <xdr:rowOff>0</xdr:rowOff>
    </xdr:to>
    <xdr:graphicFrame macro="">
      <xdr:nvGraphicFramePr>
        <xdr:cNvPr id="6" name="Chart 5">
          <a:extLst>
            <a:ext uri="{FF2B5EF4-FFF2-40B4-BE49-F238E27FC236}">
              <a16:creationId xmlns:a16="http://schemas.microsoft.com/office/drawing/2014/main" id="{F2F493AB-A748-497B-8BF9-D332C060FB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0</xdr:colOff>
      <xdr:row>6</xdr:row>
      <xdr:rowOff>0</xdr:rowOff>
    </xdr:from>
    <xdr:to>
      <xdr:col>38</xdr:col>
      <xdr:colOff>0</xdr:colOff>
      <xdr:row>22</xdr:row>
      <xdr:rowOff>0</xdr:rowOff>
    </xdr:to>
    <xdr:graphicFrame macro="">
      <xdr:nvGraphicFramePr>
        <xdr:cNvPr id="10" name="Chart 9">
          <a:extLst>
            <a:ext uri="{FF2B5EF4-FFF2-40B4-BE49-F238E27FC236}">
              <a16:creationId xmlns:a16="http://schemas.microsoft.com/office/drawing/2014/main" id="{DA5B4F0F-D3F2-45E0-A5DF-57182F734D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231721</xdr:colOff>
      <xdr:row>1</xdr:row>
      <xdr:rowOff>292633</xdr:rowOff>
    </xdr:to>
    <xdr:pic>
      <xdr:nvPicPr>
        <xdr:cNvPr id="13" name="Picture 12">
          <a:extLst>
            <a:ext uri="{FF2B5EF4-FFF2-40B4-BE49-F238E27FC236}">
              <a16:creationId xmlns:a16="http://schemas.microsoft.com/office/drawing/2014/main" id="{D9DCABE0-70F0-B3FB-57B2-2650401FB3E3}"/>
            </a:ext>
          </a:extLst>
        </xdr:cNvPr>
        <xdr:cNvPicPr>
          <a:picLocks noChangeAspect="1"/>
        </xdr:cNvPicPr>
      </xdr:nvPicPr>
      <xdr:blipFill>
        <a:blip xmlns:r="http://schemas.openxmlformats.org/officeDocument/2006/relationships" r:embed="rId1"/>
        <a:stretch>
          <a:fillRect/>
        </a:stretch>
      </xdr:blipFill>
      <xdr:spPr>
        <a:xfrm>
          <a:off x="0" y="0"/>
          <a:ext cx="841321" cy="29263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4908.7329537037" missingItemsLimit="0" createdVersion="7" refreshedVersion="8" minRefreshableVersion="3" recordCount="659" xr:uid="{B71A60FC-3972-4F0F-85C2-C95714BE762C}">
  <cacheSource type="worksheet">
    <worksheetSource name="Donation"/>
  </cacheSource>
  <cacheFields count="29">
    <cacheField name="Key" numFmtId="0">
      <sharedItems containsMixedTypes="1" containsNumber="1" minValue="1" maxValue="3013"/>
    </cacheField>
    <cacheField name="Volume # / Issue# / Sequence #" numFmtId="0">
      <sharedItems containsDate="1" containsBlank="1" containsMixedTypes="1" minDate="1899-12-31T04:01:03" maxDate="1900-01-02T17:32:04"/>
    </cacheField>
    <cacheField name="上_x000a_中_x000a_下" numFmtId="49">
      <sharedItems containsBlank="1"/>
    </cacheField>
    <cacheField name="of Total Volumes" numFmtId="0">
      <sharedItems containsBlank="1" containsMixedTypes="1" containsNumber="1" containsInteger="1" minValue="1" maxValue="10"/>
    </cacheField>
    <cacheField name="Material Type" numFmtId="0">
      <sharedItems containsBlank="1" count="5">
        <m/>
        <s v="CD - Data"/>
        <s v="CD - Other"/>
        <s v="Book - Part of Set"/>
        <s v="Comic"/>
      </sharedItems>
    </cacheField>
    <cacheField name="Cross_x000a_Ref w_x000a_ Key" numFmtId="49">
      <sharedItems containsNonDate="0" containsString="0" containsBlank="1"/>
    </cacheField>
    <cacheField name="Note" numFmtId="0">
      <sharedItems containsBlank="1" containsMixedTypes="1" containsNumber="1" containsInteger="1" minValue="4825570379" maxValue="4825570379"/>
    </cacheField>
    <cacheField name="URL for Price Check" numFmtId="0">
      <sharedItems longText="1"/>
    </cacheField>
    <cacheField name="Collection" numFmtId="0">
      <sharedItems count="5">
        <s v="n/a"/>
        <s v="dupe"/>
        <s v="reject"/>
        <s v="asnser"/>
        <s v="norst"/>
      </sharedItems>
    </cacheField>
    <cacheField name="j" numFmtId="0">
      <sharedItems containsNonDate="0" containsString="0" containsBlank="1"/>
    </cacheField>
    <cacheField name="Dupe_x000a_ISBN_x000a_Check" numFmtId="167">
      <sharedItems/>
    </cacheField>
    <cacheField name="Dupe_x000a_Title_x000a_Check" numFmtId="167">
      <sharedItems/>
    </cacheField>
    <cacheField name="Dupe Check in WC / FS" numFmtId="167">
      <sharedItems/>
    </cacheField>
    <cacheField name="ISBN13#/_x000a_ISSN#" numFmtId="1">
      <sharedItems containsMixedTypes="1" containsNumber="1" containsInteger="1" minValue="9784000009591" maxValue="9784931437050" longText="1"/>
    </cacheField>
    <cacheField name="ISBN10#/_x000a_ISSN#" numFmtId="1">
      <sharedItems containsBlank="1" containsMixedTypes="1" containsNumber="1" containsInteger="1" minValue="4000009591" maxValue="4931437052" longText="1"/>
    </cacheField>
    <cacheField name="OCLC#" numFmtId="0">
      <sharedItems containsMixedTypes="1" containsNumber="1" containsInteger="1" minValue="3875153" maxValue="1282649547"/>
    </cacheField>
    <cacheField name="Title (R/E)" numFmtId="49">
      <sharedItems/>
    </cacheField>
    <cacheField name="Title (N)" numFmtId="49">
      <sharedItems/>
    </cacheField>
    <cacheField name="Creator (R/E)" numFmtId="49">
      <sharedItems/>
    </cacheField>
    <cacheField name="Creator (N)" numFmtId="49">
      <sharedItems/>
    </cacheField>
    <cacheField name="Series (R/E)" numFmtId="49">
      <sharedItems containsBlank="1" count="221">
        <s v="none"/>
        <s v="Kōdansha gakujutsu bunko; "/>
        <s v="n/a"/>
        <s v="Kōkyō tetsugaku =; Public philosophy ; 3"/>
        <s v="NHK books ; 855; "/>
        <s v="Ichigo no jiten"/>
        <s v="Nitchū bunka kōryūshi sōsho ; 3"/>
        <s v="Chūgoku ni okeru Nihon shisō no kenkyū ; 2; Ningen sensho ; 221"/>
        <s v="Kenbun sensho ; 62; "/>
        <s v="Yominaosu Nihon shi"/>
        <s v="Bessatsu Kan ; 17"/>
        <s v="Nihon koten bungaku taikei ; 86"/>
        <s v="Fukuoka jinbutsushi ; 1"/>
        <s v="Nihon rekishi sōsho ; 11"/>
        <s v="Nihon no shisō ; 11"/>
        <m/>
        <s v="Yūzankaku rekishi sensho ; 18"/>
        <s v="Nihon no meicho"/>
        <s v="Chūkō sōsho; "/>
        <s v="Kyōikugaku dai zenshū ; 1"/>
        <s v="Yūhikaku sensho"/>
        <s v="Nihon rekishi zensho ; 18"/>
        <s v="Nihon shūkyōshi kenkyū sōsho"/>
        <s v="Asahi bunko"/>
        <s v="Nihon rekishi shinsho"/>
        <s v="Kyōto tetsugaku sensho ; dai 1-kan"/>
        <s v="Shushi-gaku taikei ; dai 12-13-kan"/>
        <s v="Shushigaku taikei ; dai 6-kan"/>
        <s v="Tōyōjin no kōdō to shisō ; 11"/>
        <s v="Shisō no rekishi ; 6"/>
        <s v="Ikeda sōan zenshū ; 1"/>
        <s v="Nihon Rekishi Shinsho; "/>
        <s v="Gendai Nihon shisō taikei ; 15"/>
        <s v="Chūkō shinsho ; 191"/>
        <s v="Nihon no shisō ; 12"/>
        <s v="Century books. Hito to rekishi shirīzu. Nihon ; 13"/>
        <s v="Ajia bunka kenkyū. Bessatsu ; 3; Kokusai Kirisutokyō Daigaku gakuhō ; 3-A"/>
        <s v="Kindai Nihon shisōshi taikei ; Dai 1-2-kan"/>
        <s v="Kindai Nihon shisō taikei ; 15"/>
        <s v="Sōsho uniberushitasu"/>
        <s v="Yūrashia bunkashi sensho ; 5"/>
        <s v="Tōyōshi kenkyū sōkan ; dai 4 no dai 4"/>
        <s v="Tōyō shi kenkyū sōkan,; 27"/>
        <s v="Donarudo Kīn chosakushū =; The collected works of Donald Keene ; dai 5-kan"/>
        <s v="Tōyō bunko ronsō ; 075"/>
        <s v="Sekai no rekishi ; 11"/>
        <s v="Nihon shisō taikei ; 41"/>
        <s v="Sōsho Nihon no shisōka ; 24"/>
        <s v="Karupisu bunka sōsho ; 1"/>
        <s v="Ajia no shukyo bunka; "/>
        <s v="Ajia no shūkyō bunka,; 1; "/>
        <s v="Tōyō shi kenkyū sōkan ; 21"/>
        <s v="Tōyōgaku sōsho"/>
        <s v="Heibonsha sensho ; 61; "/>
        <s v="Sakai Tadao chosakushū ; 3"/>
        <s v="Sakai Tadao chosakushū ; 4"/>
        <s v="中央公論社"/>
        <s v="Fukkan gakujutsusho"/>
        <s v="Chikuma sōsho ; 45"/>
        <s v="Hābādo Enkei Dōshisha tōhō bunka kōza ; dai 12-shū"/>
        <s v="Habado Enkei Dōshisha Tōhō Bunka Kōza ; 1; "/>
        <s v="Hābādo Enkei Dōshisha tōhō bunka kōza ; dai 6-shū"/>
        <s v="Hābādo Enkei Dōshisha tōhō bunka Kōza ; dai 3-shū"/>
        <s v="Hābādo Enkei Dōshisha Tōhō Bunka Kōza ; dai 8-shū"/>
        <s v="Hābādo Enkei Dōshisha tōhō bunka kōza ; dai 11-shū"/>
        <s v="Tōyō Bunka Kenkyūjo kiyō; bessatsu; "/>
        <s v="Studia Tibetica ; 14"/>
        <s v="Nihon shisō taikei ; 29"/>
        <s v="Nihon shisō taikei ; 52"/>
        <s v="Kyoto Daigaku Bungakubu kenkyū kiyō ; 4"/>
        <s v="Kyōto daigaku jinbun kagaku kenkyūjo kyōdō kenkyū shiryō sōkan ; 2"/>
        <s v="Sāra sōsho ; 17"/>
        <s v="Chūgoku koten shinsho"/>
        <s v="Nihon shisō taikei ; 33"/>
        <s v="Kōdansha gendai shinsho ; 454; Shinsho Tōyō shi ; 4; Chūgoku no rekishi ; 4"/>
        <s v="Nihon shisō taikei ; 46"/>
        <s v="Yōmeigaku taikei ; Bekkan"/>
        <s v="Chūgoku shijin senshū nishū ; dai2kan"/>
        <s v="Sōsho Nihon no shisōka ; 47"/>
        <s v="Hābādo Enkei Dōshisha tōhō bunka kōza ; dai 10-shū"/>
        <s v="Hābādo, Enkyō, Dōshisha tōhō bunka kōza ; Dai 5shū"/>
        <s v="Tōyō bunko ronsō ; dai 51"/>
        <s v="Tōyō shi kenkyū sōkan ; 40"/>
        <s v="Tōyō shi kenkyū sōkan ; 44"/>
        <s v="Nihon shisō taikei; 51"/>
        <s v="Kokuyaku Kanbun taisei. Keishishi bu ; dai 17-kan"/>
        <s v="Tōyō bunko ronsō ; 73"/>
        <s v="Sekai no meicho ; 2"/>
        <s v="Sōsho Nihon no shisōka ; 38"/>
        <s v="Chūgoku kotensen ; 6-7"/>
        <s v="Zen no goroku ; 17"/>
        <s v="Jinrui no chiteki isan ; 4 =; Man's intellectual heritage ; 4"/>
        <s v="Shinshaku Kanbun taikei ; 4"/>
        <s v="Sōsho Nihon no shisōka ; 9"/>
        <s v="Sekai no rekishi ; 6"/>
        <s v="Yūrashia bunkashi sensho ; 7"/>
        <s v="Tōyō Bunko ronsō. Series A ; v. 50"/>
        <s v="Tōkyō Daigaku Tōyō Bunka Kenkyūjo hōkoku"/>
        <s v="Tōyōshi kenkyū sōkan ; 22"/>
        <s v="Tōyōshi kenkyū sōkan ; 11"/>
        <s v="Nihon shisō taikei; 43"/>
        <s v="Shinshaku Kanbun taikei ; 3"/>
        <s v="Chūgoku koten shinsho ; [54]"/>
        <s v="Sōsho Nihon no shisōka ; 6"/>
        <s v="Nihon shisō taikei ; 31"/>
        <s v="Tōyōshi kenkyū sōkan ; 25"/>
        <s v="Nihon shisō taikei ; 32"/>
        <s v="Sōsho Nihon no shisōka ; 8"/>
        <s v="Sōsho nihon no shisōka ; 33"/>
        <s v="Yōmeigaku taikei ; dai 11-kan"/>
        <s v="Nihon shisō taikei ; 50"/>
        <s v="Sōsho nihon no shisōka ; 35"/>
        <s v="Shin Gakugei Sōsho ; 16; "/>
        <s v="Nihon shisō taikei ; 37"/>
        <s v="Kinsei kanseki sōkan wakoku eiin ; shisō3hen12"/>
        <s v="Chōsen hōmotsu koseki zuroku ; dai 2"/>
        <s v="Indo koten sōsho; "/>
        <s v="Wakoku eiin kinsei kanseki sōkan. Shisō zokuhen ; 4"/>
        <s v="Hābādo Enkei Dōshisha tōhō bunka kōza ; dai 4-shū"/>
        <s v="Iwanami zensho ; 73; "/>
        <s v="Ajiagaku sōsho ; 53"/>
        <s v="Tōyō bunko ronsō ; dai 72"/>
        <s v="Seiiki Shutsudo Kanbun Bunken Bunrui Mokuroku ; 4; "/>
        <s v="Seiiki shutsudo Kanbun bunken bunrui mokuroku ; 3"/>
        <s v="Yoshimitsu yoshihiko chosakushū ; dai1kan"/>
        <s v="Nihon shisō taikei ; 35"/>
        <s v="Mirion bukkusu; "/>
        <s v="Chūkō shinsho; 179"/>
        <s v="Iwanami shinsho"/>
        <s v="Yōmeigaku taikei ; 8"/>
        <s v="Gendai shūkyō kōza ; 5"/>
        <s v="Tōdai shinsho ; 9"/>
        <s v="Kyōto Daigaku Jinbun Kagaku Kenkyūjo chōsa hōkoku,; dai 38-gō"/>
        <s v="Daitō Bunka Kenkyūjo Tōyō gakujutsu ronsō ; dai 3; "/>
        <s v="Tōkyō Joshi Daigaku Gakkai kenkyū sōsho ; 4"/>
        <s v="Tōyō shi kenkyū sōkan ; 31"/>
        <s v="Tōyō shi kenkyū sōkan ; 26"/>
        <s v="Tōyōshi kenkyū sōkan ; 50"/>
        <s v="Chūgoku koten bungaku taikei ; dai 57-kan"/>
        <s v="Sōsho nihon no shisōka ; 42"/>
        <s v="Nihon shisō taikei ; 44"/>
        <s v="Chūgoku jinbutsu sōsho : Dai 1-ki ; 9"/>
        <s v="Jinrui no chiteki isan ; 19 =; Man's intellectual heritage ; 19"/>
        <s v="Sekai no meicho. Zoku ; 4"/>
        <s v="Shin hito to rekishi kakudaiban ; 24; "/>
        <s v="Shushigaku taikei ; dai 1 kan"/>
        <s v="Chūgoku bunmei sen ; 3"/>
        <s v="Tōyō Bunko ronsō,; dai 47"/>
        <s v="Sekai koten bungaku zenshu ; 28,29; "/>
        <s v="Tōyō Bunko ronsō,; dai 54"/>
        <s v="Tōyō Bunko ronsō ; dai 37, 42"/>
        <s v="Tōkyō Daigaku Bungakubu kenkyū hōkoku ; dai 1"/>
        <s v="Habado Enkei Dōshisha Tōhō Bunka Kōza ; 9; "/>
        <s v="Tōyō bunko sōkan ; 16"/>
        <s v="Hōzō sensho ; 37"/>
        <s v="Nihon shisō taikei ; 53"/>
        <s v="Tōyō Bunko ronsō ; dai 78"/>
        <s v="Chūgoku jinbutsu sōsho : Dai 1-ki ; 10"/>
        <s v="Tōyō shi kenkyū sōkan,; 2"/>
        <s v="Tōyō no rekishi ; 9"/>
        <s v="Nihon shisō taikei ; 55"/>
        <s v="Tōyō Bunko sōkan ; dai 12"/>
        <s v="Hābādo Enkei Dōshisha tōhō bunka kōza ; dai 2-shū"/>
        <s v="Gurīn beruto shirīzu ; 6"/>
        <s v="Nihon shisō taikei ; 30"/>
        <s v="Yōmeigaku Taikei ; 2"/>
        <s v="Yōmeigaku Taikei ; 3"/>
        <s v="Chūgoku bunmeisen ; 6"/>
        <s v="Gendai shūkyō kōza ; 6"/>
        <s v="Nihon shisō taikei ; 42"/>
        <s v="Zenshaku Kanbun taikei ; 12-14"/>
        <s v="Sōsho Nihon no shisōka ; 21"/>
        <s v="Sāra sōsho ; 11"/>
        <s v="Iwanami bunko ; 33-208-1, 33-208-2"/>
        <s v="Kanbun sōsho"/>
        <s v="Chūkō shinsho ; 36; "/>
        <s v="Chūgoku kotensen"/>
        <s v="Iwanami bunko; "/>
        <s v="Nihon shisō taikei ; 36"/>
        <s v="公益財団法人東洋文庫"/>
        <s v="Jōdo Bukkyō no shisō ; dai 12-kan"/>
        <s v="Sōsho nihon no shisōka ; 1"/>
        <s v="Nihon shisō taikei ; 28"/>
        <s v="Jōdo Bukkyō no shisō"/>
        <s v="Chūkō shinsho ; 367; Chūkō shinsho ; 367"/>
        <s v="Tetsugaku Sensho; "/>
        <s v="Tōyō Bunko ronsō,; dai 41"/>
        <s v="Shinshaku kanbun taikei ; 001"/>
        <s v="Shintei Chūgoku kotensen ; dai 2-3-kan"/>
        <s v="Sekai bungaku taikei ; 69"/>
        <s v="Nihon shisō taikei; 34"/>
        <s v="Tōyō shi kenkyū shiryō sōkan ; 3"/>
        <s v="Nihon shinsō taikei ; 48"/>
        <s v="Nihon shisō taikei ; 47"/>
        <s v="Nihon shisō taikei ; 39"/>
        <s v="Shinshaku Kanbun taikei ; 37"/>
        <s v="Shushigaku taikei ; dai 9 kan"/>
        <s v="Chūgoku Koten Shinsho; "/>
        <s v="Tōyō Bunko ronsō ; dai 48"/>
        <s v="Yōmeigaku taikei ; dai 4-kan"/>
        <s v="Yōmeigaku taikei ; dai 12-kan"/>
        <s v="Yōmeigaku taikei ; 1"/>
        <s v="Yōmei gaku taikei ; dai 5-7 kan; "/>
        <s v="Heibonsha sensho ; 109"/>
        <s v="講談社"/>
        <s v="Chūkō bunko ; M366-4400"/>
        <s v="Chōsen gakuhō ; 14"/>
        <s v="Wakoku eiin kinsei kanseki sōkan. Shisō sanpen ; 15"/>
        <s v="Dai2ki chūgoku jinbutsu sōsho ; 9"/>
        <s v="Wakoku eiin kinsei kanseki sōkan. Shisō zokuhen ; 11-12"/>
        <s v="Wakoku eiin kinsei kanseki sōkan. Shisō sanpen ; 1-2"/>
        <s v="思想三編"/>
        <s v="Wakoku eiin kinsei kanseki sōkan. Shisō sanpen ; 16"/>
        <s v="Wakoku eiin kinsei kanseki sōkan. Shisō zokuhen ; 1"/>
        <s v="Wakoku eiin kinsei kanseki sōkan. Shisō zokuhen ; 2-3"/>
        <s v="Wakoku eiin kinsei kanseki sōkan. Shisō zokuhen ; 5"/>
        <s v="Wakoku eiin kinsei kanseki sōkan. Shisō zokuhen ; 6"/>
        <s v="Wakoku eiin kinsei kanseki sōkan. Shisō zokuhen ; 7"/>
        <s v="Wakoku eiin kinsei kanseki sōkan. Shisō zokuhen ; 8"/>
        <s v="Wakoku eiin kinsei kanseki sōkan. Shisō zokuhen ; 9"/>
        <s v="Wakoku eiin kinsei kanseki sōkan. Shisō zokuhen ; 10"/>
      </sharedItems>
    </cacheField>
    <cacheField name="Series (N)" numFmtId="49">
      <sharedItems/>
    </cacheField>
    <cacheField name="Publisher (R/E)" numFmtId="49">
      <sharedItems count="187">
        <s v="n/a"/>
        <s v="Kōdansha"/>
        <s v="Chūō Kōronsha"/>
        <s v="Tōkyō Daigaku Shuppankai"/>
        <s v="Nihon Hōsō Shuppan Kyōkai"/>
        <s v="Sanseidō"/>
        <s v="Taishūkan Shoten"/>
        <s v="Ōsaka Daigaku Shuppankai"/>
        <s v="Nō-san-gyoson Bunka Kyōkai"/>
        <s v="Meiji Shoin"/>
        <s v="Yoshikawa Kōbunkan"/>
        <s v="Kenbun Shuppan"/>
        <s v="Chichi Shuppansha"/>
        <s v="Meitoku Shuppansha"/>
        <s v="Chūgoku Shoten"/>
        <s v="Perikansha"/>
        <s v="Fujiwara Shoten"/>
        <s v="Moriyama Fumihiko"/>
        <s v="Iwanami Shoten"/>
        <s v="Nishi Nihon Shinbunsha"/>
        <s v="Hatsubaimoto Domesu Shuppan"/>
        <s v="Kazama Shobō"/>
        <s v="Daiichi Shobō"/>
        <s v="Chikuma Shobō"/>
        <s v="Hōzōkan"/>
        <s v="Heibonsha"/>
        <s v="Okada Takehiko Sensei Tsuitō Bunshū Kankōkai"/>
        <s v="Tōyō Bunko"/>
        <s v="Yūzankaku"/>
        <s v="Shibunkaku Shuppan"/>
        <s v="Bungei Shunjū Shinsha"/>
        <s v="Sōbunsha"/>
        <s v="Shibunkaku"/>
        <s v="Kokugakuin Daigaku Nihon Bunka Kenkyūjo"/>
        <s v="Daiichi Hōki"/>
        <s v="Yūhikaku"/>
        <s v="Jinja Honchō"/>
        <s v="Fuzanbō"/>
        <s v="Hōbunkan"/>
        <s v="Mikasa Shobō"/>
        <s v="Gakuseisha"/>
        <s v="Asahi Shinbunsha"/>
        <s v="Sekaidō Shoten"/>
        <s v="Shibundō"/>
        <s v="Meiji Jingū Shamusho"/>
        <s v="Tōeisha"/>
        <s v="Miraisha"/>
        <s v="Zenkoku Shobō"/>
        <s v="Hyōronsha"/>
        <s v="Tōkyō Sōgensha"/>
        <s v="Kinamitaku Ichi"/>
        <s v="Mineruva Shobō"/>
        <s v="Mokujisha"/>
        <s v="Ikedasōanzenshūhenshūiinkai"/>
        <s v="Makarē Higashi Honganji"/>
        <s v="Sekimon Shingakukai"/>
        <s v="[Publisher Not Identified]"/>
        <s v="Hori Shoten"/>
        <s v="Kyūko Shoin"/>
        <s v="Misuzushobō"/>
        <s v="Nihon Keizai Shinbun Shuppansha Nikkei Jigyō Shuppan Sentā"/>
        <s v="Takasaki Tetsugakudō Setsuritsu no Kai"/>
        <s v="Shimizu Shoin"/>
        <s v="Kokusai Kirisutokyō Daigaku Ajia Bunka Kenkyūjo"/>
        <s v="Konkōkyō Honbu Kyōchō"/>
        <s v="Hōsei Daigaku Shuppankyoku"/>
        <s v="Toyo Bunko"/>
        <s v="Eishinsha"/>
        <s v="Tōyōshi Kenkyūkai"/>
        <s v="Tenrikyō Kyōkai Honbu"/>
        <s v="Shinchōsha"/>
        <s v="Tōyōbunko"/>
        <s v="Shienkai"/>
        <s v="Hyakkaen"/>
        <s v="Nichirenshū Overseas Propagation Promotion Association"/>
        <s v="Dōhōsha"/>
        <s v="Keigaku Shuppan"/>
        <s v="Mishima Kaiun"/>
        <s v="Kyōto Daigaku Jinbun Kagaku Kenkyūjo"/>
        <s v="Dōhōsha Shuppan"/>
        <s v="Ashi Shobō"/>
        <s v="Kōbundō"/>
        <s v="[Tōyō Bunko]"/>
        <s v="Kokusho Kankōkai"/>
        <s v="Ryūbunkan"/>
        <s v="Hōyū Shoten"/>
        <s v="Hābādo Enkei Dōshisha Tōhō Bunka Kōza Iinkai"/>
        <s v="Keisō Shobō"/>
        <s v="Heirakuji Shoten"/>
        <s v="Hābādo Enkei Doshisha Tōhō Bunka Kōza Iinkai"/>
        <s v="Daitō Bunka Daigaku Tōyō Kenkyūjo"/>
        <s v="Chūbun Shuppansha"/>
        <s v="Kyōto Daigaku Bungakubu"/>
        <s v="Shunjūsha"/>
        <s v="Sōka Gakkai"/>
        <s v="Kyūko Shoin: Koten Kenkyūkai"/>
        <s v="Yamakawa Shuppansha"/>
        <s v="Kyōgaku Kenkyūkai"/>
        <s v="Iwanamishoten"/>
        <s v="Gakuyūkai"/>
        <s v="Aoki Shoten"/>
        <s v="Hābādo"/>
        <s v="Tenri Daigaku Shuppanbu"/>
        <s v="Nagoyashikyōikuiinkai"/>
        <s v="Shūei Shuppan"/>
        <s v="Heibon Sha"/>
        <s v="Kyūshū Shuppan Bunka Kenkyūkai"/>
        <s v="Tōyō Bunka Kyōkai"/>
        <s v="Kyūshū Daigaku Bungakubu Sō Min Shisō Kenkyūkai"/>
        <s v="Chūō Kōron̄sha"/>
        <s v="Daitō Shuppansha"/>
        <s v="Daitō Bunka Gakuen"/>
        <s v="Tenrikyō Dōyūsha"/>
        <s v="Chūōkōronsha"/>
        <s v="Kusumoto Masatsugu"/>
        <s v="Veritasu Shoin"/>
        <s v="Tōhō Shoin"/>
        <s v="Nichiren Shu Kaigai Fukyō Kōenkai"/>
        <s v="Hya' Kaen"/>
        <s v="Nisshindō Shoten"/>
        <s v="Tōkyō Daigaku Tōyō Bunka Kenkyūjo"/>
        <s v="Kyōtodaigakutōyōshikenkyūkai"/>
        <s v="Bungensha"/>
        <s v="Hiroike Gakuen Shuppanbu"/>
        <s v="Okada Takehiko"/>
        <s v="Akitaya"/>
        <s v="Chōsen sōtokufu"/>
        <s v="Nichirenshū Overseas Propagation Pomotion Association"/>
        <s v="Ōzorasha"/>
        <s v="Bunkaidō Shoten"/>
        <s v="Tōyō Bunko Tonkō Bunken Kenkyū Iinkai"/>
        <s v="Jinja Shinpōsha"/>
        <s v="Hirakawa Shuppansha"/>
        <s v="Monbushō Chōsakyoku Shūmu Kahen"/>
        <s v="Meitokushuppansha"/>
        <s v="Nihon Kindaika Kenkyūkai"/>
        <s v="Daitō Bunka Kenkyūjo"/>
        <s v="Kyūshū Daigaku Bungakubu"/>
        <s v="Tōkyō Joshi Daigaku Gakkai"/>
        <s v="[京都大学人文科学研究所]"/>
        <s v="Chūō Kōron Shinsha"/>
        <s v="Hirasaka Kenji"/>
        <s v="Jinbutsu Ōraisha"/>
        <s v="Gotō Toshimizu Hakushi Ikō Kankōkai"/>
        <s v="Kokushokankōkai"/>
        <s v="Hakuteisha"/>
        <s v="Toyo shoin"/>
        <s v="[多田屋]"/>
        <s v="Tōkyō Daigaku Bungakubu"/>
        <s v="Tōhokudaigakufuzokutoshokan"/>
        <s v="Tōhoku Daigaku Fuzoku Toshokan"/>
        <s v="[Tōhō Gakkai]"/>
        <s v="Dōtoshokan"/>
        <s v="Sekibunkan Shoten"/>
        <s v="Ōsakakagakugijutsusentā"/>
        <s v="Kadokawa Shoten"/>
        <s v="Tenshō Kōtai Jingūkyō Honbu"/>
        <s v="[Asahi Shinbunsha]"/>
        <s v="Ishida Hakushi Koki Kinen Jigyōkai"/>
        <s v="Shūeisha"/>
        <s v="Tenshō Kōtai Jingūkyō"/>
        <s v="Kōmeisha"/>
        <s v="Kōgeisha"/>
        <s v="Shimizu Kōbundō Shobō"/>
        <s v="Yūhōdō"/>
        <s v="Yūhōdō Shoten"/>
        <s v="Kōeki Zaidan Hōjin Tōyō Bunko"/>
        <s v="Nagoyashitsurumaitoshokan"/>
        <s v="Nichiren Buddhist Temple of San Jose"/>
        <s v="Kokuritsu Kokkai Toshokan"/>
        <s v="Meijishoin"/>
        <s v="Kawade Shobō Shinsha"/>
        <s v="Ashikagashi"/>
        <s v="Bunri Shoin"/>
        <s v="Kokudosha"/>
        <s v="Kirisutokyō Gakuto Kyōdaidan"/>
        <s v="Toyoshima Shobō"/>
        <s v="Risōsha"/>
        <s v="Bukkyōto Bunka Kōryū Kyōkai"/>
        <s v="Nihon Gakujutsu Fukyūkai"/>
        <s v="Tenshō Kōtai Jingū Kyō Honbu"/>
        <s v="Auna Kyōdan Honbu"/>
        <s v="Yutani Hakubundō"/>
        <s v="Nishō Gakusha Daigaku Shuppanbu"/>
        <s v="Seikadō Bunko"/>
        <s v="Chuo Koronsha"/>
        <s v="Kōbun Shokyoku"/>
      </sharedItems>
    </cacheField>
    <cacheField name="Publisher (N)" numFmtId="49">
      <sharedItems/>
    </cacheField>
    <cacheField name="Pub Date" numFmtId="0">
      <sharedItems containsMixedTypes="1" containsNumber="1" containsInteger="1" minValue="1692" maxValue="2018"/>
    </cacheField>
    <cacheField name="Subject_x000a_Headings" numFmtId="49">
      <sharedItems containsBlank="1" longText="1"/>
    </cacheField>
    <cacheField name="Value (Estimate)_x000a_$USD" numFmtId="44">
      <sharedItems containsSemiMixedTypes="0" containsString="0" containsNumber="1" containsInteger="1" minValue="0" maxValue="0"/>
    </cacheField>
    <cacheField name="$_x000a_¥_x000a_₩" numFmtId="49">
      <sharedItems containsNonDate="0" containsString="0" containsBlank="1"/>
    </cacheField>
    <cacheField name="Value (Estimate)_x000a_¥ or ₩" numFmtId="3">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9">
  <r>
    <n v="1"/>
    <m/>
    <m/>
    <m/>
    <x v="0"/>
    <m/>
    <s v="need to see item"/>
    <s v="n/a"/>
    <x v="0"/>
    <m/>
    <s v="n/a"/>
    <s v="n/a"/>
    <s v="n/a"/>
    <s v="n/a"/>
    <s v="n/a"/>
    <s v="n/a"/>
    <s v="n/a"/>
    <s v="世間胸算用"/>
    <s v="n/a"/>
    <s v="井原西鶴"/>
    <x v="0"/>
    <s v="n/a"/>
    <x v="0"/>
    <s v="書肆上村平左衛門 [and others]"/>
    <n v="1692"/>
    <s v="n/a"/>
    <n v="0"/>
    <m/>
    <m/>
  </r>
  <r>
    <n v="2"/>
    <m/>
    <m/>
    <m/>
    <x v="1"/>
    <m/>
    <m/>
    <s v="n/a"/>
    <x v="0"/>
    <m/>
    <s v="n/a"/>
    <s v="n/a"/>
    <s v="n/a"/>
    <s v="n/a"/>
    <s v="n/a"/>
    <n v="300774014"/>
    <s v="Jitsugaku shisō no keifu"/>
    <s v="実学思想の系譜"/>
    <s v="Minamoto, Ryōen, 1920-2020"/>
    <s v="源了圓, 1920-"/>
    <x v="1"/>
    <s v="講談社学術文庫."/>
    <x v="1"/>
    <s v="講談社"/>
    <n v="1986"/>
    <s v="Philosophy, Japanese  --  History ^ Pragmatism ^ Philosophie japonaise  --  Histoire ^ Pragmatisme"/>
    <n v="0"/>
    <m/>
    <m/>
  </r>
  <r>
    <n v="3"/>
    <m/>
    <m/>
    <m/>
    <x v="0"/>
    <m/>
    <s v="insert/signed, need to see item, no matching year on CiNii, no matching publisher on world cat"/>
    <s v="n/a"/>
    <x v="0"/>
    <m/>
    <s v="n/a"/>
    <s v="n/a"/>
    <s v="n/a"/>
    <s v="n/a"/>
    <s v="n/a"/>
    <s v="n/a"/>
    <s v="Tokugawa Shisō Shōshi"/>
    <s v="徳川思想小史"/>
    <s v="Ryōen Minamoto"/>
    <s v="源了圓"/>
    <x v="2"/>
    <s v="n/a"/>
    <x v="2"/>
    <s v="中央公論社"/>
    <n v="1968"/>
    <s v="n/a"/>
    <n v="0"/>
    <m/>
    <m/>
  </r>
  <r>
    <n v="4"/>
    <n v="23"/>
    <m/>
    <m/>
    <x v="0"/>
    <m/>
    <m/>
    <s v="https://www.amazon.jp/dp/4124004133"/>
    <x v="0"/>
    <m/>
    <s v="n/a"/>
    <s v="n/a"/>
    <s v="n/a"/>
    <n v="9784124004137"/>
    <n v="4124004133"/>
    <n v="672882526"/>
    <s v="Nihon no meicho: 23, Yamagata bantō kaiho seiryō"/>
    <s v="日本の名著. 23, 山片蟠桃・海保青陵"/>
    <s v="n/a"/>
    <s v="n/a"/>
    <x v="2"/>
    <s v="n/a"/>
    <x v="0"/>
    <s v="中央公論社"/>
    <n v="1984"/>
    <s v="n/a"/>
    <n v="0"/>
    <m/>
    <m/>
  </r>
  <r>
    <n v="5"/>
    <n v="36"/>
    <m/>
    <m/>
    <x v="0"/>
    <m/>
    <m/>
    <s v="https://www.amazon.jp/dp/4124004265"/>
    <x v="1"/>
    <m/>
    <s v="n/a"/>
    <s v="n/a"/>
    <s v="n/a"/>
    <n v="9784124004267"/>
    <n v="4124004265"/>
    <n v="672676236"/>
    <s v="Nihon no meicho: 36, Nakae chōmin"/>
    <s v="日本の名著. 36, 中江兆民"/>
    <s v="n/a"/>
    <s v="n/a"/>
    <x v="2"/>
    <s v="n/a"/>
    <x v="0"/>
    <s v="中央公論社"/>
    <s v="n/a"/>
    <s v="1984"/>
    <n v="0"/>
    <m/>
    <m/>
  </r>
  <r>
    <n v="6"/>
    <n v="3"/>
    <m/>
    <m/>
    <x v="0"/>
    <m/>
    <m/>
    <s v="n/a"/>
    <x v="0"/>
    <m/>
    <s v="n/a"/>
    <s v="n/a"/>
    <s v="n/a"/>
    <n v="9784130034135"/>
    <n v="4130034138"/>
    <n v="213375215"/>
    <s v="Nihon ni okeru kō to shi = Public and private in Japanese context"/>
    <s v="日本における公と私 = Public and private in Japanese context"/>
    <s v="Sasaki, Takeshi, 1942- ^ Kim, T'ae-ch'ang"/>
    <s v="佐々木毅, 1942- ^ 金泰昌"/>
    <x v="3"/>
    <s v="公共哲学 ; 3."/>
    <x v="3"/>
    <s v="東京大学出版会"/>
    <n v="2002"/>
    <s v="Social perception ^ Self-perception ^ Perception sociale ^ Perception de soi ^ SOCIAL SCIENCE  --  Methodology ^ Intellectual life ^ Shakai kagaku ^ Electronic books ^ Japan  --  Intellectual life ^ Japon  --  Vie intellectuelle"/>
    <n v="0"/>
    <m/>
    <m/>
  </r>
  <r>
    <n v="7"/>
    <n v="7"/>
    <m/>
    <m/>
    <x v="2"/>
    <m/>
    <m/>
    <s v="https://www.amazon.jp/dp/4130141074"/>
    <x v="0"/>
    <m/>
    <s v="n/a"/>
    <s v="n/a"/>
    <s v="n/a"/>
    <n v="9784130141079"/>
    <n v="4130141074"/>
    <n v="674768127"/>
    <s v="Ajia kara kangaeru: 7, Sekaizō no keisei"/>
    <s v="アジアから考える. 7, 世界像の形成"/>
    <s v="Mizoguchi, Yūzō, 1932-"/>
    <s v="溝口, 雄三, 1932-"/>
    <x v="2"/>
    <s v="n/a"/>
    <x v="0"/>
    <s v="東京大学出版会"/>
    <n v="1994"/>
    <s v="Tōyōshisō ^ Nihonshisō"/>
    <n v="0"/>
    <m/>
    <m/>
  </r>
  <r>
    <n v="8"/>
    <n v="855"/>
    <m/>
    <m/>
    <x v="0"/>
    <m/>
    <m/>
    <s v="https://www.amazon.jp/dp/4140018550"/>
    <x v="0"/>
    <m/>
    <s v="n/a"/>
    <s v="n/a"/>
    <s v="y"/>
    <n v="9784140018552"/>
    <n v="4140018550"/>
    <n v="45945359"/>
    <s v="Karewara shinwa to Nihon shinwa"/>
    <s v="カレワラ神話と日本神話"/>
    <s v="Koizumi, Tamotsu, 1926-2009"/>
    <s v="小泉保, 1926-"/>
    <x v="4"/>
    <s v="NHKブックス; ; 855."/>
    <x v="4"/>
    <s v="日本放送出版協会"/>
    <n v="1999"/>
    <s v="Mythology, Finno-Ugrian ^ Mythology, Japanese ^ Mythologie finno-ougrienne ^ Mythologie japonaise ^ Shinwa-Finrando ^ Karewara ^ Shinwa-Nihon ^ Kalevala"/>
    <n v="0"/>
    <m/>
    <m/>
  </r>
  <r>
    <n v="9"/>
    <m/>
    <m/>
    <m/>
    <x v="0"/>
    <m/>
    <m/>
    <s v="https://www.amazon.jp/dp/4385422109"/>
    <x v="0"/>
    <m/>
    <s v="n/a"/>
    <s v="n/a"/>
    <s v="y"/>
    <n v="9784385422107"/>
    <n v="4385422109"/>
    <n v="35909147"/>
    <s v="Giri"/>
    <s v="義理"/>
    <s v="Minamoto, Ryōen, 1920-2020"/>
    <s v="源了圓, 1920-"/>
    <x v="5"/>
    <s v="一語の辞典"/>
    <x v="5"/>
    <s v="三省堂"/>
    <n v="1996"/>
    <s v="Giri (The Japanese word) ^ Duty ^ Ethics  --  Japan ^ Devoir ^ Morale  --  Japon"/>
    <n v="0"/>
    <m/>
    <m/>
  </r>
  <r>
    <n v="10"/>
    <n v="3"/>
    <m/>
    <m/>
    <x v="0"/>
    <m/>
    <s v="has amazon.co.jp example"/>
    <s v="https://www.amazon.co.jp/dp/4469130435"/>
    <x v="2"/>
    <m/>
    <s v="n/a"/>
    <s v="n/a"/>
    <s v="n/a"/>
    <s v="9784469130430 ^ 9784469130409 (set)"/>
    <s v="4469130435 ^ 4469130400 (set)"/>
    <n v="35583612"/>
    <s v="Shisō"/>
    <s v="思想"/>
    <s v="Minamoto, Ryōen, 1920-2020 ^ Yan, Shaodang, 1940-"/>
    <s v="源了圓, 1920- ^ 厳紹璗, 1940-"/>
    <x v="6"/>
    <s v="n/a"/>
    <x v="6"/>
    <s v="大修館書店"/>
    <n v="1995"/>
    <s v="Philosophy, Chinese  --  Influence ^ Philosophie chinoise  --  Influence ^ Intellectual life ^ Japan  --  Intellectual life ^ Japon  --  Vie intellectuelle"/>
    <n v="0"/>
    <m/>
    <m/>
  </r>
  <r>
    <n v="11"/>
    <n v="4"/>
    <m/>
    <m/>
    <x v="3"/>
    <m/>
    <m/>
    <s v="https://www.amazon.jp/dp/4872590023"/>
    <x v="0"/>
    <m/>
    <s v="n/a"/>
    <s v="n/a"/>
    <s v="y"/>
    <n v="9784872590029"/>
    <n v="4872590023"/>
    <n v="33875619"/>
    <s v="Kaitokudō Shushigaku no kenkyū"/>
    <s v="懐徳堂朱子学の硏究"/>
    <s v="Tao, Demin, 1951-"/>
    <s v="陶徳民, 1951-"/>
    <x v="2"/>
    <s v="n/a"/>
    <x v="7"/>
    <s v="大阪大学出版会"/>
    <n v="1994"/>
    <s v="Neo-Confucianism  --  Japan ^ Zhu, Xi, 1130-1200 ^ Zhu, Xi, 1130-1200  --  Study and teaching  --  Japan ^ Kaitokudō"/>
    <n v="0"/>
    <m/>
    <m/>
  </r>
  <r>
    <n v="12"/>
    <n v="2"/>
    <m/>
    <m/>
    <x v="0"/>
    <m/>
    <m/>
    <s v="https://www.amazon.jp/dp/4540980513"/>
    <x v="0"/>
    <m/>
    <s v="n/a"/>
    <s v="n/a"/>
    <s v="y"/>
    <n v="9784540980510"/>
    <n v="4540980513"/>
    <n v="46707254"/>
    <s v="Nihon no kindaika to jugaku"/>
    <s v="日本の近代化と儒学"/>
    <s v="Wang, Jiahua"/>
    <s v="王家驊"/>
    <x v="7"/>
    <s v="n/a"/>
    <x v="8"/>
    <s v="農山漁村文化協会"/>
    <n v="1998"/>
    <s v="Philosophy, Confucian  --  Japan ^ Philosophie confucéenne  --  Japon ^ Jugaku  --  Rekishi ^ Jugaku-Rekishi ^ Japan  --  Histoy"/>
    <n v="0"/>
    <m/>
    <m/>
  </r>
  <r>
    <n v="13"/>
    <n v="8"/>
    <m/>
    <m/>
    <x v="4"/>
    <m/>
    <m/>
    <s v="https://www.amazon.jp/dp/4569527353"/>
    <x v="0"/>
    <m/>
    <s v="n/a"/>
    <s v="n/a"/>
    <s v="n/a"/>
    <n v="9784569527352"/>
    <n v="4569527353"/>
    <n v="674117008"/>
    <s v="Bakumatsu ishin no gunzō: 8, Sakuma shōzan"/>
    <s v="幕末・維新の群像. 第8卷, 佐久間象山"/>
    <s v="Minamoto, Ryōen, 1920-"/>
    <s v="源, 了円, 1920-"/>
    <x v="2"/>
    <s v="n/a"/>
    <x v="0"/>
    <s v="PHP研究所"/>
    <n v="1990"/>
    <s v="Sakuma, Shōzan"/>
    <n v="0"/>
    <m/>
    <m/>
  </r>
  <r>
    <n v="14"/>
    <n v="2"/>
    <m/>
    <m/>
    <x v="0"/>
    <m/>
    <m/>
    <s v="https://www.amazon.jp/dp/4594030858"/>
    <x v="0"/>
    <m/>
    <s v="n/a"/>
    <s v="n/a"/>
    <s v="y"/>
    <n v="9784872590029"/>
    <n v="4872590023"/>
    <n v="33875619"/>
    <s v="Kaitokudō Shushigaku no kenkyū"/>
    <s v="懐徳堂朱子学の硏究"/>
    <s v="Tao, Demin, 1951-"/>
    <s v="陶徳民, 1951-"/>
    <x v="2"/>
    <s v="n/a"/>
    <x v="7"/>
    <s v="大阪大学出版会"/>
    <n v="1994"/>
    <s v="Neo-Confucianism  --  Japan ^ Zhu, Xi, 1130-1200 ^ Zhu, Xi, 1130-1200  --  Study and teaching  --  Japan ^ Kaitokudō"/>
    <n v="0"/>
    <m/>
    <m/>
  </r>
  <r>
    <n v="15"/>
    <m/>
    <m/>
    <m/>
    <x v="0"/>
    <m/>
    <m/>
    <s v="https://www.amazon.jp/dp/4625400236"/>
    <x v="3"/>
    <m/>
    <s v="n/a"/>
    <s v="n/a"/>
    <s v="n/a"/>
    <n v="9784625400230"/>
    <n v="4625400236"/>
    <n v="1040361648"/>
    <s v="Nihon kanbungaku daijiten"/>
    <s v="日本漢文学大事典"/>
    <s v="Kondō, Haruo, 1914- ^ (Creator)"/>
    <s v="近藤春雄, 1914-"/>
    <x v="2"/>
    <s v="n/a"/>
    <x v="9"/>
    <s v="n/a"/>
    <n v="1991"/>
    <s v="Chinese literature  --  Japanese authors  --  Dictionaries  --  Japanese ^ chinois (langue classique) ^ Japonais (langue) ^ Education ^ [dictionnaire] ^ China  --  Study and teaching  --  Japan  --  Dictionaries  --  Japanese"/>
    <n v="0"/>
    <m/>
    <m/>
  </r>
  <r>
    <n v="16"/>
    <m/>
    <m/>
    <m/>
    <x v="0"/>
    <m/>
    <m/>
    <s v="https://www.amazon.jp/dp/4642012141"/>
    <x v="0"/>
    <m/>
    <s v="n/a"/>
    <s v="n/a"/>
    <s v="n/a"/>
    <n v="9784642012140"/>
    <n v="4642012141"/>
    <n v="24912797"/>
    <s v="Nihon Sōgaku shi no kenkyū"/>
    <s v="日本宋学史の研究"/>
    <s v="Wajima, Yoshio, 1905-1983"/>
    <s v="和島芳男, 1905-1983"/>
    <x v="2"/>
    <s v="n/a"/>
    <x v="10"/>
    <s v="吉川弘文館"/>
    <n v="1988"/>
    <s v="Neo-Confucianism  --  Japan  --  History ^ Neo-Confucianism  --  Study and teaching  --  Japan  --  History ^ Néo-confucianisme  --  Étude et enseignement  --  Japon  --  Histoire"/>
    <n v="0"/>
    <m/>
    <m/>
  </r>
  <r>
    <n v="17"/>
    <m/>
    <m/>
    <m/>
    <x v="0"/>
    <m/>
    <m/>
    <s v="n/a"/>
    <x v="0"/>
    <m/>
    <s v="n/a"/>
    <s v="n/a"/>
    <s v="y"/>
    <s v="n/a"/>
    <s v="n/a"/>
    <n v="9279834"/>
    <s v="Nihon shisōshi gairon"/>
    <s v="日本思想史槪論"/>
    <s v="Ishida, Ichirō, 1913-2006"/>
    <s v="石田一良, 1913-2006.2006"/>
    <x v="2"/>
    <s v="n/a"/>
    <x v="10"/>
    <s v="吉川弘文館"/>
    <n v="1963"/>
    <s v="Philosophy  --  Japan  --  History ^ Philosophy, Japanese  --  History ^ Philosophie  --  Japon  --  Histoire ^ Philosophie japonaise  --  Histoire"/>
    <n v="0"/>
    <m/>
    <m/>
  </r>
  <r>
    <n v="18"/>
    <m/>
    <m/>
    <m/>
    <x v="0"/>
    <m/>
    <s v="insert/signed"/>
    <s v="n/a"/>
    <x v="4"/>
    <m/>
    <s v="n/a"/>
    <s v="n/a"/>
    <s v="y"/>
    <n v="9784872590029"/>
    <n v="4872590023"/>
    <n v="33875619"/>
    <s v="Kaitokudō Shushigaku no kenkyū"/>
    <s v="懐徳堂朱子学の硏究"/>
    <s v="Tao, Demin, 1951-"/>
    <s v="陶徳民, 1951-"/>
    <x v="2"/>
    <s v="n/a"/>
    <x v="7"/>
    <s v="大阪大学出版会"/>
    <n v="1994"/>
    <s v="Neo-Confucianism  --  Japan ^ Zhu, Xi, 1130-1200 ^ Zhu, Xi, 1130-1200  --  Study and teaching  --  Japan ^ Kaitokudō"/>
    <n v="0"/>
    <m/>
    <m/>
  </r>
  <r>
    <n v="18"/>
    <m/>
    <m/>
    <m/>
    <x v="0"/>
    <m/>
    <s v="insert/signed"/>
    <s v="n/a"/>
    <x v="0"/>
    <m/>
    <s v="n/a"/>
    <s v="n/a"/>
    <s v="y"/>
    <n v="9784872590029"/>
    <n v="4872590023"/>
    <n v="33875619"/>
    <s v="Kaitokudō Shushigaku no kenkyū"/>
    <s v="懐徳堂朱子学の硏究"/>
    <s v="Tao, Demin, 1951-"/>
    <s v="陶徳民, 1951-"/>
    <x v="2"/>
    <s v="n/a"/>
    <x v="7"/>
    <s v="大阪大学出版会"/>
    <n v="1994"/>
    <s v="Neo-Confucianism  --  Japan ^ Zhu, Xi, 1130-1200 ^ Zhu, Xi, 1130-1200  --  Study and teaching  --  Japan ^ Kaitokudō"/>
    <n v="0"/>
    <m/>
    <m/>
  </r>
  <r>
    <n v="19"/>
    <n v="62"/>
    <m/>
    <m/>
    <x v="0"/>
    <m/>
    <s v="insert/signed by author"/>
    <s v="https://www.amazon.jp/dp/4876361282"/>
    <x v="0"/>
    <m/>
    <s v="n/a"/>
    <s v="n/a"/>
    <s v="y"/>
    <n v="9784876361281"/>
    <n v="4876361282"/>
    <n v="34031685"/>
    <s v="Chūgoku no kō to shi"/>
    <s v="中国の公と私"/>
    <s v="Mizoguchi, Yūzō, 1932-2010"/>
    <s v="溝口雄三, 1932-"/>
    <x v="8"/>
    <s v="研文選書 ; 62"/>
    <x v="11"/>
    <s v="研文出版"/>
    <n v="1995"/>
    <s v="Philosophy, Chinese  --  1644-1912 ^ Philosophy, Chinese  --  20th century ^ Philosophy, Confucian ^ Philosophie confucéenne ^ 1644-1999"/>
    <n v="0"/>
    <m/>
    <m/>
  </r>
  <r>
    <n v="20"/>
    <m/>
    <m/>
    <m/>
    <x v="0"/>
    <m/>
    <m/>
    <s v="https://www.amazon.jp/dp/4884745485"/>
    <x v="0"/>
    <m/>
    <s v="n/a"/>
    <s v="n/a"/>
    <s v="y"/>
    <n v="9784884745486"/>
    <n v="4884745485"/>
    <n v="122886609"/>
    <s v="Kanso no seishin"/>
    <s v="簡素の精神"/>
    <s v="Okada, Takehiko"/>
    <s v="岡田武彦"/>
    <x v="2"/>
    <s v="n/a"/>
    <x v="12"/>
    <s v="致知出版社"/>
    <n v="1998"/>
    <s v="National characteristics, Japanese ^ Japonais ^ Civilization ^ Nihon ^ Japan  --  Civilization ^ Japon  --  Civilisation"/>
    <n v="0"/>
    <m/>
    <m/>
  </r>
  <r>
    <n v="21"/>
    <m/>
    <m/>
    <m/>
    <x v="0"/>
    <m/>
    <m/>
    <s v="n/a"/>
    <x v="0"/>
    <m/>
    <s v="n/a"/>
    <s v="n/a"/>
    <s v="y"/>
    <s v="n/a"/>
    <s v="n/a"/>
    <n v="22230473"/>
    <s v="Shinkō Ninomiya Sontoku yawa"/>
    <s v="新講二宮尊德夜話"/>
    <s v="Kuroiwa, Ichirō, 1913-1995"/>
    <s v="黑岩一郎, 1913-"/>
    <x v="2"/>
    <s v="n/a"/>
    <x v="13"/>
    <s v="明德出版社"/>
    <n v="1966"/>
    <s v="Agriculture and state  --  Japan ^ Rural development  --  Japan ^ Politique agricole  --  Japon ^ Développement rural  --  Japon ^ Ninomiya, Sontoku, 1787-1856  --  Criticism and interpretation ^ Criticism, interpretation, etc"/>
    <n v="0"/>
    <m/>
    <m/>
  </r>
  <r>
    <n v="22"/>
    <m/>
    <m/>
    <m/>
    <x v="0"/>
    <m/>
    <m/>
    <s v="https://www.amazon.jp/dp/4896191455"/>
    <x v="0"/>
    <m/>
    <s v="n/a"/>
    <s v="n/a"/>
    <s v="y"/>
    <n v="9784896191455"/>
    <n v="4896191455"/>
    <n v="46443199"/>
    <s v="Keisei no meibun Ō Yōmei Bappon sokugenron: Ō Yōmei no banbutsu ittai shisō"/>
    <s v="警世の明文王陽明拔本塞源論: 王陽明の万物一体思想"/>
    <s v="Okada, Takehiko ^ Wang, Yangming, 1472-1529 ^ Ba ben sai yuan lun.; Japanese"/>
    <s v="岡田武彦. ^ 王陽明, 1472-1529. ^ 抜本塞源論. ^ Japanese"/>
    <x v="2"/>
    <s v="n/a"/>
    <x v="13"/>
    <s v="明徳出版社"/>
    <n v="1998"/>
    <s v="Wang, Yangming, 1472-1529. Ba ben sai yuan lun ^ Ō, Yōmei, 1472-1528"/>
    <n v="0"/>
    <m/>
    <m/>
  </r>
  <r>
    <n v="23"/>
    <m/>
    <m/>
    <m/>
    <x v="0"/>
    <m/>
    <m/>
    <s v="https://www.amazon.jp/dp/4924779458"/>
    <x v="0"/>
    <m/>
    <s v="n/a"/>
    <s v="n/a"/>
    <s v="y"/>
    <n v="9784924779457"/>
    <n v="4924779458"/>
    <n v="43898653"/>
    <s v="Kanso to wagō: tairitsu kara daidō no seiki e"/>
    <s v="簡素と和合: 対立から大同の世紀へ"/>
    <s v="Okada, Takehiko ^ Chang, Tai-nien ^ Nanba, Yukio, 1945-"/>
    <s v="岡田武彦. ^ 張岱年. ^ 難波征男, 1945-"/>
    <x v="2"/>
    <s v="n/a"/>
    <x v="14"/>
    <s v="中国書店"/>
    <n v="1999"/>
    <s v="Philosophy, Chinese ^ Philosophie chinoise ^ Chūgoku shisō"/>
    <n v="0"/>
    <m/>
    <m/>
  </r>
  <r>
    <n v="25"/>
    <m/>
    <m/>
    <m/>
    <x v="0"/>
    <m/>
    <m/>
    <s v="https://www.amazon.jp/dp/4130301624"/>
    <x v="0"/>
    <m/>
    <s v="n/a"/>
    <s v="n/a"/>
    <s v="y"/>
    <n v="9784130301138"/>
    <n v="4130301136"/>
    <n v="39198995"/>
    <s v="Higashi Ajia no ōken to shisō"/>
    <s v="東アジアの王権と思想"/>
    <s v="Watanabe, Hiroshi, 1946-"/>
    <s v="渡辺浩, 1946-"/>
    <x v="2"/>
    <s v="n/a"/>
    <x v="3"/>
    <s v="東京大学出版会"/>
    <n v="1997"/>
    <s v="Ajia(Tōbu)-Rekishi ^ Seiji shisō-Ajia ^ History ^ East Asia  --  History ^ Extrême-Orient  --  Histoire"/>
    <n v="0"/>
    <m/>
    <m/>
  </r>
  <r>
    <n v="26"/>
    <m/>
    <m/>
    <m/>
    <x v="0"/>
    <m/>
    <m/>
    <s v="https://www.amazon.jp/dp/4642065970"/>
    <x v="0"/>
    <m/>
    <s v="n/a"/>
    <s v="n/a"/>
    <s v="n/a"/>
    <n v="9784642065979"/>
    <n v="4642065970"/>
    <n v="935069111"/>
    <s v="Kamigami no keifu: Nihon shinwa no nazo"/>
    <s v="神々の系譜: 日本神話の謎"/>
    <s v="Matsumae, Takeshi, 1922-2002, ^ author"/>
    <s v="松前健, 1922-2002, author"/>
    <x v="9"/>
    <s v="読みなおす日本史."/>
    <x v="10"/>
    <s v="n/a"/>
    <s v="2016, 1972"/>
    <s v="Mythology, Japanese ^ Mythologie japonaise ^ Shinwa-Nihon"/>
    <n v="0"/>
    <m/>
    <m/>
  </r>
  <r>
    <n v="27"/>
    <m/>
    <m/>
    <m/>
    <x v="0"/>
    <m/>
    <m/>
    <s v="https://www.amazon.jp/dp/4831512028"/>
    <x v="0"/>
    <m/>
    <s v="n/a"/>
    <s v="n/a"/>
    <s v="y"/>
    <n v="9784831512024"/>
    <n v="4831512028"/>
    <n v="245514148"/>
    <s v="Kindai, Ajia, yōmeigaku"/>
    <s v="近代・アジア・陽明学"/>
    <s v="Ogyū, Shigehiro, 1954- ^ author"/>
    <s v="荻生茂博, 1954- ^ author"/>
    <x v="2"/>
    <s v="n/a"/>
    <x v="15"/>
    <s v="n/a"/>
    <n v="2008"/>
    <s v="Neo-Confucianism ^ Néo-confucianisme ^ Civilization ^ Wang, Yangming, 1472-1529 ^ 1800-1899 ^ Asia  --  Civilization  --  19th century ^ Asie  --  Civilisation  --  19e siècle"/>
    <n v="0"/>
    <m/>
    <m/>
  </r>
  <r>
    <n v="28"/>
    <n v="17"/>
    <m/>
    <m/>
    <x v="0"/>
    <m/>
    <m/>
    <s v="https://www.amazon.jp/dp/489434713X"/>
    <x v="0"/>
    <m/>
    <s v="n/a"/>
    <s v="n/a"/>
    <s v="y"/>
    <n v="9784894347137"/>
    <s v="489434713X"/>
    <n v="471396810"/>
    <s v="Yokoi Shōnan: 1809-1869: &quot;kōkyō&quot; no senkusha"/>
    <s v="横井小楠: 1809-1869 :「公共」の先駆者"/>
    <s v="Minamoto, Ryōen, 1920-2020, ^ ; editor.Hiraishi, Naoaki, 1945- ^ ; author"/>
    <s v="源了円, 1920-2020, editor. ^ 平石直昭, 1945- ^ author"/>
    <x v="10"/>
    <s v="別冊環 ; 17."/>
    <x v="16"/>
    <s v="n/a"/>
    <n v="2009"/>
    <s v="Intellectual life ^ Yokoi, Shōnan, 1809-1869  --  Political and social views ^ 1600-1868 ^ Japan  --  Intellectual life  --  1600-1868 ^ Japon  --  Vie intellectuelle  --  1600-1868"/>
    <n v="0"/>
    <m/>
    <m/>
  </r>
  <r>
    <n v="29"/>
    <m/>
    <m/>
    <m/>
    <x v="0"/>
    <m/>
    <s v="No record on CiNii or world cat"/>
    <s v="n/a"/>
    <x v="0"/>
    <m/>
    <s v="n/a"/>
    <s v="n/a"/>
    <s v="n/a"/>
    <s v="n/a"/>
    <s v="n/a"/>
    <s v="n/a"/>
    <s v="n/a"/>
    <s v="n/a"/>
    <s v="Moriyama Fumihiko"/>
    <s v="森山文彦編"/>
    <x v="2"/>
    <s v="n/a"/>
    <x v="17"/>
    <s v="森山文彦"/>
    <n v="2000"/>
    <s v="n/a"/>
    <n v="0"/>
    <m/>
    <m/>
  </r>
  <r>
    <n v="30"/>
    <n v="86"/>
    <m/>
    <m/>
    <x v="0"/>
    <m/>
    <m/>
    <s v="https://www.amazon.jp/dp/4000600869"/>
    <x v="0"/>
    <m/>
    <s v="n/a"/>
    <s v="n/a"/>
    <s v="y"/>
    <n v="9784000600866"/>
    <n v="4000600869"/>
    <n v="18979715"/>
    <s v="Gukanshō"/>
    <s v="愚管抄"/>
    <s v="Jien, 1155-1225 ^ Okami, Masao, 1913-1990 ^ Akamatsu, Toshihide, 1907-1979"/>
    <s v="慈円, 1155-1225. ^ 岡見正雄, 1913-1990. ^ 赤松俊秀, 1907-1979"/>
    <x v="11"/>
    <s v="日本古典文學大系 ; 86."/>
    <x v="18"/>
    <s v="岩波書店"/>
    <n v="1967"/>
    <s v="Política  --  Filosofía ^ Buddhismus ^ Geschichtsschreibung ^ Quelle ^ History ^ 1185-1333 ^ Geschichte 1220 ^ Geschichte Anfänge-1220 ^ Japan  --  History  --  Kamakura period, 1185-1333 ^ Japón  --  Política y gobierno  --  Hasta 1868 ^ Japon  --  Histoire  --  1185-1333 (Époque de Kamakura)"/>
    <n v="0"/>
    <m/>
    <m/>
  </r>
  <r>
    <n v="31"/>
    <m/>
    <m/>
    <m/>
    <x v="0"/>
    <m/>
    <m/>
    <s v="https://www.amazon.jp/dp/413016001X"/>
    <x v="0"/>
    <m/>
    <s v="n/a"/>
    <s v="n/a"/>
    <s v="y"/>
    <n v="9784130160018"/>
    <s v="413016001X"/>
    <n v="27170478"/>
    <s v="Nihon Shushigaku to Chōsen"/>
    <s v="日本朱子學と朝鮮"/>
    <s v="Abe, Yoshio, 1905-1978"/>
    <s v="阿部吉雄, 1905-"/>
    <x v="2"/>
    <s v="n/a"/>
    <x v="3"/>
    <s v="東京大學出版會"/>
    <n v="1965"/>
    <s v="Neo-Confucianism  --  Japan ^ Neo-Confucianism  --  Korea ^ Intellectual life ^ Fujiwara, Seika, 1561?-1619 ^ Hayashi, Razan, 1583-1657 ^ Yamazaki, Ansai, 1618-1682 ^ Yi, Hwang, 1501-1570 ^ Yi, T'oegye 1501-1570 ^ 1600-1868 ^ Japan  --  Intellectual life  --  1600-1868 ^ Japon  --  Vie intellectuelle  --  1600-1868"/>
    <n v="0"/>
    <m/>
    <m/>
  </r>
  <r>
    <n v="32"/>
    <n v="1"/>
    <m/>
    <m/>
    <x v="0"/>
    <m/>
    <m/>
    <s v="https://www.amazon.jp/dp/481670342X"/>
    <x v="0"/>
    <m/>
    <s v="n/a"/>
    <s v="n/a"/>
    <s v="y"/>
    <n v="9784816703423"/>
    <s v="481670342X"/>
    <n v="33876348"/>
    <s v="Kaibara Ekiken"/>
    <s v="貝原益軒"/>
    <s v="Okada, Takehiko ^ Fukuoka Jinbutsushi Henshū Iinkai"/>
    <s v="ふくおか人物誌編集委員会"/>
    <x v="12"/>
    <s v="ふくおか人物誌 ; 1."/>
    <x v="19"/>
    <s v="西日本新聞社"/>
    <n v="1993"/>
    <s v="Kaibara, Ekiken, 1630-1714"/>
    <n v="0"/>
    <m/>
    <m/>
  </r>
  <r>
    <n v="33"/>
    <m/>
    <m/>
    <m/>
    <x v="0"/>
    <m/>
    <s v="publisher may be wrong. Book says ドメス出版"/>
    <s v="https://www.amazon.jp/dp/481070386X"/>
    <x v="0"/>
    <m/>
    <s v="n/a"/>
    <s v="n/a"/>
    <s v="y"/>
    <n v="9784810703863"/>
    <s v="481070386X"/>
    <n v="33281238"/>
    <s v="Senkushatachi no shōzō: asu o hiraita joseitachi"/>
    <s v="先駆者たちの肖像: 明日を拓いた女性たち"/>
    <s v="Tōkyō Josei Zaidan"/>
    <s v="東京女性財団"/>
    <x v="2"/>
    <s v="n/a"/>
    <x v="20"/>
    <s v="発売元ドメス出版"/>
    <n v="1994"/>
    <s v="Women  --  Japan  --  Biography ^ Women  --  Japan  --  Portraits ^ Femmes  --  Japon  --  Biographies"/>
    <n v="0"/>
    <m/>
    <m/>
  </r>
  <r>
    <n v="34"/>
    <m/>
    <m/>
    <m/>
    <x v="0"/>
    <m/>
    <s v="insert/signed"/>
    <s v="https://www.amazon.jp/dp/4896194772"/>
    <x v="0"/>
    <m/>
    <s v="n/a"/>
    <s v="n/a"/>
    <s v="n/a"/>
    <n v="9784896194777"/>
    <n v="4896194772"/>
    <n v="848023373"/>
    <s v="Okada takehiko zenshu: 23 (Kaibara ekiken)"/>
    <s v="岡田武彦全集. 23 (貝原益軒)"/>
    <s v="Okada, Takehiko, 1908-2004"/>
    <s v="岡田, 武彦, 1908-2004"/>
    <x v="2"/>
    <s v="n/a"/>
    <x v="0"/>
    <s v="明徳出版社"/>
    <n v="2012"/>
    <s v="Kaibara, Ekiken, 1630-1714"/>
    <n v="0"/>
    <m/>
    <m/>
  </r>
  <r>
    <n v="35"/>
    <n v="11"/>
    <m/>
    <m/>
    <x v="0"/>
    <m/>
    <m/>
    <s v="n/a"/>
    <x v="0"/>
    <m/>
    <s v="n/a"/>
    <s v="n/a"/>
    <s v="y"/>
    <s v="n/a"/>
    <s v="n/a"/>
    <n v="20615314"/>
    <s v="Chūsei no jugaku"/>
    <s v="中世の儒学"/>
    <s v="Wajima, Yoshio, 1905-1983 ^ Nihon Rekishi Gakkai"/>
    <s v="日本歴史学会"/>
    <x v="13"/>
    <s v="日本歴史叢書 ; 11."/>
    <x v="10"/>
    <s v="吉川弘文館"/>
    <n v="1965"/>
    <s v="Confucianism  --  Japan ^ Confucianisme  --  Japon ^ Confucius"/>
    <n v="0"/>
    <m/>
    <m/>
  </r>
  <r>
    <n v="36"/>
    <m/>
    <m/>
    <m/>
    <x v="0"/>
    <m/>
    <m/>
    <s v="n/a"/>
    <x v="0"/>
    <m/>
    <s v="n/a"/>
    <s v="n/a"/>
    <s v="y"/>
    <s v="n/a"/>
    <s v="n/a"/>
    <n v="15390809"/>
    <s v="Chūgoku shisō jiten"/>
    <s v="中国思想辞典"/>
    <s v="Hihara, Toshikuni, 1927-1984"/>
    <s v="日原利国, 1927-"/>
    <x v="2"/>
    <s v="n/a"/>
    <x v="11"/>
    <s v="研文出版"/>
    <n v="1984"/>
    <s v="Intellectual life ^ Dictionaries ^ China  --  Intellectual life  --  Dictionaries  --  Japanese"/>
    <n v="0"/>
    <m/>
    <m/>
  </r>
  <r>
    <n v="37"/>
    <m/>
    <m/>
    <m/>
    <x v="0"/>
    <m/>
    <m/>
    <s v="n/a"/>
    <x v="0"/>
    <m/>
    <s v="n/a"/>
    <s v="n/a"/>
    <s v="y"/>
    <s v="n/a"/>
    <s v="n/a"/>
    <n v="3903369"/>
    <s v="Nakae Tōju no Jugaku: sono keiseishiteki kenkyū"/>
    <s v="中江藤樹の儒学: その形成史的研究"/>
    <s v="Yamamoto, Makoto, 1901-"/>
    <s v="山本命, 1901-"/>
    <x v="2"/>
    <s v="n/a"/>
    <x v="21"/>
    <s v="風間書房"/>
    <n v="1977"/>
    <s v="Philosophy, Confucian  --  Japan ^ Philosophie confucéenne  --  Japon ^ Nakae, Tōju, 1608-1648"/>
    <n v="0"/>
    <m/>
    <m/>
  </r>
  <r>
    <n v="38"/>
    <m/>
    <m/>
    <m/>
    <x v="0"/>
    <m/>
    <m/>
    <s v="https://www.amazon.jp/dp/4000009591"/>
    <x v="0"/>
    <m/>
    <s v="n/a"/>
    <s v="n/a"/>
    <s v="y"/>
    <n v="9784000009591"/>
    <n v="4000009591"/>
    <n v="18359373"/>
    <s v="Jinsai, Sorai, Norinaga"/>
    <s v="仁斎・徂徠・宣長"/>
    <s v="Yoshikawa, Kōjirō, 1904-1980"/>
    <s v="吉川幸次郎, 1904-1980"/>
    <x v="2"/>
    <s v="n/a"/>
    <x v="18"/>
    <s v="岩波書店"/>
    <n v="1975"/>
    <s v="Philosophy, Japanese ^ Philosophie japonaise ^ Itō, Jinsai, 1627-1705 ^ Ogyū, Sorai, 1666-1728 ^ Motoori, Norinaga, 1730-1801"/>
    <n v="0"/>
    <m/>
    <m/>
  </r>
  <r>
    <n v="39"/>
    <m/>
    <m/>
    <m/>
    <x v="0"/>
    <m/>
    <m/>
    <s v="n/a"/>
    <x v="0"/>
    <m/>
    <s v="n/a"/>
    <s v="n/a"/>
    <s v="n/a"/>
    <s v="n/a"/>
    <s v="n/a"/>
    <n v="570808121"/>
    <s v="Itō Jinsai: jinrinteki sekai no shisō"/>
    <s v="伊藤仁斎: 人倫的世界の思想"/>
    <s v="Koyasu, Nobukuni, 1933-"/>
    <s v="子安宣邦, 1933-"/>
    <x v="2"/>
    <s v="n/a"/>
    <x v="3"/>
    <s v="東京大学出版会"/>
    <n v="1982"/>
    <s v="Itō, Jinsai, 1627-1705"/>
    <n v="0"/>
    <m/>
    <m/>
  </r>
  <r>
    <n v="40"/>
    <m/>
    <m/>
    <m/>
    <x v="0"/>
    <m/>
    <m/>
    <s v="n/a"/>
    <x v="0"/>
    <m/>
    <s v="n/a"/>
    <s v="n/a"/>
    <s v="n/a"/>
    <s v="n/a"/>
    <s v="n/a"/>
    <n v="835166722"/>
    <s v="Itō jinsai no gakumon to kyōiku: kogidō sunawachi horikawajuku no kyōikushiteki kenkyū"/>
    <s v="伊藤仁斎の学問と教育: 古義堂即ち堀川塾の教育史的研究"/>
    <s v="Katō, Nihei, 1894-"/>
    <s v="加藤仁平, 1894-"/>
    <x v="2"/>
    <s v="n/a"/>
    <x v="22"/>
    <s v="第一書房"/>
    <n v="1979"/>
    <s v="Itō, Jinsai, 1627-1705"/>
    <n v="0"/>
    <m/>
    <m/>
  </r>
  <r>
    <n v="41"/>
    <n v="11"/>
    <m/>
    <m/>
    <x v="0"/>
    <m/>
    <m/>
    <s v="n/a"/>
    <x v="0"/>
    <m/>
    <s v="n/a"/>
    <s v="n/a"/>
    <s v="y"/>
    <s v="n/a"/>
    <s v="n/a"/>
    <n v="19657044"/>
    <s v="Itō, Jinsai shū"/>
    <s v="伊藤仁斎集"/>
    <s v="Itō, Jinsai, 1627-1705 ^ Kimura, Eiichi, 1906-1981 ^ Itō, Tōgai, 1670-1736 ^ Gakumon kuwanken"/>
    <s v="伊藤仁斎, 1627-1705. ^ 木村英一, 1906- ^ 伊藤東涯, 1670-1736. ^ 学問 ^ 関鍵"/>
    <x v="14"/>
    <s v="日本の思想 ; 11."/>
    <x v="23"/>
    <s v="筑摩書房"/>
    <n v="1970"/>
    <s v="Philosophy, Japanese ^ Philosophie japonaise"/>
    <n v="0"/>
    <m/>
    <m/>
  </r>
  <r>
    <n v="42"/>
    <m/>
    <m/>
    <m/>
    <x v="0"/>
    <m/>
    <m/>
    <s v="https://www.amazon.jp/dp/4831870013"/>
    <x v="0"/>
    <m/>
    <s v="n/a"/>
    <s v="n/a"/>
    <s v="y"/>
    <n v="9784831870018"/>
    <n v="4831870013"/>
    <n v="8472433"/>
    <s v="Bukkyōgaku jiten"/>
    <s v="仏敎学辞典"/>
    <s v="Taya, Raishun, 1902-1990 ^ Ōchō, Enichi, 1906-1996 ^ Fumahashi, Issai, 1909-"/>
    <s v="多屋頼俊, 1902- ^ 橫超慧日, 1906- ^ 舟橋一哉, 1909-"/>
    <x v="2"/>
    <s v="n/a"/>
    <x v="24"/>
    <s v="法藏館"/>
    <n v="1955"/>
    <s v="Buddhism  --  Dictionaries  --  Japanese"/>
    <n v="0"/>
    <m/>
    <m/>
  </r>
  <r>
    <n v="43"/>
    <m/>
    <m/>
    <m/>
    <x v="0"/>
    <m/>
    <m/>
    <s v="https://www.amazon.jp/dp/489619120X"/>
    <x v="0"/>
    <m/>
    <s v="n/a"/>
    <s v="n/a"/>
    <s v="y"/>
    <n v="9784896191202"/>
    <s v="489619120X"/>
    <n v="32089418"/>
    <s v="Jukyō seishin to gendai"/>
    <s v="儒教精神と現代"/>
    <s v="Okada, Takehiko"/>
    <s v="岡田武彦"/>
    <x v="2"/>
    <s v="n/a"/>
    <x v="13"/>
    <s v="明徳出版社"/>
    <n v="1994"/>
    <s v="Philosophy, Confucian ^ Philosophie confucéenne"/>
    <n v="0"/>
    <m/>
    <m/>
  </r>
  <r>
    <n v="44"/>
    <m/>
    <m/>
    <m/>
    <x v="0"/>
    <m/>
    <m/>
    <s v="https://www.amazon.jp/dp/4582805744"/>
    <x v="0"/>
    <m/>
    <s v="n/a"/>
    <s v="n/a"/>
    <s v="y"/>
    <n v="9784582805741"/>
    <n v="4582805744"/>
    <n v="776755850"/>
    <s v="Sentetsu sōdan"/>
    <s v="先哲叢談"/>
    <s v="Hara Nensai ; Minamoto Ryōen, Maeda Tsutomu yakuchū. ^ Hara, Nensai ^ Minamoto, Ryōen ^ Maeda, Tsutomu"/>
    <s v="原念斎 ; 源了圓, 前田勉訳注. ^ 原念斎, 1774-1820 ^ 源了圓 ^ 前田勉"/>
    <x v="15"/>
    <s v="n/a"/>
    <x v="25"/>
    <s v="平凡社"/>
    <n v="1994"/>
    <s v="Philosophers Japan Biography ^ Confucianists Japan Biography ^ Philosophes Japon Biographies ^ Confucéens Japon Biographies"/>
    <n v="0"/>
    <m/>
    <m/>
  </r>
  <r>
    <n v="45"/>
    <m/>
    <m/>
    <m/>
    <x v="0"/>
    <m/>
    <s v="OCLC is for 2000 version from different publishers"/>
    <s v="n/a"/>
    <x v="0"/>
    <m/>
    <s v="n/a"/>
    <s v="n/a"/>
    <s v="n/a"/>
    <s v="n/a"/>
    <s v="n/a"/>
    <n v="703733779"/>
    <s v="Senzo no saishi to kateiun"/>
    <s v="先祖の祭祀と家庭運"/>
    <s v="Taketani, Sōshin, 1932-"/>
    <s v="竹谷, 聡進, 1932-"/>
    <x v="2"/>
    <s v="n/a"/>
    <x v="0"/>
    <s v="中内書店"/>
    <n v="1950"/>
    <s v="Bosō"/>
    <n v="0"/>
    <m/>
    <m/>
  </r>
  <r>
    <n v="46"/>
    <m/>
    <m/>
    <m/>
    <x v="0"/>
    <m/>
    <s v="date? original printing 1976, second printing 1977."/>
    <s v="n/a"/>
    <x v="0"/>
    <m/>
    <s v="n/a"/>
    <s v="n/a"/>
    <s v="n/a"/>
    <s v="n/a"/>
    <s v="n/a"/>
    <n v="672541631"/>
    <s v="Senku andō shōeki"/>
    <s v="先駆安藤昌益"/>
    <s v="Terao, Gorō, 1921-1999"/>
    <s v="寺尾, 五郎, 1921-1999"/>
    <x v="2"/>
    <s v="n/a"/>
    <x v="0"/>
    <s v="徳間書店"/>
    <n v="1976"/>
    <s v="Andō, Shōeki ^ Ando, Shoeki, Edo Chuki"/>
    <n v="0"/>
    <m/>
    <m/>
  </r>
  <r>
    <n v="47"/>
    <m/>
    <m/>
    <m/>
    <x v="0"/>
    <m/>
    <s v="need to see item"/>
    <s v="n/a"/>
    <x v="0"/>
    <m/>
    <s v="n/a"/>
    <s v="n/a"/>
    <s v="n/a"/>
    <s v="n/a"/>
    <s v="n/a"/>
    <n v="675318546"/>
    <s v="Kōfū seigetsu: Okada takehiko sensei tsuitō bunshū"/>
    <s v="光風霽月: 岡田武彦先生追悼文集"/>
    <s v="n/a"/>
    <s v="n/a"/>
    <x v="2"/>
    <s v="n/a"/>
    <x v="26"/>
    <s v="岡田武彦先生追悼文集刊行会"/>
    <n v="2005"/>
    <s v="Okada, Takehiko"/>
    <n v="0"/>
    <m/>
    <m/>
  </r>
  <r>
    <n v="48"/>
    <m/>
    <m/>
    <m/>
    <x v="0"/>
    <m/>
    <s v="rare? need to see item"/>
    <s v="n/a"/>
    <x v="0"/>
    <m/>
    <s v="n/a"/>
    <s v="n/a"/>
    <s v="n/a"/>
    <s v="n/a"/>
    <s v="n/a"/>
    <s v="n/a"/>
    <s v="n/a"/>
    <s v="和漢年契 [増補校正]"/>
    <s v="n/a"/>
    <s v="n/a"/>
    <x v="2"/>
    <s v="n/a"/>
    <x v="0"/>
    <s v="額田正三郎 [and others]"/>
    <n v="1816"/>
    <s v="n/a"/>
    <n v="0"/>
    <m/>
    <m/>
  </r>
  <r>
    <n v="49"/>
    <n v="2"/>
    <m/>
    <m/>
    <x v="0"/>
    <m/>
    <s v="need to see item (couldn't find author in CiNii or Book)"/>
    <s v="n/a"/>
    <x v="0"/>
    <m/>
    <s v="n/a"/>
    <s v="n/a"/>
    <s v="n/a"/>
    <s v="n/a"/>
    <s v="n/a"/>
    <s v="BN00685516"/>
    <s v="Shisho shicchō"/>
    <s v="四書集注 (朱子学大系; 第七巻)"/>
    <s v="n/a"/>
    <s v="n/a"/>
    <x v="2"/>
    <s v="n/a"/>
    <x v="27"/>
    <s v="東洋文庫"/>
    <n v="1974"/>
    <s v="n/a"/>
    <n v="0"/>
    <m/>
    <m/>
  </r>
  <r>
    <n v="50"/>
    <m/>
    <m/>
    <m/>
    <x v="0"/>
    <m/>
    <m/>
    <s v="n/a"/>
    <x v="0"/>
    <m/>
    <s v="n/a"/>
    <s v="n/a"/>
    <s v="n/a"/>
    <s v="n/a"/>
    <s v="n/a"/>
    <n v="41895447"/>
    <s v="Kokugaku to Rangaku"/>
    <s v="国学と蘭学"/>
    <s v="Sano, Masami"/>
    <s v="佐野正巳"/>
    <x v="16"/>
    <s v="雄山閣歴史選書 ; 18."/>
    <x v="28"/>
    <s v="雄山閣"/>
    <n v="1973"/>
    <s v="Kokugaku ^ Education ^ Japan  --  Intellectual life  --  Dutch influences ^ Netherlands  --  Study and teaching  --  Japan ^ Pays-Bas  --  Étude et enseignement  --  Japon"/>
    <n v="0"/>
    <m/>
    <m/>
  </r>
  <r>
    <n v="51"/>
    <m/>
    <m/>
    <m/>
    <x v="0"/>
    <m/>
    <m/>
    <s v="https://www.amazon.jp/dp/4784207023"/>
    <x v="0"/>
    <m/>
    <s v="n/a"/>
    <s v="n/a"/>
    <s v="y"/>
    <n v="9784784207022"/>
    <n v="4784207023"/>
    <n v="26837467"/>
    <s v="Kokka to shūkyō: Nihon shisōshi ronshū"/>
    <s v="囯家と宗教: 日本思想史論集"/>
    <s v="Minamoto, Ryōen, 1920-2020 ^ Tamakake, Hiroyuki, 1937-"/>
    <s v="源了圓, 1920- ^ 玉懸博之, 1937-"/>
    <x v="2"/>
    <s v="n/a"/>
    <x v="29"/>
    <s v="思文閣出版"/>
    <n v="1992"/>
    <s v="Religion and state  --  Japan ^ Philosophy, Japanese  --  History ^ Religion et État  --  Japon ^ Philosophie japonaise  --  Histoire"/>
    <n v="0"/>
    <m/>
    <m/>
  </r>
  <r>
    <n v="52"/>
    <m/>
    <m/>
    <m/>
    <x v="0"/>
    <m/>
    <m/>
    <s v="n/a"/>
    <x v="0"/>
    <m/>
    <s v="n/a"/>
    <s v="n/a"/>
    <s v="y"/>
    <s v="n/a"/>
    <s v="n/a"/>
    <n v="49706576"/>
    <s v="Kuni o omō kokoro"/>
    <s v="國を思ふ心"/>
    <s v="Koizumi, Shinzō, 1888-1966"/>
    <s v="小泉信三, 1888-1966"/>
    <x v="2"/>
    <s v="n/a"/>
    <x v="30"/>
    <s v="文藝春秋新社"/>
    <n v="1955"/>
    <s v="n/a"/>
    <n v="0"/>
    <m/>
    <m/>
  </r>
  <r>
    <n v="53"/>
    <m/>
    <m/>
    <m/>
    <x v="0"/>
    <m/>
    <m/>
    <s v="n/a"/>
    <x v="0"/>
    <m/>
    <s v="n/a"/>
    <s v="n/a"/>
    <s v="n/a"/>
    <n v="9784423100882"/>
    <n v="4423100886"/>
    <n v="647216646"/>
    <s v="Kata to Nihon bunka"/>
    <s v="型と日本文化"/>
    <s v="Minamoto, Ryōen, 1920-2020"/>
    <s v="源了圓, 1920-"/>
    <x v="2"/>
    <s v="n/a"/>
    <x v="31"/>
    <s v="創文社"/>
    <n v="1992"/>
    <s v="National characteristics, Japanese ^ Japonais ^ Civilization ^ Japan  --  Civilization ^ Japon  --  Civilisation"/>
    <n v="0"/>
    <m/>
    <m/>
  </r>
  <r>
    <n v="53"/>
    <s v="duplicate"/>
    <m/>
    <m/>
    <x v="0"/>
    <m/>
    <m/>
    <s v="n/a"/>
    <x v="0"/>
    <m/>
    <s v="n/a"/>
    <s v="n/a"/>
    <s v="n/a"/>
    <n v="9784423100882"/>
    <n v="4423100886"/>
    <n v="647216646"/>
    <s v="Kata to Nihon bunka"/>
    <s v="型と日本文化"/>
    <s v="Minamoto, Ryōen, 1920-2020"/>
    <s v="源了圓, 1920-"/>
    <x v="2"/>
    <s v="n/a"/>
    <x v="31"/>
    <s v="創文社"/>
    <n v="1992"/>
    <s v="National characteristics, Japanese ^ Japonais ^ Civilization ^ Japan  --  Civilization ^ Japon  --  Civilisation"/>
    <n v="0"/>
    <m/>
    <m/>
  </r>
  <r>
    <n v="54"/>
    <n v="27"/>
    <m/>
    <m/>
    <x v="0"/>
    <m/>
    <m/>
    <s v="n/a"/>
    <x v="0"/>
    <m/>
    <s v="n/a"/>
    <s v="n/a"/>
    <s v="n/a"/>
    <s v="n/a"/>
    <s v="n/a"/>
    <n v="1020975783"/>
    <s v="Ooshio chūsai"/>
    <s v="大塩中斎"/>
    <s v="Ooshio, Chūsai ^ Miyagi, Kimiko ^ Satō, Issai ^ Saigō, Takamori"/>
    <s v="大塩, 中斎(1793-1837) ^ 宮城, 公子 ^ 佐藤, 一斎(1772-1859) ^ 西郷, 隆盛(1827-1877)"/>
    <x v="17"/>
    <s v="日本の名著 ; 27"/>
    <x v="0"/>
    <s v="中央公論社"/>
    <n v="1978"/>
    <s v="Ooshio,heihachirō(1793-1837) ^ Satō,issai(1772-1859)"/>
    <n v="0"/>
    <m/>
    <m/>
  </r>
  <r>
    <n v="55"/>
    <n v="3"/>
    <m/>
    <m/>
    <x v="0"/>
    <m/>
    <m/>
    <s v="n/a"/>
    <x v="0"/>
    <m/>
    <s v="n/a"/>
    <s v="n/a"/>
    <s v="n/a"/>
    <s v="n/a"/>
    <s v="n/a"/>
    <n v="834407390"/>
    <s v="Nihon no zen goroku: dai3kan"/>
    <s v="日本の禅語錄. 第3卷"/>
    <s v="Araki, Kengo, 1917- ^ Shōmyō, 1235-1308"/>
    <s v="荒木見悟, 1917- ^ 紹明, 1235-1308"/>
    <x v="2"/>
    <s v="n/a"/>
    <x v="1"/>
    <s v="講談社"/>
    <n v="1978"/>
    <s v="Shōmyō, 1235-1308"/>
    <n v="0"/>
    <m/>
    <m/>
  </r>
  <r>
    <n v="56"/>
    <m/>
    <m/>
    <m/>
    <x v="0"/>
    <m/>
    <m/>
    <s v="n/a"/>
    <x v="0"/>
    <m/>
    <s v="n/a"/>
    <s v="n/a"/>
    <s v="y"/>
    <s v="n/a"/>
    <s v="n/a"/>
    <n v="37467427"/>
    <s v="Sōkaiyō shūkō shokka sakuin: Shokkan hen"/>
    <s v="宋会要輯稿食貨索引. 職官篇"/>
    <s v="Tōyō Bunko (Japan) ^ Sōdaishi Kenkyū Iinkai"/>
    <s v="東洋文庫 (Japan) ^ 宋代史研究委員会"/>
    <x v="2"/>
    <s v="n/a"/>
    <x v="27"/>
    <s v="東洋文庫"/>
    <n v="1995"/>
    <s v="Economic history  --  Sources ^ Xu, Song, 1781-1848. Song hui yao ji gao  --  Indexes ^ To 1644 ^ China  --  History  --  Song dynasty, 960-1279  --  Sources  --  Indexes ^ China  --  Economic conditions  --  To 1644  --  Sources  --  Indexes ^ Chine  --  Histoire  --  960-1279 (Dynastie des Song)  --  Sources  --  Index ^ Chine  --  Conditions économiques  --  Jusqu'à 1644  --  Sources  --  Index ^ Song hui yao ji gao (Xu, Song)"/>
    <n v="0"/>
    <m/>
    <m/>
  </r>
  <r>
    <n v="57"/>
    <m/>
    <m/>
    <m/>
    <x v="0"/>
    <m/>
    <m/>
    <s v="n/a"/>
    <x v="0"/>
    <m/>
    <s v="n/a"/>
    <s v="n/a"/>
    <s v="y"/>
    <s v="n/a"/>
    <s v="n/a"/>
    <n v="24876243"/>
    <s v="Hirose Tansō"/>
    <s v="広瀨淡窓"/>
    <s v="Furukawa, Tetsushi, 1912-2011, ^ author"/>
    <s v="古川哲史, 1912- ^ author"/>
    <x v="2"/>
    <s v="n/a"/>
    <x v="32"/>
    <s v="思文閣"/>
    <n v="1972"/>
    <s v="Philosophers  --  Japan  --  Biography ^ Philosophes  --  Japon  --  Biographies ^ Hirose, Tansō, 1782-1856"/>
    <n v="0"/>
    <m/>
    <m/>
  </r>
  <r>
    <n v="58"/>
    <m/>
    <m/>
    <m/>
    <x v="0"/>
    <m/>
    <m/>
    <s v="n/a"/>
    <x v="0"/>
    <m/>
    <s v="n/a"/>
    <s v="n/a"/>
    <s v="y"/>
    <s v="n/a"/>
    <s v="n/a"/>
    <n v="20625943"/>
    <s v="Sorai-gaku no kisoteki kenkyū"/>
    <s v="徂徠学の基礎的硏究"/>
    <s v="Imanaka, Kanshi, 1913-2007"/>
    <s v="今中寬司, 1913-"/>
    <x v="2"/>
    <s v="n/a"/>
    <x v="10"/>
    <s v="吉川弘文館"/>
    <n v="1966"/>
    <s v="Ogyū, Sorai, 1666-1728"/>
    <n v="0"/>
    <m/>
    <m/>
  </r>
  <r>
    <n v="59"/>
    <m/>
    <m/>
    <m/>
    <x v="0"/>
    <m/>
    <s v="insert/signed"/>
    <s v="https://www.amazon.jp/dp/4120001636"/>
    <x v="0"/>
    <m/>
    <s v="n/a"/>
    <s v="n/a"/>
    <s v="y"/>
    <n v="9784120001635"/>
    <n v="4120001636"/>
    <n v="9105957"/>
    <s v="Tokugawa gōri shisō no keifu"/>
    <s v="徳川合理思想の系譜"/>
    <s v="Minamoto, Ryōen, 1920-2020"/>
    <s v="源了圓, 1920-"/>
    <x v="18"/>
    <s v="n/a"/>
    <x v="2"/>
    <s v="中央公論社"/>
    <n v="1972"/>
    <s v="Philosophy, Japanese  --  History ^ Philosophie japonaise  --  Histoire"/>
    <n v="0"/>
    <m/>
    <m/>
  </r>
  <r>
    <n v="60"/>
    <m/>
    <m/>
    <m/>
    <x v="0"/>
    <m/>
    <m/>
    <s v="n/a"/>
    <x v="0"/>
    <m/>
    <s v="n/a"/>
    <s v="n/a"/>
    <s v="y"/>
    <s v="n/a"/>
    <s v="n/a"/>
    <n v="23322216"/>
    <s v="Tokugawa Bakufu to Chūgoku hō"/>
    <s v="德川幕府と中国法"/>
    <s v="Okuno, Hikoroku, 1895-1979"/>
    <s v="奧野彥六, 1895-"/>
    <x v="2"/>
    <s v="n/a"/>
    <x v="31"/>
    <s v="創文社"/>
    <n v="1979"/>
    <s v="Law  --  Japan  --  History ^ Law  --  China  --  History  --  Bibliography ^ Droit  --  Japon  --  Histoire ^ Droit  --  Chine  --  Histoire  --  Bibliographie ^ Arai, Hakuseki, 1657-1725 ^ Bibliographies"/>
    <n v="0"/>
    <m/>
    <m/>
  </r>
  <r>
    <n v="61"/>
    <m/>
    <m/>
    <m/>
    <x v="0"/>
    <m/>
    <m/>
    <s v="n/a"/>
    <x v="0"/>
    <m/>
    <s v="n/a"/>
    <s v="n/a"/>
    <s v="y"/>
    <s v="n/a"/>
    <s v="n/a"/>
    <n v="27683194"/>
    <s v="Jizoku to henka: Dai 2-kai Shintō Kenkyū Kokusai Kaigi kiyō"/>
    <s v="持続と変化: 第二回神道研究国際会議紀要"/>
    <s v="Sasaki, Yikitada ^ Dai 2-kai Shintō Kenkyū Kokusai Kaigi ^ Soshiki Iinkai"/>
    <s v="第二回神道研究国際会議 ^ 組織委員会"/>
    <x v="2"/>
    <s v="n/a"/>
    <x v="33"/>
    <s v="国学院大学日本文化研究所"/>
    <n v="1968"/>
    <s v="Shinto  --  Congresses ^ Shintō  --  Congrès ^ Conference papers and proceedings"/>
    <n v="0"/>
    <m/>
    <m/>
  </r>
  <r>
    <n v="62"/>
    <s v="1?"/>
    <m/>
    <m/>
    <x v="0"/>
    <m/>
    <m/>
    <s v="n/a"/>
    <x v="0"/>
    <m/>
    <s v="n/a"/>
    <s v="n/a"/>
    <s v="y"/>
    <s v="n/a"/>
    <s v="n/a"/>
    <n v="17081524"/>
    <s v="Bunka to ningen keisei"/>
    <s v="文化と人間形成"/>
    <s v="Minamoto, Ryōen, 1920-2020"/>
    <s v="源了圓, 1920-"/>
    <x v="19"/>
    <s v="教育学大全集 ; 1."/>
    <x v="34"/>
    <s v="第一法規"/>
    <n v="1982"/>
    <s v="Civilization ^ Manners and customs ^ Japan  --  Civilization ^ Japan  --  Social life and customs ^ Japon  --  Civilisation ^ Japon  --  Mœurs et coutumes"/>
    <n v="0"/>
    <m/>
    <m/>
  </r>
  <r>
    <n v="63"/>
    <n v="1"/>
    <m/>
    <m/>
    <x v="0"/>
    <m/>
    <m/>
    <s v="n/a"/>
    <x v="0"/>
    <m/>
    <s v="n/a"/>
    <s v="n/a"/>
    <s v="n/a"/>
    <s v="n/a"/>
    <s v="n/a"/>
    <n v="672513083"/>
    <s v="Bungaku ni arawaretaru kokumin shisō no kenkyū: 1, Kizoku bungaku no jidai"/>
    <s v="文学に現はれたる国民思想の研究. 第1卷, 貴族文学の時代"/>
    <s v="Tsuda, Sōkichi, 1873-1961"/>
    <s v="津田, 左右吉, 1873-1961"/>
    <x v="2"/>
    <s v="n/a"/>
    <x v="18"/>
    <s v="岩波書店"/>
    <n v="1951"/>
    <s v="Nihonseishin  --  Rekishi"/>
    <n v="0"/>
    <m/>
    <m/>
  </r>
  <r>
    <n v="63.1"/>
    <n v="3"/>
    <m/>
    <m/>
    <x v="0"/>
    <m/>
    <m/>
    <s v="n/a"/>
    <x v="0"/>
    <m/>
    <s v="n/a"/>
    <s v="n/a"/>
    <s v="n/a"/>
    <s v="n/a"/>
    <s v="n/a"/>
    <n v="672514717"/>
    <s v="Bungaku ni arawaretaru kokumin shisō no kenkyū: 3, Heimin bungaku no jidai. 1"/>
    <s v="文学に現はれたる国民思想の研究. 第3卷, 平民文学の時代. 上"/>
    <s v="Tsuda, Sōkichi, 1873-1961"/>
    <s v="津田, 左右吉, 1873-1961"/>
    <x v="2"/>
    <s v="n/a"/>
    <x v="18"/>
    <s v="岩波書店"/>
    <n v="1953"/>
    <s v="Nihonseishin  --  Rekishi"/>
    <n v="0"/>
    <m/>
    <m/>
  </r>
  <r>
    <n v="64"/>
    <m/>
    <m/>
    <m/>
    <x v="0"/>
    <m/>
    <m/>
    <s v="https://www.amazon.jp/dp/4642030034"/>
    <x v="0"/>
    <m/>
    <s v="n/a"/>
    <s v="n/a"/>
    <s v="n/a"/>
    <n v="9784642030038"/>
    <n v="4642030034"/>
    <n v="213768839"/>
    <s v="Arai Hakuseki no kenkyū"/>
    <s v="新井白石の研究"/>
    <s v="Miyazaki, Michio, 1917-2005"/>
    <s v="宮崎道生, 1917-"/>
    <x v="2"/>
    <s v="n/a"/>
    <x v="10"/>
    <s v="吉川弘文館"/>
    <n v="1969"/>
    <s v="Arai, Hakuseki, 1657-1725"/>
    <n v="0"/>
    <m/>
    <m/>
  </r>
  <r>
    <n v="65"/>
    <m/>
    <m/>
    <m/>
    <x v="0"/>
    <m/>
    <m/>
    <s v="n/a"/>
    <x v="0"/>
    <m/>
    <s v="n/a"/>
    <s v="n/a"/>
    <s v="y"/>
    <s v="n/a"/>
    <s v="n/a"/>
    <n v="3875153"/>
    <s v="Arai Hakuseki joron"/>
    <s v="新井白石序論"/>
    <s v="Miyazaki, Michio, 1917-2005"/>
    <s v="宮崎道生, 1917-"/>
    <x v="2"/>
    <s v="n/a"/>
    <x v="10"/>
    <s v="吉川弘文館"/>
    <n v="1976"/>
    <s v="Arai, Hakuseki, 1657-1725"/>
    <n v="0"/>
    <m/>
    <m/>
  </r>
  <r>
    <n v="66"/>
    <m/>
    <m/>
    <m/>
    <x v="0"/>
    <m/>
    <m/>
    <s v="n/a"/>
    <x v="0"/>
    <m/>
    <s v="n/a"/>
    <s v="n/a"/>
    <s v="n/a"/>
    <s v="n/a"/>
    <s v="n/a"/>
    <n v="709518128"/>
    <s v="Nihon ni okeru sei to shi no shisō: Nihonjin no seishinshi nyūmon"/>
    <s v="日本における生と死の思想: 日本人の精神史入門"/>
    <s v="Tamura, Yoshirō, 1921-1989 ^ Minamoto, Ryōen, 1920-2020"/>
    <s v="田村芳朗, 1921- ^ 源了圓, 1920-"/>
    <x v="20"/>
    <s v="有斐閣選書."/>
    <x v="35"/>
    <s v="有斐閣"/>
    <n v="1979"/>
    <s v="Death ^ Mort ^ deaths ^ Intellectual life ^ Japan  --  Intellectual life ^ Japon  --  Vie intellectuelle"/>
    <n v="0"/>
    <m/>
    <m/>
  </r>
  <r>
    <n v="67"/>
    <m/>
    <s v="下"/>
    <m/>
    <x v="0"/>
    <m/>
    <s v="need to see to confirm"/>
    <s v="n/a"/>
    <x v="0"/>
    <m/>
    <s v="n/a"/>
    <s v="n/a"/>
    <s v="n/a"/>
    <s v="n/a"/>
    <s v="n/a"/>
    <n v="669300993"/>
    <s v="Shushigaku taikei"/>
    <s v="朱子學大系"/>
    <s v="Morohashi, Tetsuji, 1883-1982 ^ Yasuoka, Masahiro, 1898-1983 ^ Yi, Hwang, 1501-1570 ^ Yamazaki, Ansai, 1618-1682"/>
    <s v="諸橋轍次, 1883-1982. ^ 安岡正篤, 1898-1983. ^ 이황, 1501-1570. ^ 山崎闇斎, 1618-1682"/>
    <x v="2"/>
    <s v="n/a"/>
    <x v="13"/>
    <s v="明德出版社"/>
    <n v="1975"/>
    <s v="Philosophers -- Japan ^ Zhu Xi, 1130-1200 ^ Zhu, Xi, 1130-1200"/>
    <n v="0"/>
    <m/>
    <m/>
  </r>
  <r>
    <n v="68"/>
    <m/>
    <m/>
    <m/>
    <x v="0"/>
    <m/>
    <m/>
    <s v="n/a"/>
    <x v="0"/>
    <m/>
    <s v="n/a"/>
    <s v="n/a"/>
    <s v="y"/>
    <s v="n/a"/>
    <s v="n/a"/>
    <n v="54417569"/>
    <s v="Nihon no jinja to matsuri = Shinto shrines and festivals"/>
    <s v="日本の神社と祭 = Shinto shrines and festivals"/>
    <s v="Jinja Honchō ^ Chōsabu"/>
    <s v="神社本庁 ^ 調查部"/>
    <x v="2"/>
    <s v="n/a"/>
    <x v="36"/>
    <s v="神社本庁"/>
    <n v="1964"/>
    <s v="Shinto shrines  --  Japan  --  Pictorial works ^ Festivals  --  Japan  --  Pictorial works ^ Sanctuaires shintō  --  Japon  --  Ouvrages illustrés ^ Fêtes  --  Japon  --  Ouvrages illustrés"/>
    <n v="0"/>
    <m/>
    <m/>
  </r>
  <r>
    <n v="69"/>
    <m/>
    <m/>
    <m/>
    <x v="0"/>
    <m/>
    <m/>
    <s v="n/a"/>
    <x v="0"/>
    <m/>
    <s v="n/a"/>
    <s v="n/a"/>
    <s v="n/a"/>
    <s v="n/a"/>
    <s v="n/a"/>
    <n v="3903112"/>
    <s v="Nihon jugakushi"/>
    <s v="日本儒學史"/>
    <s v="Yasui, Kotarō, 1858-1938 ^ Nihon kanbungakushi kō"/>
    <s v="安井小太郎, 1858-1938. ^ 日本漢文學史稿"/>
    <x v="2"/>
    <s v="n/a"/>
    <x v="37"/>
    <s v="富山房"/>
    <n v="1939"/>
    <s v="Confucianism  --  Japan  --  History ^ Chinese literature  --  Japan  --  History and criticism ^ Confucianisme  --  Japon  --  Histoire ^ Littérature chinoise  --  Japon  --  Histoire et critique ^ Criticism, interpretation, etc"/>
    <n v="0"/>
    <m/>
    <m/>
  </r>
  <r>
    <n v="70"/>
    <m/>
    <m/>
    <m/>
    <x v="0"/>
    <m/>
    <m/>
    <s v="n/a"/>
    <x v="0"/>
    <m/>
    <s v="n/a"/>
    <s v="n/a"/>
    <s v="n/a"/>
    <s v="n/a"/>
    <s v="n/a"/>
    <n v="13094764"/>
    <s v="Nihon Jukyō gaisetsu"/>
    <s v="日本儒教槪說"/>
    <s v="Iwahashi, Junsei, 1883-1933"/>
    <s v="岩橋遵成, 1883-1933"/>
    <x v="2"/>
    <s v="n/a"/>
    <x v="38"/>
    <s v="寶文館"/>
    <n v="1925"/>
    <s v="Philosophy, Confucian  --  Japan  --  History ^ Confucianism  --  Japan  --  History ^ Philosophie confucéenne  --  Japon  --  Histoire ^ Confucianisme  --  Japon  --  Histoire"/>
    <n v="0"/>
    <m/>
    <m/>
  </r>
  <r>
    <n v="71"/>
    <m/>
    <m/>
    <m/>
    <x v="0"/>
    <m/>
    <m/>
    <s v="n/a"/>
    <x v="0"/>
    <m/>
    <s v="n/a"/>
    <s v="n/a"/>
    <s v="y"/>
    <s v="n/a"/>
    <s v="n/a"/>
    <n v="30392306"/>
    <s v="Nihon jukyōron"/>
    <s v="日本儒教論"/>
    <s v="Banba, Masatomo"/>
    <s v="萬羽正朋"/>
    <x v="21"/>
    <s v="n/a"/>
    <x v="39"/>
    <s v="三笠書房"/>
    <n v="1939"/>
    <s v="Confucianism  --  Japan ^ Confucianisme  --  Japon"/>
    <n v="0"/>
    <m/>
    <m/>
  </r>
  <r>
    <n v="72"/>
    <m/>
    <m/>
    <m/>
    <x v="0"/>
    <m/>
    <m/>
    <s v="n/a"/>
    <x v="0"/>
    <m/>
    <s v="n/a"/>
    <s v="n/a"/>
    <s v="n/a"/>
    <s v="n/a"/>
    <s v="n/a"/>
    <n v="24118880"/>
    <s v="Nihon kodai no jingi to Dōkyō"/>
    <s v="日本古代の神祇と道敎"/>
    <s v="Shimode, Sekiyo, 1918-1998"/>
    <s v="下出積与, 1918-"/>
    <x v="22"/>
    <s v="n/a"/>
    <x v="10"/>
    <s v="吉川弘文館"/>
    <n v="1972"/>
    <s v="Taoism  --  Japan  --  History ^ Taoïsme  --  Japon  --  Histoire"/>
    <n v="0"/>
    <m/>
    <m/>
  </r>
  <r>
    <n v="73"/>
    <m/>
    <m/>
    <m/>
    <x v="0"/>
    <m/>
    <m/>
    <s v="n/a"/>
    <x v="0"/>
    <m/>
    <s v="n/a"/>
    <s v="n/a"/>
    <s v="n/a"/>
    <s v="n/a"/>
    <s v="n/a"/>
    <n v="914580297"/>
    <s v="Nihonshi shōjiten"/>
    <s v="日本史小事典"/>
    <s v="Fujiki, Kunihiko"/>
    <s v="藤木, 邦彦"/>
    <x v="2"/>
    <s v="n/a"/>
    <x v="40"/>
    <s v="学生社"/>
    <n v="1965"/>
    <s v="n/a"/>
    <n v="0"/>
    <m/>
    <m/>
  </r>
  <r>
    <n v="74"/>
    <n v="1"/>
    <m/>
    <m/>
    <x v="0"/>
    <m/>
    <m/>
    <s v="n/a"/>
    <x v="0"/>
    <m/>
    <s v="n/a"/>
    <s v="n/a"/>
    <s v="n/a"/>
    <s v="n/a"/>
    <s v="n/a"/>
    <n v="672629493"/>
    <s v="Nihon tetsugaku shiso zensho: 1"/>
    <s v="日本哲学思想全書. 第1巻 (思想 哲学篇)"/>
    <s v="Saigusa, Hiroto, 1892-1963 ^ Shimizu, Ikutaro, 1907-1988"/>
    <s v="三枝, 博音, 1892-1963 ^ 清水, 幾太郎, 1907-1988"/>
    <x v="2"/>
    <s v="n/a"/>
    <x v="0"/>
    <s v="平凡社"/>
    <n v="1979"/>
    <s v="Tetsugaku"/>
    <n v="0"/>
    <m/>
    <m/>
  </r>
  <r>
    <n v="75"/>
    <m/>
    <m/>
    <m/>
    <x v="0"/>
    <m/>
    <m/>
    <s v="n/a"/>
    <x v="0"/>
    <m/>
    <s v="n/a"/>
    <s v="n/a"/>
    <s v="n/a"/>
    <s v="n/a"/>
    <s v="n/a"/>
    <n v="33700538"/>
    <s v="Nihon sōgakushi"/>
    <s v="日本宋学史"/>
    <s v="Nishimura, Tenshū, 1865-1924"/>
    <s v="西村天囚, 1865-1924"/>
    <x v="23"/>
    <s v="n/a"/>
    <x v="41"/>
    <s v="朝日新聞社"/>
    <n v="1951"/>
    <s v="Philosophy, Japanese  --  History ^ Philosophy, Chinese ^ Philosophie japonaise  --  Histoire ^ Philosophie chinoise"/>
    <n v="0"/>
    <m/>
    <m/>
  </r>
  <r>
    <n v="76"/>
    <m/>
    <m/>
    <m/>
    <x v="0"/>
    <m/>
    <m/>
    <s v="n/a"/>
    <x v="0"/>
    <m/>
    <s v="n/a"/>
    <s v="n/a"/>
    <s v="y"/>
    <s v="n/a"/>
    <s v="n/a"/>
    <n v="22820821"/>
    <s v="Nihon shisōshi no kiso chishiki: kodai kara Meiji Ishin made"/>
    <s v="日本思想史の基礎知識: 古代から明治維新まで"/>
    <s v="Tamura, Enchō, 1917-2013, ^ ; editor.Kuroda, Toshio, 1926-1993, ^ ; editor.Sagara, Tōru, 1921- ^ ; editor.Minamoto, Ryōen, 1920-2020,"/>
    <s v="田村圓澄, 1917-2013, editor ^ 黑田俊雄, 1926-1993, editor ^ 相良亨, 1921- ^ 源了圓, 1920-2020, editor"/>
    <x v="2"/>
    <s v="n/a"/>
    <x v="35"/>
    <s v="n/a"/>
    <n v="1974"/>
    <s v="Civilization ^ Intellectual life ^ History ^ Japan  --  Intellectual life  --  History ^ Japan  --  Civilization  --  History ^ Japon  --  Vie intellectuelle  --  Histoire ^ Japon  --  Civilisation  --  Histoire"/>
    <n v="0"/>
    <m/>
    <m/>
  </r>
  <r>
    <n v="77"/>
    <m/>
    <m/>
    <m/>
    <x v="0"/>
    <m/>
    <m/>
    <s v="n/a"/>
    <x v="0"/>
    <m/>
    <s v="n/a"/>
    <s v="n/a"/>
    <s v="n/a"/>
    <s v="n/a"/>
    <s v="n/a"/>
    <n v="673097432"/>
    <s v="Nihon kangakushi"/>
    <s v="日本漢学史"/>
    <s v="Makino, Kenjirō, 1862-1937"/>
    <s v="牧野謙次郎, 1862-1937. ^ 牧野, 謙次郎, 1862-1937"/>
    <x v="2"/>
    <s v="n/a"/>
    <x v="42"/>
    <s v="世界堂書店"/>
    <n v="1938"/>
    <s v="Chinese literature  --  Japan  --  History and criticism ^ Chinese philology  --  Study and teaching  --  Japan  --  History ^ Jugaku  --  Rekishi ^ Kangaku  --  Rekishi ^ Nihon  --  Bunka  --  Rekishi ^ Littérature chinoise  --  Japon  --  Histoire et critique ^ Philologie chinoise  --  Étude et enseignement  --  Japon  --  Histoire ^ Criticism, interpretation, etc"/>
    <n v="0"/>
    <m/>
    <m/>
  </r>
  <r>
    <n v="78"/>
    <m/>
    <m/>
    <m/>
    <x v="0"/>
    <m/>
    <m/>
    <s v="n/a"/>
    <x v="0"/>
    <m/>
    <s v="n/a"/>
    <s v="n/a"/>
    <s v="y"/>
    <s v="n/a"/>
    <s v="n/a"/>
    <n v="20762825"/>
    <s v="Shōheikō to hangaku"/>
    <s v="昌平校と藩学"/>
    <s v="Wajima, Yoshio, 1905-1983"/>
    <s v="和島芳男, 1905-1983"/>
    <x v="24"/>
    <s v="n/a"/>
    <x v="43"/>
    <s v="至文堂"/>
    <n v="1966"/>
    <s v="Learning and scholarship  --  Japan ^ Philosophy, Confucian  --  Japan ^ Savoir et érudition  --  Japon ^ Philosophie confucéenne  --  Japon ^ Shōheizaka Gakumonjo"/>
    <n v="0"/>
    <m/>
    <m/>
  </r>
  <r>
    <n v="79"/>
    <m/>
    <m/>
    <m/>
    <x v="0"/>
    <m/>
    <m/>
    <s v="n/a"/>
    <x v="0"/>
    <m/>
    <s v="n/a"/>
    <s v="n/a"/>
    <s v="y"/>
    <s v="n/a"/>
    <s v="n/a"/>
    <n v="19626700"/>
    <s v="Mindai keiseibun bunrui mokuroku"/>
    <s v="明代経世文分類目錄"/>
    <s v="Tōyō Bunko (Japan) ^ Mindaishi Kenkyū Iinkai"/>
    <s v="東洋文庫 (Japan) ^ 明代史研究委員会"/>
    <x v="2"/>
    <s v="n/a"/>
    <x v="27"/>
    <s v="東洋文庫"/>
    <n v="1986"/>
    <s v="History ^ 1368-1644 ^ China  --  History  --  Ming dynasty, 1368-1644  --  Sources  --  Indexes ^ Chine  --  Histoire  --  1368-1644 (Dynastie des Ming)  --  Sources  --  Index"/>
    <n v="0"/>
    <m/>
    <m/>
  </r>
  <r>
    <n v="80"/>
    <m/>
    <m/>
    <m/>
    <x v="0"/>
    <m/>
    <m/>
    <s v="n/a"/>
    <x v="0"/>
    <m/>
    <s v="n/a"/>
    <s v="n/a"/>
    <s v="n/a"/>
    <s v="n/a"/>
    <s v="n/a"/>
    <n v="834723768"/>
    <s v="Meiji taishō shōwa shintō shoseki mokuroku"/>
    <s v="明治・大正・昭和神道書籍目錄"/>
    <s v="Katō, Genchi, 1873-1965"/>
    <s v="加藤玄智, 1873-1965"/>
    <x v="2"/>
    <s v="n/a"/>
    <x v="44"/>
    <s v="明治神宮社務所"/>
    <n v="1953"/>
    <s v="shintō shomoku"/>
    <n v="0"/>
    <m/>
    <m/>
  </r>
  <r>
    <n v="81"/>
    <n v="1"/>
    <m/>
    <m/>
    <x v="0"/>
    <m/>
    <m/>
    <s v="https://www.amazon.jp/dp/4924520454"/>
    <x v="0"/>
    <m/>
    <s v="n/a"/>
    <s v="n/a"/>
    <s v="y"/>
    <n v="9784924520455"/>
    <n v="4924520454"/>
    <n v="43941689"/>
    <s v="Meiji shisōshi"/>
    <s v="明治思想史"/>
    <s v="Kōsaka, Masaaki, 1900-1969 ^ Minamoto, Ryōen, 1920-2020 ^ Meiji shisōshi"/>
    <s v="高坂正顕, 1900-1969. ^ 源了圓, 1920- ^ 明治思想史"/>
    <x v="25"/>
    <s v="京都哲学撰書 ; 第 1卷."/>
    <x v="45"/>
    <s v="燈影社"/>
    <n v="1999"/>
    <s v="Philosophy, Japanese  --  History ^ Philosophy  --  Japan  --  History  --  19th century ^ Philosophy  --  Japan  --  History  --  20th century ^ Philosophie japonaise  --  Histoire ^ Philosophie  --  Japon  --  Histoire  --  19e siècle ^ Philosophie  --  Japon  --  Histoire  --  20e siècle ^ Tetsugaku ^ Nihon shiso  --  Rekishi ^ Nihon shisō-Rekishi ^ 1800-1999"/>
    <n v="0"/>
    <m/>
    <m/>
  </r>
  <r>
    <n v="82"/>
    <m/>
    <m/>
    <m/>
    <x v="0"/>
    <m/>
    <m/>
    <s v="n/a"/>
    <x v="0"/>
    <m/>
    <s v="n/a"/>
    <s v="n/a"/>
    <s v="y"/>
    <s v="n/a"/>
    <s v="n/a"/>
    <n v="9181372"/>
    <s v="Meiji Ishin shi"/>
    <s v="明治維新史"/>
    <s v="Sakata, Yoshio, 1906- ^ author"/>
    <s v="坂田吉雄, 1906- ^ author"/>
    <x v="2"/>
    <s v="n/a"/>
    <x v="46"/>
    <s v="n/a"/>
    <n v="1960"/>
    <s v="History ^ 1853-1912 ^ Japan  --  History  --  Restoration, 1853-1870 ^ Japan  --  History  --  Meiji period, 1868-1912 ^ Japon  --  Histoire  --  1853-1870 (Restauration) ^ Japon  --  Histoire  --  1868-1912 (Ère Meiji)"/>
    <n v="0"/>
    <m/>
    <m/>
  </r>
  <r>
    <n v="83"/>
    <m/>
    <m/>
    <m/>
    <x v="0"/>
    <m/>
    <m/>
    <s v="n/a"/>
    <x v="0"/>
    <m/>
    <s v="n/a"/>
    <s v="n/a"/>
    <s v="y"/>
    <s v="n/a"/>
    <s v="n/a"/>
    <n v="9182789"/>
    <s v="Meiji Ishin shi no mondaiten"/>
    <s v="明治維新史の問題点"/>
    <s v="Sakata, Yoshio, 1906-"/>
    <s v="坂田吉雄, 1906-"/>
    <x v="2"/>
    <s v="n/a"/>
    <x v="46"/>
    <s v="未來社"/>
    <n v="1962"/>
    <s v="History ^ 1787-1912 ^ Japan  --  History  --  1787-1868 ^ Japan  --  History  --  Meiji period, 1968-1912 ^ Japon  --  Histoire  --  1787-1868"/>
    <n v="0"/>
    <m/>
    <m/>
  </r>
  <r>
    <n v="84"/>
    <n v="6"/>
    <m/>
    <m/>
    <x v="0"/>
    <m/>
    <m/>
    <s v="n/a"/>
    <x v="0"/>
    <m/>
    <s v="n/a"/>
    <s v="n/a"/>
    <s v="n/a"/>
    <s v="n/a"/>
    <s v="n/a"/>
    <n v="834724968"/>
    <s v="Meiji ishinshi kenkyū kōza: dai6kan"/>
    <s v="明治維新史研究講座. 第6卷"/>
    <s v="Rekishigaku Kenkyūkai"/>
    <s v="歴史学研究会"/>
    <x v="2"/>
    <s v="n/a"/>
    <x v="25"/>
    <s v="平凡社"/>
    <n v="1959"/>
    <s v="meijiishin ^ nihon rekishi edomakki"/>
    <n v="0"/>
    <m/>
    <m/>
  </r>
  <r>
    <n v="85"/>
    <n v="12"/>
    <s v="上"/>
    <m/>
    <x v="0"/>
    <m/>
    <m/>
    <s v="n/a"/>
    <x v="0"/>
    <m/>
    <s v="n/a"/>
    <s v="n/a"/>
    <s v="n/a"/>
    <s v="n/a"/>
    <s v="n/a"/>
    <n v="123371472"/>
    <s v="Chōsen no Shushi-gaku, Nihon no Shushi-gaku"/>
    <s v="朝鮮の朱子学・日本の朱子学"/>
    <s v="n/a"/>
    <s v="n/a"/>
    <x v="26"/>
    <s v="朱子学大糸 ; 第 12-13卷."/>
    <x v="13"/>
    <s v="明徳出版社"/>
    <n v="1977"/>
    <s v="Philosophers  --  Korea ^ Philosophers  --  Japan ^ Neo-Confucianism  --  Korea  --  Collected works ^ Neo-Confucianism  --  Japan  --  Collected works ^ Philosophes  --  Corée ^ Philosophes  --  Japon ^ Zhu, Xi, 1130-1200  --  Collected works"/>
    <n v="0"/>
    <m/>
    <m/>
  </r>
  <r>
    <n v="86"/>
    <m/>
    <m/>
    <m/>
    <x v="0"/>
    <m/>
    <s v="rare?"/>
    <s v="n/a"/>
    <x v="0"/>
    <m/>
    <s v="n/a"/>
    <s v="n/a"/>
    <s v="n/a"/>
    <s v="n/a"/>
    <s v="n/a"/>
    <n v="20621659"/>
    <s v="Honpō Jugakushi ronkō"/>
    <s v="本邦儒學史論攷"/>
    <s v="Ōe, Fumiki"/>
    <s v="大江文城."/>
    <x v="2"/>
    <s v="n/a"/>
    <x v="47"/>
    <s v="全國書房"/>
    <n v="1944"/>
    <s v="Neo-Confucianism  --  Japan"/>
    <n v="0"/>
    <m/>
    <m/>
  </r>
  <r>
    <n v="87"/>
    <n v="10"/>
    <s v="上"/>
    <m/>
    <x v="0"/>
    <m/>
    <s v="check book for better title/author info"/>
    <s v="n/a"/>
    <x v="0"/>
    <m/>
    <s v="n/a"/>
    <s v="n/a"/>
    <s v="n/a"/>
    <s v="n/a"/>
    <s v="n/a"/>
    <n v="834481946"/>
    <s v="Shushigaku taikei: dai10kan"/>
    <s v="朱子学大系. 第10卷"/>
    <s v="n/a"/>
    <s v="n/a"/>
    <x v="2"/>
    <s v="n/a"/>
    <x v="13"/>
    <s v="明徳出版社"/>
    <n v="1976"/>
    <s v="shushigaku"/>
    <n v="0"/>
    <m/>
    <m/>
  </r>
  <r>
    <n v="88"/>
    <n v="4"/>
    <s v="上"/>
    <m/>
    <x v="0"/>
    <m/>
    <s v="2 volumes, see row 88.1"/>
    <s v="n/a"/>
    <x v="0"/>
    <m/>
    <s v="n/a"/>
    <s v="n/a"/>
    <s v="n/a"/>
    <s v="n/a"/>
    <s v="n/a"/>
    <n v="834469881"/>
    <s v="Shushigaku taikei: dai4kan"/>
    <s v="朱子学大系. 第4卷"/>
    <s v="Shu, Ki, 1130-1200"/>
    <s v="朱熹, 1130-1200"/>
    <x v="2"/>
    <s v="n/a"/>
    <x v="13"/>
    <s v="明徳出版社"/>
    <n v="1982"/>
    <s v="shushigaku"/>
    <n v="0"/>
    <m/>
    <m/>
  </r>
  <r>
    <n v="88.1"/>
    <n v="5"/>
    <s v="下"/>
    <m/>
    <x v="0"/>
    <m/>
    <s v="split original list to reflect two volumes"/>
    <s v="n/a"/>
    <x v="0"/>
    <m/>
    <s v="n/a"/>
    <s v="n/a"/>
    <s v="n/a"/>
    <s v="n/a"/>
    <s v="n/a"/>
    <n v="834471383"/>
    <s v="Shushigaku taikei: Dai5kan"/>
    <s v="朱子学大系. 第5卷"/>
    <s v="Shu, Ki, 1130-1200"/>
    <s v="朱熹, 1130-1200"/>
    <x v="2"/>
    <s v="n/a"/>
    <x v="13"/>
    <s v="明徳出版社"/>
    <n v="1983"/>
    <s v="shushigaku"/>
    <n v="0"/>
    <m/>
    <m/>
  </r>
  <r>
    <n v="89"/>
    <n v="6"/>
    <m/>
    <m/>
    <x v="0"/>
    <m/>
    <s v="subject heading in french"/>
    <s v="n/a"/>
    <x v="0"/>
    <m/>
    <s v="n/a"/>
    <s v="n/a"/>
    <s v="n/a"/>
    <s v="n/a"/>
    <s v="n/a"/>
    <n v="17037898"/>
    <s v="Shushi gorui"/>
    <s v="朱子語類"/>
    <s v="Zhu, Xi, 1130-1200 ^ Okada, Takehiko"/>
    <s v="朱熹, 1130-1200. ^ 岡田武彥"/>
    <x v="27"/>
    <s v="n/a"/>
    <x v="13"/>
    <s v="明徳出版社"/>
    <n v="1981"/>
    <s v="Zhu, Xi, 1130-1200. Chu-tzu yü lei"/>
    <n v="0"/>
    <m/>
    <m/>
  </r>
  <r>
    <n v="90"/>
    <m/>
    <m/>
    <m/>
    <x v="0"/>
    <m/>
    <m/>
    <s v="n/a"/>
    <x v="0"/>
    <m/>
    <s v="n/a"/>
    <s v="n/a"/>
    <s v="y"/>
    <s v="n/a"/>
    <s v="n/a"/>
    <n v="123310605"/>
    <s v="Ri Taikei: sono kodō to shisō"/>
    <s v="李退溪: その行動と思想"/>
    <s v="Abe, Yoshio, 1905-1978"/>
    <s v="阿部吉雄, 1905-"/>
    <x v="28"/>
    <s v="n/a"/>
    <x v="48"/>
    <s v="評論社"/>
    <n v="1977"/>
    <s v="Philosophers  --  Korea  --  Biography ^ Neo-Confucianism  --  Japan ^ Neo-Confucianism  --  Korea ^ Philosophes  --  Corée  --  Biographies ^ Yi, Hwang, 1501-1570"/>
    <n v="0"/>
    <m/>
    <m/>
  </r>
  <r>
    <n v="91"/>
    <m/>
    <m/>
    <m/>
    <x v="0"/>
    <m/>
    <s v="need to see item"/>
    <s v="n/a"/>
    <x v="0"/>
    <m/>
    <s v="n/a"/>
    <s v="n/a"/>
    <s v="y"/>
    <s v="n/a"/>
    <s v="n/a"/>
    <n v="34452824"/>
    <s v="Shinpen Tōyōshi jiten"/>
    <s v="新編東洋史辞典"/>
    <s v="Kyōto Daigaku ^ Tōyōshi Kenkyūshitsu"/>
    <s v="京都大学 ^ 東洋史辞典編纂会 ^ 京都大学 ^ 文学部 ^ 東洋史硏究室"/>
    <x v="2"/>
    <s v="n/a"/>
    <x v="49"/>
    <s v="東京創元社"/>
    <n v="1981"/>
    <s v="Dictionaries ^ History ^ East Asia  --  History  --  Dictionaries  --  Japanese"/>
    <n v="0"/>
    <m/>
    <m/>
  </r>
  <r>
    <n v="92"/>
    <n v="6"/>
    <m/>
    <m/>
    <x v="0"/>
    <m/>
    <m/>
    <s v="n/a"/>
    <x v="0"/>
    <m/>
    <s v="n/a"/>
    <s v="n/a"/>
    <s v="y"/>
    <s v="n/a"/>
    <s v="n/a"/>
    <n v="33581350"/>
    <s v="Tōyō hōken shakai no moraru"/>
    <s v="東洋封建社会のモラル"/>
    <s v="Ishida, Ichirō, 1913-2006"/>
    <s v="石田一良, 1913-2006"/>
    <x v="29"/>
    <s v="n/a"/>
    <x v="25"/>
    <s v="平凡社"/>
    <n v="1965"/>
    <s v="Feudalism  --  Asia ^ Philosophy, Chinese ^ Buddhism  --  Asia  --  History  --  Philosophy ^ Philosophie chinoise ^ Bouddhisme  --  Asie  --  Histoire  --  Philosophie ^ Buddhism  --  Philosophy ^ 1185-1600 ^ Japan  --  History  --  1185-1600 ^ Japon  --  Histoire  --  1185-1600"/>
    <n v="0"/>
    <m/>
    <m/>
  </r>
  <r>
    <n v="93"/>
    <m/>
    <m/>
    <m/>
    <x v="0"/>
    <m/>
    <m/>
    <s v="n/a"/>
    <x v="0"/>
    <m/>
    <s v="n/a"/>
    <s v="n/a"/>
    <s v="y"/>
    <s v="n/a"/>
    <s v="n/a"/>
    <n v="47572401"/>
    <s v="Hayashi ryōsai kenkyū"/>
    <s v="林良斎研究"/>
    <s v="Kinami, Takuichi, 1925-2016"/>
    <s v="木南卓一, 1925-"/>
    <x v="2"/>
    <s v="n/a"/>
    <x v="50"/>
    <s v="[木南卓一]"/>
    <n v="1983"/>
    <s v="Hayashi, Ryōsai, 1807-1849"/>
    <n v="0"/>
    <m/>
    <m/>
  </r>
  <r>
    <n v="94"/>
    <m/>
    <m/>
    <m/>
    <x v="0"/>
    <m/>
    <m/>
    <s v="n/a"/>
    <x v="0"/>
    <m/>
    <s v="n/a"/>
    <s v="n/a"/>
    <s v="n/a"/>
    <s v="n/a"/>
    <s v="n/a"/>
    <n v="461784699"/>
    <s v="Baigan to sono monryū: sekimon shingakushi kenkyū"/>
    <s v="梅岩とその門流: 石門心学史研究／"/>
    <s v="Shibata, Minoru, 1906-"/>
    <s v="柴田実, 1906-"/>
    <x v="2"/>
    <s v="n/a"/>
    <x v="51"/>
    <s v="京都: ミネルヴァ書房"/>
    <n v="1977"/>
    <s v="Shingaku ^ Ishida, Baigan, 1685-1744"/>
    <n v="0"/>
    <m/>
    <m/>
  </r>
  <r>
    <n v="95"/>
    <n v="2"/>
    <m/>
    <m/>
    <x v="0"/>
    <m/>
    <m/>
    <s v="https://www.amazon.jp/dp/4000911120"/>
    <x v="0"/>
    <m/>
    <s v="n/a"/>
    <s v="n/a"/>
    <s v="n/a"/>
    <s v="9784000911122 (2) ^ 9784000911139 (3) ^ 9784000911146 (4) ^ 9784000911160 (6) ^ 9784000911177 (7) ^ 9784000911184 (8) ^ 9784000911191 (9) ^ 9784000911207 (10) ^ 9784000911214 (11) ^ 9784000911221 (12) ^ 9784000911238 (13) ^ 9784000911245 (14) ^ 9784000911252 (15) ^ 9784000911269 (16) ^ 9784000911276 (17) ^ 9784000911283 (18) ^ 9784000911290 (19) ^ 9784000911306 (20) ^ 9784000911313 (21) ^ 9784000911320 (22) ^ 9784000911337 (23) ^ 9784000911344 (24) ^ 9784000911351 (25) ^ 9784000911368 (26) ^ 9784000911375 (27) ^ 9784000911382 (28) ^ 9784000911399 (29) ^ 9784000911405 (30) ^ 9784000911412 (31) ^ 9784000911429 (32) ^ 9784000911436 (33) ^ 9784000911443 (34) ^ 9784000911115 ^ 9784000911153 ^ 9784000911450"/>
    <s v="4000911120 ^ 4000911120 (2) ^ 4000911139 ^ 4000911139 (3) ^ 4000911147 ^ 4000911147 (4) ^ 4000911163 ^ 4000911163 (6) ^ 4000911171 ^ 4000911171 (7) ^ 400091118X ^ 400091118X (8) ^ 4000911198 ^ 4000911198 (9) ^ 4000911201 ^ 4000911201 (10) ^ 400091121X ^ 400091121X (11) ^ 4000911228 ^ 4000911228 (12) ^ 4000911236 ^ 4000911236 (13) ^ 4000911244 ^ 4000911244 (14) ^ 4000911252 ^ 4000911252 (15) ^ 4000911260 ^ 4000911260 (16) ^ 4000911279 ^ 4000911279 (17) ^ 4000911287 ^ 4000911287 (18) ^ 4000911295 ^ 4000911295 (19) ^ 4000911309 ^ 4000911309 (20) ^ 4000911317 ^ 4000911317 (21) ^ 4000911325 ^ 4000911325 (22) ^ 4000911333 ^ 4000911333 (23) ^ 4000911341 ^ 4000911341 (24) ^ 400091135X ^ 400091135X (25) ^ 4000911368 ^ 4000911368 (26) ^ 4000911376 ^ 4000911376 (27) ^ 4000911384 ^ 4000911384 (28) ^ 4000911392 ^ 4000911392 (29) ^ 4000911406 ^ 4000911406 (30) ^ 4000911414 ^ 4000911414 (31) ^ 4000911422 ^ 4000911422 (32) ^ 4000911430 ^ 4000911430 (33) ^ 4000911449 ^ 4000911449 (34) ^ 4000911112 ^ 4000911155 ^ 4000911457"/>
    <n v="985983725"/>
    <s v="Tsuda sokichi zenshu"/>
    <s v="津田左右吉全集"/>
    <s v="Tsuda, Sokichi"/>
    <s v="津田, 左右吉"/>
    <x v="2"/>
    <s v="n/a"/>
    <x v="0"/>
    <s v="岩波書店"/>
    <s v="1964-1989"/>
    <s v="Nihongo"/>
    <n v="0"/>
    <m/>
    <m/>
  </r>
  <r>
    <n v="96"/>
    <m/>
    <m/>
    <m/>
    <x v="0"/>
    <m/>
    <m/>
    <s v="https://www.amazon.jp/dp/4784205241"/>
    <x v="0"/>
    <m/>
    <s v="n/a"/>
    <s v="n/a"/>
    <s v="y"/>
    <n v="9784784205240"/>
    <n v="4784205241"/>
    <n v="21831666"/>
    <s v="Edo no jugaku: &quot;Daigaku&quot; juyō no rekishi"/>
    <s v="江戶の儒学: 「大学」受容の歴史"/>
    <s v="Minamoto, Ryōen, 1920-2020"/>
    <s v="源了圓, 1920-"/>
    <x v="2"/>
    <s v="n/a"/>
    <x v="29"/>
    <s v="思文閣出版"/>
    <n v="1988"/>
    <s v="Philosophy, Confucian  --  Japan ^ Philosophie confucéenne  --  Japon ^ Da xue"/>
    <n v="0"/>
    <m/>
    <m/>
  </r>
  <r>
    <n v="97"/>
    <m/>
    <m/>
    <m/>
    <x v="0"/>
    <m/>
    <m/>
    <s v="n/a"/>
    <x v="0"/>
    <m/>
    <s v="n/a"/>
    <s v="n/a"/>
    <s v="y"/>
    <s v="n/a"/>
    <s v="n/a"/>
    <n v="22706864"/>
    <s v="Edo kōki no hikaku bunka kenkyū"/>
    <s v="江戶後期の比較文化研究"/>
    <s v="Minamoto, Ryōen, 1920-2020"/>
    <s v="源了圓, 1920-"/>
    <x v="2"/>
    <s v="n/a"/>
    <x v="15"/>
    <s v="ぺりかん社"/>
    <n v="1990"/>
    <s v="Civilization ^ 1600-1868 ^ Japan  --  Civilization  --  1600-1868 ^ Japon  --  Civilisation  --  1600-1868"/>
    <n v="0"/>
    <m/>
    <m/>
  </r>
  <r>
    <n v="98"/>
    <m/>
    <m/>
    <m/>
    <x v="0"/>
    <m/>
    <m/>
    <s v="n/a"/>
    <x v="0"/>
    <m/>
    <s v="n/a"/>
    <s v="n/a"/>
    <s v="y"/>
    <s v="n/a"/>
    <s v="n/a"/>
    <n v="17072642"/>
    <s v="Edoki no jugaku: Shuōgaku no Nihon-teki tenkai"/>
    <s v="江戶期の儒学: 朱王学の日 本的展開"/>
    <s v="Okada, Takehiko, ^ author"/>
    <s v="岡田武彥, author. ^ 岡田武彦(1908- ^ )"/>
    <x v="2"/>
    <s v="n/a"/>
    <x v="52"/>
    <s v="n/a"/>
    <n v="1982"/>
    <s v="Neo-Confucianism  --  Japan ^ Philosophers  --  Japan ^ Philosophes  --  Japon"/>
    <n v="0"/>
    <m/>
    <m/>
  </r>
  <r>
    <n v="99"/>
    <m/>
    <m/>
    <m/>
    <x v="0"/>
    <m/>
    <m/>
    <s v="n/a"/>
    <x v="0"/>
    <m/>
    <s v="n/a"/>
    <s v="n/a"/>
    <s v="y"/>
    <s v="n/a"/>
    <s v="n/a"/>
    <n v="33509817"/>
    <s v="Ikeda sōan sensei chosakushū"/>
    <s v="池田草菴先生著作集"/>
    <s v="Ikeda, Sōan, 1813-1878"/>
    <s v="池田草庵, 1813-1878"/>
    <x v="30"/>
    <s v="池田草菴全集 ; 第1編."/>
    <x v="53"/>
    <s v="池田草菴全集編集委員会"/>
    <n v="1981"/>
    <s v="Ikeda, Sōan, 1813-1878"/>
    <n v="0"/>
    <m/>
    <m/>
  </r>
  <r>
    <n v="100"/>
    <m/>
    <m/>
    <m/>
    <x v="0"/>
    <m/>
    <m/>
    <s v="n/a"/>
    <x v="0"/>
    <m/>
    <s v="n/a"/>
    <s v="n/a"/>
    <s v="n/a"/>
    <s v="n/a"/>
    <s v="n/a"/>
    <n v="22792974"/>
    <s v="Okinawa rekishi monogatari"/>
    <s v="沖縄歴史物語"/>
    <s v="Iha, Fuyū, 1876-1947"/>
    <s v="伊波普猷, 1876-1947"/>
    <x v="2"/>
    <s v="n/a"/>
    <x v="54"/>
    <s v="マカレー東本願寺"/>
    <n v="1948"/>
    <s v="Okinawa-ken (Japan)  --  History ^ Okinawa (Japon : Ken)  --  Histoire ^ Japan  --  Okinawa-ken"/>
    <n v="0"/>
    <m/>
    <m/>
  </r>
  <r>
    <n v="101"/>
    <m/>
    <m/>
    <m/>
    <x v="0"/>
    <m/>
    <m/>
    <s v="n/a"/>
    <x v="0"/>
    <m/>
    <s v="n/a"/>
    <s v="n/a"/>
    <s v="y"/>
    <s v="n/a"/>
    <s v="n/a"/>
    <n v="45483433"/>
    <s v="Ō Yōmei kikō: Ō Yōmei no iseki o tazunete"/>
    <s v="王陽明紀行: 王陽明の遺跡を訪ねて"/>
    <s v="Okada, Takehiko"/>
    <s v="岡田武彦"/>
    <x v="2"/>
    <s v="n/a"/>
    <x v="13"/>
    <s v="明徳出版社"/>
    <n v="1997"/>
    <s v="Historic sites  --  China ^ Lieux historiques  --  Chine ^ Homes ^ Wang, Yangming, 1472-1529  --  Homes and haunts ^ China  --  Description and travel ^ Chine  --  Descriptions et voyages"/>
    <n v="0"/>
    <m/>
    <m/>
  </r>
  <r>
    <n v="101"/>
    <m/>
    <m/>
    <m/>
    <x v="0"/>
    <m/>
    <m/>
    <s v="n/a"/>
    <x v="0"/>
    <m/>
    <s v="n/a"/>
    <s v="n/a"/>
    <s v="y"/>
    <s v="n/a"/>
    <s v="n/a"/>
    <n v="45483433"/>
    <s v="Ō Yōmei kikō: Ō Yōmei no iseki o tazunete"/>
    <s v="王陽明紀行: 王陽明の遺跡を訪ねて"/>
    <s v="Okada, Takehiko"/>
    <s v="岡田武彦"/>
    <x v="2"/>
    <s v="n/a"/>
    <x v="13"/>
    <s v="明徳出版社"/>
    <n v="1997"/>
    <s v="Historic sites  --  China ^ Lieux historiques  --  Chine ^ Homes ^ Wang, Yangming, 1472-1529  --  Homes and haunts ^ China  --  Description and travel ^ Chine  --  Descriptions et voyages"/>
    <n v="0"/>
    <m/>
    <m/>
  </r>
  <r>
    <n v="103"/>
    <m/>
    <m/>
    <m/>
    <x v="0"/>
    <m/>
    <m/>
    <s v="n/a"/>
    <x v="0"/>
    <m/>
    <s v="n/a"/>
    <s v="n/a"/>
    <s v="n/a"/>
    <s v="n/a"/>
    <s v="n/a"/>
    <n v="673848555"/>
    <s v="Chōnin bunka: Genroku bunka bunsei jidai no bunka ni tsuite"/>
    <s v="町人文化: 元禄・文化・文政時代の文化について"/>
    <s v="Ishida, Ichirō, 1913-"/>
    <s v="石田, 一良, 1913-"/>
    <x v="31"/>
    <s v="日本歴史新書"/>
    <x v="43"/>
    <s v="至文堂"/>
    <n v="1961"/>
    <s v="City and town life ^ Nihon  --  Rekishi  --  Edojidai ^ Chōnin ^ Vie urbaine ^ Manners and customs ^ Japan  --  Social life and customs ^ Japon  --  Mœurs et coutumes ^ Nihon  --   --  Rekishi  --   --  Kinsei"/>
    <n v="0"/>
    <m/>
    <m/>
  </r>
  <r>
    <n v="104"/>
    <m/>
    <m/>
    <m/>
    <x v="0"/>
    <m/>
    <s v="insert/signed"/>
    <s v="n/a"/>
    <x v="0"/>
    <m/>
    <s v="n/a"/>
    <s v="n/a"/>
    <s v="y"/>
    <s v="n/a"/>
    <s v="n/a"/>
    <n v="24818068"/>
    <s v="Ishida Baigan no shisō: &quot;kokoro&quot; to &quot;ken'yaku&quot; no tetsugaku"/>
    <s v="石田梅岩の思想: 「心」と「倹約」の哲学"/>
    <s v="Furuta, Shōkin, 1911-2001 ^ Imai, Jun, 1926-2012"/>
    <s v="古田紹欽, 1911- ^ 今井淳, 1926-"/>
    <x v="2"/>
    <s v="n/a"/>
    <x v="15"/>
    <s v="ペリカン社"/>
    <n v="1979"/>
    <s v="Shingaku ^ Ishida, Baigan, 1685-1744"/>
    <n v="0"/>
    <m/>
    <m/>
  </r>
  <r>
    <n v="105"/>
    <m/>
    <s v="上"/>
    <n v="1"/>
    <x v="0"/>
    <m/>
    <m/>
    <s v="n/a"/>
    <x v="0"/>
    <m/>
    <s v="n/a"/>
    <s v="n/a"/>
    <s v="y"/>
    <s v="n/a"/>
    <s v="n/a"/>
    <n v="37468139"/>
    <s v="Ishida Baigan zenshū"/>
    <s v="石田梅岩全集"/>
    <s v="Ishida, Baigan, 1685-1744 ^ Shibata, Minoru, 1906-"/>
    <s v="石田梅岩, 1685-1744. ^ 柴田實, 1906-"/>
    <x v="2"/>
    <s v="n/a"/>
    <x v="55"/>
    <s v="石門心學會"/>
    <s v="1956-1957"/>
    <s v="Shingaku ^ Ethics ^ Morale ^ ethics (philosophy)"/>
    <n v="0"/>
    <m/>
    <m/>
  </r>
  <r>
    <n v="105.1"/>
    <s v="can skip in spreadsheet"/>
    <s v="下"/>
    <n v="2"/>
    <x v="0"/>
    <m/>
    <m/>
    <s v="n/a"/>
    <x v="0"/>
    <m/>
    <s v="n/a"/>
    <s v="n/a"/>
    <s v="y"/>
    <s v="n/a"/>
    <s v="n/a"/>
    <n v="37468139"/>
    <s v="Ishida Baigan zenshū"/>
    <s v="石田梅岩全集"/>
    <s v="Ishida, Baigan, 1685-1744 ^ Shibata, Minoru, 1906-"/>
    <s v="石田梅岩, 1685-1744. ^ 柴田實, 1906-"/>
    <x v="2"/>
    <s v="n/a"/>
    <x v="55"/>
    <s v="石門心學會"/>
    <s v="1956-1957"/>
    <s v="Shingaku ^ Ethics ^ Morale ^ ethics (philosophy)"/>
    <n v="0"/>
    <m/>
    <m/>
  </r>
  <r>
    <n v="106"/>
    <m/>
    <m/>
    <m/>
    <x v="0"/>
    <m/>
    <m/>
    <s v="n/a"/>
    <x v="0"/>
    <m/>
    <s v="n/a"/>
    <s v="n/a"/>
    <s v="y"/>
    <s v="n/a"/>
    <s v="n/a"/>
    <n v="1282649547"/>
    <s v="Ishida Baigan shishinshō"/>
    <s v="石田梅岩私新抄"/>
    <s v="Takuichi Kinami"/>
    <s v="木南卓一1925- ; 木南卓一著"/>
    <x v="2"/>
    <s v="n/a"/>
    <x v="56"/>
    <s v="n/a"/>
    <n v="1985"/>
    <s v="Ishida, Baigan -- 1685-1744 ; Shingaku ; Ethics"/>
    <n v="0"/>
    <m/>
    <m/>
  </r>
  <r>
    <n v="107"/>
    <n v="15"/>
    <m/>
    <m/>
    <x v="0"/>
    <m/>
    <m/>
    <s v="n/a"/>
    <x v="0"/>
    <m/>
    <s v="n/a"/>
    <s v="n/a"/>
    <s v="y"/>
    <s v="n/a"/>
    <s v="n/a"/>
    <n v="19854857"/>
    <s v="Shakaishugi"/>
    <s v="社会主義"/>
    <s v="Ōkōchi, Kazuo, 1905-1984"/>
    <s v="大河內一男, 1905-1984"/>
    <x v="32"/>
    <s v="n/a"/>
    <x v="23"/>
    <s v="n/a"/>
    <n v="1963"/>
    <s v="Socialism  --  Japan"/>
    <n v="0"/>
    <m/>
    <m/>
  </r>
  <r>
    <n v="108"/>
    <m/>
    <m/>
    <m/>
    <x v="0"/>
    <m/>
    <m/>
    <s v="n/a"/>
    <x v="0"/>
    <m/>
    <s v="n/a"/>
    <s v="n/a"/>
    <s v="n/a"/>
    <s v="n/a"/>
    <s v="n/a"/>
    <n v="674552999"/>
    <s v="Shintō ronbun sōmokuroku"/>
    <s v="神道論文総目錄"/>
    <s v="Kokugakuin Daigaku Nihon Bunka Kenkyūjo"/>
    <s v="国学院大学日本文化研究所"/>
    <x v="2"/>
    <s v="n/a"/>
    <x v="44"/>
    <s v="明治神宮社務所"/>
    <n v="1963"/>
    <s v="Shinto  --  Periodicals  --  Indexes ^ Shinto  --  Bibliography ^ Shintō  --  Shomoku ^ Shintō  --  Périodiques  --  Index ^ Shintō  --  Bibliographie ^ Bibliographies"/>
    <n v="0"/>
    <m/>
    <m/>
  </r>
  <r>
    <n v="109"/>
    <m/>
    <m/>
    <m/>
    <x v="0"/>
    <m/>
    <m/>
    <s v="n/a"/>
    <x v="0"/>
    <m/>
    <s v="n/a"/>
    <s v="n/a"/>
    <s v="y"/>
    <s v="n/a"/>
    <s v="n/a"/>
    <n v="23071988"/>
    <s v="Shintō jiten"/>
    <s v="神道辞典"/>
    <s v="Anzu, Motohiko, 1912-1985 ^ Umeda, Yoshihiko, 1906-1980, ^ ; author"/>
    <s v="安津素彥, 1912- ^ 梅田義彥, 1906- ^ author"/>
    <x v="2"/>
    <s v="n/a"/>
    <x v="57"/>
    <s v="堀書店"/>
    <n v="1968"/>
    <s v="Shinto  --  Dictionaries"/>
    <n v="0"/>
    <m/>
    <m/>
  </r>
  <r>
    <n v="110"/>
    <m/>
    <m/>
    <m/>
    <x v="0"/>
    <m/>
    <m/>
    <s v="n/a"/>
    <x v="0"/>
    <m/>
    <s v="n/a"/>
    <s v="n/a"/>
    <s v="y"/>
    <s v="n/a"/>
    <s v="n/a"/>
    <n v="23206449"/>
    <s v="Sōgō Shunjū Sa-shi den sakuin"/>
    <s v="綜合春秋左氏傳索引"/>
    <s v="Yasui, Kotarō, 1858-1938 ^ Morohashi, Tetsuji, 1883-1982 ^ Zuoqiu, Ming ^ Zuo zhuan ^ Daitō Bunka Gakuin ^ Shidōkai ^ Kenkyūbu"/>
    <s v="大東文化學院 ^ 志道會 ^ 硏究部"/>
    <x v="2"/>
    <s v="n/a"/>
    <x v="58"/>
    <s v="汲古書院"/>
    <s v="1981, 1935"/>
    <s v="Zuoqiu, Ming. Zuo zhuan  --  Indexes ^ Zuo zhuan (Zuoqiu, Ming)"/>
    <n v="0"/>
    <m/>
    <m/>
  </r>
  <r>
    <n v="111"/>
    <m/>
    <m/>
    <m/>
    <x v="0"/>
    <m/>
    <s v="insert/signed"/>
    <s v="n/a"/>
    <x v="0"/>
    <m/>
    <s v="n/a"/>
    <s v="n/a"/>
    <s v="n/a"/>
    <s v="n/a"/>
    <s v="n/a"/>
    <n v="502543150"/>
    <s v="Giri to ninjō: Nihonteki shinjō no ichikōsatsu"/>
    <s v="義理と人情: 日本的心情の一考察"/>
    <s v="Minamoto, Ryōen, 1920-2020"/>
    <s v="源了円, 1920-"/>
    <x v="33"/>
    <s v="中公新書 ; 191."/>
    <x v="2"/>
    <s v="中央公論社"/>
    <n v="1974"/>
    <s v="Ethics, Japanese ^ Duty ^ Literature and morals"/>
    <n v="0"/>
    <m/>
    <m/>
  </r>
  <r>
    <n v="112"/>
    <m/>
    <m/>
    <m/>
    <x v="0"/>
    <m/>
    <m/>
    <s v="n/a"/>
    <x v="0"/>
    <m/>
    <s v="n/a"/>
    <s v="n/a"/>
    <s v="n/a"/>
    <s v="n/a"/>
    <s v="n/a"/>
    <n v="33708687"/>
    <s v="Sōan sensei no chosaku"/>
    <s v="草庵先生の著作"/>
    <s v="n/a"/>
    <s v="n/a"/>
    <x v="30"/>
    <s v="池田草菴全集 ; 第1編 付錄."/>
    <x v="53"/>
    <s v="池田草菴全集編集委員会"/>
    <n v="1981"/>
    <s v="n/a"/>
    <n v="0"/>
    <m/>
    <m/>
  </r>
  <r>
    <n v="113"/>
    <n v="18"/>
    <m/>
    <m/>
    <x v="0"/>
    <m/>
    <m/>
    <s v="https://www.amazon.jp/dp/4622009781"/>
    <x v="0"/>
    <m/>
    <s v="n/a"/>
    <s v="n/a"/>
    <s v="n/a"/>
    <n v="9784622009788"/>
    <n v="4622009781"/>
    <n v="840667257"/>
    <s v="Ogyū sorai zenshū: dai18kan"/>
    <s v="荻生徂徠全集. 第18卷"/>
    <s v="Ogyū, Sorai, 1666-1728 ^ Hino, Tatsuo, 1940-2003"/>
    <s v="荻生徂徠, 1666-1728. ^ 日野龍夫, 1940-2003"/>
    <x v="2"/>
    <s v="n/a"/>
    <x v="59"/>
    <s v="みすず書房"/>
    <n v="1983"/>
    <s v="n/a"/>
    <n v="0"/>
    <m/>
    <m/>
  </r>
  <r>
    <n v="114"/>
    <m/>
    <m/>
    <m/>
    <x v="0"/>
    <m/>
    <m/>
    <s v="n/a"/>
    <x v="0"/>
    <m/>
    <s v="n/a"/>
    <s v="n/a"/>
    <s v="n/a"/>
    <s v="n/a"/>
    <s v="n/a"/>
    <n v="645415329"/>
    <s v="Ogyū Sorai shū"/>
    <s v="荻生徂徠集"/>
    <s v="Ogyū, Sorai, 1666-1728 ^ Kanaya, Osamu, 1920-2006 ^ Ishikawa, Jun, 1899-1987"/>
    <s v="荻生徂徠, 1666-1728. ^ 金谷治, 1920- ^ 石川淳, 1899-1987"/>
    <x v="34"/>
    <s v="日本の思想 ; 12"/>
    <x v="23"/>
    <s v="筑摩書房"/>
    <n v="1970"/>
    <s v="Philosophy, Japanese  --  1600-1868 ^ Philosophie japonaise  --  1600-1868"/>
    <n v="0"/>
    <m/>
    <m/>
  </r>
  <r>
    <n v="115"/>
    <m/>
    <m/>
    <m/>
    <x v="0"/>
    <m/>
    <m/>
    <s v="n/a"/>
    <x v="0"/>
    <m/>
    <s v="n/a"/>
    <s v="n/a"/>
    <s v="n/a"/>
    <s v="n/a"/>
    <s v="n/a"/>
    <n v="1108897188"/>
    <s v="Satsuma bushidō"/>
    <s v="薩摩武士道"/>
    <s v="Saigō, Takamori, 1828-1877 ^ Nanshū-ō ikun.Shimazu, Tadayoshi, 1492-1568 ^ Jisshin-kō Iroha uta ^ Satsuma Shikon no Kai"/>
    <s v="薩摩士魂の会"/>
    <x v="2"/>
    <s v="n/a"/>
    <x v="60"/>
    <s v="日本経済新聞出版社日経事業出版センター"/>
    <n v="2011"/>
    <s v="Bushido  --  Japan  --  Kagoshima-han ^ Ethics  --  Japan ^ Morale  --  Japon"/>
    <n v="0"/>
    <m/>
    <m/>
  </r>
  <r>
    <n v="116"/>
    <m/>
    <m/>
    <m/>
    <x v="0"/>
    <m/>
    <m/>
    <s v="n/a"/>
    <x v="0"/>
    <m/>
    <s v="n/a"/>
    <s v="n/a"/>
    <s v="y"/>
    <s v="n/a"/>
    <s v="n/a"/>
    <n v="23454224"/>
    <s v="Ronshū Edo no shisō"/>
    <s v="論集江戶の思想"/>
    <s v="Takasaki Tetsugakudō Setsuritsu no Kai"/>
    <s v="高崎哲学堂設立の会"/>
    <x v="2"/>
    <s v="n/a"/>
    <x v="61"/>
    <s v="高崎哲学堂設立の会"/>
    <n v="1989"/>
    <s v="Intellectual life ^ 1600-1868 ^ Japan  --  Intellectual life  --  1600-1868 ^ Japon  --  Vie intellectuelle  --  1600-1868"/>
    <n v="0"/>
    <m/>
    <m/>
  </r>
  <r>
    <n v="117"/>
    <n v="13"/>
    <m/>
    <m/>
    <x v="0"/>
    <m/>
    <m/>
    <s v="n/a"/>
    <x v="0"/>
    <m/>
    <s v="n/a"/>
    <s v="n/a"/>
    <s v="y"/>
    <s v="n/a"/>
    <s v="n/a"/>
    <n v="23204064"/>
    <s v="Ashikaga Yoshimasa: moriagaru shakai ishiki to Higashiyama bunka"/>
    <s v="足利義政: 盛り上る社会意識と東山文化"/>
    <s v="Kawai, Masaharu, 1914-"/>
    <s v="河合正治, 1914-"/>
    <x v="35"/>
    <s v="Century books. 人と歴史シリーズ. 日本 ; 13."/>
    <x v="62"/>
    <s v="淸水書院"/>
    <n v="1972"/>
    <s v="Ōnin War, 1467-1477 ^ Ashikaga, Yoshimasa, 1436-1490 ^ 1185-1600 ^ Japan  --  Civilization  --  1185-1600 ^ Japon  --  Civilisation  --  1185-1600"/>
    <n v="0"/>
    <m/>
    <m/>
  </r>
  <r>
    <n v="118"/>
    <m/>
    <m/>
    <m/>
    <x v="0"/>
    <m/>
    <s v="insert/signed"/>
    <s v="https://www.amazon.jp/dp/442315014X"/>
    <x v="0"/>
    <m/>
    <s v="n/a"/>
    <s v="n/a"/>
    <s v="y"/>
    <n v="9784423150146"/>
    <s v="442315014X"/>
    <n v="8186015"/>
    <s v="Kinsei shoki jitsugaku shisō no kenkyū"/>
    <s v="近世初期実学思想の研究"/>
    <s v="Minamoto, Ryōen, 1920-2020"/>
    <s v="源了円, 1920- ^ 源了円(1920-)"/>
    <x v="2"/>
    <s v="n/a"/>
    <x v="31"/>
    <s v="創文社"/>
    <n v="1980"/>
    <s v="Philosophy, Japanese  --  History ^ Pragmatism ^ Philosophie japonaise  --  Histoire ^ Pragmatisme"/>
    <n v="0"/>
    <m/>
    <m/>
  </r>
  <r>
    <n v="119"/>
    <m/>
    <m/>
    <m/>
    <x v="0"/>
    <m/>
    <m/>
    <s v="https://www.amazon.co.jp/%E8%BF%91%E4%B8%96%E6%97%A5%E6%9C%AC%E3%81%AE%E6%80%9D%E6%83%B3%E5%83%8F%E2%80%95%E6%AD%B4%E5%8F%B2%E7%9A%84%E8%80%83%E5%AF%9F-1984%E5%B9%B4-%E6%9D%BE%E6%9C%AC-%E4%B8%89%E4%B9%8B%E4%BB%8B/dp/B000J70BEO/ref=sr_1_1?__mk_ja_JP=%E3%82%AB%E3%82%BF%E3%82%AB%E3%83%8A&amp;crid=3IT0NM0UO6IHM&amp;keywords=%E8%BF%91%E4%B8%96%E6%97%A5%E6%9C%AC%E3%81%AE%E6%80%9D%E6%83%B3%E5%83%8F%3A+%E6%AD%B4%E5%8F%B2%E7%9A%84%E8%80%83%E5%AF%9F&amp;qid=1670443317&amp;sprefix=%E8%BF%91%E4%B8%96%E6%97%A5%E6%9C%AC%E3%81%AE%E6%80%9D%E6%83%B3%E5%83%8F+%E6%AD%B4%E5%8F%B2%E7%9A%84%E8%80%83%E5%AF%9F%2Caps%2C72&amp;sr=8-1"/>
    <x v="0"/>
    <m/>
    <s v="n/a"/>
    <s v="n/a"/>
    <s v="n/a"/>
    <s v="n/a"/>
    <n v="4876360512"/>
    <n v="1225731237"/>
    <s v="Kinsei Nihon no shisōzō: rekishiteki kōsatsu"/>
    <s v="近世日本の思想像: 歴史的考察"/>
    <s v="Matsumoto, Sannosuke, 1926-"/>
    <s v="松本三之介, 1926-"/>
    <x v="2"/>
    <s v="n/a"/>
    <x v="11"/>
    <s v="研文出版"/>
    <n v="1984"/>
    <s v="Philosophy, Japanese ^ Philosophie japonaise"/>
    <n v="0"/>
    <m/>
    <m/>
  </r>
  <r>
    <n v="120"/>
    <m/>
    <m/>
    <m/>
    <x v="0"/>
    <m/>
    <s v="insert/signed"/>
    <s v="n/a"/>
    <x v="0"/>
    <m/>
    <s v="n/a"/>
    <s v="n/a"/>
    <s v="y"/>
    <s v="n/a"/>
    <s v="n/a"/>
    <n v="27883219"/>
    <s v="Kindaika to kachikan: Minamoto Ryōen Kyōju koki kinen ronbunshuū"/>
    <s v="近代化と価値観: 源了圓教授古稀記念論文集"/>
    <s v="Minamoto, Ryōen, 1920-2020 ^ Uozumi, Masayoshi ^ Steele, M. William, 1947- ^ Kokusai Kirisutokyō Daigaku ^ Ajia Bunka Kenkyūjo"/>
    <s v="国際基督教大学 ^ アジア文化研究所"/>
    <x v="36"/>
    <s v="国際基督教大学学報. III-A. アジア文化研究. 別冊 ; 3. 国際基督教大学学報 ; 3-A."/>
    <x v="63"/>
    <s v="国際基督教大学アジア文化研究所"/>
    <n v="1992"/>
    <s v="Civilization, Modern ^ Values"/>
    <n v="0"/>
    <m/>
    <m/>
  </r>
  <r>
    <n v="121"/>
    <s v="1?"/>
    <m/>
    <m/>
    <x v="0"/>
    <m/>
    <m/>
    <s v="n/a"/>
    <x v="0"/>
    <m/>
    <s v="n/a"/>
    <s v="n/a"/>
    <s v="y"/>
    <s v="n/a"/>
    <s v="n/a"/>
    <n v="38973524"/>
    <s v="Kindai Nihon shakai shisōshi"/>
    <s v="近代日本社会思想史"/>
    <s v="Miyazawa, Toshiyoshi, 1899-1976 ^ Ōkōchi, Kazuo, 1905-1984 ^ Furuta, Hikaru, 1925-2007"/>
    <s v="宮沢俊義, 1899-1976. ^ 大河内一男, 1905-1984. ^ 古田光, 1925-2007"/>
    <x v="37"/>
    <s v="近代日本思想史大系 ; 第 1-2卷."/>
    <x v="35"/>
    <s v="有斐閣"/>
    <s v="1968-1971"/>
    <s v="Political science  --  Japan  --  History"/>
    <n v="0"/>
    <m/>
    <m/>
  </r>
  <r>
    <n v="122"/>
    <n v="17"/>
    <m/>
    <m/>
    <x v="0"/>
    <m/>
    <m/>
    <s v="n/a"/>
    <x v="0"/>
    <m/>
    <s v="n/a"/>
    <s v="n/a"/>
    <s v="n/a"/>
    <s v="n/a"/>
    <s v="n/a"/>
    <n v="834376070"/>
    <s v="Nihon no zen goroku: dai17kan"/>
    <s v="日本の禅語錄. 第17卷"/>
    <s v="Minamoto, Ryōen, 1920- ^ Dōkō, 1630-1682"/>
    <s v="源了円, 1920- ^ 道光, 1630-1682"/>
    <x v="2"/>
    <s v="n/a"/>
    <x v="1"/>
    <s v="講談社"/>
    <n v="1979"/>
    <s v="Dōkō, 1630-1682"/>
    <n v="0"/>
    <m/>
    <m/>
  </r>
  <r>
    <n v="123"/>
    <n v="15"/>
    <m/>
    <m/>
    <x v="0"/>
    <m/>
    <m/>
    <s v="n/a"/>
    <x v="0"/>
    <m/>
    <s v="n/a"/>
    <s v="n/a"/>
    <s v="y"/>
    <s v="n/a"/>
    <s v="n/a"/>
    <n v="15709955"/>
    <s v="Hasegawa Nyozekan shū"/>
    <s v="長谷川如是閑集"/>
    <s v="Hasegawa, Nyozekan, 1875-1969, ^ author.Miyaji, Hiroshi, 1925-, ^ ; editor"/>
    <s v="長谷川如是閑, 1875-1969, author. ^ 宮地宏, 1925-, editor"/>
    <x v="38"/>
    <s v="近代日本思想大系 ; 15."/>
    <x v="23"/>
    <s v="筑摩書房"/>
    <n v="1976"/>
    <s v="National characteristics, Japanese ^ Japonais ^ Civilization ^ Japan  --  Civilization ^ Japon  --  Civilisation"/>
    <n v="0"/>
    <m/>
    <m/>
  </r>
  <r>
    <n v="124"/>
    <m/>
    <m/>
    <m/>
    <x v="0"/>
    <m/>
    <s v="tow identical copies in donation"/>
    <s v="n/a"/>
    <x v="0"/>
    <m/>
    <s v="n/a"/>
    <s v="n/a"/>
    <s v="n/a"/>
    <s v="n/a"/>
    <s v="n/a"/>
    <s v="BN00974998"/>
    <s v="n/a"/>
    <s v="徂徠学と反徂徠学"/>
    <s v="n/a"/>
    <s v="小島康敬"/>
    <x v="2"/>
    <s v="n/a"/>
    <x v="15"/>
    <s v="ぺりかん社"/>
    <n v="1987"/>
    <s v="n/a"/>
    <n v="0"/>
    <m/>
    <m/>
  </r>
  <r>
    <n v="125"/>
    <n v="2"/>
    <m/>
    <m/>
    <x v="0"/>
    <m/>
    <m/>
    <s v="n/a"/>
    <x v="0"/>
    <m/>
    <s v="n/a"/>
    <s v="n/a"/>
    <s v="y"/>
    <s v="n/a"/>
    <s v="n/a"/>
    <n v="48371136"/>
    <s v="Konkō Daijin o itadaite"/>
    <s v="「金光大神」を頂いて"/>
    <s v="Takahashi, Masao, 1887-1965 ^ Konkōkyō ^ Honbu Kyōchō"/>
    <s v="金光教本部教庁"/>
    <x v="2"/>
    <s v="n/a"/>
    <x v="64"/>
    <s v="金光教本部教庁"/>
    <s v="1958-1959"/>
    <s v="Konkō Daijin, 1814-1883 ^ Konkōkyō"/>
    <n v="0"/>
    <m/>
    <m/>
  </r>
  <r>
    <n v="125.1"/>
    <m/>
    <m/>
    <m/>
    <x v="0"/>
    <m/>
    <m/>
    <s v="n/a"/>
    <x v="0"/>
    <m/>
    <s v="n/a"/>
    <s v="n/a"/>
    <s v="y"/>
    <s v="n/a"/>
    <s v="n/a"/>
    <n v="48371136"/>
    <s v="Konkō Daijin o itadaite"/>
    <s v="「金光大神」を頂いて"/>
    <s v="Takahashi, Masao, 1887-1965 ^ Konkōkyō ^ Honbu Kyōchō"/>
    <s v="金光教本部教庁"/>
    <x v="2"/>
    <s v="n/a"/>
    <x v="64"/>
    <s v="金光教本部教庁"/>
    <s v="1958-1959"/>
    <s v="Konkō Daijin, 1814-1883 ^ Konkōkyō"/>
    <n v="0"/>
    <m/>
    <m/>
  </r>
  <r>
    <n v="126"/>
    <m/>
    <m/>
    <m/>
    <x v="0"/>
    <m/>
    <m/>
    <s v="https://www.amazon.jp/dp/4588002686"/>
    <x v="0"/>
    <m/>
    <s v="n/a"/>
    <s v="n/a"/>
    <s v="y"/>
    <n v="9784588002687"/>
    <n v="4588002686"/>
    <n v="47420305"/>
    <s v="Seijitsu to honmono: kindai jiga no kakuritsu to hōkai"/>
    <s v="&lt;誠実&gt;と&lt;ほんもの&gt;: 近代自我の確立と崩壊"/>
    <s v="Trilling, Lionel, 1905-1975 ^ Nojima, Hidekatsu, 1930-2009"/>
    <s v="野島秀勝, 1930-"/>
    <x v="39"/>
    <s v="叢書・ウニベルシタス."/>
    <x v="65"/>
    <s v="法政大学出版局"/>
    <n v="1989"/>
    <s v="n/a"/>
    <n v="0"/>
    <m/>
    <m/>
  </r>
  <r>
    <n v="127"/>
    <m/>
    <m/>
    <m/>
    <x v="0"/>
    <m/>
    <m/>
    <s v="n/a"/>
    <x v="0"/>
    <m/>
    <s v="n/a"/>
    <s v="n/a"/>
    <s v="y"/>
    <s v="n/a"/>
    <s v="n/a"/>
    <n v="20931891"/>
    <s v="Marco Polo bibliography, 1477-1983 = [Maruko Pōro shoshi]"/>
    <s v="マルコ・ポーロ書誌"/>
    <s v="Watanabe, Hiroshi, 1929- ^ Enoki, Kazuo, 1913-1989"/>
    <s v="渡辺宏, 1929-"/>
    <x v="2"/>
    <s v="n/a"/>
    <x v="66"/>
    <s v="東洋文庫"/>
    <n v="1986"/>
    <s v="Travel, Medieval  --  Bibliography  --  Union lists ^ Union catalogs ^ Voyage  --  Histoire  --  500-1500 (Moyen Âge)  --  Bibliographie  --  Catalogues collectifs ^ Polo, Marco, 1254-1323?  --  Bibliography  --  Union lists ^ Polo, Marco 1254-1324 ^ Polo, Marco, 1254-1324"/>
    <n v="0"/>
    <m/>
    <m/>
  </r>
  <r>
    <n v="128"/>
    <m/>
    <m/>
    <m/>
    <x v="0"/>
    <m/>
    <m/>
    <s v="n/a"/>
    <x v="0"/>
    <m/>
    <s v="n/a"/>
    <s v="n/a"/>
    <s v="y"/>
    <s v="n/a"/>
    <s v="n/a"/>
    <n v="24451613"/>
    <s v="Shinran Shōnin's Tanni-shō with Buddhist psalms"/>
    <s v="n/a"/>
    <s v="Inagaki, Saizō"/>
    <s v="稲垣最三"/>
    <x v="2"/>
    <s v="n/a"/>
    <x v="67"/>
    <s v="n/a"/>
    <n v="1949"/>
    <s v="Shinran, 1173-1263. Tannishō ^ Tannishō (Shinran)"/>
    <n v="0"/>
    <m/>
    <m/>
  </r>
  <r>
    <n v="129"/>
    <m/>
    <m/>
    <m/>
    <x v="0"/>
    <m/>
    <m/>
    <s v="n/a"/>
    <x v="0"/>
    <m/>
    <s v="n/a"/>
    <s v="n/a"/>
    <s v="y"/>
    <s v="n/a"/>
    <s v="n/a"/>
    <n v="23727688"/>
    <s v="Ajia no rekishi to rekishika"/>
    <s v="アジアの歴史と歴史家"/>
    <s v="Masui, Tsuneo, 1907-"/>
    <s v="増井経夫, 1907-"/>
    <x v="40"/>
    <s v="ユーラシア文化史選書 ; 5."/>
    <x v="10"/>
    <s v="吉川弘文館"/>
    <n v="1966"/>
    <s v="Historians  --  Asia ^ Historians  --  China ^ Historians  --  India ^ Historians, Asian ^ Historians, Indian ^ History ^ Asia  --  History ^ Asie  --  Histoire"/>
    <n v="0"/>
    <m/>
    <m/>
  </r>
  <r>
    <n v="130"/>
    <n v="1"/>
    <m/>
    <m/>
    <x v="0"/>
    <m/>
    <s v="need to see item, unclear if 4 sepearate volumes, we have volume 4　(we also have vol. 1. No recored for the books on CiNii or world cat)"/>
    <s v="n/a"/>
    <x v="0"/>
    <m/>
    <s v="n/a"/>
    <s v="n/a"/>
    <s v="n/a"/>
    <s v="n/a"/>
    <s v="n/a"/>
    <s v="n/a"/>
    <s v="n/a"/>
    <s v="アジア史研究 第1"/>
    <s v="n/a"/>
    <s v="宮崎市定"/>
    <x v="2"/>
    <s v="n/a"/>
    <x v="68"/>
    <s v="東洋史研究会"/>
    <s v="1957-1964"/>
    <s v="n/a"/>
    <n v="0"/>
    <m/>
    <m/>
  </r>
  <r>
    <n v="130.1"/>
    <n v="2"/>
    <m/>
    <m/>
    <x v="0"/>
    <m/>
    <m/>
    <s v="n/a"/>
    <x v="0"/>
    <m/>
    <s v="n/a"/>
    <s v="n/a"/>
    <s v="n/a"/>
    <s v="n/a"/>
    <s v="n/a"/>
    <s v="n/a"/>
    <s v="n/a"/>
    <s v="アジア史研究 第2"/>
    <s v="n/a"/>
    <s v="宮崎市定"/>
    <x v="2"/>
    <s v="n/a"/>
    <x v="68"/>
    <s v="東洋史研究会"/>
    <s v="n/a"/>
    <s v="n/a"/>
    <n v="0"/>
    <m/>
    <m/>
  </r>
  <r>
    <n v="130.19999999999999"/>
    <n v="3"/>
    <m/>
    <m/>
    <x v="0"/>
    <m/>
    <m/>
    <s v="n/a"/>
    <x v="0"/>
    <m/>
    <s v="n/a"/>
    <s v="n/a"/>
    <s v="n/a"/>
    <s v="n/a"/>
    <s v="n/a"/>
    <s v="n/a"/>
    <s v="n/a"/>
    <s v="アジア史研究 第3"/>
    <s v="n/a"/>
    <s v="宮崎市定"/>
    <x v="2"/>
    <s v="n/a"/>
    <x v="68"/>
    <s v="東洋史研究会"/>
    <s v="n/a"/>
    <s v="n/a"/>
    <n v="0"/>
    <m/>
    <m/>
  </r>
  <r>
    <n v="130.30000000000001"/>
    <n v="4"/>
    <m/>
    <m/>
    <x v="0"/>
    <m/>
    <m/>
    <s v="n/a"/>
    <x v="0"/>
    <m/>
    <s v="n/a"/>
    <s v="n/a"/>
    <s v="n/a"/>
    <s v="n/a"/>
    <s v="n/a"/>
    <n v="33689236"/>
    <s v="Ajia shi kenkyū: Dai 4"/>
    <s v="アジア史研究. 第4"/>
    <s v="Miyazaki, Ichisada, 1901-1995"/>
    <s v="宮崎市定, 1901-"/>
    <x v="41"/>
    <s v="東洋史研究叢刊 ; 第4之第4"/>
    <x v="68"/>
    <s v="東洋史研究会"/>
    <n v="1964"/>
    <s v="History ^ China  --  History ^ Chine  --  Histoire"/>
    <n v="0"/>
    <m/>
    <m/>
  </r>
  <r>
    <n v="131.01"/>
    <n v="1"/>
    <m/>
    <n v="10"/>
    <x v="0"/>
    <m/>
    <s v="price note: amazon.jp has the whole site, prices in price column divide the set price by 10"/>
    <s v="https://www.amazon.co.jp/%E3%82%A2%E3%82%B8%E3%82%A2%E6%AD%B4%E5%8F%B2%E4%BA%8B%E5%85%B8-%E5%85%A812%E5%B7%BB%E3%82%BB%E3%83%83%E3%83%88/dp/4582108008/ref=sr_1_1?__mk_ja_JP=%E3%82%AB%E3%82%BF%E3%82%AB%E3%83%8A&amp;crid=1L4HN4BQLWK04&amp;keywords=%E3%82%A2%E3%82%B8%E3%82%A2%E6%AD%B4%E5%8F%B2%E4%BA%8B%E5%85%B8&amp;qid=1670447981&amp;sprefix=%E3%82%A2%E3%82%B8%E3%82%A2%E6%AD%B4%E5%8F%B2%E4%BA%8B%E5%85%B8%2Caps%2C76&amp;sr=8-1"/>
    <x v="0"/>
    <m/>
    <s v="n/a"/>
    <s v="n/a"/>
    <s v="n/a"/>
    <s v="n/a"/>
    <s v="n/a"/>
    <n v="11586411"/>
    <s v="Ajia rekishi jiten 1"/>
    <s v="アジア歴史事典 1"/>
    <s v="Shimonaka, Kunihiko, 1925-2002 ^ Heibonsha"/>
    <s v="平凡社"/>
    <x v="2"/>
    <s v="n/a"/>
    <x v="25"/>
    <s v="平凡社"/>
    <s v="1967-1970"/>
    <s v="Dictionary ^ dictionaries ^ History ^ Dictionnaires ^ Asia  --  History  --  Dictionaries  --  Japanese"/>
    <n v="0"/>
    <m/>
    <m/>
  </r>
  <r>
    <n v="131.02000000000001"/>
    <n v="2"/>
    <m/>
    <n v="10"/>
    <x v="0"/>
    <m/>
    <s v="price note: amazon.jp has the whole site, prices in price column divide the set price by 10"/>
    <s v="https://www.amazon.co.jp/%E3%82%A2%E3%82%B8%E3%82%A2%E6%AD%B4%E5%8F%B2%E4%BA%8B%E5%85%B8-%E5%85%A812%E5%B7%BB%E3%82%BB%E3%83%83%E3%83%88/dp/4582108008/ref=sr_1_1?__mk_ja_JP=%E3%82%AB%E3%82%BF%E3%82%AB%E3%83%8A&amp;crid=1L4HN4BQLWK04&amp;keywords=%E3%82%A2%E3%82%B8%E3%82%A2%E6%AD%B4%E5%8F%B2%E4%BA%8B%E5%85%B8&amp;qid=1670447981&amp;sprefix=%E3%82%A2%E3%82%B8%E3%82%A2%E6%AD%B4%E5%8F%B2%E4%BA%8B%E5%85%B8%2Caps%2C76&amp;sr=8-1"/>
    <x v="0"/>
    <m/>
    <s v="n/a"/>
    <s v="n/a"/>
    <s v="n/a"/>
    <s v="n/a"/>
    <s v="n/a"/>
    <n v="11586411"/>
    <s v="Ajia rekishi jiten 2"/>
    <s v="アジア歴史事典 2"/>
    <s v="Shimonaka, Kunihiko, 1925-2002 ^ Heibonsha"/>
    <s v="平凡社"/>
    <x v="2"/>
    <s v="n/a"/>
    <x v="25"/>
    <s v="平凡社"/>
    <s v="1967-1970"/>
    <s v="Dictionary ^ dictionaries ^ History ^ Dictionnaires ^ Asia  --  History  --  Dictionaries  --  Japanese"/>
    <n v="0"/>
    <m/>
    <m/>
  </r>
  <r>
    <n v="131.03"/>
    <n v="3"/>
    <m/>
    <n v="10"/>
    <x v="0"/>
    <m/>
    <s v="price note: amazon.jp has the whole site, prices in price column divide the set price by 10"/>
    <s v="https://www.amazon.co.jp/%E3%82%A2%E3%82%B8%E3%82%A2%E6%AD%B4%E5%8F%B2%E4%BA%8B%E5%85%B8-%E5%85%A812%E5%B7%BB%E3%82%BB%E3%83%83%E3%83%88/dp/4582108008/ref=sr_1_1?__mk_ja_JP=%E3%82%AB%E3%82%BF%E3%82%AB%E3%83%8A&amp;crid=1L4HN4BQLWK04&amp;keywords=%E3%82%A2%E3%82%B8%E3%82%A2%E6%AD%B4%E5%8F%B2%E4%BA%8B%E5%85%B8&amp;qid=1670447981&amp;sprefix=%E3%82%A2%E3%82%B8%E3%82%A2%E6%AD%B4%E5%8F%B2%E4%BA%8B%E5%85%B8%2Caps%2C76&amp;sr=8-1"/>
    <x v="0"/>
    <m/>
    <s v="n/a"/>
    <s v="n/a"/>
    <s v="n/a"/>
    <s v="n/a"/>
    <s v="n/a"/>
    <n v="11586411"/>
    <s v="Ajia rekishi jiten 3"/>
    <s v="アジア歴史事典 3"/>
    <s v="Shimonaka, Kunihiko, 1925-2002 ^ Heibonsha"/>
    <s v="平凡社"/>
    <x v="2"/>
    <s v="n/a"/>
    <x v="25"/>
    <s v="平凡社"/>
    <s v="1967-1970"/>
    <s v="Dictionary ^ dictionaries ^ History ^ Dictionnaires ^ Asia  --  History  --  Dictionaries  --  Japanese"/>
    <n v="0"/>
    <m/>
    <m/>
  </r>
  <r>
    <n v="131.04"/>
    <n v="4"/>
    <m/>
    <n v="10"/>
    <x v="0"/>
    <m/>
    <s v="price note: amazon.jp has the whole site, prices in price column divide the set price by 10"/>
    <s v="https://www.amazon.co.jp/%E3%82%A2%E3%82%B8%E3%82%A2%E6%AD%B4%E5%8F%B2%E4%BA%8B%E5%85%B8-%E5%85%A812%E5%B7%BB%E3%82%BB%E3%83%83%E3%83%88/dp/4582108008/ref=sr_1_1?__mk_ja_JP=%E3%82%AB%E3%82%BF%E3%82%AB%E3%83%8A&amp;crid=1L4HN4BQLWK04&amp;keywords=%E3%82%A2%E3%82%B8%E3%82%A2%E6%AD%B4%E5%8F%B2%E4%BA%8B%E5%85%B8&amp;qid=1670447981&amp;sprefix=%E3%82%A2%E3%82%B8%E3%82%A2%E6%AD%B4%E5%8F%B2%E4%BA%8B%E5%85%B8%2Caps%2C76&amp;sr=8-1"/>
    <x v="0"/>
    <m/>
    <s v="n/a"/>
    <s v="n/a"/>
    <s v="n/a"/>
    <s v="n/a"/>
    <s v="n/a"/>
    <n v="11586411"/>
    <s v="Ajia rekishi jiten 4"/>
    <s v="アジア歴史事典 4"/>
    <s v="Shimonaka, Kunihiko, 1925-2002 ^ Heibonsha"/>
    <s v="平凡社"/>
    <x v="2"/>
    <s v="n/a"/>
    <x v="25"/>
    <s v="平凡社"/>
    <s v="1967-1970"/>
    <s v="Dictionary ^ dictionaries ^ History ^ Dictionnaires ^ Asia  --  History  --  Dictionaries  --  Japanese"/>
    <n v="0"/>
    <m/>
    <m/>
  </r>
  <r>
    <n v="131.05000000000001"/>
    <n v="5"/>
    <m/>
    <n v="10"/>
    <x v="0"/>
    <m/>
    <s v="price note: amazon.jp has the whole site, prices in price column divide the set price by 10"/>
    <s v="https://www.amazon.co.jp/%E3%82%A2%E3%82%B8%E3%82%A2%E6%AD%B4%E5%8F%B2%E4%BA%8B%E5%85%B8-%E5%85%A812%E5%B7%BB%E3%82%BB%E3%83%83%E3%83%88/dp/4582108008/ref=sr_1_1?__mk_ja_JP=%E3%82%AB%E3%82%BF%E3%82%AB%E3%83%8A&amp;crid=1L4HN4BQLWK04&amp;keywords=%E3%82%A2%E3%82%B8%E3%82%A2%E6%AD%B4%E5%8F%B2%E4%BA%8B%E5%85%B8&amp;qid=1670447981&amp;sprefix=%E3%82%A2%E3%82%B8%E3%82%A2%E6%AD%B4%E5%8F%B2%E4%BA%8B%E5%85%B8%2Caps%2C76&amp;sr=8-1"/>
    <x v="0"/>
    <m/>
    <s v="n/a"/>
    <s v="n/a"/>
    <s v="n/a"/>
    <s v="n/a"/>
    <s v="n/a"/>
    <n v="11586411"/>
    <s v="Ajia rekishi jiten 5"/>
    <s v="アジア歴史事典 5"/>
    <s v="Shimonaka, Kunihiko, 1925-2002 ^ Heibonsha"/>
    <s v="平凡社"/>
    <x v="2"/>
    <s v="n/a"/>
    <x v="25"/>
    <s v="平凡社"/>
    <s v="1967-1970"/>
    <s v="Dictionary ^ dictionaries ^ History ^ Dictionnaires ^ Asia  --  History  --  Dictionaries  --  Japanese"/>
    <n v="0"/>
    <m/>
    <m/>
  </r>
  <r>
    <n v="131.06"/>
    <n v="6"/>
    <m/>
    <n v="10"/>
    <x v="0"/>
    <m/>
    <s v="price note: amazon.jp has the whole site, prices in price column divide the set price by 10"/>
    <s v="https://www.amazon.co.jp/%E3%82%A2%E3%82%B8%E3%82%A2%E6%AD%B4%E5%8F%B2%E4%BA%8B%E5%85%B8-%E5%85%A812%E5%B7%BB%E3%82%BB%E3%83%83%E3%83%88/dp/4582108008/ref=sr_1_1?__mk_ja_JP=%E3%82%AB%E3%82%BF%E3%82%AB%E3%83%8A&amp;crid=1L4HN4BQLWK04&amp;keywords=%E3%82%A2%E3%82%B8%E3%82%A2%E6%AD%B4%E5%8F%B2%E4%BA%8B%E5%85%B8&amp;qid=1670447981&amp;sprefix=%E3%82%A2%E3%82%B8%E3%82%A2%E6%AD%B4%E5%8F%B2%E4%BA%8B%E5%85%B8%2Caps%2C76&amp;sr=8-1"/>
    <x v="0"/>
    <m/>
    <s v="n/a"/>
    <s v="n/a"/>
    <s v="n/a"/>
    <s v="n/a"/>
    <s v="n/a"/>
    <n v="11586411"/>
    <s v="Ajia rekishi jiten 6"/>
    <s v="アジア歴史事典 6"/>
    <s v="Shimonaka, Kunihiko, 1925-2002 ^ Heibonsha"/>
    <s v="平凡社"/>
    <x v="2"/>
    <s v="n/a"/>
    <x v="25"/>
    <s v="平凡社"/>
    <s v="1967-1970"/>
    <s v="Dictionary ^ dictionaries ^ History ^ Dictionnaires ^ Asia  --  History  --  Dictionaries  --  Japanese"/>
    <n v="0"/>
    <m/>
    <m/>
  </r>
  <r>
    <n v="131.07"/>
    <n v="7"/>
    <m/>
    <n v="10"/>
    <x v="0"/>
    <m/>
    <s v="price note: amazon.jp has the whole site, prices in price column divide the set price by 10"/>
    <s v="https://www.amazon.co.jp/%E3%82%A2%E3%82%B8%E3%82%A2%E6%AD%B4%E5%8F%B2%E4%BA%8B%E5%85%B8-%E5%85%A812%E5%B7%BB%E3%82%BB%E3%83%83%E3%83%88/dp/4582108008/ref=sr_1_1?__mk_ja_JP=%E3%82%AB%E3%82%BF%E3%82%AB%E3%83%8A&amp;crid=1L4HN4BQLWK04&amp;keywords=%E3%82%A2%E3%82%B8%E3%82%A2%E6%AD%B4%E5%8F%B2%E4%BA%8B%E5%85%B8&amp;qid=1670447981&amp;sprefix=%E3%82%A2%E3%82%B8%E3%82%A2%E6%AD%B4%E5%8F%B2%E4%BA%8B%E5%85%B8%2Caps%2C76&amp;sr=8-1"/>
    <x v="0"/>
    <m/>
    <s v="n/a"/>
    <s v="n/a"/>
    <s v="n/a"/>
    <s v="n/a"/>
    <s v="n/a"/>
    <n v="11586411"/>
    <s v="Ajia rekishi jiten 7"/>
    <s v="アジア歴史事典 7"/>
    <s v="Shimonaka, Kunihiko, 1925-2002 ^ Heibonsha"/>
    <s v="平凡社"/>
    <x v="2"/>
    <s v="n/a"/>
    <x v="25"/>
    <s v="平凡社"/>
    <s v="1967-1970"/>
    <s v="Dictionary ^ dictionaries ^ History ^ Dictionnaires ^ Asia  --  History  --  Dictionaries  --  Japanese"/>
    <n v="0"/>
    <m/>
    <m/>
  </r>
  <r>
    <n v="131.08000000000001"/>
    <n v="8"/>
    <m/>
    <n v="10"/>
    <x v="0"/>
    <m/>
    <s v="price note: amazon.jp has the whole site, prices in price column divide the set price by 10"/>
    <s v="https://www.amazon.co.jp/%E3%82%A2%E3%82%B8%E3%82%A2%E6%AD%B4%E5%8F%B2%E4%BA%8B%E5%85%B8-%E5%85%A812%E5%B7%BB%E3%82%BB%E3%83%83%E3%83%88/dp/4582108008/ref=sr_1_1?__mk_ja_JP=%E3%82%AB%E3%82%BF%E3%82%AB%E3%83%8A&amp;crid=1L4HN4BQLWK04&amp;keywords=%E3%82%A2%E3%82%B8%E3%82%A2%E6%AD%B4%E5%8F%B2%E4%BA%8B%E5%85%B8&amp;qid=1670447981&amp;sprefix=%E3%82%A2%E3%82%B8%E3%82%A2%E6%AD%B4%E5%8F%B2%E4%BA%8B%E5%85%B8%2Caps%2C76&amp;sr=8-1"/>
    <x v="0"/>
    <m/>
    <s v="n/a"/>
    <s v="n/a"/>
    <s v="n/a"/>
    <s v="n/a"/>
    <s v="n/a"/>
    <n v="11586411"/>
    <s v="Ajia rekishi jiten 8"/>
    <s v="アジア歴史事典 8"/>
    <s v="Shimonaka, Kunihiko, 1925-2002 ^ Heibonsha"/>
    <s v="平凡社"/>
    <x v="2"/>
    <s v="n/a"/>
    <x v="25"/>
    <s v="平凡社"/>
    <s v="1967-1970"/>
    <s v="Dictionary ^ dictionaries ^ History ^ Dictionnaires ^ Asia  --  History  --  Dictionaries  --  Japanese"/>
    <n v="0"/>
    <m/>
    <m/>
  </r>
  <r>
    <n v="131.09"/>
    <n v="9"/>
    <m/>
    <n v="10"/>
    <x v="0"/>
    <m/>
    <s v="price note: amazon.jp has the whole site, prices in price column divide the set price by 10"/>
    <s v="https://www.amazon.co.jp/%E3%82%A2%E3%82%B8%E3%82%A2%E6%AD%B4%E5%8F%B2%E4%BA%8B%E5%85%B8-%E5%85%A812%E5%B7%BB%E3%82%BB%E3%83%83%E3%83%88/dp/4582108008/ref=sr_1_1?__mk_ja_JP=%E3%82%AB%E3%82%BF%E3%82%AB%E3%83%8A&amp;crid=1L4HN4BQLWK04&amp;keywords=%E3%82%A2%E3%82%B8%E3%82%A2%E6%AD%B4%E5%8F%B2%E4%BA%8B%E5%85%B8&amp;qid=1670447981&amp;sprefix=%E3%82%A2%E3%82%B8%E3%82%A2%E6%AD%B4%E5%8F%B2%E4%BA%8B%E5%85%B8%2Caps%2C76&amp;sr=8-1"/>
    <x v="0"/>
    <m/>
    <s v="n/a"/>
    <s v="n/a"/>
    <s v="n/a"/>
    <s v="n/a"/>
    <s v="n/a"/>
    <n v="11586411"/>
    <s v="Ajia rekishi jiten 9"/>
    <s v="アジア歴史事典 9"/>
    <s v="Shimonaka, Kunihiko, 1925-2002 ^ Heibonsha"/>
    <s v="平凡社"/>
    <x v="2"/>
    <s v="n/a"/>
    <x v="25"/>
    <s v="平凡社"/>
    <s v="1967-1970"/>
    <s v="Dictionary ^ dictionaries ^ History ^ Dictionnaires ^ Asia  --  History  --  Dictionaries  --  Japanese"/>
    <n v="0"/>
    <m/>
    <m/>
  </r>
  <r>
    <n v="131.1"/>
    <n v="10"/>
    <m/>
    <n v="10"/>
    <x v="0"/>
    <m/>
    <s v="price note: amazon.jp has the whole site, prices in price column divide the set price by 10"/>
    <s v="https://www.amazon.co.jp/%E3%82%A2%E3%82%B8%E3%82%A2%E6%AD%B4%E5%8F%B2%E4%BA%8B%E5%85%B8-%E5%85%A812%E5%B7%BB%E3%82%BB%E3%83%83%E3%83%88/dp/4582108008/ref=sr_1_1?__mk_ja_JP=%E3%82%AB%E3%82%BF%E3%82%AB%E3%83%8A&amp;crid=1L4HN4BQLWK04&amp;keywords=%E3%82%A2%E3%82%B8%E3%82%A2%E6%AD%B4%E5%8F%B2%E4%BA%8B%E5%85%B8&amp;qid=1670447981&amp;sprefix=%E3%82%A2%E3%82%B8%E3%82%A2%E6%AD%B4%E5%8F%B2%E4%BA%8B%E5%85%B8%2Caps%2C76&amp;sr=8-1"/>
    <x v="0"/>
    <m/>
    <s v="n/a"/>
    <s v="n/a"/>
    <s v="n/a"/>
    <s v="n/a"/>
    <s v="n/a"/>
    <n v="11586411"/>
    <s v="Ajia rekishi jiten 10"/>
    <s v="アジア歴史事典10"/>
    <s v="Shimonaka, Kunihiko, 1925-2002 ^ Heibonsha"/>
    <s v="平凡社"/>
    <x v="2"/>
    <s v="n/a"/>
    <x v="25"/>
    <s v="平凡社"/>
    <s v="1967-1970"/>
    <s v="Dictionary ^ dictionaries ^ History ^ Dictionnaires ^ Asia  --  History  --  Dictionaries  --  Japanese"/>
    <n v="0"/>
    <m/>
    <m/>
  </r>
  <r>
    <n v="132"/>
    <m/>
    <m/>
    <m/>
    <x v="0"/>
    <m/>
    <m/>
    <s v="n/a"/>
    <x v="0"/>
    <m/>
    <s v="n/a"/>
    <s v="n/a"/>
    <s v="n/a"/>
    <s v="n/a"/>
    <s v="n/a"/>
    <n v="977957219"/>
    <s v="Oyasato = Guide to Tenrikyō = Guia de Tenrikyo"/>
    <s v="おやさと = Guide to Tenrikyō = Guia de Tenrikyo"/>
    <s v="Tenrikyō ^ Kyōkai Honbu"/>
    <s v="天理教 ^ 教会本部"/>
    <x v="2"/>
    <s v="n/a"/>
    <x v="69"/>
    <s v="天理教教会本部"/>
    <n v="1960"/>
    <s v="Tenrikyō"/>
    <n v="0"/>
    <m/>
    <m/>
  </r>
  <r>
    <n v="133"/>
    <n v="3"/>
    <m/>
    <m/>
    <x v="0"/>
    <m/>
    <s v="price note: price assumed by proxy of a different volume"/>
    <s v="n/a"/>
    <x v="0"/>
    <m/>
    <s v="n/a"/>
    <s v="n/a"/>
    <s v="y"/>
    <s v="n/a"/>
    <s v="n/a"/>
    <n v="26030260"/>
    <s v="Sutain shūshū Chibettogo bunken kaidai mokuroku"/>
    <s v="スタイン蒐集チベット語文献解題目錄 3"/>
    <s v="Yamaguchi, Zuihō, 1926- ^ Stein, Aurel, Sir, 1862-1943 ^ Tōyō Bunko (Japan) ^ Chibetto Kenkyū Iinkai"/>
    <s v="東洋文庫(Japan)チベット研究委員会"/>
    <x v="2"/>
    <s v="n/a"/>
    <x v="27"/>
    <s v="東洋文庫"/>
    <s v="1977- "/>
    <s v="Buddhism  --  China  --  Tibet Autonomous Region  --  Bibliography  --  Catalogs ^ Tōyō Bunko (Japan)  --  Catalogs ^ Bibliographies"/>
    <n v="0"/>
    <m/>
    <m/>
  </r>
  <r>
    <n v="133.1"/>
    <n v="7"/>
    <m/>
    <m/>
    <x v="0"/>
    <m/>
    <s v="price note: price assumed by proxy of a different volume"/>
    <s v="n/a"/>
    <x v="0"/>
    <m/>
    <s v="n/a"/>
    <s v="n/a"/>
    <s v="n/a"/>
    <s v="n/a"/>
    <s v="n/a"/>
    <n v="63334941"/>
    <s v="Sutain shūshū Chibetto-go bunken kaidai mokuroku = A catalogue of the Tibetan manuscripts collected by sir Aurel Stein"/>
    <s v="スタイン蒐集チベット語文献解題目録 7"/>
    <s v="Yamaguchi, Zuihō, 1926- ^ Kimura, Ryūtoku ^ Tōyō Bunko Chibetto Kenkyū I-inkai"/>
    <s v="東洋文庫チベット研究委員会"/>
    <x v="2"/>
    <s v="n/a"/>
    <x v="27"/>
    <s v="東洋文庫"/>
    <s v="1977-1988"/>
    <s v="Stein, Aurel (Marcus Aurel), 1862-1943 ^ Stein, Aurel , 1862-1943"/>
    <n v="0"/>
    <m/>
    <m/>
  </r>
  <r>
    <n v="133.19999999999999"/>
    <n v="12"/>
    <m/>
    <m/>
    <x v="0"/>
    <m/>
    <s v="price note: price assumed by proxy of a different volume"/>
    <s v="n/a"/>
    <x v="0"/>
    <m/>
    <s v="n/a"/>
    <s v="n/a"/>
    <s v="n/a"/>
    <s v="n/a"/>
    <s v="n/a"/>
    <n v="63334941"/>
    <s v="Sutain shūshū Chibetto-go bunken kaidai mokuroku"/>
    <s v="スタイン蒐集チベット語文献解題目録 12"/>
    <s v="Yamaguchi, Zuihō, 1926- ^ Kimura, Ryūtoku ^ Tōyō Bunko Chibetto Kenkyū I-inkai"/>
    <s v="東洋文庫チベット研究委員会"/>
    <x v="2"/>
    <s v="n/a"/>
    <x v="27"/>
    <s v="東洋文庫"/>
    <s v="1977-1988"/>
    <s v="Stein, Aurel (Marcus Aurel), 1862-1943 ^ Stein, Aurel , 1862-1943"/>
    <n v="0"/>
    <m/>
    <m/>
  </r>
  <r>
    <n v="134"/>
    <n v="27"/>
    <m/>
    <m/>
    <x v="0"/>
    <m/>
    <m/>
    <s v="n/a"/>
    <x v="0"/>
    <m/>
    <s v="n/a"/>
    <s v="n/a"/>
    <s v="y"/>
    <s v="n/a"/>
    <s v="n/a"/>
    <n v="21890146"/>
    <s v="Tangūto kodaishi kenkyū"/>
    <s v="タングート古代史研究"/>
    <s v="Okazaki, Seirō, 1920-"/>
    <s v="岡崎精郎, 1920-"/>
    <x v="42"/>
    <s v="東洋史研究叢刋 ; 27"/>
    <x v="0"/>
    <s v="[東洋史研究會]"/>
    <n v="1972"/>
    <s v="Tangut (Chinese people)  --  History ^ Tangouts (Peuple d'Asie)  --  Histoire"/>
    <n v="0"/>
    <m/>
    <m/>
  </r>
  <r>
    <n v="135"/>
    <n v="5"/>
    <m/>
    <m/>
    <x v="0"/>
    <m/>
    <m/>
    <s v="https://www.amazon.jp/dp/4106471051"/>
    <x v="0"/>
    <m/>
    <s v="n/a"/>
    <s v="n/a"/>
    <s v="n/a"/>
    <n v="9784106471056"/>
    <n v="4106471051"/>
    <n v="809005481"/>
    <s v="Nihonjin no sensō"/>
    <s v="日本人の戦争"/>
    <s v="Keene, Donald"/>
    <s v="ドナルド・キーン"/>
    <x v="43"/>
    <s v="ドナルド・キーン著作集 ; 第5卷."/>
    <x v="70"/>
    <s v="新潮社"/>
    <n v="2012"/>
    <s v="Japanese literature  --  History and criticism ^ Authors, Japanese ^ Japanese diaries ^ World War, 1939-1945  --  Japan ^ Littérature japonaise  --  Histoire et critique ^ Écrivains japonais ^ Journaux intimes japonais ^ Guerre mondiale, 1939-1945  --  Japon ^ Nihon bungaku ^ Nihon bungaku-Sakka ^ Nikki ^ Taiheiyō sensō ^ Criticism, interpretation, etc"/>
    <n v="0"/>
    <m/>
    <m/>
  </r>
  <r>
    <n v="136"/>
    <n v="1"/>
    <m/>
    <m/>
    <x v="0"/>
    <m/>
    <m/>
    <s v="n/a"/>
    <x v="0"/>
    <m/>
    <s v="n/a"/>
    <s v="n/a"/>
    <s v="n/a"/>
    <s v="n/a"/>
    <s v="n/a"/>
    <n v="703735418"/>
    <s v="Sekai no meicho: 1"/>
    <s v="世界の名著. 1, バラモン教典,原始仏典"/>
    <s v="n/a"/>
    <s v="n/a"/>
    <x v="2"/>
    <s v="n/a"/>
    <x v="0"/>
    <s v="中央公論社"/>
    <n v="1969"/>
    <s v="n/a"/>
    <n v="0"/>
    <m/>
    <m/>
  </r>
  <r>
    <n v="137"/>
    <m/>
    <m/>
    <m/>
    <x v="0"/>
    <m/>
    <s v="need to see item"/>
    <s v="n/a"/>
    <x v="0"/>
    <m/>
    <s v="n/a"/>
    <s v="n/a"/>
    <s v="n/a"/>
    <s v="n/a"/>
    <s v="n/a"/>
    <s v="BB17257046"/>
    <s v="Handy nihon bunken chizu chō"/>
    <s v="ハンディ日本分県地図帖"/>
    <s v="n/a"/>
    <s v="n/a"/>
    <x v="2"/>
    <s v="n/a"/>
    <x v="0"/>
    <s v="日地出版"/>
    <n v="1956"/>
    <s v="n/a"/>
    <n v="0"/>
    <m/>
    <m/>
  </r>
  <r>
    <n v="138"/>
    <m/>
    <m/>
    <m/>
    <x v="0"/>
    <m/>
    <s v="need to see item"/>
    <s v="n/a"/>
    <x v="0"/>
    <m/>
    <s v="n/a"/>
    <s v="n/a"/>
    <s v="n/a"/>
    <s v="n/a"/>
    <s v="n/a"/>
    <s v="n/a"/>
    <s v="n/a"/>
    <s v="みかぐらうた : Romanaized edition"/>
    <s v="n/a"/>
    <s v="天理教教会本部編纂"/>
    <x v="2"/>
    <s v="n/a"/>
    <x v="69"/>
    <s v="天理教教会本部"/>
    <n v="1957"/>
    <s v="n/a"/>
    <n v="0"/>
    <m/>
    <m/>
  </r>
  <r>
    <n v="139"/>
    <m/>
    <m/>
    <m/>
    <x v="0"/>
    <m/>
    <s v="need to see item"/>
    <s v="https://www.amazon.jp/dp/4809702529"/>
    <x v="0"/>
    <m/>
    <s v="n/a"/>
    <s v="n/a"/>
    <s v="n/a"/>
    <n v="9784809702525"/>
    <n v="4809702529"/>
    <n v="797932475"/>
    <s v="Morison panfuretto no sekai"/>
    <s v="モリソンパンフレットの世界"/>
    <s v="Shiba, Yoshinobu, 1930-"/>
    <s v="斯波義信, 1930-"/>
    <x v="44"/>
    <s v="東洋文庫論叢 ; 第75."/>
    <x v="71"/>
    <s v="東洋文庫"/>
    <n v="2012"/>
    <s v="n/a"/>
    <n v="0"/>
    <m/>
    <m/>
  </r>
  <r>
    <n v="140"/>
    <n v="11"/>
    <m/>
    <m/>
    <x v="0"/>
    <m/>
    <s v="insert/signed"/>
    <s v="n/a"/>
    <x v="0"/>
    <m/>
    <s v="n/a"/>
    <s v="n/a"/>
    <s v="n/a"/>
    <s v="n/a"/>
    <s v="n/a"/>
    <n v="33550060"/>
    <s v="Yuragu Chūka Teikoku"/>
    <s v="ゆらぐ中華帝国"/>
    <s v="Chikuma Shobō ^ Henshūbu"/>
    <s v="筑摩書房 ^ 編集部"/>
    <x v="45"/>
    <s v="n/a"/>
    <x v="23"/>
    <s v="筑摩書房"/>
    <n v="1961"/>
    <s v="World history ^ Histoire universelle"/>
    <n v="0"/>
    <m/>
    <m/>
  </r>
  <r>
    <n v="141"/>
    <m/>
    <m/>
    <m/>
    <x v="0"/>
    <m/>
    <m/>
    <s v="n/a"/>
    <x v="0"/>
    <m/>
    <s v="n/a"/>
    <s v="n/a"/>
    <s v="y"/>
    <s v="n/a"/>
    <s v="n/a"/>
    <n v="122962068"/>
    <s v="Waga hansei, jugakusha e no michi"/>
    <s v="わが半生・儒学者への道"/>
    <s v="Okada Takehiko"/>
    <s v="岡田武彦"/>
    <x v="2"/>
    <s v="n/a"/>
    <x v="72"/>
    <s v="思遠会"/>
    <n v="1990"/>
    <s v="Philosophy, Confucian  --  Japan ^ Philosophers  --  Japan  --  Biography ^ Philosophie confucéenne  --  Japon ^ Philosophes  --  Japon  --  Biographies ^ Okada Takehiko ^ Okada, Takehiko"/>
    <n v="0"/>
    <m/>
    <m/>
  </r>
  <r>
    <n v="142"/>
    <m/>
    <m/>
    <m/>
    <x v="0"/>
    <m/>
    <s v="rare?"/>
    <s v="n/a"/>
    <x v="0"/>
    <m/>
    <s v="n/a"/>
    <s v="n/a"/>
    <s v="n/a"/>
    <s v="n/a"/>
    <s v="n/a"/>
    <n v="42721302"/>
    <s v="Shinchiso shōgyō gaisetsu"/>
    <s v="七祖聖敎槪說"/>
    <s v="Doi, Tadao, 1908-"/>
    <s v="土井忠雄, 1908-"/>
    <x v="2"/>
    <s v="n/a"/>
    <x v="73"/>
    <s v="百華苑"/>
    <n v="1957"/>
    <s v="n/a"/>
    <n v="0"/>
    <m/>
    <m/>
  </r>
  <r>
    <n v="143"/>
    <n v="41"/>
    <m/>
    <m/>
    <x v="0"/>
    <m/>
    <m/>
    <s v="https://www.amazon.jp/dp/4000700413"/>
    <x v="0"/>
    <m/>
    <s v="n/a"/>
    <s v="n/a"/>
    <s v="y"/>
    <n v="9784000700412"/>
    <n v="4000700413"/>
    <n v="17089615"/>
    <s v="Miura Baien"/>
    <s v="三浦梅園"/>
    <s v="Miura, Baien, 1723-1789 ^ Shimada, Kenji, 1917- ^ Taguchi, Masaharu, 1898-1978"/>
    <s v="三浦梅園, 1723-1789 ^ 島田虔次, 1917- ^ 田口正治, 1898-1978"/>
    <x v="46"/>
    <s v="日本思想大系 ; 41. 日本思想大系 ; 41."/>
    <x v="18"/>
    <s v="岩波書店"/>
    <n v="1982"/>
    <s v="Philosophy, Japanese  --  Early works to 1800 ^ Philosophie japonaise  --  Ouvrages avant 1800 ^ Miura, Baien, 1723-1789"/>
    <n v="0"/>
    <m/>
    <m/>
  </r>
  <r>
    <n v="145"/>
    <m/>
    <m/>
    <m/>
    <x v="0"/>
    <m/>
    <m/>
    <s v="n/a"/>
    <x v="0"/>
    <m/>
    <s v="n/a"/>
    <s v="n/a"/>
    <s v="y"/>
    <s v="n/a"/>
    <s v="n/a"/>
    <n v="38077853"/>
    <s v="St. Nichiren's the Shimoyama letter"/>
    <s v="n/a"/>
    <s v="Nichiren, 1222-1282 ^ Yajima, Taikyō ^ Yoritomo chinjō.; English &amp; Japanese.Nichiren, 1222-1282 ^ Ha Ryōkan-ra gosho.; English &amp; Japanese"/>
    <s v="日蓮, 1222-1282. ^ 頼基陳状. ^ English ^ &amp; ^ Japanese. ^ 矢嶋泰教. ^ 破良勧等御書."/>
    <x v="2"/>
    <s v="n/a"/>
    <x v="74"/>
    <s v="日蓮宗海外布敎後援会"/>
    <n v="1996"/>
    <s v="Nichiren (Sect)  --  Doctrines  --  Early works to 1800"/>
    <n v="0"/>
    <m/>
    <m/>
  </r>
  <r>
    <n v="146"/>
    <m/>
    <m/>
    <m/>
    <x v="0"/>
    <m/>
    <s v="need to see item"/>
    <s v="n/a"/>
    <x v="0"/>
    <m/>
    <s v="n/a"/>
    <s v="n/a"/>
    <s v="n/a"/>
    <s v="n/a"/>
    <s v="n/a"/>
    <n v="866710441"/>
    <s v="n/a"/>
    <s v="世界のなかの江戸･日本: (財)東洋文庫のコレクションを中心に"/>
    <s v="n/a"/>
    <s v="n/a"/>
    <x v="2"/>
    <s v="n/a"/>
    <x v="0"/>
    <s v="東京都江戸東京博物館"/>
    <n v="1994"/>
    <s v="n/a"/>
    <n v="0"/>
    <m/>
    <m/>
  </r>
  <r>
    <n v="147"/>
    <n v="24"/>
    <m/>
    <m/>
    <x v="0"/>
    <m/>
    <s v="date is wrong"/>
    <s v="n/a"/>
    <x v="0"/>
    <m/>
    <s v="n/a"/>
    <s v="n/a"/>
    <s v="n/a"/>
    <s v="n/a"/>
    <s v="n/a"/>
    <n v="27169760"/>
    <s v="Nakai Chikuzan, Nakai Riken"/>
    <s v="中井竹山・中井履軒"/>
    <s v="Kobori, Kazumasa, 1947-1994 ^ Yamanaka, Hiroyuki, 1947- ^ Kaji, Nobuyuki, 1936- ^ Inoue, Akihiro, 1934-"/>
    <s v="小堀一正, 1947- ^ 山中浩之, 1947- ^ 加地伸行, 1936- ^ 井上明大, 1934-"/>
    <x v="47"/>
    <s v="n/a"/>
    <x v="13"/>
    <s v="明徳出版社"/>
    <n v="1985"/>
    <s v="Philosophers  --  Japan  --  Biography ^ Philosophes  --  Japon  --  Biographies ^ Nakai, Chikuzan, 1730-1804 ^ Nakai, Riken, 1732-1817"/>
    <n v="0"/>
    <m/>
    <m/>
  </r>
  <r>
    <n v="148"/>
    <n v="1"/>
    <m/>
    <m/>
    <x v="0"/>
    <m/>
    <s v="insert/signed"/>
    <s v="https://www.amazon.jp/dp/4810403661"/>
    <x v="0"/>
    <m/>
    <s v="n/a"/>
    <s v="n/a"/>
    <s v="y"/>
    <n v="9784810403664"/>
    <n v="4810403661"/>
    <n v="11784337"/>
    <s v="Ajia rekishi kenkyū nyūmon"/>
    <s v="アジア歴史研究入門"/>
    <s v="n/a"/>
    <s v="島田虔次"/>
    <x v="2"/>
    <s v="n/a"/>
    <x v="75"/>
    <s v="同朋社"/>
    <s v="1983-1987"/>
    <s v="Historiography ^ Asia Historiography ^ Asia Bibliography ^ Asie Historiographie ^ Asie Bibliographie ^ Bibliographies"/>
    <n v="0"/>
    <m/>
    <m/>
  </r>
  <r>
    <n v="148.1"/>
    <n v="1"/>
    <m/>
    <m/>
    <x v="0"/>
    <m/>
    <m/>
    <s v="https://www.amazon.jp/dp/4810403661"/>
    <x v="0"/>
    <m/>
    <s v="n/a"/>
    <s v="n/a"/>
    <s v="y"/>
    <n v="9784810403664"/>
    <n v="4810403661"/>
    <n v="11784337"/>
    <s v="Ajia rekishi kenkyū nyūmon"/>
    <s v="アジア歴史研究入門"/>
    <s v="n/a"/>
    <s v="島田虔次"/>
    <x v="2"/>
    <s v="n/a"/>
    <x v="75"/>
    <s v="同朋社"/>
    <s v="1983-1987"/>
    <s v="Historiography ^ Asia Historiography ^ Asia Bibliography ^ Asie Historiographie ^ Asie Bibliographie ^ Bibliographies"/>
    <n v="0"/>
    <m/>
    <m/>
  </r>
  <r>
    <n v="148.19999999999999"/>
    <n v="1"/>
    <m/>
    <m/>
    <x v="0"/>
    <m/>
    <m/>
    <s v="https://www.amazon.jp/dp/4810403661"/>
    <x v="0"/>
    <m/>
    <s v="n/a"/>
    <s v="n/a"/>
    <s v="y"/>
    <n v="9784810403664"/>
    <n v="4810403661"/>
    <n v="11784337"/>
    <s v="Ajia rekishi kenkyū nyūmon"/>
    <s v="アジア歴史研究入門"/>
    <s v="n/a"/>
    <s v="島田虔次"/>
    <x v="2"/>
    <s v="n/a"/>
    <x v="75"/>
    <s v="同朋社"/>
    <s v="1983-1987"/>
    <s v="Historiography ^ Asia Historiography ^ Asia Bibliography ^ Asie Historiographie ^ Asie Bibliographie ^ Bibliographies"/>
    <n v="0"/>
    <m/>
    <m/>
  </r>
  <r>
    <n v="149"/>
    <m/>
    <m/>
    <m/>
    <x v="0"/>
    <m/>
    <m/>
    <s v="n/a"/>
    <x v="0"/>
    <m/>
    <s v="n/a"/>
    <s v="n/a"/>
    <s v="y"/>
    <s v="n/a"/>
    <s v="n/a"/>
    <n v="28402937"/>
    <s v="Chūgoku to Chūgokujin"/>
    <s v="中国と中国人"/>
    <s v="Okada, Takehiko"/>
    <s v="岡田武彦"/>
    <x v="2"/>
    <s v="n/a"/>
    <x v="76"/>
    <s v="啓学出版"/>
    <n v="1973"/>
    <s v="National characteristics, Chinese ^ Chinois ^ Mao, Zedong, 1893-1976  --  Philosophy ^ China"/>
    <n v="0"/>
    <m/>
    <m/>
  </r>
  <r>
    <n v="150"/>
    <m/>
    <m/>
    <m/>
    <x v="0"/>
    <m/>
    <m/>
    <s v="n/a"/>
    <x v="0"/>
    <m/>
    <s v="n/a"/>
    <s v="n/a"/>
    <s v="y"/>
    <s v="n/a"/>
    <s v="n/a"/>
    <n v="10723831"/>
    <s v="Chūgoku ni okeru ningensei no tankyū"/>
    <s v="中國における人間性の探究"/>
    <s v="Kanaya, Osamu, 1920-2006"/>
    <s v="金谷治, 1920-2006"/>
    <x v="2"/>
    <s v="n/a"/>
    <x v="31"/>
    <s v="創文社"/>
    <n v="1983"/>
    <s v="Human beings ^ Philosophy, Chinese ^ Homme ^ Philosophie chinoise ^ Homo sapiens (species)"/>
    <n v="0"/>
    <m/>
    <m/>
  </r>
  <r>
    <n v="151"/>
    <m/>
    <m/>
    <m/>
    <x v="0"/>
    <m/>
    <s v="insert/signed"/>
    <s v="n/a"/>
    <x v="0"/>
    <m/>
    <s v="n/a"/>
    <s v="n/a"/>
    <s v="y"/>
    <s v="n/a"/>
    <s v="n/a"/>
    <n v="26437285"/>
    <s v="Chūgoku ni okeru kindai shii no zasetsu"/>
    <s v="中國における近代思惟の挫折"/>
    <s v="Shimada, Kenji, 1917-"/>
    <s v="島田虔次, 1917-"/>
    <x v="2"/>
    <s v="n/a"/>
    <x v="23"/>
    <s v="筑摩書房"/>
    <n v="1970"/>
    <s v="Philosophy, Chinese  --  History ^ Philosophie chinoise  --  Histoire"/>
    <n v="0"/>
    <m/>
    <m/>
  </r>
  <r>
    <n v="152"/>
    <m/>
    <m/>
    <m/>
    <x v="0"/>
    <m/>
    <m/>
    <s v="n/a"/>
    <x v="0"/>
    <m/>
    <s v="n/a"/>
    <s v="n/a"/>
    <s v="y"/>
    <s v="n/a"/>
    <s v="n/a"/>
    <n v="33800437"/>
    <s v="Chūgoku no kōdō"/>
    <s v="中国の孝道"/>
    <s v="Kuwabara, Jitsuzō, 1870-1931"/>
    <s v="桑原隲蔵, 1870-1931"/>
    <x v="48"/>
    <s v="カルピス文化叢書 ; 1."/>
    <x v="77"/>
    <s v="三島海雲"/>
    <n v="1965"/>
    <s v="Filial piety ^ Piété filiale"/>
    <n v="0"/>
    <m/>
    <m/>
  </r>
  <r>
    <n v="153"/>
    <n v="2"/>
    <m/>
    <m/>
    <x v="0"/>
    <m/>
    <m/>
    <s v="n/a"/>
    <x v="0"/>
    <m/>
    <s v="n/a"/>
    <s v="n/a"/>
    <s v="n/a"/>
    <s v="n/a"/>
    <s v="n/a"/>
    <n v="673582715"/>
    <s v="Chugoku no shukyo kaikaku: Zen shinkyo no seiritsu"/>
    <s v="中国の宗教改革: 全真教の成立"/>
    <s v="Kubo, Noritada, 1913-"/>
    <s v="窪, 徳忠, 1913-"/>
    <x v="49"/>
    <s v="アジアの宗教文化 ; 2"/>
    <x v="0"/>
    <s v="法蔵館"/>
    <n v="1967"/>
    <s v="Dokyo"/>
    <n v="0"/>
    <m/>
    <m/>
  </r>
  <r>
    <n v="154"/>
    <m/>
    <m/>
    <m/>
    <x v="0"/>
    <m/>
    <s v="insert/signed"/>
    <s v="https://www.amazon.jp/dp/4062045788"/>
    <x v="0"/>
    <m/>
    <s v="n/a"/>
    <s v="n/a"/>
    <s v="y"/>
    <n v="9784062045780"/>
    <n v="4062045788"/>
    <n v="22114771"/>
    <s v="Chūgoku no higeki = The tragedy of China: where will Deng Xiaoping navigate China?"/>
    <s v="中国の悲劇 = The tragedy of China: where will Deng Xiaoping navigate China?"/>
    <s v="Nakajima, Mineo, 1936-2013, ^ author"/>
    <s v="中嶋嶺雄, 1936- ^ author"/>
    <x v="2"/>
    <s v="n/a"/>
    <x v="1"/>
    <s v="講談社"/>
    <n v="1989"/>
    <s v="Diplomatic relations ^ Politics and government ^ Since 1976 ^ China  --  Politics and government  --  1976-2002 ^ China  --  Foreign relations  --  1976- ^ Chine  --  Politique et gouvernement  --  1976-2002 ^ Chine  --  Relations extérieures  --  1976-"/>
    <n v="0"/>
    <m/>
    <m/>
  </r>
  <r>
    <n v="155"/>
    <n v="3"/>
    <m/>
    <m/>
    <x v="0"/>
    <m/>
    <s v="insert/signed"/>
    <s v="n/a"/>
    <x v="0"/>
    <m/>
    <s v="n/a"/>
    <s v="n/a"/>
    <s v="n/a"/>
    <s v="n/a"/>
    <s v="n/a"/>
    <n v="703871457"/>
    <s v="Chūgoku no rekishi: 3, Gi shin nanbokuchō"/>
    <s v="中国の歴史. 3, 魏晋南北朝"/>
    <s v="Kawakatsu, Yoshio, 1922-1984"/>
    <s v="川勝, 義雄, 1922-1984"/>
    <x v="2"/>
    <s v="n/a"/>
    <x v="0"/>
    <s v="講談社"/>
    <n v="1974"/>
    <s v="Chūgoku  --  Rekishi  --  Sangokujidai ^ Chūgoku  --  Rekishi  --  Shinjidai ^ Chūgoku  --  Rekishi  --  Gokojūrokkokujidai ^ Chūgoku  --  Rekishi  --  Nanbokuchōjidai"/>
    <n v="0"/>
    <m/>
    <m/>
  </r>
  <r>
    <n v="156"/>
    <m/>
    <m/>
    <m/>
    <x v="0"/>
    <m/>
    <s v="need to see item"/>
    <s v="n/a"/>
    <x v="0"/>
    <m/>
    <s v="n/a"/>
    <s v="n/a"/>
    <s v="y"/>
    <s v="n/a"/>
    <s v="n/a"/>
    <n v="22339113"/>
    <s v="Chūgoku no shakai shisō"/>
    <s v="中国の社会思想"/>
    <s v="Ojima, Sukema, 1881-1966"/>
    <s v="小島祐馬, 1881-1966 ^ 小島祐馬(1881-1966)"/>
    <x v="2"/>
    <s v="n/a"/>
    <x v="0"/>
    <s v="東京] 筑摩書房"/>
    <n v="1967"/>
    <s v="Social sciences  --  China  --  History ^ Sciences sociales  --  Chine  --  Histoire"/>
    <n v="0"/>
    <m/>
    <m/>
  </r>
  <r>
    <n v="157"/>
    <m/>
    <m/>
    <m/>
    <x v="0"/>
    <m/>
    <m/>
    <s v="n/a"/>
    <x v="0"/>
    <m/>
    <s v="n/a"/>
    <s v="n/a"/>
    <s v="y"/>
    <s v="n/a"/>
    <s v="n/a"/>
    <n v="33515079"/>
    <s v="Chūgoku chūsei no shūkyō to bunka"/>
    <s v="中国中世の宗敎と文化"/>
    <s v="Fukunaga, Mitsuji ^ Kyōto Daigaku ^ Jinbun Kagaku Kenkyūjo"/>
    <s v="京都大学 ^ 人文科学研究所"/>
    <x v="2"/>
    <s v="n/a"/>
    <x v="78"/>
    <s v="京都大学人文科学研究所"/>
    <n v="1982"/>
    <s v="Buddhism  --  China  --  History  --  581-960 ^ Bouddhisme  --  Chine  --  Histoire  --  581-960"/>
    <n v="0"/>
    <m/>
    <m/>
  </r>
  <r>
    <n v="158"/>
    <n v="1"/>
    <m/>
    <m/>
    <x v="0"/>
    <m/>
    <m/>
    <s v="n/a"/>
    <x v="0"/>
    <m/>
    <s v="n/a"/>
    <s v="n/a"/>
    <s v="y"/>
    <s v="n/a"/>
    <s v="n/a"/>
    <n v="21278193"/>
    <s v="Chūgoku Bukkyō to shakai fukushi jigyō"/>
    <s v="中国仏敎と社会福祉事業"/>
    <s v="Michihata, Ryōshū, 1903-"/>
    <s v="道端良秀, 1903-"/>
    <x v="50"/>
    <s v="アジアの宗教文化 ; 1"/>
    <x v="24"/>
    <s v="法蔵館"/>
    <n v="1967"/>
    <s v="Buddhism  --  China  --  Charities ^ Charities  --  China  --  History ^ Bouddhisme  --  Chine  --  Œuvres de bienfaisance ^ Buddhism  --  Charities"/>
    <n v="0"/>
    <m/>
    <m/>
  </r>
  <r>
    <n v="159"/>
    <m/>
    <m/>
    <s v="2?"/>
    <x v="0"/>
    <m/>
    <s v="need to see item, not clear if one or two"/>
    <s v="n/a"/>
    <x v="0"/>
    <m/>
    <s v="n/a"/>
    <s v="n/a"/>
    <s v="y"/>
    <s v="n/a"/>
    <s v="n/a"/>
    <n v="21833329"/>
    <s v="Chūgoku shi kenkyū"/>
    <s v="中国史研究"/>
    <s v="Saeki, Tomi, 1910-2006"/>
    <s v="佐伯富, 1910-"/>
    <x v="51"/>
    <s v="東洋史研究叢刋 ; 21."/>
    <x v="79"/>
    <s v="東洋史硏究會"/>
    <s v="1969-1977"/>
    <s v="History ^ China  --  History ^ Chine  --  Histoire"/>
    <n v="0"/>
    <m/>
    <m/>
  </r>
  <r>
    <n v="160"/>
    <m/>
    <m/>
    <m/>
    <x v="0"/>
    <m/>
    <m/>
    <s v="n/a"/>
    <x v="0"/>
    <m/>
    <s v="n/a"/>
    <s v="n/a"/>
    <s v="y"/>
    <s v="n/a"/>
    <s v="n/a"/>
    <n v="15961039"/>
    <s v="Chūgoku tetsugaku no tankyū"/>
    <s v="中国哲学の探究"/>
    <s v="Kimura, Eiichi, 1906-1981"/>
    <s v="木村英一, 1906-"/>
    <x v="52"/>
    <s v="東洋学叢書."/>
    <x v="31"/>
    <s v="創文社"/>
    <n v="1981"/>
    <s v="Philosophy, Chinese  --  History ^ Philosophie chinoise  --  Histoire"/>
    <n v="0"/>
    <m/>
    <m/>
  </r>
  <r>
    <n v="161"/>
    <m/>
    <m/>
    <m/>
    <x v="0"/>
    <m/>
    <s v="price note: based on kindle version by different publisher"/>
    <s v="n/a"/>
    <x v="0"/>
    <m/>
    <s v="n/a"/>
    <s v="n/a"/>
    <s v="y"/>
    <s v="n/a"/>
    <s v="n/a"/>
    <n v="17087438"/>
    <s v="Chūgoku tetsugakushi kenkyū ronshū: Araki Kyōju taikyū kinen"/>
    <s v="中国哲学史研究論集: 荒木敎授退休記念"/>
    <s v="Araki, Kengo, 1917-2017 ^ Araki Kyōju Taikyū Kinenkai"/>
    <s v="荒木敎授退休記念会"/>
    <x v="2"/>
    <s v="n/a"/>
    <x v="80"/>
    <s v="葦書房"/>
    <n v="1981"/>
    <s v="Philosophy, Chinese ^ Philosophie chinoise ^ Araki, Kengo, 1917-2017"/>
    <n v="0"/>
    <m/>
    <m/>
  </r>
  <r>
    <n v="162"/>
    <m/>
    <m/>
    <m/>
    <x v="0"/>
    <m/>
    <m/>
    <s v="n/a"/>
    <x v="0"/>
    <m/>
    <s v="n/a"/>
    <s v="n/a"/>
    <s v="n/a"/>
    <s v="n/a"/>
    <s v="n/a"/>
    <s v="n/a"/>
    <s v="n/a"/>
    <s v="中国善書の研究"/>
    <s v="n/a"/>
    <s v="酒井忠夫"/>
    <x v="2"/>
    <s v="n/a"/>
    <x v="81"/>
    <s v="弘文堂"/>
    <n v="1955"/>
    <s v="n/a"/>
    <n v="0"/>
    <m/>
    <m/>
  </r>
  <r>
    <n v="163"/>
    <m/>
    <m/>
    <m/>
    <x v="0"/>
    <m/>
    <m/>
    <s v="n/a"/>
    <x v="0"/>
    <m/>
    <s v="n/a"/>
    <s v="n/a"/>
    <s v="n/a"/>
    <s v="n/a"/>
    <s v="n/a"/>
    <n v="42626420"/>
    <s v="Chūgoku chihōshi rengō mokuroku"/>
    <s v="中国地方誌連合目錄"/>
    <s v="Tōkyō Daigaku ^ Tōyōgaku Bunken Sentā ^ Renraku Kyōgikai"/>
    <s v="東洋学文献センター連絡協議会"/>
    <x v="2"/>
    <s v="n/a"/>
    <x v="82"/>
    <s v="n/a"/>
    <n v="1964"/>
    <s v="Union catalogs  --  Japan ^ Catalogues collectifs  --  Japon ^ Local history ^ China  --  History, Local  --  Bibliography  --  Union lists"/>
    <n v="0"/>
    <m/>
    <m/>
  </r>
  <r>
    <n v="164"/>
    <m/>
    <m/>
    <m/>
    <x v="0"/>
    <m/>
    <m/>
    <s v="n/a"/>
    <x v="0"/>
    <m/>
    <s v="n/a"/>
    <s v="n/a"/>
    <s v="y"/>
    <s v="n/a"/>
    <s v="n/a"/>
    <n v="22341411"/>
    <s v="Chūgoku joseishi: Taihei Tengoku kara gendai made"/>
    <s v="中国女性史: 太平天国から現代まで"/>
    <s v="Ono, Kazuko, 1932-"/>
    <s v="小野和子, 1932-"/>
    <x v="53"/>
    <s v="平凡社選書 ; 61"/>
    <x v="25"/>
    <s v="平凡社"/>
    <n v="1978"/>
    <s v="Women  --  China  --  History ^ Femmes  --  Chine  --  Histoire"/>
    <n v="0"/>
    <m/>
    <m/>
  </r>
  <r>
    <n v="165"/>
    <n v="3"/>
    <m/>
    <m/>
    <x v="0"/>
    <m/>
    <s v="check for volume number"/>
    <s v="https://www.amazon.jp/dp/4336039038"/>
    <x v="0"/>
    <m/>
    <s v="n/a"/>
    <s v="n/a"/>
    <s v="y"/>
    <n v="9784336039033"/>
    <n v="4336039038"/>
    <n v="39686605"/>
    <s v="Chūgoku panhoeshi no kenkyū: Honpan hen"/>
    <s v="中国帮会史の研究. 紅帮篇"/>
    <s v="Sakai, Tadao, 1912-2010"/>
    <s v="酒井忠夫, 1912-"/>
    <x v="54"/>
    <s v="酒井忠夫, 1912- Works. Selections. 1996 ; 3."/>
    <x v="83"/>
    <s v="国書刊行会"/>
    <n v="1998"/>
    <s v="Secret societies  --  China  --  History ^ Sociétés secrètes  --  Chine  --  Histoire ^ Chūgoku-Rekishi ^ Hong men (Society)  --  History"/>
    <n v="0"/>
    <m/>
    <m/>
  </r>
  <r>
    <n v="166"/>
    <n v="4"/>
    <m/>
    <m/>
    <x v="0"/>
    <m/>
    <s v="check for volume number"/>
    <s v="https://www.amazon.jp/dp/4336039046"/>
    <x v="0"/>
    <m/>
    <s v="n/a"/>
    <s v="n/a"/>
    <s v="n/a"/>
    <n v="9784336039040"/>
    <n v="4336039046"/>
    <n v="38169860"/>
    <s v="Chūgoku banhoeshi no kenkyū: Chingban hen"/>
    <s v="中国帮会史の研究. 青帮篇"/>
    <s v="Sakai, Tadao, 1912-2010"/>
    <s v="酒井忠夫, 1912-"/>
    <x v="55"/>
    <s v="酒井忠夫. Selections. 1996 ; 4."/>
    <x v="83"/>
    <s v="国書刊行会"/>
    <n v="1997"/>
    <s v="Secret societies  --  China  --  History ^ Sociétés secrètes  --  Chine  --  Histoire ^ Qing bang (Society)"/>
    <n v="0"/>
    <m/>
    <m/>
  </r>
  <r>
    <n v="167"/>
    <m/>
    <m/>
    <m/>
    <x v="0"/>
    <m/>
    <m/>
    <s v="n/a"/>
    <x v="0"/>
    <m/>
    <s v="n/a"/>
    <s v="n/a"/>
    <s v="y"/>
    <s v="n/a"/>
    <s v="n/a"/>
    <n v="14146272"/>
    <s v="Chūgoku shisō ni okeru risō to genjitsu"/>
    <s v="中国思想における理想と現実"/>
    <s v="Okada, Takehiko"/>
    <s v="岡田武彦. ^ 岡田武彦(1908- ^ )"/>
    <x v="2"/>
    <s v="n/a"/>
    <x v="52"/>
    <s v="木耳社"/>
    <n v="1983"/>
    <s v="Philosophy, Chinese ^ Philosophie chinoise"/>
    <n v="0"/>
    <m/>
    <m/>
  </r>
  <r>
    <n v="168"/>
    <m/>
    <m/>
    <m/>
    <x v="0"/>
    <m/>
    <m/>
    <s v="https://www.amazon.jp/dp/4121011201"/>
    <x v="0"/>
    <m/>
    <s v="n/a"/>
    <s v="n/a"/>
    <s v="y"/>
    <n v="9784121011206"/>
    <n v="4121011201"/>
    <n v="30017470"/>
    <s v="Chūgoku shisō o kangaeru : mirai o hiraku dentō"/>
    <s v="中国思想を考える : 未来を開く伝統"/>
    <s v="Kanaya Osamu cho ^ Kanaya, Osamu"/>
    <s v="金谷治著. ^ 金谷治, 1920-2006"/>
    <x v="56"/>
    <s v="n/a"/>
    <x v="2"/>
    <s v="Chūō Kōronsha"/>
    <n v="1993"/>
    <s v="Intellectual life ^ China Intellectual life ^ Chine Vie intellectuelle"/>
    <n v="0"/>
    <m/>
    <m/>
  </r>
  <r>
    <n v="169"/>
    <m/>
    <m/>
    <m/>
    <x v="0"/>
    <m/>
    <m/>
    <s v="n/a"/>
    <x v="0"/>
    <m/>
    <s v="n/a"/>
    <s v="n/a"/>
    <s v="y"/>
    <s v="n/a"/>
    <s v="n/a"/>
    <n v="20927249"/>
    <s v="Chūgoku shisōshi"/>
    <s v="中国思想史"/>
    <s v="Ojima, Sukema, 1881-1966"/>
    <s v="小島祐馬, 1881-1966"/>
    <x v="2"/>
    <s v="n/a"/>
    <x v="31"/>
    <s v="創文社"/>
    <n v="1968"/>
    <s v="Philosophy, Chinese  --  History ^ Philosophie chinoise  --  Histoire"/>
    <n v="0"/>
    <m/>
    <m/>
  </r>
  <r>
    <n v="170"/>
    <m/>
    <m/>
    <m/>
    <x v="0"/>
    <m/>
    <m/>
    <s v="https://www.amazon.jp/dp/4897473152"/>
    <x v="0"/>
    <m/>
    <s v="n/a"/>
    <s v="n/a"/>
    <s v="y"/>
    <n v="9784897473154"/>
    <n v="4897473152"/>
    <n v="26579211"/>
    <s v="Chūgoku shisō kenkyū to gendai"/>
    <s v="中国思想研究と現代"/>
    <s v="Fukui, Fumimasa, 1934-2017"/>
    <s v="福井文雅, 1934-"/>
    <x v="2"/>
    <s v="n/a"/>
    <x v="84"/>
    <s v="隆文館"/>
    <n v="1991"/>
    <s v="Philosophy, Chinese ^ Philosophie chinoise"/>
    <n v="0"/>
    <m/>
    <m/>
  </r>
  <r>
    <n v="171"/>
    <m/>
    <m/>
    <m/>
    <x v="0"/>
    <m/>
    <m/>
    <s v="n/a"/>
    <x v="0"/>
    <m/>
    <s v="n/a"/>
    <s v="n/a"/>
    <s v="y"/>
    <s v="n/a"/>
    <s v="n/a"/>
    <n v="47538322"/>
    <s v="Chūgoku rekidai kōgobun"/>
    <s v="中国歴代口語文"/>
    <s v="Ōta, Tatsuo, 1916-"/>
    <s v="太田辰夫, 1916-"/>
    <x v="2"/>
    <s v="n/a"/>
    <x v="85"/>
    <s v="朋友書店"/>
    <n v="1982"/>
    <s v="n/a"/>
    <n v="0"/>
    <m/>
    <m/>
  </r>
  <r>
    <n v="172"/>
    <m/>
    <m/>
    <m/>
    <x v="0"/>
    <m/>
    <m/>
    <s v="n/a"/>
    <x v="0"/>
    <m/>
    <s v="n/a"/>
    <s v="n/a"/>
    <s v="n/a"/>
    <s v="n/a"/>
    <s v="n/a"/>
    <n v="33638793"/>
    <s v="Chūgoku Jōdo kyōrishi"/>
    <s v="中国浄土敎理史"/>
    <s v="Mochizuki, Shinkō, 1869-1948"/>
    <s v="望月信亨, 1869-1948"/>
    <x v="2"/>
    <s v="n/a"/>
    <x v="24"/>
    <s v="法蔵館"/>
    <n v="1942"/>
    <s v="Pure Land Buddhism  --  China ^ Bouddhisme de la Terre Pure  --  Chine"/>
    <n v="0"/>
    <m/>
    <m/>
  </r>
  <r>
    <n v="173"/>
    <m/>
    <m/>
    <m/>
    <x v="0"/>
    <m/>
    <s v="OCLC record is for digitized version"/>
    <s v="https://www.amazon.jp/dp/4497211126"/>
    <x v="0"/>
    <m/>
    <s v="n/a"/>
    <s v="n/a"/>
    <s v="y"/>
    <s v="9784497211125 ^ 9784809702624"/>
    <n v="4497211126"/>
    <n v="788216220"/>
    <s v="Chūgoku shakai keizaishi yōgo kai"/>
    <s v="中国社会経済史用語解"/>
    <s v="Shiba, Yoshinobu"/>
    <s v="斯波義信"/>
    <x v="2"/>
    <s v="n/a"/>
    <x v="27"/>
    <s v="東洋文庫"/>
    <n v="2012"/>
    <s v="Chinese language  --  Terms and phrases ^ Economic history ^ Social conditions ^ Chūgoku-Keizai-Rekishi-Jiten ^ Dictionaries ^ Terminology ^ To 1644 ^ China  --  Economic conditions  --  To 1644  --  Dictionaries ^ China  --  Economic conditions  --  Terminology ^ China  --  Social conditions  --  Terminology ^ Chine  --  Conditions économiques  --  Terminologie ^ Chine  --  Conditions sociales  --  Terminologie"/>
    <n v="0"/>
    <m/>
    <m/>
  </r>
  <r>
    <n v="174"/>
    <m/>
    <m/>
    <m/>
    <x v="0"/>
    <m/>
    <m/>
    <s v="n/a"/>
    <x v="0"/>
    <m/>
    <s v="n/a"/>
    <s v="n/a"/>
    <s v="y"/>
    <s v="n/a"/>
    <s v="n/a"/>
    <n v="9105764"/>
    <s v="Chūgoku Kegon shisōshi no kenkyū"/>
    <s v="中国華厳思想史の研究"/>
    <s v="Kamata, Shigeo, 1927-"/>
    <s v="鎌田茂雄, 1927-"/>
    <x v="57"/>
    <s v="復刋学術書"/>
    <x v="3"/>
    <s v="n/a"/>
    <s v="1978, 1965"/>
    <s v="Buddhism  --  China ^ Hua yan Buddhism  --  China ^ Hua yan Buddhism  --  Doctrines ^ Bouddhisme  --  Chine ^ Bouddhisme Huayan  --  Chine ^ Bouddhisme Huayan  --  Doctrines ^ Criticism, interpretation, etc ^ Tripiṭaka. Sūtrapiṭaka. Avataṃsakasūtra  --  Criticism, interpretation, etc"/>
    <n v="0"/>
    <m/>
    <m/>
  </r>
  <r>
    <n v="175"/>
    <m/>
    <m/>
    <m/>
    <x v="0"/>
    <m/>
    <s v="insert/signed"/>
    <s v="https://www.amazon.jp/dp/458248204X"/>
    <x v="0"/>
    <m/>
    <s v="n/a"/>
    <s v="n/a"/>
    <s v="y"/>
    <n v="9784582482041"/>
    <s v="458248204X"/>
    <n v="24984293"/>
    <s v="Chūgoku kinsei no shūkyō rinri to shōnin seishin"/>
    <s v="中国近世の宗教倫理と商人精神"/>
    <s v="Yu, Yingshi ^ Mori, Noriko, 1945-"/>
    <s v="余英時. ^ 森紀子, 1945-"/>
    <x v="2"/>
    <s v="n/a"/>
    <x v="25"/>
    <s v="平凡社"/>
    <n v="1991"/>
    <s v="Ethics  --  China ^ Business ethics ^ Morale  --  Chine ^ Morale des affaires ^ Religion ^ China  --  Religion ^ Chine  --  Religion"/>
    <n v="0"/>
    <m/>
    <m/>
  </r>
  <r>
    <n v="176"/>
    <m/>
    <m/>
    <m/>
    <x v="0"/>
    <m/>
    <m/>
    <s v="n/a"/>
    <x v="0"/>
    <m/>
    <s v="n/a"/>
    <s v="n/a"/>
    <s v="y"/>
    <s v="n/a"/>
    <s v="n/a"/>
    <n v="24266614"/>
    <s v="Chūgoku kinsei shisō kenkyū"/>
    <s v="中国近世思想研究"/>
    <s v="Yasuda, Jirō, 1911-1955"/>
    <s v="安田二郎, 1911-1955"/>
    <x v="2"/>
    <s v="n/a"/>
    <x v="23"/>
    <s v="筑摩書房"/>
    <n v="1976"/>
    <s v="Philosophy, Chinese ^ Philosophie chinoise ^ Zhu, Xi, 1130-1200"/>
    <n v="0"/>
    <m/>
    <m/>
  </r>
  <r>
    <n v="177"/>
    <m/>
    <m/>
    <m/>
    <x v="0"/>
    <m/>
    <m/>
    <s v="n/a"/>
    <x v="0"/>
    <m/>
    <s v="n/a"/>
    <s v="n/a"/>
    <s v="n/a"/>
    <s v="n/a"/>
    <s v="n/a"/>
    <n v="34566536"/>
    <s v="Chūgoku kinsei jōdokyōshi no kenkyū"/>
    <s v="中国近世浄土教史の研究"/>
    <s v="Ogasawara, Senshū, 1903-1984"/>
    <s v="小笠原宣秀, 1903-"/>
    <x v="2"/>
    <s v="n/a"/>
    <x v="73"/>
    <s v="百華苑"/>
    <n v="1963"/>
    <s v="Jōdo (Sect) ^ Buddhism  --  China ^ Bouddhisme  --  Chine"/>
    <n v="0"/>
    <m/>
    <m/>
  </r>
  <r>
    <n v="178"/>
    <n v="45"/>
    <m/>
    <m/>
    <x v="0"/>
    <m/>
    <m/>
    <s v="n/a"/>
    <x v="0"/>
    <m/>
    <s v="n/a"/>
    <s v="n/a"/>
    <s v="n/a"/>
    <s v="n/a"/>
    <s v="n/a"/>
    <n v="866857571"/>
    <s v="Chūgoku kakumei no senkushatachi"/>
    <s v="中国革命の先駆者たち"/>
    <s v="Shimada, Kenji"/>
    <s v="n/a"/>
    <x v="58"/>
    <s v="n/a"/>
    <x v="23"/>
    <s v="n/a"/>
    <s v="1965, ?"/>
    <s v="Communism  --  China ^ Communisme  --  Chine ^ Biographies ^ History ^ 1912-1949 ^ China  --  History  --  Republic, 1912-1949 ^ China  --  Biography ^ Chine  --  Histoire  --  1912-1949 (République) ^ Chine  --  1912-1949 (République)"/>
    <n v="0"/>
    <m/>
    <m/>
  </r>
  <r>
    <n v="179"/>
    <m/>
    <m/>
    <m/>
    <x v="0"/>
    <m/>
    <m/>
    <s v="n/a"/>
    <x v="0"/>
    <m/>
    <s v="n/a"/>
    <s v="n/a"/>
    <s v="y"/>
    <s v="n/a"/>
    <s v="n/a"/>
    <n v="34895857"/>
    <s v="Chūgoku ni okeru gengo chōsa"/>
    <s v="中國における言語調查"/>
    <s v="Dong, Tonghe, 1911-1963 ^ Jin nian lai Zhongguo yu yan yan jiu de fa zhan"/>
    <s v="董同龢, 1911-1963. ^ 近年來中國語言研究的發展"/>
    <x v="59"/>
    <s v="ハーバード・燕京・同志社東方文化講座 ; 第 12輯. ハーバード・燕京・同志社東方文化講座 ; 第 12輯."/>
    <x v="86"/>
    <s v="ハーバード・燕京・同志社東方文化講座委員會"/>
    <n v="1957"/>
    <s v="Chinese language  --  Dialects ^ Chinois (Langue)  --  Dialectes ^ Zhong yang yan jiu yuan. Li shi yu yan yan jiu suo ^ China  --  Languages ^ Chine  --  Langues"/>
    <n v="0"/>
    <m/>
    <m/>
  </r>
  <r>
    <n v="180"/>
    <m/>
    <s v="下"/>
    <m/>
    <x v="0"/>
    <m/>
    <m/>
    <s v="n/a"/>
    <x v="0"/>
    <m/>
    <s v="n/a"/>
    <s v="n/a"/>
    <s v="y"/>
    <s v="n/a"/>
    <s v="n/a"/>
    <n v="20742564"/>
    <s v="Chūgoku no shisōka: Uno Tetsuto Hakushi beiju kinen ronshū"/>
    <s v="中國の思想家: 宇野哲人博士米壽記念論集"/>
    <s v="Uno, Tetsuto, 1875-1974 ^ Tōkyō Daigaku ^ Bungakubu ^ Chūgoku Tetsugaku Kenkyūshitsu"/>
    <s v="宇野哲人, 1875-1974 ^ 東京大學 ^ 文學部 ^ 中國哲學研究室"/>
    <x v="2"/>
    <s v="n/a"/>
    <x v="87"/>
    <s v="勁草書房"/>
    <n v="1963"/>
    <s v="Philosophers  --  China ^ Philosophes  --  Chine ^ Uno, Tetsuto, 1875-1974 ^ Festschriften"/>
    <n v="0"/>
    <m/>
    <m/>
  </r>
  <r>
    <n v="181"/>
    <m/>
    <m/>
    <m/>
    <x v="0"/>
    <m/>
    <m/>
    <s v="n/a"/>
    <x v="0"/>
    <m/>
    <s v="n/a"/>
    <s v="n/a"/>
    <s v="n/a"/>
    <s v="n/a"/>
    <s v="n/a"/>
    <n v="674479476"/>
    <s v="Chūgoku no seiji shisō"/>
    <s v="中国の政治思想"/>
    <s v="Ojima, Sukema, 1881-1966 ^ Habado Enkei Dōshisha Tōhō Bunka Kōza Iinkai"/>
    <s v="ハーバード燕京同志社東方文化講座委員会"/>
    <x v="60"/>
    <s v="ハーバード・燕京・同志社東方文化講座 ; 第1輯"/>
    <x v="86"/>
    <s v="ハーバード・燕京・同志社東方文化講座委員会"/>
    <n v="1956"/>
    <s v="Chūgokushisō ^ Chugokushiso"/>
    <n v="0"/>
    <m/>
    <m/>
  </r>
  <r>
    <n v="182"/>
    <m/>
    <m/>
    <m/>
    <x v="0"/>
    <m/>
    <m/>
    <s v="n/a"/>
    <x v="0"/>
    <m/>
    <s v="n/a"/>
    <s v="n/a"/>
    <s v="y"/>
    <s v="n/a"/>
    <s v="n/a"/>
    <n v="23321283"/>
    <s v="Chūgoku no kagaku to kagakusha"/>
    <s v="中國の科學と科學者"/>
    <s v="Yamada, Keiji, 1932-"/>
    <s v="山田慶兒, 1932-"/>
    <x v="2"/>
    <s v="n/a"/>
    <x v="78"/>
    <s v="京都大學人文科學研究所"/>
    <n v="1978"/>
    <s v="Science  --  China  --  History ^ Technology  --  China  --  History ^ Sciences  --  Chine  --  Histoire ^ Technologie  --  Chine  --  Histoire"/>
    <n v="0"/>
    <m/>
    <m/>
  </r>
  <r>
    <n v="183"/>
    <m/>
    <m/>
    <m/>
    <x v="0"/>
    <m/>
    <m/>
    <s v="n/a"/>
    <x v="0"/>
    <m/>
    <s v="n/a"/>
    <s v="n/a"/>
    <s v="y"/>
    <s v="n/a"/>
    <s v="n/a"/>
    <n v="29758089"/>
    <s v="Chūgoku chūsei no bunbutsu"/>
    <s v="中國中世の文物"/>
    <s v="Tonami, Mamoru, 1937- ^ Kyōto Daigaku ^ Jinbun Kagaku Kenkyūjo"/>
    <s v="京都大學 ^ 人文科學研究所"/>
    <x v="2"/>
    <s v="n/a"/>
    <x v="78"/>
    <s v="京都大學人文科學研究所"/>
    <n v="1993"/>
    <s v="Antiquities ^ Civilization ^ Social conditions ^ 221 B.C.-960 A.D ^ China  --  Civilization  --  221 B.C.-960 A.D ^ China  --  Social conditions  --  221 B.C.-960 A.D ^ China  --  Antiquities ^ Chine  --  Civilisation  --  221 av. J.-C.-960 ^ Chine  --  Conditions sociales  --  221 av. J.-C.-960 ^ Chine  --  Antiquités"/>
    <n v="0"/>
    <m/>
    <m/>
  </r>
  <r>
    <n v="184"/>
    <m/>
    <m/>
    <m/>
    <x v="0"/>
    <m/>
    <m/>
    <s v="n/a"/>
    <x v="0"/>
    <m/>
    <s v="n/a"/>
    <s v="n/a"/>
    <s v="y"/>
    <s v="n/a"/>
    <s v="n/a"/>
    <n v="34720648"/>
    <s v="Chūgokujin no tenka kannen: seiji shisōshiteki shiron"/>
    <s v="中國人の天下觀念: 政治思想史的試論"/>
    <s v="Abe, Takeo, 1903- ^ n/a"/>
    <s v="安部健夫, 1903-"/>
    <x v="61"/>
    <s v="ハーバード・燕京・同志社東方文化講座 ; 第 6輯."/>
    <x v="86"/>
    <s v="ハーバード・燕京・同志社東方文化講座委員會"/>
    <n v="1956"/>
    <s v="Political science  --  China  --  History ^ Philosophy, Chinese ^ Philosophie chinoise"/>
    <n v="0"/>
    <m/>
    <m/>
  </r>
  <r>
    <n v="185"/>
    <m/>
    <m/>
    <m/>
    <x v="0"/>
    <m/>
    <m/>
    <s v="n/a"/>
    <x v="0"/>
    <m/>
    <s v="n/a"/>
    <s v="n/a"/>
    <s v="y"/>
    <s v="n/a"/>
    <s v="n/a"/>
    <n v="23075375"/>
    <s v="Chūgoku Bukkyō shiron"/>
    <s v="中國佛敎史論"/>
    <s v="Takao, Giken, 1888-1972"/>
    <s v="高雄義堅, 1888-1972"/>
    <x v="2"/>
    <s v="n/a"/>
    <x v="88"/>
    <s v="平樂寺書店"/>
    <n v="1952"/>
    <s v="Buddhism ^ Bouddhisme"/>
    <n v="0"/>
    <m/>
    <m/>
  </r>
  <r>
    <n v="186"/>
    <m/>
    <m/>
    <m/>
    <x v="0"/>
    <m/>
    <m/>
    <s v="n/a"/>
    <x v="0"/>
    <m/>
    <s v="n/a"/>
    <s v="n/a"/>
    <s v="y"/>
    <s v="n/a"/>
    <s v="n/a"/>
    <n v="34720644"/>
    <s v="Chūgoku kodai no shūkyō to shisō"/>
    <s v="中國古代の宗教と思想"/>
    <s v="Katō, Jōken, 1894-1978"/>
    <s v="加藤常賢, 1894-"/>
    <x v="62"/>
    <s v="Harvard-Yenching-Doshisha 東方文化講座 ; 第3輯. ハーバード・燕京・同志社東方文化講座 ; 第 3輯"/>
    <x v="86"/>
    <s v="ハーバード・燕京・同志社東方文化講座委員會"/>
    <n v="1954"/>
    <s v="Philosophy, Chinese  --  To 221 B.C ^ Philosophie chinoise  --  Jusqu'à 221 av. J.-C ^ Religion ^ China  --  Religion ^ Chine  --  Religion"/>
    <n v="0"/>
    <m/>
    <m/>
  </r>
  <r>
    <n v="187"/>
    <m/>
    <m/>
    <m/>
    <x v="0"/>
    <m/>
    <m/>
    <s v="n/a"/>
    <x v="0"/>
    <m/>
    <s v="n/a"/>
    <s v="n/a"/>
    <s v="y"/>
    <s v="n/a"/>
    <s v="n/a"/>
    <n v="34720651"/>
    <s v="Chūgoku kodaishi gairon"/>
    <s v="中國古代史槪論"/>
    <s v="Miyazaki, Ichisada, 1901-1995"/>
    <s v="宮崎市定, 1901- ^ ハーバード ^ 燕京 ^ 同志社東方文化講座委員會"/>
    <x v="63"/>
    <s v="ハーバード・燕京・同志社東方文化講座 ; 第 8輯."/>
    <x v="89"/>
    <s v="同志社東方文化講座委員會"/>
    <n v="1955"/>
    <s v="History ^ To 220 ^ China  --  History  --  To 220 A.D"/>
    <n v="0"/>
    <m/>
    <m/>
  </r>
  <r>
    <n v="188"/>
    <m/>
    <m/>
    <m/>
    <x v="0"/>
    <m/>
    <m/>
    <s v="n/a"/>
    <x v="0"/>
    <m/>
    <s v="n/a"/>
    <s v="n/a"/>
    <s v="y"/>
    <s v="n/a"/>
    <s v="n/a"/>
    <n v="23329779"/>
    <s v="Chūgoku kodai gakuron no kenkyū"/>
    <s v="中國古代樂論の硏究"/>
    <s v="Kurihara, Keisuke"/>
    <s v="栗原圭介. ^ 栗原圭介, 1913-"/>
    <x v="2"/>
    <s v="n/a"/>
    <x v="90"/>
    <s v="大東文化大學東洋硏究所"/>
    <n v="1978"/>
    <s v="Music  --  China  --  History and criticism ^ Criticism, interpretation, etc"/>
    <n v="0"/>
    <m/>
    <m/>
  </r>
  <r>
    <n v="189"/>
    <m/>
    <m/>
    <m/>
    <x v="0"/>
    <m/>
    <m/>
    <s v="n/a"/>
    <x v="0"/>
    <m/>
    <s v="n/a"/>
    <s v="n/a"/>
    <s v="n/a"/>
    <s v="n/a"/>
    <s v="n/a"/>
    <n v="67606242"/>
    <s v="Chūgoku tetsugaku shi no tembō to mosaku"/>
    <s v="中國哲学史の展望と模索"/>
    <s v="Kimura, Eiichi, 1906-1981 ^ Kimura Eiichi Hakushi Shōju Kinen Jigyōkai"/>
    <s v="n/a"/>
    <x v="2"/>
    <s v="n/a"/>
    <x v="31"/>
    <s v="創文社"/>
    <n v="1976"/>
    <s v="Philosophy, Chinese  --  History ^ Philosophie chinoise  --  Histoire ^ Kimura, Eiichi, 1906-1981"/>
    <n v="0"/>
    <m/>
    <m/>
  </r>
  <r>
    <n v="190"/>
    <m/>
    <m/>
    <m/>
    <x v="0"/>
    <m/>
    <m/>
    <s v="n/a"/>
    <x v="0"/>
    <m/>
    <s v="n/a"/>
    <s v="n/a"/>
    <s v="y"/>
    <s v="n/a"/>
    <s v="n/a"/>
    <n v="19570662"/>
    <s v="Chūgoku koyū no shisō ni okeru shashin to inori to ni tsuite"/>
    <s v="中国固有の思想に於ける捨身と祈りとについて"/>
    <s v="Kimura, Eiichi, 1906-1981"/>
    <s v="木村英一, 1906-"/>
    <x v="64"/>
    <s v="ハーバード・燕京・同志社東方文化講座 ; 第 11輯."/>
    <x v="86"/>
    <s v="ハーバード・燕京・同志社東方文化講座委員會"/>
    <n v="1957"/>
    <s v="Religion and culture  --  China ^ Philosophy, Chinese ^ Religion et culture  --  Chine ^ Philosophie chinoise ^ China  --  Religion ^ Chine  --  Religion"/>
    <n v="0"/>
    <m/>
    <m/>
  </r>
  <r>
    <n v="191"/>
    <m/>
    <m/>
    <m/>
    <x v="0"/>
    <m/>
    <m/>
    <s v="n/a"/>
    <x v="0"/>
    <m/>
    <s v="n/a"/>
    <s v="n/a"/>
    <s v="y"/>
    <s v="n/a"/>
    <s v="n/a"/>
    <n v="20362118"/>
    <s v="Chūgoku tochi keiyaku bunsho shū: (Kin-Shin)"/>
    <s v="中國土地契約文書集: (金-清)"/>
    <s v="Tōyō Bunko (Japan) ^ Mindaishi Kenkyūshitsu"/>
    <s v="東洋文庫 (Japan) ^ 明代史研究室"/>
    <x v="2"/>
    <s v="n/a"/>
    <x v="27"/>
    <s v="東洋文庫"/>
    <n v="1975"/>
    <s v="Real property  --  China  --  Sources ^ Land titles  --  Registration and transfer  --  China  --  Sources ^ Biens réels  --  Chine  --  Sources"/>
    <n v="0"/>
    <m/>
    <m/>
  </r>
  <r>
    <n v="192"/>
    <m/>
    <m/>
    <m/>
    <x v="0"/>
    <m/>
    <m/>
    <s v="n/a"/>
    <x v="0"/>
    <m/>
    <s v="n/a"/>
    <s v="n/a"/>
    <s v="n/a"/>
    <s v="n/a"/>
    <s v="n/a"/>
    <n v="1158227780"/>
    <s v="Chūgoku kōkogaku kenkyū"/>
    <s v="中國考古學研究"/>
    <s v="Sekino, Takeshi, 1915-2003"/>
    <s v="關野雄, 1915-"/>
    <x v="65"/>
    <s v="東洋文化硏究所紀要 ; 別冊"/>
    <x v="3"/>
    <s v="n/a"/>
    <n v="1956"/>
    <s v="Archaeology  --  China ^ Archéologie  --  Chine ^ Antiquities ^ China  --  Antiquities ^ Chine  --  Antiquités"/>
    <n v="0"/>
    <m/>
    <m/>
  </r>
  <r>
    <n v="193"/>
    <m/>
    <m/>
    <m/>
    <x v="0"/>
    <m/>
    <m/>
    <s v="n/a"/>
    <x v="0"/>
    <m/>
    <s v="n/a"/>
    <s v="n/a"/>
    <s v="n/a"/>
    <s v="n/a"/>
    <s v="n/a"/>
    <n v="933612313"/>
    <s v="Indo-shō Toshokan shozō Chūō Ajia shutsudo Daijō nehangyō Bonbun dankanshū [Texte imprimé]: Sutain Herunre korekushon"/>
    <s v="インド省図書館所蔵中央アジア出土大乗涅槃経梵文断簡集 スタイン・ヘルンレ・コレクション"/>
    <s v="Matsuda, Kazunobu, (1954- ...) ^ (Author)"/>
    <s v="松田, 和信, (1954- ^ ...)"/>
    <x v="66"/>
    <s v="n/a"/>
    <x v="27"/>
    <s v="東洋文庫"/>
    <n v="1988"/>
    <s v="Manuscrits bouddhiques  --  Asie centrale  --  Histoire et critique ^ Criticism, interpretation, etc ^ Tripiṭaka. Sūtrapiṭaka  --  Criticism, Textual ^ Suttapiṭaka. Dīghanikāya Mahāparinibbānasutta  --  Histoire et critique"/>
    <n v="0"/>
    <m/>
    <m/>
  </r>
  <r>
    <n v="194"/>
    <n v="29"/>
    <m/>
    <m/>
    <x v="0"/>
    <m/>
    <m/>
    <s v="https://www.amazon.jp/dp/4000700294"/>
    <x v="0"/>
    <m/>
    <s v="n/a"/>
    <s v="n/a"/>
    <s v="y"/>
    <n v="9784000700290"/>
    <n v="4000700294"/>
    <n v="17929938"/>
    <s v="Nakae Tōju"/>
    <s v="中江藤樹"/>
    <s v="Nakae, Tōju, 1608-1648 ^ Yamanoi, Yū"/>
    <s v="中江藤樹, 1608-1648 ^ 山井湧"/>
    <x v="67"/>
    <s v="日本思想大系 ; 29"/>
    <x v="18"/>
    <s v="n/a"/>
    <n v="1974"/>
    <s v="Nakae, Tōju, 1608-1648 ^ Nakae, Tōjū, 1608-1648"/>
    <n v="0"/>
    <m/>
    <m/>
  </r>
  <r>
    <n v="195"/>
    <n v="4"/>
    <m/>
    <m/>
    <x v="0"/>
    <m/>
    <m/>
    <s v="n/a"/>
    <x v="0"/>
    <m/>
    <s v="n/a"/>
    <s v="n/a"/>
    <s v="n/a"/>
    <s v="n/a"/>
    <s v="n/a"/>
    <n v="673474544"/>
    <s v="Sōsho nihon no shisōka: 4, Nakae tōju, Kumazawa banzan"/>
    <s v="叢書・日本の思想家. 4, 中江藤樹, 熊沢蕃山"/>
    <s v="Kimura, Mitsunori, 1908- ^ Ushio, Haruo, 1912-"/>
    <s v="木村, 光徳, 1908- ^ 牛尾, 春夫, 1912-"/>
    <x v="2"/>
    <s v="n/a"/>
    <x v="0"/>
    <s v="明徳出版社"/>
    <n v="1978"/>
    <s v="Nakae, Tōju ^ Kumazawa, Banzan"/>
    <n v="0"/>
    <m/>
    <m/>
  </r>
  <r>
    <n v="196"/>
    <n v="52"/>
    <m/>
    <m/>
    <x v="0"/>
    <m/>
    <m/>
    <s v="https://www.amazon.jp/dp/4000700529"/>
    <x v="0"/>
    <m/>
    <s v="n/a"/>
    <s v="n/a"/>
    <s v="y"/>
    <n v="9784000700528"/>
    <n v="4000700529"/>
    <n v="21968767"/>
    <s v="Ninomiya Sontoku, Ōhara Yūgaku"/>
    <s v="二宮尊德・大原幽學"/>
    <s v="Ninomiya, Sontoku, 1787-1856 ^ Ōhara, Yūgaku, 1797-1858 ^ Naramoto, Tatsuya, 1913-2001 ^ Nakai, Nobuhiko, 1916-"/>
    <s v="二宮尊德, 1787-1856 ^ 大原幽學, 1797-1858 ^ 奈良本辰也, 1913-2001 ^ 中井信彥, 1916-"/>
    <x v="68"/>
    <s v="n/a"/>
    <x v="18"/>
    <s v="岩波書店"/>
    <n v="1973"/>
    <s v="Ethics  --  Japan ^ Morale  --  Japon ^ Ninomiya, Sontoku, 1787-1856 ^ Ōhara, Yūgaku, 1797-1858"/>
    <n v="0"/>
    <m/>
    <m/>
  </r>
  <r>
    <n v="198"/>
    <m/>
    <m/>
    <m/>
    <x v="0"/>
    <m/>
    <m/>
    <s v="n/a"/>
    <x v="0"/>
    <m/>
    <s v="n/a"/>
    <s v="n/a"/>
    <s v="n/a"/>
    <s v="n/a"/>
    <s v="n/a"/>
    <s v="n/a"/>
    <s v="n/a"/>
    <s v="二程全書 附索引"/>
    <s v="n/a"/>
    <s v="朱熹編 ; 程顥, 程頤原撰"/>
    <x v="2"/>
    <s v="n/a"/>
    <x v="91"/>
    <s v="中文出版社"/>
    <n v="1979"/>
    <s v="n/a"/>
    <n v="0"/>
    <m/>
    <m/>
  </r>
  <r>
    <n v="199"/>
    <m/>
    <m/>
    <m/>
    <x v="0"/>
    <m/>
    <m/>
    <s v="n/a"/>
    <x v="0"/>
    <m/>
    <s v="n/a"/>
    <s v="n/a"/>
    <s v="n/a"/>
    <s v="n/a"/>
    <s v="n/a"/>
    <n v="874821544"/>
    <s v="Gojusshunen kinen ronshu"/>
    <s v="五十周年記念論集"/>
    <s v="Kyōto Daigaku, Bungakubu"/>
    <s v="京都大学, 文学部"/>
    <x v="69"/>
    <s v="n/a"/>
    <x v="92"/>
    <s v="n/a"/>
    <s v="1956, ?"/>
    <s v="n/a"/>
    <n v="0"/>
    <m/>
    <m/>
  </r>
  <r>
    <n v="200"/>
    <m/>
    <m/>
    <m/>
    <x v="0"/>
    <m/>
    <m/>
    <s v="n/a"/>
    <x v="0"/>
    <m/>
    <s v="n/a"/>
    <s v="n/a"/>
    <s v="y"/>
    <s v="n/a"/>
    <s v="n/a"/>
    <n v="33291764"/>
    <s v="Kyōto Daigaku Jinbun Kagaku Kenkyūjo zō kōkotsu moji sakuin"/>
    <s v="京都大學人文科學硏究所藏甲骨文字索引"/>
    <s v="Kaizuka, Shigeki, 1904-1987 ^ Kyōto Daigaku ^ Jinbun Kagaku Kenkyūjo"/>
    <s v="貝塚茂樹, 1904- ^ 京都大學 ^ 人文科學硏究所"/>
    <x v="2"/>
    <s v="n/a"/>
    <x v="78"/>
    <s v="京都大学人文科学硏究所"/>
    <n v="1968"/>
    <s v="Oracle bones  --  Catalogs  --  Indexes ^ Inscriptions, Chinese  --  Catalogs  --  Indexes ^ Os divinatoires  --  Catalogues  --  Index ^ Inscriptions chinoises  --  Catalogues  --  Index ^ Kyōto Daigaku. Jinbun Kagaku Kenkyūjo  --  Catalogs  --  Indexes"/>
    <n v="0"/>
    <m/>
    <m/>
  </r>
  <r>
    <n v="201"/>
    <m/>
    <m/>
    <m/>
    <x v="0"/>
    <m/>
    <m/>
    <s v="n/a"/>
    <x v="0"/>
    <m/>
    <s v="n/a"/>
    <s v="n/a"/>
    <s v="n/a"/>
    <s v="n/a"/>
    <s v="n/a"/>
    <n v="166459592"/>
    <s v="Jinbungaku no shinjidai: gendai shizen kagaku tono taiwa o motomete Kyōto daigaku jinbun kagaku kenkyūjo nanajisshūnen kinen kokusai shinpojiumu"/>
    <s v="人文学の新時代: 現代自然科学との対話をもとめて京都大学人文科学研究所70周年記念国際シンポジウム"/>
    <s v="Yokoyama, Toshio ^ Kobayashi, Hiroyuki"/>
    <s v="橫山俊夫. ^ 小林博行"/>
    <x v="70"/>
    <s v="京都大学人文科学研究所共同研究資料叢刊; ; 第2号."/>
    <x v="78"/>
    <s v="京都大学人文科学研究所"/>
    <n v="2000"/>
    <s v="Jinbun kagaku"/>
    <n v="0"/>
    <m/>
    <m/>
  </r>
  <r>
    <n v="202"/>
    <m/>
    <m/>
    <m/>
    <x v="0"/>
    <m/>
    <m/>
    <s v="n/a"/>
    <x v="0"/>
    <m/>
    <s v="n/a"/>
    <s v="n/a"/>
    <s v="n/a"/>
    <s v="n/a"/>
    <s v="n/a"/>
    <n v="674591725"/>
    <s v="Jin no kogi no kenkyū"/>
    <s v="仁の古義の研究"/>
    <s v="Takeuchi, Teruo, 1910-"/>
    <s v="竹内, 照夫, 1910-"/>
    <x v="2"/>
    <s v="n/a"/>
    <x v="9"/>
    <s v="明治書院"/>
    <n v="1964"/>
    <s v="Confucianism ^ Rinrigaku  --  Chūgoku  --  Rekishi ^ Chūgokushisō ^ Confucianisme ^ Jin"/>
    <n v="0"/>
    <m/>
    <m/>
  </r>
  <r>
    <n v="203"/>
    <m/>
    <m/>
    <m/>
    <x v="0"/>
    <m/>
    <m/>
    <s v="n/a"/>
    <x v="0"/>
    <m/>
    <s v="n/a"/>
    <s v="n/a"/>
    <s v="y"/>
    <s v="n/a"/>
    <s v="n/a"/>
    <n v="15279985"/>
    <s v="Bukkyō to Jukyō rinri: Chūgoku Bukkyō ni okeru kō no mondai"/>
    <s v="仏敎と儒敎倫理: 中国仏敎における孝の問題"/>
    <s v="Michihata, Ryōshū, 1903-"/>
    <s v="道端良秀, 1903-"/>
    <x v="71"/>
    <s v="サ-ラ叢書 ; 17."/>
    <x v="88"/>
    <s v="平樂寺書店"/>
    <n v="1968"/>
    <s v="Filial piety ^ Confucianism  --  Relations  --  Buddhism ^ Buddhism  --  Relations  --  Confucianism ^ Filial piety  --  China  --  History ^ Buddhism  --  China  --  Relations  --  Confucianism ^ Confucianism  --  China  --  Relations  --  Buddhism ^ Buddhism  --  China  --  Doctrines  --  History ^ Piété filiale ^ Interfaith relations ^ Buddhismus ^ Konfuzianismus"/>
    <n v="0"/>
    <m/>
    <m/>
  </r>
  <r>
    <n v="204"/>
    <m/>
    <m/>
    <m/>
    <x v="0"/>
    <m/>
    <m/>
    <s v="n/a"/>
    <x v="0"/>
    <m/>
    <s v="n/a"/>
    <s v="n/a"/>
    <s v="y"/>
    <s v="n/a"/>
    <s v="n/a"/>
    <n v="24895077"/>
    <s v="Bukkyō seiten"/>
    <s v="仏教聖典"/>
    <s v="Yamaguchi, Susumu, 1895-1976, ^ ; editor ^ Bukkyō seiten kankōkai"/>
    <s v="仏教聖典刊行会"/>
    <x v="2"/>
    <s v="n/a"/>
    <x v="88"/>
    <s v="平楽寺書店"/>
    <n v="1974"/>
    <s v="Buddhism  --  Sacred books ^ Bouddhisme  --  Livres sacrés ^ Sacred works"/>
    <n v="0"/>
    <m/>
    <m/>
  </r>
  <r>
    <n v="205"/>
    <m/>
    <m/>
    <m/>
    <x v="0"/>
    <m/>
    <m/>
    <s v="n/a"/>
    <x v="0"/>
    <m/>
    <s v="n/a"/>
    <s v="n/a"/>
    <s v="y"/>
    <s v="n/a"/>
    <s v="n/a"/>
    <n v="6522062"/>
    <s v="Bukkyō yogo no kiso chishiki"/>
    <s v="仏教要語の基礎知識"/>
    <s v="Mizuno, Kōgen, 1901-2006"/>
    <s v="水野弘元, 1901-2006"/>
    <x v="2"/>
    <s v="n/a"/>
    <x v="93"/>
    <s v="春秋社"/>
    <n v="1972"/>
    <s v="Buddhism  --  Dictionaries  --  Japanese ^ Buddhism  --  Doctrines  --  Introductions ^ Bouddhisme  --  Doctrines  --  Introductions"/>
    <n v="0"/>
    <m/>
    <m/>
  </r>
  <r>
    <n v="206"/>
    <m/>
    <m/>
    <m/>
    <x v="0"/>
    <m/>
    <m/>
    <s v="n/a"/>
    <x v="0"/>
    <m/>
    <s v="n/a"/>
    <s v="n/a"/>
    <s v="y"/>
    <s v="n/a"/>
    <s v="n/a"/>
    <n v="28687354"/>
    <s v="Isen Gekijō shū"/>
    <s v="伊川撃壌集"/>
    <s v="Ueno, Hideto, 1922- ^ author.Shao, Yong, 1011-1077 ^ Yichuan ji rang ji.; Selections.; Japanese &amp; Chinese.; 1979"/>
    <s v="上野日出刀, 1922- ^ author. ^ 邵雍, 1011-1077. ^ 伊川撃壌集. ^ Selections. ^ Japanese ^ &amp; ^ Chinese. ^ 1979"/>
    <x v="72"/>
    <s v="中国古典新書."/>
    <x v="13"/>
    <s v="明徳出版社"/>
    <n v="1979"/>
    <s v="Shao, Yong, 1011-1077. I-ch'uan chi jang chi"/>
    <n v="0"/>
    <m/>
    <m/>
  </r>
  <r>
    <n v="208"/>
    <n v="33"/>
    <m/>
    <m/>
    <x v="0"/>
    <m/>
    <m/>
    <s v="https://www.amazon.jp/dp/4000700332"/>
    <x v="0"/>
    <m/>
    <s v="n/a"/>
    <s v="n/a"/>
    <s v="y"/>
    <n v="9784000700337"/>
    <n v="4000700332"/>
    <n v="15243545"/>
    <s v="Itō Jinsai, Itō Tōgai"/>
    <s v="伊藤仁斎, 伊藤東涯"/>
    <s v="Itō, Jinsai, 1627-1705 ^ Yoshikawa, Kōjirō, 1904-1980 ^ Shimizu, Shigeru, 1925-2008 ^ Go-Mō jigi.Itō, Jinsai, 1627-1705 ^ Kogaku Sensei bunshū.Itō, Tōgai, 1670-1736 ^ Kokon gakuhen"/>
    <s v="伊藤仁斎, 1627-1705 ^ 吉川幸次郎, 1904-1980 ^ 清水茂, 1925-2008 ^ 伊藤仁斎, 1627-1705. ^ 語孟字義. ^ 伊藤仁齋, 1627-1705. ^ 古学先生文集. ^ 伊藤東涯, 1670-1736. ^ 古今学変"/>
    <x v="73"/>
    <s v="日本思想大系 ; 33."/>
    <x v="18"/>
    <s v="岩波書店"/>
    <n v="1971"/>
    <s v="Itō, Jinsai, 1627-1705 ^ Itō, Tōgai, 1670-1736 ^ It¿‍, Jinsai, 1627-1705 ^ It¿‍, T¿‍gai, 1670-1736"/>
    <n v="0"/>
    <m/>
    <m/>
  </r>
  <r>
    <n v="209"/>
    <n v="36"/>
    <m/>
    <m/>
    <x v="0"/>
    <m/>
    <m/>
    <s v="n/a"/>
    <x v="0"/>
    <m/>
    <s v="n/a"/>
    <s v="n/a"/>
    <s v="n/a"/>
    <s v="n/a"/>
    <s v="n/a"/>
    <n v="673179829"/>
    <s v="Sosho nihon no shisoka"/>
    <s v="叢書・日本の思想家. 36"/>
    <s v="Harada, Taneshige, 1911-1995"/>
    <s v="原田, 種成, 1911-1995"/>
    <x v="2"/>
    <s v="n/a"/>
    <x v="0"/>
    <s v="明徳出版社"/>
    <n v="1981"/>
    <s v="Aizawa, Seishisai, 1782-1863 ^ Fujita, Toko, 1806-1855"/>
    <n v="0"/>
    <m/>
    <m/>
  </r>
  <r>
    <n v="210"/>
    <n v="4"/>
    <m/>
    <m/>
    <x v="0"/>
    <m/>
    <s v="price note: full of 1yen prices, investigate"/>
    <s v="https://www.amazon.jp/dp/4061158546"/>
    <x v="0"/>
    <m/>
    <s v="n/a"/>
    <s v="n/a"/>
    <s v="y"/>
    <n v="9784061158542"/>
    <n v="4061158546"/>
    <n v="33508371"/>
    <s v="Dentō Chūgoku no kansei"/>
    <s v="伝統中国の完成"/>
    <s v="Iwami, Hiroshi, 1924- ^ author.Taniguchi, Kikuo, 1935- ^ ; author"/>
    <s v="岩見宏, 1924- ^ author. ^ 谷口規矩雄, 1935-"/>
    <x v="74"/>
    <s v="講談社現代新書 ; 454. 新書東洋史 ; 4. 中国の歴史 ; 4."/>
    <x v="1"/>
    <s v="n/a"/>
    <n v="1977"/>
    <s v="Qing Dynasty (China) ^ History ^ 1368-1912 ^ China  --  History  --  Ming dynasty, 1368-1644 ^ China  --  History  --  Qing dynasty, 1644-1912 ^ Chine  --  Histoire  --  1368-1644 (Dynastie des Ming) ^ Chine  --  Histoire  --  1644-1912 (Dynastie mandchoue)"/>
    <n v="0"/>
    <m/>
    <m/>
  </r>
  <r>
    <n v="211"/>
    <m/>
    <m/>
    <m/>
    <x v="0"/>
    <m/>
    <s v="need to see item"/>
    <s v="n/a"/>
    <x v="0"/>
    <m/>
    <s v="n/a"/>
    <s v="n/a"/>
    <s v="n/a"/>
    <s v="n/a"/>
    <s v="n/a"/>
    <s v="n/a"/>
    <s v="n/a"/>
    <s v="伝習録"/>
    <s v="n/a"/>
    <s v="山田準, 鈴木直治訳注"/>
    <x v="2"/>
    <s v="n/a"/>
    <x v="18"/>
    <s v="岩波書店"/>
    <n v="1936"/>
    <s v="n/a"/>
    <n v="0"/>
    <m/>
    <m/>
  </r>
  <r>
    <n v="212"/>
    <n v="46"/>
    <m/>
    <m/>
    <x v="0"/>
    <m/>
    <m/>
    <s v="https://www.amazon.jp/dp/4000700464"/>
    <x v="0"/>
    <m/>
    <s v="n/a"/>
    <s v="n/a"/>
    <s v="y"/>
    <n v="9784000700467"/>
    <n v="4000700464"/>
    <n v="21415613"/>
    <s v="Satō Issai, Ōshio Chūsai"/>
    <s v="佐藤一齋・大鹽中齋"/>
    <s v="Satō, Issai, 1772-1859 ^ Sagara, Tōru, 1921- ^ Mizoguchi, Yūzō, 1932-2010 ^ Fukunaga, Mitsuji, 1918- ^ Ōshio, Heihachirō, 1793-1837 ^ Senshindō satsuki"/>
    <s v="佐藤一齋, 1772-1859 ^ 相良享, 1921- ^ 溝口雄三, 1932-2010 ^ 福永光司, 1918- ^ 大塩平八郎, 1793-1837. ^ 洗心洞箚記"/>
    <x v="75"/>
    <s v="n/a"/>
    <x v="18"/>
    <s v="岩波書店"/>
    <n v="1980"/>
    <s v="Philosophy, Japanese  --  1600-1868 ^ Confucianism  --  Japan ^ Philosophie japonaise  --  1600-1868 ^ Confucianisme  --  Japon ^ Satō, Issai, 1772-1859 ^ Ōshio, Chūsai, 1793-1837"/>
    <n v="0"/>
    <m/>
    <m/>
  </r>
  <r>
    <n v="213"/>
    <s v="bekkan"/>
    <m/>
    <m/>
    <x v="0"/>
    <m/>
    <m/>
    <s v="n/a"/>
    <x v="0"/>
    <m/>
    <s v="n/a"/>
    <s v="n/a"/>
    <s v="n/a"/>
    <s v="n/a"/>
    <s v="n/a"/>
    <n v="31788416"/>
    <s v="Denshūroku shochū shūsei: Ō Yōmei seitan gohyakunen kinen"/>
    <s v="傅習錄諸註集成: 王陽明生誕五百年記念"/>
    <s v="Uno, Tetsuto, 1875-1974 ^ Yasuoka, Masahiro, 1898-1983 ^ Araki, Kengo, 1917-2017"/>
    <s v="宇野哲人, 1875-1974. ^ 安岡正篤, 1898- ^ 荒木見悟, 1917-"/>
    <x v="76"/>
    <s v="陽明學大系 ; 别卷."/>
    <x v="13"/>
    <s v="明徳出版社"/>
    <n v="1972"/>
    <s v="Yōmeigaku ^ Wang, Yangming, 1472-1529. Ch'uan hsi lu"/>
    <n v="0"/>
    <m/>
    <m/>
  </r>
  <r>
    <n v="214"/>
    <m/>
    <m/>
    <m/>
    <x v="0"/>
    <m/>
    <m/>
    <s v="n/a"/>
    <x v="0"/>
    <m/>
    <s v="n/a"/>
    <s v="n/a"/>
    <s v="n/a"/>
    <s v="n/a"/>
    <s v="n/a"/>
    <n v="673301050"/>
    <s v="Denshūroku: Ō yōmei goroku"/>
    <s v="伝習錄: 王陽明語錄"/>
    <s v="Ō, Shujin, 1472-1528 ^ Yamamoto, Shōichi, 1912-"/>
    <s v="王, 守仁, 1472-1528. ^ 山本, 正一, 1912-"/>
    <x v="2"/>
    <s v="n/a"/>
    <x v="65"/>
    <s v="法政大学出版局"/>
    <n v="1966"/>
    <s v="Ō, Shujin ^ denshūroku"/>
    <n v="0"/>
    <m/>
    <m/>
  </r>
  <r>
    <n v="215"/>
    <m/>
    <m/>
    <m/>
    <x v="0"/>
    <m/>
    <m/>
    <s v="n/a"/>
    <x v="0"/>
    <m/>
    <s v="n/a"/>
    <s v="n/a"/>
    <s v="n/a"/>
    <s v="n/a"/>
    <s v="n/a"/>
    <n v="674183085"/>
    <s v="Kachiron"/>
    <s v="価値論"/>
    <s v="Makiguchi, Tsunesaburō, 1871-1944 ^ Toda, Jōsei, 1900-1958"/>
    <s v="牧口, 常三郎, 1871-1944. ^ 戶田, 城聖, 1900-1958"/>
    <x v="2"/>
    <s v="n/a"/>
    <x v="94"/>
    <s v="創価学会"/>
    <n v="1953"/>
    <s v="Kachiron(tetsugaku) ^ Kachiron (tetsugaku)"/>
    <n v="0"/>
    <m/>
    <m/>
  </r>
  <r>
    <n v="216"/>
    <s v="?"/>
    <m/>
    <m/>
    <x v="0"/>
    <m/>
    <m/>
    <s v="n/a"/>
    <x v="0"/>
    <m/>
    <s v="n/a"/>
    <s v="n/a"/>
    <s v="n/a"/>
    <s v="n/a"/>
    <s v="n/a"/>
    <s v="n/a"/>
    <s v="n/a"/>
    <s v="儀禮經傳通解 : 和刻本 (第一--三輯)"/>
    <s v="n/a"/>
    <s v="朱熹 ; 長澤規矩也, 戶川芳郎編"/>
    <x v="2"/>
    <s v="n/a"/>
    <x v="95"/>
    <s v="汲古書院 : 古典硏究会"/>
    <n v="1980"/>
    <s v="n/a"/>
    <n v="0"/>
    <m/>
    <m/>
  </r>
  <r>
    <n v="217"/>
    <m/>
    <m/>
    <m/>
    <x v="0"/>
    <m/>
    <m/>
    <s v="n/a"/>
    <x v="0"/>
    <m/>
    <s v="n/a"/>
    <s v="n/a"/>
    <s v="y"/>
    <s v="n/a"/>
    <s v="n/a"/>
    <n v="20740978"/>
    <s v="Jukyō to Rō Sō: Chūgoku kodai ni okeru jinbun to chō jinbun"/>
    <s v="儒教と老莊: 中国古代における人文と超人文"/>
    <s v="Yamamuro, Saburō, 1905-"/>
    <s v="山室三良, 1905-"/>
    <x v="2"/>
    <s v="n/a"/>
    <x v="13"/>
    <s v="明徳出版社"/>
    <n v="1966"/>
    <s v="Philosophy, Confucian ^ Taoism ^ Humanism ^ Philosophie confucéenne ^ Taoïsme ^ Humanisme"/>
    <n v="0"/>
    <m/>
    <m/>
  </r>
  <r>
    <n v="218"/>
    <m/>
    <m/>
    <m/>
    <x v="0"/>
    <m/>
    <m/>
    <s v="n/a"/>
    <x v="0"/>
    <m/>
    <s v="n/a"/>
    <s v="n/a"/>
    <s v="n/a"/>
    <s v="n/a"/>
    <s v="n/a"/>
    <n v="673286603"/>
    <s v="Jukyō no seishin"/>
    <s v="儒教の精神"/>
    <s v="Takeuchi, Yoshio, 1886-1966"/>
    <s v="武内, 義雄, 1886-1966"/>
    <x v="2"/>
    <s v="n/a"/>
    <x v="0"/>
    <s v="岩波書店"/>
    <n v="1982"/>
    <s v="Jugaku"/>
    <n v="0"/>
    <m/>
    <m/>
  </r>
  <r>
    <n v="219"/>
    <n v="10"/>
    <m/>
    <m/>
    <x v="0"/>
    <m/>
    <m/>
    <s v="https://www.amazon.jp/dp/4634431009"/>
    <x v="0"/>
    <m/>
    <s v="n/a"/>
    <s v="n/a"/>
    <s v="y"/>
    <n v="9784634431003"/>
    <n v="4634431009"/>
    <n v="17579789"/>
    <s v="Jukyō shi"/>
    <s v="儒教史"/>
    <s v="Togawa Yoshio, Hachiya Kunio, Mizoguchi Yūzō cho ^ Togawa, Yoshio ^ Hachiya, Kunio ^ Mizoguchi, Yūzō"/>
    <s v="戶川芳郎, 蜂屋邦夫, 溝口雄三著. ^ 戶川芳郎, 1931- ^ 蜂屋邦夫 ^ 溝口雄三"/>
    <x v="15"/>
    <s v="Sekai shūkyōshi sōsho"/>
    <x v="96"/>
    <s v="山川出版社"/>
    <n v="1987"/>
    <s v="Confucianism History ^ Philosophy, Confucian History ^ Confucianisme Histoire ^ Philosophie confucéenne Histoire"/>
    <n v="0"/>
    <m/>
    <m/>
  </r>
  <r>
    <n v="220"/>
    <m/>
    <m/>
    <m/>
    <x v="0"/>
    <m/>
    <m/>
    <s v="n/a"/>
    <x v="0"/>
    <m/>
    <s v="n/a"/>
    <s v="n/a"/>
    <s v="y"/>
    <s v="n/a"/>
    <s v="n/a"/>
    <n v="35957281"/>
    <s v="Gen ō shō Rongo shūkai kōbun"/>
    <s v="元應鈔論語集解攷文"/>
    <s v="Sugiura, Toyoji"/>
    <s v="杉浦豐治"/>
    <x v="2"/>
    <s v="n/a"/>
    <x v="97"/>
    <s v="經學硏究會"/>
    <n v="1958"/>
    <s v="Confucius. Lun yu ^ Lun yu (Confucius)"/>
    <n v="0"/>
    <m/>
    <m/>
  </r>
  <r>
    <n v="221"/>
    <n v="2"/>
    <m/>
    <m/>
    <x v="0"/>
    <m/>
    <s v="insert/signed"/>
    <s v="n/a"/>
    <x v="0"/>
    <m/>
    <s v="n/a"/>
    <s v="n/a"/>
    <s v="n/a"/>
    <s v="n/a"/>
    <s v="n/a"/>
    <n v="834385456"/>
    <s v="Genminshi gaisetsu"/>
    <s v="元明詩概說"/>
    <s v="Yoshikawa, Kōjirō, 1904-1980"/>
    <s v="吉川幸次郎, 1904-1980"/>
    <x v="77"/>
    <s v="中国詩人選集二集 ; 第2卷."/>
    <x v="98"/>
    <s v="岩波書店"/>
    <n v="1963"/>
    <s v="chūgokubungaku rekishi genjidai ^ chūgokubungaku rekishi minjidai ^ kanshi"/>
    <n v="0"/>
    <m/>
    <m/>
  </r>
  <r>
    <n v="222"/>
    <n v="47"/>
    <m/>
    <m/>
    <x v="0"/>
    <m/>
    <m/>
    <s v="n/a"/>
    <x v="0"/>
    <m/>
    <s v="n/a"/>
    <s v="n/a"/>
    <s v="y"/>
    <s v="n/a"/>
    <s v="n/a"/>
    <n v="122881668"/>
    <s v="Motoda Tōya, Fukushima Sōkai"/>
    <s v="元田東野・副島蒼海"/>
    <s v="Kose, Susumu, 1936- ^ Nakamura, Hiroshi, 1928-"/>
    <s v="巨勢進, 1936- ^ 中村宏, 1928-"/>
    <x v="78"/>
    <s v="叢書・日本の思想家 ; 47."/>
    <x v="13"/>
    <s v="明徳出版社"/>
    <n v="1979"/>
    <s v="Philosophers  --  Japan  --  Biography ^ Philosophes  --  Japon  --  Biographies ^ Motoda, Tōya, 1818-1891 ^ Fukushima, Sōkai"/>
    <n v="0"/>
    <m/>
    <m/>
  </r>
  <r>
    <n v="223"/>
    <m/>
    <m/>
    <m/>
    <x v="0"/>
    <m/>
    <m/>
    <s v="https://www.amazon.jp/dp/4809702669"/>
    <x v="0"/>
    <m/>
    <s v="n/a"/>
    <s v="n/a"/>
    <s v="y"/>
    <n v="9784809702662"/>
    <n v="4809702669"/>
    <n v="943426812"/>
    <s v="Zen'yaku Iran, Ejiputo, Toruko gikai naiki"/>
    <s v="全訳イラン・エジプト・トルコ議会内規"/>
    <s v="Hachioshi Makoto, Ikeda Misako, Kasuya Gen hen"/>
    <s v="八尾師誠・池田美佐子・粕谷元編."/>
    <x v="15"/>
    <s v="n/a"/>
    <x v="27"/>
    <s v="東洋文庫"/>
    <n v="2014"/>
    <s v="Constitutions Islamic countries ^ Constitutions Pays musulmans ^ Politics and government ^ Egypt Politics and government 1919-1952 Sources ^ Iran Politics and government 1905-1911 Sources ^ Turkey Politics and government 1918-1960 Sources ^ Égypte Politique et gouvernement 1919-1952 Sources ^ Iran Politique et gouvernement 1905-1911 Sources ^ Turquie Politique et gouvernement 1918-1960 Sources ^ 1905-1960"/>
    <n v="0"/>
    <m/>
    <m/>
  </r>
  <r>
    <n v="224"/>
    <m/>
    <m/>
    <m/>
    <x v="0"/>
    <m/>
    <m/>
    <s v="n/a"/>
    <x v="0"/>
    <m/>
    <s v="n/a"/>
    <s v="n/a"/>
    <s v="y"/>
    <s v="n/a"/>
    <s v="n/a"/>
    <n v="51321092"/>
    <s v="Kuyōso ronkō: kōbun hen"/>
    <s v="公羊疏論考: 攷文篇"/>
    <s v="Sugiura, Toyoji"/>
    <s v="杉浦豐治"/>
    <x v="2"/>
    <s v="n/a"/>
    <x v="99"/>
    <s v="學友會"/>
    <n v="1961"/>
    <s v="Gongyang, Gao. Gongyang zhuan ^ Gongyang zhuan (Gongyang, Gao)"/>
    <n v="0"/>
    <m/>
    <m/>
  </r>
  <r>
    <n v="225"/>
    <m/>
    <m/>
    <m/>
    <x v="0"/>
    <m/>
    <m/>
    <s v="n/a"/>
    <x v="0"/>
    <m/>
    <s v="n/a"/>
    <s v="n/a"/>
    <s v="n/a"/>
    <s v="n/a"/>
    <s v="n/a"/>
    <n v="934759500"/>
    <s v="Rikuchō shi kenkyū shūkyō hen"/>
    <s v="六朝史研究: 宗教篇"/>
    <s v="Miyakawa, Hisayuki 1913-2006 ^ VerfasserIn. (Author)"/>
    <s v="n/a"/>
    <x v="2"/>
    <s v="n/a"/>
    <x v="0"/>
    <s v="n/a"/>
    <s v="1973, 1964"/>
    <s v="n/a"/>
    <n v="0"/>
    <m/>
    <m/>
  </r>
  <r>
    <n v="226"/>
    <m/>
    <m/>
    <m/>
    <x v="0"/>
    <m/>
    <m/>
    <s v="n/a"/>
    <x v="0"/>
    <m/>
    <s v="n/a"/>
    <s v="n/a"/>
    <s v="y"/>
    <n v="9784000024358"/>
    <n v="4000024353"/>
    <n v="14969495"/>
    <s v="Rikuchō kizokusei shakai no kenkyū"/>
    <s v="六朝貴族制社会の研究"/>
    <s v="Kawakatsu, Yoshio, 1922-1984"/>
    <s v="川勝義雄, 1922- ^ 川勝義雄(1922-1984)"/>
    <x v="2"/>
    <s v="n/a"/>
    <x v="18"/>
    <s v="岩波書店"/>
    <n v="1982"/>
    <s v="Nobility  --  China  --  History ^ Politics and government ^ 220-589 ^ China  --  Politics and government  --  220-589 ^ Chine  --  Politique et gouvernement  --  220-589"/>
    <n v="0"/>
    <m/>
    <m/>
  </r>
  <r>
    <n v="227"/>
    <m/>
    <m/>
    <m/>
    <x v="0"/>
    <m/>
    <m/>
    <s v="n/a"/>
    <x v="0"/>
    <m/>
    <s v="n/a"/>
    <s v="n/a"/>
    <s v="n/a"/>
    <s v="n/a"/>
    <s v="n/a"/>
    <n v="57438541"/>
    <s v="Naikoku Shiin tō: Tensō shichinen"/>
    <s v="内国史院檔. 天聡七年"/>
    <s v="Kanda, Nobuo, 1921-2003 ^ Zhongguo di 1 li shi dang an guan"/>
    <s v="中国第一歴史檔案館"/>
    <x v="2"/>
    <s v="n/a"/>
    <x v="27"/>
    <s v="東洋文庫"/>
    <n v="2003"/>
    <s v="History ^ Sources ^ 1600-1699 ^ Manchuria (China)  --  History  --  Sources ^ Manchuria (China)  --  History  --  17th century  --  Sources ^ China  --  Manchuria"/>
    <n v="0"/>
    <m/>
    <m/>
  </r>
  <r>
    <n v="228"/>
    <m/>
    <m/>
    <m/>
    <x v="0"/>
    <m/>
    <m/>
    <s v="n/a"/>
    <x v="0"/>
    <m/>
    <s v="n/a"/>
    <s v="n/a"/>
    <s v="n/a"/>
    <s v="n/a"/>
    <s v="n/a"/>
    <n v="672480984"/>
    <s v="Sōka gakkai: Sono shisō to kōdō"/>
    <s v="創価学会: その思想と行動"/>
    <s v="Saki, Akio, 1906-1988 ^ Oguchi, Iichi, 1910-"/>
    <s v="佐木, 秋夫, 1906-1988. ^ 小口, 偉一, 1910-"/>
    <x v="2"/>
    <s v="n/a"/>
    <x v="100"/>
    <s v="青木書店"/>
    <n v="1957"/>
    <s v="Sōka gakkai"/>
    <n v="0"/>
    <m/>
    <m/>
  </r>
  <r>
    <n v="229"/>
    <m/>
    <m/>
    <m/>
    <x v="0"/>
    <m/>
    <m/>
    <s v="n/a"/>
    <x v="0"/>
    <m/>
    <s v="n/a"/>
    <s v="n/a"/>
    <s v="y"/>
    <s v="n/a"/>
    <s v="n/a"/>
    <n v="24822261"/>
    <s v="Sōritsu jisshūnen kinen ronsō"/>
    <s v="創立十周年記念論叢"/>
    <s v="Sōritsu jisshūnen kinen ronsō ^ Ōsaka Daigaku. Bungakubu"/>
    <s v="創立十周年記念論叢 ^ 大阪大学 ^ 文学部"/>
    <x v="2"/>
    <s v="n/a"/>
    <x v="0"/>
    <s v="n/a"/>
    <n v="1959"/>
    <s v="Ōsaka Daigaku. Bungakubu ^ Festschriften"/>
    <n v="0"/>
    <m/>
    <m/>
  </r>
  <r>
    <n v="230"/>
    <m/>
    <m/>
    <m/>
    <x v="0"/>
    <m/>
    <m/>
    <s v="n/a"/>
    <x v="0"/>
    <m/>
    <s v="n/a"/>
    <s v="n/a"/>
    <s v="n/a"/>
    <s v="n/a"/>
    <s v="n/a"/>
    <n v="48974203"/>
    <s v="Ryū Nendai bunshū"/>
    <s v="劉念台文集"/>
    <s v="Okada, Takehiko"/>
    <s v="岡田武彦. ^ 劉宗周, 1578-1645"/>
    <x v="72"/>
    <s v="n/a"/>
    <x v="13"/>
    <s v="明徳出版社"/>
    <n v="1980"/>
    <s v="Philosophy, Chinese ^ Philosophie chinoise"/>
    <n v="0"/>
    <m/>
    <m/>
  </r>
  <r>
    <n v="232"/>
    <m/>
    <m/>
    <m/>
    <x v="0"/>
    <m/>
    <m/>
    <s v="n/a"/>
    <x v="0"/>
    <m/>
    <s v="n/a"/>
    <s v="n/a"/>
    <s v="n/a"/>
    <s v="n/a"/>
    <s v="n/a"/>
    <n v="959679997"/>
    <s v="Kaga bunko mokuroku fu shomei sakuin"/>
    <s v="加賀文庫目錄 附書名索引"/>
    <s v="Hibiya toshokan"/>
    <s v="日比谷図書館"/>
    <x v="2"/>
    <s v="n/a"/>
    <x v="0"/>
    <s v="東京都立日比谷図書館"/>
    <n v="1961"/>
    <s v="Zoshomokuroku ^ Kaga, toyosaburo"/>
    <n v="0"/>
    <m/>
    <m/>
  </r>
  <r>
    <n v="233"/>
    <m/>
    <m/>
    <m/>
    <x v="0"/>
    <m/>
    <m/>
    <s v="n/a"/>
    <x v="0"/>
    <m/>
    <s v="n/a"/>
    <s v="n/a"/>
    <s v="y"/>
    <s v="n/a"/>
    <s v="n/a"/>
    <n v="30579328"/>
    <s v="Kita Ajia ni okeru rekishi sekai no keisei"/>
    <s v="北アジアにおける歷史世界の形成"/>
    <s v="Tamura, Jitsuzō, 1904- ^ Hābādo Enkei Dōshisha Tōhō Bunka Kōza Iinkai"/>
    <s v="ハーバード ^ 燕京 ^ 同志社東方文化講座委員會"/>
    <x v="79"/>
    <s v="ハーバード・燕京・同志社東方文化講座 ; 第 10輯."/>
    <x v="86"/>
    <s v="ハ一バ一ド・燕京・同志社東方文化講座委員會"/>
    <n v="1956"/>
    <s v="History ^ Mongolia  --  History ^ Manchuria (China)  --  History ^ Mongolie  --  Histoire ^ China  --  Manchuria"/>
    <n v="0"/>
    <m/>
    <m/>
  </r>
  <r>
    <n v="234"/>
    <m/>
    <m/>
    <m/>
    <x v="0"/>
    <m/>
    <s v="strange wroldcat records"/>
    <s v="n/a"/>
    <x v="0"/>
    <m/>
    <s v="n/a"/>
    <s v="n/a"/>
    <s v="n/a"/>
    <s v="n/a"/>
    <s v="n/a"/>
    <n v="837761082"/>
    <s v="Hokusō ni okeru jugaku no tenkai"/>
    <s v="北宋に於ける儒学の展開 ... XB-J"/>
    <s v="Fumoto, Yasutaka"/>
    <s v="麓, 保孝"/>
    <x v="2"/>
    <s v="n/a"/>
    <x v="0"/>
    <s v="n/a"/>
    <n v="1967"/>
    <s v="n/a"/>
    <n v="0"/>
    <m/>
    <m/>
  </r>
  <r>
    <n v="236"/>
    <m/>
    <m/>
    <m/>
    <x v="0"/>
    <m/>
    <m/>
    <s v="n/a"/>
    <x v="0"/>
    <m/>
    <s v="n/a"/>
    <s v="n/a"/>
    <s v="n/a"/>
    <s v="n/a"/>
    <s v="n/a"/>
    <n v="122889912"/>
    <s v="Hokusen tp nansen"/>
    <s v="北鮮と南鮮"/>
    <s v="Mishina, Shōei, 1902-1971 ^ Hābādo, Enkyō, Dōshisha Tōhō Bunka Kōza Iinkai"/>
    <s v="三品彰英, 1902- ^ ハーバード・燕京・同志社東方文化講座委員会"/>
    <x v="80"/>
    <s v="ハーバード・燕京・同志社東方文化講座委員會 ; 第 5輯"/>
    <x v="101"/>
    <s v="ハーバード・燕京・同志社東方文化講座委員會"/>
    <n v="1957"/>
    <s v="Civilization ^ History ^ Korea  --  History ^ Korea  --  Civilization ^ Corée  --  Histoire ^ Corée  --  Civilisation"/>
    <n v="0"/>
    <m/>
    <m/>
  </r>
  <r>
    <n v="237"/>
    <m/>
    <m/>
    <m/>
    <x v="0"/>
    <m/>
    <m/>
    <s v="n/a"/>
    <x v="0"/>
    <m/>
    <s v="n/a"/>
    <s v="n/a"/>
    <s v="y"/>
    <s v="n/a"/>
    <s v="n/a"/>
    <n v="38496812"/>
    <s v="Senkeidō shomoku choshamei sakuin: gojūonjun"/>
    <s v="千頃堂書目著者名索引: 五十音順"/>
    <s v="Huang, Yuji, 1629-1691 ^ Qian qing tang shu mu ^ Tōyō Bunko (Japan) ^ Mindaishi Kenkyū Iinkai"/>
    <s v="東洋文庫 (Japan) ^ 明代史研究委員会"/>
    <x v="2"/>
    <s v="n/a"/>
    <x v="27"/>
    <s v="東洋文庫"/>
    <n v="1996"/>
    <s v="Huang, Yuji, 1629-1691. Qian qing tang shu mu  --  Indexes ^ China  --  Imprints  --  Catalogs  --  Indexes"/>
    <n v="0"/>
    <m/>
    <m/>
  </r>
  <r>
    <n v="239"/>
    <m/>
    <m/>
    <m/>
    <x v="0"/>
    <m/>
    <m/>
    <s v="n/a"/>
    <x v="0"/>
    <m/>
    <s v="n/a"/>
    <s v="n/a"/>
    <s v="n/a"/>
    <s v="n/a"/>
    <s v="n/a"/>
    <n v="42728698"/>
    <s v="Kōgoyaku kyōgyō shinshō: tsuketari ryōkai"/>
    <s v="口語譯敎行信證: 附・領解"/>
    <s v="Shinran, 1173-1263 ^ Kaneko, Daiei, 1881-1976"/>
    <s v="親鸞, 1173-1263. ^ 金子大榮, 1881-1976"/>
    <x v="2"/>
    <s v="n/a"/>
    <x v="24"/>
    <s v="法藏館"/>
    <n v="1959"/>
    <s v="Shin (Sect)  --  Doctrines ^ Shin (Secte)  --  Doctrines"/>
    <n v="0"/>
    <m/>
    <m/>
  </r>
  <r>
    <n v="240"/>
    <m/>
    <m/>
    <m/>
    <x v="0"/>
    <m/>
    <s v="no worldcat record for the same year"/>
    <s v="n/a"/>
    <x v="0"/>
    <m/>
    <s v="n/a"/>
    <s v="n/a"/>
    <s v="n/a"/>
    <s v="n/a"/>
    <s v="n/a"/>
    <s v="n/a"/>
    <s v="n/a"/>
    <s v="古義堂文庫目錄"/>
    <s v="n/a"/>
    <s v="天理圖書館"/>
    <x v="2"/>
    <s v="n/a"/>
    <x v="102"/>
    <s v="天理大学出版部"/>
    <n v="1936"/>
    <s v="n/a"/>
    <n v="0"/>
    <m/>
    <m/>
  </r>
  <r>
    <n v="241"/>
    <m/>
    <m/>
    <m/>
    <x v="0"/>
    <m/>
    <m/>
    <s v="n/a"/>
    <x v="0"/>
    <m/>
    <s v="n/a"/>
    <s v="n/a"/>
    <s v="n/a"/>
    <s v="n/a"/>
    <s v="n/a"/>
    <n v="673206431"/>
    <s v="Yoshikawa kōjirō"/>
    <s v="吉川幸次郎"/>
    <s v="Kuwabara, Takeo, 1904-1988"/>
    <s v="桑原, 武夫, 1904-1988"/>
    <x v="2"/>
    <s v="n/a"/>
    <x v="0"/>
    <s v="筑摩書房"/>
    <n v="1982"/>
    <s v="Yoshikawa, Kōjirō ^ Yoshikawa,kojiro(1904-1980)"/>
    <n v="0"/>
    <m/>
    <m/>
  </r>
  <r>
    <n v="242"/>
    <s v="4v"/>
    <m/>
    <m/>
    <x v="0"/>
    <m/>
    <s v="insert/signed"/>
    <s v="n/a"/>
    <x v="0"/>
    <m/>
    <s v="n/a"/>
    <s v="n/a"/>
    <s v="n/a"/>
    <s v="n/a"/>
    <s v="n/a"/>
    <n v="984132549"/>
    <s v="Yoshikawa kojiro zenshu"/>
    <s v="吉川幸次郎全集"/>
    <s v="Yoshikawa, Kojiro"/>
    <s v="吉川, 幸次郎"/>
    <x v="2"/>
    <s v="n/a"/>
    <x v="0"/>
    <s v="筑摩書房"/>
    <s v="1968-1976"/>
    <s v="Yoshikawa, kojiro(1904-1980)"/>
    <n v="0"/>
    <m/>
    <m/>
  </r>
  <r>
    <n v="243"/>
    <n v="46"/>
    <m/>
    <m/>
    <x v="0"/>
    <m/>
    <m/>
    <s v="n/a"/>
    <x v="0"/>
    <m/>
    <s v="n/a"/>
    <s v="n/a"/>
    <s v="n/a"/>
    <s v="n/a"/>
    <s v="n/a"/>
    <s v="BN02072154"/>
    <s v="Yoshumura shūyō higashi takusha"/>
    <s v="吉村秋陽・東沢瀉 叢書 (日本の思想家; 46)"/>
    <s v="n/a"/>
    <s v="荒木龍太郎・荒木見悟"/>
    <x v="2"/>
    <s v="n/a"/>
    <x v="13"/>
    <s v="明徳出版社"/>
    <n v="1982"/>
    <s v="n/a"/>
    <n v="0"/>
    <m/>
    <m/>
  </r>
  <r>
    <n v="244"/>
    <n v="48"/>
    <m/>
    <m/>
    <x v="0"/>
    <m/>
    <m/>
    <s v="n/a"/>
    <x v="0"/>
    <m/>
    <s v="n/a"/>
    <s v="n/a"/>
    <s v="n/a"/>
    <s v="n/a"/>
    <s v="n/a"/>
    <s v="BN02072493"/>
    <s v="Yoshida shōin saigō nanshū"/>
    <s v="吉田松陰・西郷南洲 叢書 (日本の思想家; 48 )"/>
    <s v="n/a"/>
    <s v="山崎道夫, 和田正俊"/>
    <x v="2"/>
    <s v="n/a"/>
    <x v="13"/>
    <s v="明徳出版社"/>
    <n v="1979"/>
    <s v="n/a"/>
    <n v="0"/>
    <m/>
    <m/>
  </r>
  <r>
    <n v="245"/>
    <m/>
    <m/>
    <m/>
    <x v="0"/>
    <m/>
    <m/>
    <s v="n/a"/>
    <x v="0"/>
    <m/>
    <s v="n/a"/>
    <s v="n/a"/>
    <s v="n/a"/>
    <s v="n/a"/>
    <s v="n/a"/>
    <n v="33566232"/>
    <s v="Nagoyashi hōsa bunko kanseki bunrui mokuroku"/>
    <s v="名古屋市蓬左文庫漢籍分類目錄"/>
    <s v="Hōsa Bunko"/>
    <s v="蓬左文庫"/>
    <x v="2"/>
    <s v="n/a"/>
    <x v="103"/>
    <s v="名古屋市敎育委員会"/>
    <n v="1975"/>
    <s v="n/a"/>
    <n v="0"/>
    <m/>
    <m/>
  </r>
  <r>
    <n v="247"/>
    <m/>
    <m/>
    <m/>
    <x v="0"/>
    <m/>
    <m/>
    <s v="n/a"/>
    <x v="0"/>
    <m/>
    <s v="n/a"/>
    <s v="n/a"/>
    <s v="n/a"/>
    <s v="n/a"/>
    <s v="n/a"/>
    <n v="834461296"/>
    <s v="Shūekisandōkei"/>
    <s v="周易参同契"/>
    <s v="Suzuki, Yoshijirō, 1901-"/>
    <s v="鈴木由次郎, 1901-"/>
    <x v="72"/>
    <s v="n/a"/>
    <x v="13"/>
    <s v="明徳出版社"/>
    <n v="1977"/>
    <s v="Ekikyo ^ Ekikyō"/>
    <n v="0"/>
    <m/>
    <m/>
  </r>
  <r>
    <n v="248"/>
    <n v="1"/>
    <m/>
    <n v="2"/>
    <x v="0"/>
    <m/>
    <m/>
    <s v="n/a"/>
    <x v="0"/>
    <m/>
    <s v="n/a"/>
    <s v="n/a"/>
    <s v="n/a"/>
    <s v="n/a"/>
    <s v="n/a"/>
    <n v="34444536"/>
    <s v="Shūrai tsūshaku 1"/>
    <s v="周禮通釋 1"/>
    <s v="Honda, Jirō, 1922- ^ Harada, Taneshige, 1911-"/>
    <s v="本田二郎, 1922- ^ 原田種成, 1911-"/>
    <x v="2"/>
    <s v="n/a"/>
    <x v="104"/>
    <s v="秀英出版"/>
    <s v="1977-1979"/>
    <s v="Zhou li ^ Zhou li (Title)"/>
    <n v="0"/>
    <m/>
    <m/>
  </r>
  <r>
    <n v="248.1"/>
    <n v="2"/>
    <m/>
    <n v="2"/>
    <x v="0"/>
    <m/>
    <m/>
    <s v="n/a"/>
    <x v="0"/>
    <m/>
    <s v="n/a"/>
    <s v="n/a"/>
    <s v="n/a"/>
    <s v="n/a"/>
    <s v="n/a"/>
    <n v="34444536"/>
    <s v="Shūrai tsūshaku 2"/>
    <s v="周禮通釋 2"/>
    <s v="Honda, Jirō, 1922- ^ Harada, Taneshige, 1911-"/>
    <s v="本田二郎, 1922- ^ 原田種成, 1911-"/>
    <x v="2"/>
    <s v="n/a"/>
    <x v="104"/>
    <s v="秀英出版"/>
    <s v="1977-1979"/>
    <s v="Zhou li ^ Zhou li (Title)"/>
    <n v="0"/>
    <m/>
    <m/>
  </r>
  <r>
    <n v="249"/>
    <n v="1"/>
    <s v="上"/>
    <n v="2"/>
    <x v="0"/>
    <m/>
    <s v="need to see item, how is this different from the one above (based on key number)"/>
    <s v="n/a"/>
    <x v="0"/>
    <m/>
    <s v="n/a"/>
    <s v="n/a"/>
    <s v="n/a"/>
    <s v="n/a"/>
    <s v="n/a"/>
    <s v="n/a"/>
    <s v="Shūrai tsūshaku"/>
    <s v="周禮通釋 上"/>
    <s v="n/a"/>
    <s v="本田次郎"/>
    <x v="2"/>
    <s v="n/a"/>
    <x v="104"/>
    <s v="秀英出版"/>
    <s v="1977-1980"/>
    <s v="n/a"/>
    <n v="0"/>
    <m/>
    <m/>
  </r>
  <r>
    <n v="249.1"/>
    <n v="2"/>
    <s v="下"/>
    <n v="2"/>
    <x v="0"/>
    <m/>
    <s v="need to see item, how is this different from the one above (based on key number)"/>
    <s v="n/a"/>
    <x v="0"/>
    <m/>
    <s v="n/a"/>
    <s v="n/a"/>
    <s v="n/a"/>
    <s v="n/a"/>
    <s v="n/a"/>
    <s v="n/a"/>
    <s v="Shūrai tsūshaku"/>
    <s v="周禮通釋 下"/>
    <s v="n/a"/>
    <s v="本田次郎"/>
    <x v="2"/>
    <s v="n/a"/>
    <x v="104"/>
    <s v="秀英出版"/>
    <s v="1977-1980"/>
    <s v="n/a"/>
    <n v="0"/>
    <m/>
    <m/>
  </r>
  <r>
    <n v="250"/>
    <m/>
    <m/>
    <m/>
    <x v="0"/>
    <m/>
    <m/>
    <s v="n/a"/>
    <x v="0"/>
    <m/>
    <s v="n/a"/>
    <s v="n/a"/>
    <s v="n/a"/>
    <s v="n/a"/>
    <s v="n/a"/>
    <n v="20617581"/>
    <s v="Shingingo"/>
    <s v="呻吟語"/>
    <s v="Lü, Kun, 1536-1618 ^ Kōda, Rentarō, 1876-1963, ^ ; ed. and tr"/>
    <s v="呂坤, 1536-1618. ^ 公田連太郎, -1963, ed. ^ and ^ tr"/>
    <x v="2"/>
    <s v="n/a"/>
    <x v="0"/>
    <s v="東京"/>
    <n v="1955"/>
    <s v="Conduct of life ^ Morale pratique"/>
    <n v="0"/>
    <m/>
    <m/>
  </r>
  <r>
    <n v="251"/>
    <m/>
    <m/>
    <m/>
    <x v="0"/>
    <m/>
    <m/>
    <s v="n/a"/>
    <x v="0"/>
    <m/>
    <s v="n/a"/>
    <s v="n/a"/>
    <s v="y"/>
    <s v="n/a"/>
    <s v="n/a"/>
    <n v="20248791"/>
    <s v="Shingingo"/>
    <s v="呻吟語"/>
    <s v="Hikita, Keiyū, 1937- ^ Lü, Kun, 1536-1618 ^ Shen yin yü.; Japanese &amp; Chinese.; Selections"/>
    <s v="疋田啓佑, 1937- ^ 呂坤, 1536-1618. ^ 呻吟語. ^ Selections. ^ Japanese ^ &amp; ^ Chinese"/>
    <x v="72"/>
    <s v="n/a"/>
    <x v="13"/>
    <s v="明德出版社"/>
    <n v="1977"/>
    <s v="Conduct of life ^ Morale pratique ^ ethics (philosophical concept) ^ Lü, Kun, 1536-1618. Shen yin yü ^ Shen yin yu (Lü, Kun)"/>
    <n v="0"/>
    <m/>
    <m/>
  </r>
  <r>
    <n v="252"/>
    <m/>
    <m/>
    <m/>
    <x v="0"/>
    <m/>
    <s v="insert/signed"/>
    <s v="n/a"/>
    <x v="0"/>
    <m/>
    <s v="n/a"/>
    <s v="n/a"/>
    <s v="y"/>
    <s v="n/a"/>
    <s v="n/a"/>
    <n v="15418884"/>
    <s v="Tetsugaku no sekai"/>
    <s v="哲学の世界"/>
    <s v="Takeuchi, Yoshinori, 1913- ^ Kōyama, Iwao, 1905-1993"/>
    <s v="武内義範, 1913- ^ 高山岩男, 1905-"/>
    <x v="2"/>
    <s v="n/a"/>
    <x v="31"/>
    <s v="創文社"/>
    <n v="1985"/>
    <s v="Philosophy ^ Philosophie ^ Kōyama, Iwao, 1905-1993"/>
    <n v="0"/>
    <m/>
    <m/>
  </r>
  <r>
    <n v="253"/>
    <m/>
    <m/>
    <m/>
    <x v="0"/>
    <m/>
    <m/>
    <s v="n/a"/>
    <x v="0"/>
    <m/>
    <s v="n/a"/>
    <s v="n/a"/>
    <s v="n/a"/>
    <s v="n/a"/>
    <s v="n/a"/>
    <n v="894117310"/>
    <s v="Tōdai no fukushoku"/>
    <s v="唐代の服飾"/>
    <s v="Harada, Yoshito (1885-1974) ^ (Author) Auteur"/>
    <s v="n/a"/>
    <x v="81"/>
    <s v="n/a"/>
    <x v="27"/>
    <s v="n/a"/>
    <n v="1970"/>
    <s v="Costume  --  China  --  History  --  Tʻang dynasty, 618-907 ^ Jewelry  --  China  --  History  --  Tʻang dynasty, 618-907 ^ Tang Dynasty (China) ^ Costume  --  Chine  --  618-907 (Dynastie des T′ang) ^ Bijoux  --  Chine  --  618-907 (Dynastie des T′ang)"/>
    <n v="0"/>
    <m/>
    <m/>
  </r>
  <r>
    <n v="254"/>
    <s v="40?"/>
    <m/>
    <m/>
    <x v="0"/>
    <m/>
    <m/>
    <s v="https://www.amazon.jp/dp/4810404943"/>
    <x v="0"/>
    <m/>
    <s v="n/a"/>
    <s v="n/a"/>
    <s v="y"/>
    <n v="9784810404944"/>
    <n v="4810404943"/>
    <n v="16979977"/>
    <s v="Tōdai seiji shakaishi kenkyū"/>
    <s v="唐代政治社會史硏究"/>
    <s v="Tonami, Mamoru, 1937-"/>
    <s v="礪波護, 1937-"/>
    <x v="82"/>
    <s v="東洋史硏究叢刊 ; 40"/>
    <x v="75"/>
    <s v="同朋舎"/>
    <n v="1986"/>
    <s v="Buddhism and state  --  China  --  History ^ Bouddhisme et État  --  Chine  --  Histoire ^ Economic policy ^ Politics and government ^ 581-907 ^ China  --  Politics and government  --  581-907 ^ China  --  Economic policy ^ Chine  --  Politique et gouvernement  --  581-907 ^ Chine  --  Politique économique"/>
    <n v="0"/>
    <m/>
    <m/>
  </r>
  <r>
    <n v="255"/>
    <n v="44"/>
    <m/>
    <m/>
    <x v="0"/>
    <m/>
    <m/>
    <s v="n/a"/>
    <x v="0"/>
    <m/>
    <s v="n/a"/>
    <s v="n/a"/>
    <s v="y"/>
    <n v="9784810408317"/>
    <n v="4810408310"/>
    <n v="22385067"/>
    <s v="Tō Sō henkaku no chiikiteki kenkyū"/>
    <s v="唐宋變革の地域的研究"/>
    <s v="Satake, Yasuhiko"/>
    <s v="佐竹靖彥"/>
    <x v="83"/>
    <s v="n/a"/>
    <x v="75"/>
    <s v="同朋舎"/>
    <n v="1990"/>
    <s v="Land tenure  --  China  --  History ^ Local government  --  China  --  History ^ Administration locale  --  Chine  --  Histoire ^ Politics and government ^ 221 B.C.-1279 A.D ^ China  --  Politics and government  --  221 B.C.-960 A.D ^ China  --  Politics and government  --  960-1279 ^ Chine  --  Politique et gouvernement  --  221 av. J.-C.-960 ^ Chine  --  Politique et gouvernement  --  960-1279"/>
    <n v="0"/>
    <m/>
    <m/>
  </r>
  <r>
    <n v="256"/>
    <m/>
    <m/>
    <m/>
    <x v="0"/>
    <m/>
    <s v="insert/signed"/>
    <s v="n/a"/>
    <x v="0"/>
    <m/>
    <s v="n/a"/>
    <s v="n/a"/>
    <s v="y"/>
    <s v="n/a"/>
    <s v="n/a"/>
    <n v="80219151"/>
    <s v="Tō shōhon Tei Shi chū Rongo shūsei"/>
    <s v="唐抄本鄭氏注論語集成"/>
    <s v="Kanaya, Osamu, 1920-2006 ^ Zheng, Xuan, 127-200 ^ Confucius ^ Lun yu.; Selections.; Japanese &amp; Chinese"/>
    <s v="金谷治, 1920-"/>
    <x v="2"/>
    <s v="n/a"/>
    <x v="105"/>
    <s v="平凡社"/>
    <n v="1978"/>
    <s v="Confucius. Lun yu ^ Lun yu (Confucius)"/>
    <n v="0"/>
    <m/>
    <m/>
  </r>
  <r>
    <n v="257"/>
    <m/>
    <m/>
    <m/>
    <x v="0"/>
    <m/>
    <m/>
    <s v="n/a"/>
    <x v="0"/>
    <m/>
    <s v="n/a"/>
    <s v="n/a"/>
    <s v="n/a"/>
    <s v="n/a"/>
    <s v="n/a"/>
    <n v="703799238"/>
    <s v="Tōshōdaiji"/>
    <s v="唐招提寺"/>
    <s v="Tokuda, Myōhon, 1912-"/>
    <s v="徳田, 明本, 1912-"/>
    <x v="2"/>
    <s v="n/a"/>
    <x v="0"/>
    <s v="学生社"/>
    <n v="1973"/>
    <s v="Tōshōdaiji(narashi)"/>
    <n v="0"/>
    <m/>
    <m/>
  </r>
  <r>
    <n v="258"/>
    <m/>
    <m/>
    <m/>
    <x v="0"/>
    <m/>
    <m/>
    <s v="n/a"/>
    <x v="0"/>
    <m/>
    <s v="n/a"/>
    <s v="n/a"/>
    <s v="n/a"/>
    <s v="n/a"/>
    <s v="n/a"/>
    <s v="BA42757906"/>
    <s v="Zen to sonzai"/>
    <s v="善と存在"/>
    <s v="n/a"/>
    <s v="猪城博之"/>
    <x v="2"/>
    <s v="n/a"/>
    <x v="106"/>
    <s v="九州出版文化研究会"/>
    <n v="1965"/>
    <s v="n/a"/>
    <n v="0"/>
    <m/>
    <m/>
  </r>
  <r>
    <n v="259"/>
    <n v="51"/>
    <m/>
    <m/>
    <x v="0"/>
    <m/>
    <m/>
    <s v="n/a"/>
    <x v="0"/>
    <m/>
    <s v="n/a"/>
    <s v="n/a"/>
    <s v="n/a"/>
    <s v="n/a"/>
    <s v="n/a"/>
    <n v="1040785299"/>
    <s v="Kokugaku undō no shisō"/>
    <s v="國學運動の思想"/>
    <s v="Haga, Noboru, 1926- ^ Matsumoto, Sannosuke, 1926-"/>
    <s v="芳賀登, 1926- ^ 松本三之介, 1926-"/>
    <x v="84"/>
    <s v="日本思想大系 51"/>
    <x v="18"/>
    <s v="n/a"/>
    <n v="1977"/>
    <s v="Kokugaku"/>
    <n v="0"/>
    <m/>
    <m/>
  </r>
  <r>
    <n v="259"/>
    <n v="51"/>
    <m/>
    <m/>
    <x v="0"/>
    <m/>
    <m/>
    <s v="n/a"/>
    <x v="0"/>
    <m/>
    <s v="n/a"/>
    <s v="n/a"/>
    <s v="n/a"/>
    <s v="n/a"/>
    <s v="n/a"/>
    <n v="35724933"/>
    <s v="Kokugo"/>
    <s v="國語"/>
    <s v="Zuoqiu, Ming ^ Hayashi, Taisuke, 1854-1922 ^ Maekawa, Saburō, 1880-"/>
    <s v="左丘明. ^ 林泰輔, 1854-1922. ^ 前川三郎, 1880-"/>
    <x v="85"/>
    <s v="國譯漢文大成. 經子史部 ; 第17卷."/>
    <x v="107"/>
    <s v="東洋文化協會"/>
    <s v="1956, 1923"/>
    <s v="Zhou Dynasty (China) ^ History ^ 1122-221 B.C ^ China  --  History  --  Zhou dynasty, 1122-221 B.C ^ Chine  --  Histoire  --  1122-221 av. J.-C. (Dynastie des Zhou)"/>
    <n v="0"/>
    <m/>
    <m/>
  </r>
  <r>
    <n v="260"/>
    <m/>
    <m/>
    <m/>
    <x v="0"/>
    <m/>
    <m/>
    <s v="n/a"/>
    <x v="0"/>
    <m/>
    <s v="n/a"/>
    <s v="n/a"/>
    <s v="n/a"/>
    <s v="n/a"/>
    <s v="n/a"/>
    <s v="n/a"/>
    <s v="n/a"/>
    <s v="国宝三帖和讃"/>
    <s v="n/a"/>
    <s v="n/a"/>
    <x v="2"/>
    <s v="n/a"/>
    <x v="0"/>
    <s v="遠忌法会事務局"/>
    <n v="1960"/>
    <s v="n/a"/>
    <n v="0"/>
    <m/>
    <m/>
  </r>
  <r>
    <n v="262"/>
    <n v="73"/>
    <m/>
    <m/>
    <x v="0"/>
    <m/>
    <s v="rare?"/>
    <s v="n/a"/>
    <x v="0"/>
    <m/>
    <s v="n/a"/>
    <s v="n/a"/>
    <s v="n/a"/>
    <s v="9784809702471 ^ 9874809702471"/>
    <n v="4809702472"/>
    <n v="835692111"/>
    <s v="Chizu bunkashijō no Kōyozu"/>
    <s v="地図文化史上の広輿図"/>
    <s v="Unno, Kazutaka ^ Yōgi, Yoshimi ^ Hisatake, Tetsuya ^ Kobayashi, Shigeru"/>
    <s v="海野一隆 ^ 久武哲也 ^ 小林茂 ^ 要木佳美"/>
    <x v="86"/>
    <s v="東洋文庫論叢 ; 73"/>
    <x v="27"/>
    <s v="東洋文庫"/>
    <n v="2010"/>
    <s v="Luo, Hongxian / 1504-1564 / Guang yu tu ^ Zhu, Siben / 1273-ca. 1335 / Guang yu tu ^ Luo, Hongxian, 1504-1564. Guang yu tu ^ Zhu, Siben, 1273-approximately 1335. Guang yu tu ^ China  --  Administrative and political divisions  --  Maps  --  Early works to 1800 ^ China  --  Maps  --  Early works to 1800"/>
    <n v="0"/>
    <m/>
    <m/>
  </r>
  <r>
    <n v="263"/>
    <m/>
    <m/>
    <m/>
    <x v="0"/>
    <m/>
    <m/>
    <s v="n/a"/>
    <x v="0"/>
    <m/>
    <s v="n/a"/>
    <s v="n/a"/>
    <s v="y"/>
    <s v="n/a"/>
    <s v="n/a"/>
    <n v="21761845"/>
    <s v="St. Nichiren's Hōon-jō"/>
    <s v="n/a"/>
    <s v="Nichiren, 1222-1282 ^ Yajima, Taikyō"/>
    <s v="日蓮, 1222-1282. ^ 矢嶋泰教"/>
    <x v="2"/>
    <s v="n/a"/>
    <x v="74"/>
    <s v="n/a"/>
    <n v="1988"/>
    <s v="Nichiren (Sect)  --  Doctrines  --  Early works to 1800"/>
    <n v="0"/>
    <m/>
    <m/>
  </r>
  <r>
    <n v="264"/>
    <n v="1"/>
    <s v="上"/>
    <n v="2"/>
    <x v="0"/>
    <m/>
    <m/>
    <s v="https://www.amazon.jp/dp/4336039011"/>
    <x v="0"/>
    <m/>
    <s v="n/a"/>
    <s v="n/a"/>
    <s v="y"/>
    <n v="9784336039019"/>
    <n v="4336039011"/>
    <n v="41896623"/>
    <s v="Zōho Chūgoku zensho no kenkyū 上"/>
    <s v="増補中国善書の研究 上"/>
    <s v="Sakai Tadao cho ^ Sakai, Tadao"/>
    <s v="酒井忠夫著. ^ 酒井忠夫, 1912-"/>
    <x v="15"/>
    <s v="n/a"/>
    <x v="83"/>
    <s v="国書刊行会"/>
    <s v="1999- "/>
    <s v="Didactic literature History and criticism ^ Moral education China History ^ Ethics China History ^ Taoism ^ Littérature didactique Histoire et critique ^ Éducation morale Chine Histoire ^ Taoïsme ^ Chūgoku-Rekishi ^ Chūgoku shisō-Rekishi ^ Criticism, interpretation, etc"/>
    <n v="0"/>
    <m/>
    <m/>
  </r>
  <r>
    <n v="264.5"/>
    <n v="2"/>
    <s v="下"/>
    <n v="2"/>
    <x v="0"/>
    <m/>
    <m/>
    <s v="https://www.amazon.jp/dp/4336039011"/>
    <x v="0"/>
    <m/>
    <s v="n/a"/>
    <s v="n/a"/>
    <s v="y"/>
    <n v="9784336039019"/>
    <n v="4336039011"/>
    <n v="41896623"/>
    <s v="Zōho Chūgoku zensho no kenkyū 下"/>
    <s v="増補中国善書の研究 下"/>
    <s v="Sakai Tadao cho ^ Sakai, Tadao"/>
    <s v="酒井忠夫著. ^ 酒井忠夫, 1912-"/>
    <x v="15"/>
    <s v="n/a"/>
    <x v="83"/>
    <s v="国書刊行会"/>
    <s v="1999- "/>
    <s v="Didactic literature History and criticism ^ Moral education China History ^ Ethics China History ^ Taoism ^ Littérature didactique Histoire et critique ^ Éducation morale Chine Histoire ^ Taoïsme ^ Chūgoku-Rekishi ^ Chūgoku shisō-Rekishi ^ Criticism, interpretation, etc"/>
    <n v="0"/>
    <m/>
    <m/>
  </r>
  <r>
    <n v="265"/>
    <m/>
    <m/>
    <m/>
    <x v="0"/>
    <m/>
    <m/>
    <s v="n/a"/>
    <x v="0"/>
    <m/>
    <s v="n/a"/>
    <s v="n/a"/>
    <s v="n/a"/>
    <s v="n/a"/>
    <s v="n/a"/>
    <n v="1021013722"/>
    <s v="Tōyō bunko chōsenbon bunrui mokuroku"/>
    <s v="東洋文庫朝鮮本分類目録"/>
    <s v="Tōyō bunko"/>
    <s v="東洋文庫"/>
    <x v="2"/>
    <s v="n/a"/>
    <x v="0"/>
    <s v="国立国会図書館"/>
    <n v="1979"/>
    <s v="Zōshomokuroku ^ Chōsen  --  shomoku"/>
    <n v="0"/>
    <m/>
    <m/>
  </r>
  <r>
    <n v="266"/>
    <m/>
    <m/>
    <m/>
    <x v="0"/>
    <m/>
    <s v="rare?"/>
    <s v="n/a"/>
    <x v="0"/>
    <m/>
    <s v="n/a"/>
    <s v="n/a"/>
    <s v="n/a"/>
    <s v="n/a"/>
    <s v="n/a"/>
    <n v="39686983"/>
    <s v="Zōhō Goroku Yakugi"/>
    <s v="増補語錄譯義"/>
    <s v="Rusu, Kisai, 1705-1765 ^ Kyūshū Daigaku ^ Bungakubu ^ Sō Min Shisō Kenkyūkai"/>
    <s v="九州大学 ^ 文学部 ^ 宋明思想研究会"/>
    <x v="2"/>
    <s v="n/a"/>
    <x v="108"/>
    <s v="九州大学文学部宋明思想研究会"/>
    <n v="1958"/>
    <s v="Chinese language  --  Dictionaries  --  Japanese ^ Chinese language  --  Conversation and phrase books  --  Japanese"/>
    <n v="0"/>
    <m/>
    <m/>
  </r>
  <r>
    <n v="267"/>
    <s v="5v"/>
    <m/>
    <m/>
    <x v="0"/>
    <m/>
    <s v="need to see"/>
    <s v="n/a"/>
    <x v="0"/>
    <m/>
    <s v="n/a"/>
    <s v="n/a"/>
    <s v="n/a"/>
    <s v="n/a"/>
    <s v="n/a"/>
    <n v="12179007"/>
    <s v="Daijō Butten"/>
    <s v="大乘仏典"/>
    <s v="Nagao, Gajin, 1907-2005"/>
    <s v="長尾雅人, 1907-"/>
    <x v="2"/>
    <s v="n/a"/>
    <x v="109"/>
    <s v="中央公論社"/>
    <s v="1974-1976"/>
    <s v="Mahayana Buddhism  --  Sacred books"/>
    <n v="0"/>
    <m/>
    <m/>
  </r>
  <r>
    <n v="268"/>
    <s v="5v"/>
    <m/>
    <m/>
    <x v="0"/>
    <m/>
    <s v="need to see, row duped by accident?"/>
    <s v="n/a"/>
    <x v="0"/>
    <m/>
    <s v="n/a"/>
    <s v="n/a"/>
    <s v="n/a"/>
    <s v="n/a"/>
    <s v="n/a"/>
    <s v="n/a"/>
    <s v="n/a"/>
    <s v="大乗仏典 (1,4,7,9,15)"/>
    <s v="n/a"/>
    <s v="長尾雅人[and others] 訳"/>
    <x v="2"/>
    <s v="n/a"/>
    <x v="2"/>
    <s v="中央公論社"/>
    <s v="1973-1977"/>
    <s v="n/a"/>
    <n v="0"/>
    <m/>
    <m/>
  </r>
  <r>
    <n v="269"/>
    <n v="2"/>
    <m/>
    <m/>
    <x v="0"/>
    <m/>
    <m/>
    <s v="n/a"/>
    <x v="0"/>
    <m/>
    <s v="n/a"/>
    <s v="n/a"/>
    <s v="n/a"/>
    <n v="9784124000825"/>
    <n v="4124000820"/>
    <n v="24187850"/>
    <s v="Daijō butten"/>
    <s v="大乗仏典"/>
    <s v="Nagao, Gajin, 1907-2005"/>
    <s v="長尾雅人, 1907-2005"/>
    <x v="87"/>
    <s v="世界の名著 ; 2."/>
    <x v="2"/>
    <s v="中央公論社"/>
    <n v="1967"/>
    <s v="Mahayana Buddhism ^ Bouddhisme Mahāyāna ^ Sacred works"/>
    <n v="0"/>
    <m/>
    <m/>
  </r>
  <r>
    <n v="270"/>
    <n v="38"/>
    <m/>
    <m/>
    <x v="0"/>
    <m/>
    <m/>
    <s v="n/a"/>
    <x v="0"/>
    <m/>
    <s v="n/a"/>
    <s v="n/a"/>
    <s v="y"/>
    <s v="n/a"/>
    <s v="n/a"/>
    <n v="17057998"/>
    <s v="Ōshio Chūsai, Sakuma Shōzan"/>
    <s v="大塩中斎. 佐久間象山"/>
    <s v="Takahata, Tsunenobu, 1941- ^ Obi, Kōichi, 1913-2004"/>
    <s v="高畑常信, 1941- ^ 小尾郊一, 1913-"/>
    <x v="88"/>
    <s v="n/a"/>
    <x v="13"/>
    <s v="明德出版社"/>
    <n v="1981"/>
    <s v="Scholars  --  Japan  --  Biography ^ Revolutionaries  --  Japan  --  Biography ^ Savants  --  Japon  --  Biographies ^ Révolutionnaires  --  Japon  --  Biographies ^ Ōshio, Heihachirō, 1793-1837 ^ Sakuma, Shōzan, 1811-1864"/>
    <n v="0"/>
    <m/>
    <m/>
  </r>
  <r>
    <n v="271"/>
    <n v="7"/>
    <s v="下"/>
    <m/>
    <x v="0"/>
    <m/>
    <m/>
    <s v="n/a"/>
    <x v="0"/>
    <m/>
    <s v="n/a"/>
    <s v="n/a"/>
    <s v="y"/>
    <s v="n/a"/>
    <s v="n/a"/>
    <n v="865098171"/>
    <s v="Daigaku, Chūyō"/>
    <s v="大学. 中庸"/>
    <s v="Shimada, Kenji, 1917- ^ author"/>
    <s v="島田虔次, 1917- ^ author. ^ 朱熹, 1130-1200"/>
    <x v="89"/>
    <s v="中国古典選 ; 6-7."/>
    <x v="41"/>
    <s v="n/a"/>
    <n v="1978"/>
    <s v="Da xue ^ Zhong yong"/>
    <n v="0"/>
    <m/>
    <m/>
  </r>
  <r>
    <n v="272"/>
    <m/>
    <m/>
    <m/>
    <x v="0"/>
    <m/>
    <m/>
    <s v="n/a"/>
    <x v="0"/>
    <m/>
    <s v="n/a"/>
    <s v="n/a"/>
    <s v="n/a"/>
    <s v="n/a"/>
    <s v="n/a"/>
    <s v="n/a"/>
    <s v="n/a"/>
    <s v="大學衍義補 (下) : 翻刻 : 日本寛政四年 (一七九二年) 和刻本"/>
    <s v="n/a"/>
    <s v="丘濬撰"/>
    <x v="2"/>
    <s v="n/a"/>
    <x v="91"/>
    <s v="中文出版社"/>
    <n v="1979"/>
    <s v="n/a"/>
    <n v="0"/>
    <m/>
    <m/>
  </r>
  <r>
    <n v="273"/>
    <m/>
    <m/>
    <m/>
    <x v="0"/>
    <m/>
    <s v="need to see item"/>
    <s v="n/a"/>
    <x v="0"/>
    <m/>
    <s v="n/a"/>
    <s v="n/a"/>
    <s v="n/a"/>
    <s v="n/a"/>
    <s v="n/a"/>
    <s v="BA91369255"/>
    <s v="Daisō sōshi ryaku"/>
    <s v="大宋僧史略"/>
    <s v="n/a"/>
    <s v="牧田諦亮訳註"/>
    <x v="2"/>
    <s v="n/a"/>
    <x v="110"/>
    <s v="大東出版社"/>
    <n v="1966"/>
    <s v="n/a"/>
    <n v="0"/>
    <m/>
    <m/>
  </r>
  <r>
    <n v="274"/>
    <n v="17"/>
    <m/>
    <m/>
    <x v="0"/>
    <m/>
    <m/>
    <s v="n/a"/>
    <x v="0"/>
    <m/>
    <s v="n/a"/>
    <s v="n/a"/>
    <s v="y"/>
    <s v="n/a"/>
    <s v="n/a"/>
    <n v="10513368"/>
    <s v="Daie sho"/>
    <s v="大慧書"/>
    <s v="Zonggao, 1089-1163 ^ Araki, Kengo, 1917-2017, ^ ; editor"/>
    <s v="宗杲, 1089-1163. ^ 荒木見悟, 1917- ^ editor"/>
    <x v="90"/>
    <s v="禅の語錄 ; 17."/>
    <x v="23"/>
    <s v="筑摩書房"/>
    <n v="1969"/>
    <s v="Zen Buddhism ^ Bouddhisme zen ^ Zonggao, 1089-1163. Ta-hui shu ^ Sōtōshū  --  History  --  Sources ^ Autobiography ^ Autobiographies"/>
    <n v="0"/>
    <m/>
    <m/>
  </r>
  <r>
    <n v="275"/>
    <m/>
    <m/>
    <m/>
    <x v="0"/>
    <m/>
    <m/>
    <s v="n/a"/>
    <x v="0"/>
    <m/>
    <s v="n/a"/>
    <s v="n/a"/>
    <s v="y"/>
    <s v="n/a"/>
    <s v="n/a"/>
    <n v="22790979"/>
    <s v="Daitō Bunka Daigaku sōritsu rokujisshūnen kinen Chūgokugaku ronshū"/>
    <s v="大東文化大學創立六十周年記念中國學論集"/>
    <s v="Daitō Bunka Daigaku ^ Chūgoku Bungakka ^ Chūgokugaku Ronshū Henshū Iinkai"/>
    <s v="大東文化大學 ^ 中國文學科 ^ 中國學論集編輯委員會"/>
    <x v="2"/>
    <s v="n/a"/>
    <x v="111"/>
    <s v="大東文化學園"/>
    <n v="1984"/>
    <s v="Chinese philology ^ Philologie chinoise"/>
    <n v="0"/>
    <m/>
    <m/>
  </r>
  <r>
    <n v="276"/>
    <m/>
    <m/>
    <m/>
    <x v="0"/>
    <m/>
    <m/>
    <s v="n/a"/>
    <x v="0"/>
    <m/>
    <s v="n/a"/>
    <s v="n/a"/>
    <s v="n/a"/>
    <s v="n/a"/>
    <s v="n/a"/>
    <n v="673772519"/>
    <s v="Taishakyo no kenkyu"/>
    <s v="大社教の研究"/>
    <s v="Tanaka, Yoshito, 1872-1946"/>
    <s v="田中, 義能, 1872-1946"/>
    <x v="2"/>
    <s v="n/a"/>
    <x v="0"/>
    <s v="日本学術研究会"/>
    <n v="1933"/>
    <s v="n/a"/>
    <n v="0"/>
    <m/>
    <m/>
  </r>
  <r>
    <n v="277"/>
    <m/>
    <m/>
    <m/>
    <x v="0"/>
    <m/>
    <m/>
    <s v="n/a"/>
    <x v="0"/>
    <m/>
    <s v="n/a"/>
    <s v="n/a"/>
    <s v="n/a"/>
    <s v="n/a"/>
    <s v="n/a"/>
    <n v="28320626"/>
    <s v="Tenshu jitsugi"/>
    <s v="天主実義"/>
    <s v="Ricci, Matteo, 1552-1610 ^ Gotō, Motomi, 1915-1977"/>
    <s v="後藤基巳, 1915-1977"/>
    <x v="72"/>
    <s v="n/a"/>
    <x v="13"/>
    <s v="明徳出版社"/>
    <n v="1971"/>
    <s v="Catholic Church  --  Catechisms  --  Chinese"/>
    <n v="0"/>
    <m/>
    <m/>
  </r>
  <r>
    <n v="278"/>
    <m/>
    <m/>
    <m/>
    <x v="0"/>
    <m/>
    <m/>
    <s v="n/a"/>
    <x v="0"/>
    <m/>
    <s v="n/a"/>
    <s v="n/a"/>
    <s v="y"/>
    <s v="n/a"/>
    <s v="n/a"/>
    <n v="23071053"/>
    <s v="Tendai Daishi no kenkyū: Chigi o no chosaku ni kansuru kisoteki kenkyū"/>
    <s v="天台大師の研究: 智顗の著作に關する基礎的硏究"/>
    <s v="Satō, Tetsuei, 1902-1984"/>
    <s v="佐藤哲英, 1902-"/>
    <x v="2"/>
    <s v="n/a"/>
    <x v="73"/>
    <s v="百華苑"/>
    <n v="1961"/>
    <s v="Zhiyi, 538-597"/>
    <n v="0"/>
    <m/>
    <m/>
  </r>
  <r>
    <n v="279"/>
    <m/>
    <m/>
    <m/>
    <x v="0"/>
    <m/>
    <m/>
    <s v="n/a"/>
    <x v="0"/>
    <m/>
    <s v="n/a"/>
    <s v="n/a"/>
    <s v="n/a"/>
    <s v="n/a"/>
    <s v="n/a"/>
    <n v="22978483"/>
    <s v="Tendaigaku: konpon shisō to sono tenkai"/>
    <s v="天台学: 根本思想とその展開"/>
    <s v="Andō, Toshio, 1909-1973"/>
    <s v="安藤俊雄, 1909-1973"/>
    <x v="2"/>
    <s v="n/a"/>
    <x v="88"/>
    <s v="平楽寺書店"/>
    <n v="1969"/>
    <s v="Tendai (Sect)  --  Doctrines  --  History"/>
    <n v="0"/>
    <m/>
    <m/>
  </r>
  <r>
    <n v="280"/>
    <m/>
    <m/>
    <m/>
    <x v="0"/>
    <m/>
    <m/>
    <s v="n/a"/>
    <x v="0"/>
    <m/>
    <s v="n/a"/>
    <s v="n/a"/>
    <s v="n/a"/>
    <s v="n/a"/>
    <s v="n/a"/>
    <n v="122897136"/>
    <s v="Tenrikyō gentenshū: tsuketari Tenrikyō kyōten"/>
    <s v="天理敎原典集: 附天理敎敎典"/>
    <s v="Tenrikyō ^ Kyōkai Honbu"/>
    <s v="天理敎 ^ 敎会本部"/>
    <x v="2"/>
    <s v="n/a"/>
    <x v="69"/>
    <s v="天理敎敎会本部"/>
    <n v="1952"/>
    <s v="Tenrikyō  --  Doctrines"/>
    <n v="0"/>
    <m/>
    <m/>
  </r>
  <r>
    <n v="281"/>
    <m/>
    <m/>
    <m/>
    <x v="0"/>
    <m/>
    <m/>
    <s v="n/a"/>
    <x v="0"/>
    <m/>
    <s v="n/a"/>
    <s v="n/a"/>
    <s v="n/a"/>
    <s v="n/a"/>
    <s v="n/a"/>
    <n v="42827119"/>
    <s v="Tenrikyō yōran"/>
    <s v="天理教要覽"/>
    <s v="Tenrikyō. Kyōkai Honbu"/>
    <s v="天理敎 ^ 敎会本部"/>
    <x v="2"/>
    <s v="n/a"/>
    <x v="112"/>
    <s v="天理教道友社"/>
    <n v="1956"/>
    <s v="n/a"/>
    <n v="0"/>
    <m/>
    <m/>
  </r>
  <r>
    <n v="282"/>
    <m/>
    <m/>
    <m/>
    <x v="0"/>
    <m/>
    <m/>
    <s v="n/a"/>
    <x v="0"/>
    <m/>
    <s v="n/a"/>
    <s v="n/a"/>
    <s v="n/a"/>
    <s v="n/a"/>
    <s v="n/a"/>
    <n v="1020999956"/>
    <s v="Tennō no kotō: nihon shinchūki"/>
    <s v="天皇の孤島: 日本進駐記"/>
    <s v="Cary, Otis, 1921-2006"/>
    <s v="n/a"/>
    <x v="2"/>
    <s v="n/a"/>
    <x v="0"/>
    <s v="サイマル出版会"/>
    <n v="1977"/>
    <s v="Nihon  --  rekishi  --  shōwajidai ^ Taiheiyōsensō(1941-1945)"/>
    <n v="0"/>
    <m/>
    <m/>
  </r>
  <r>
    <n v="283"/>
    <m/>
    <m/>
    <m/>
    <x v="0"/>
    <m/>
    <s v="price note: pricing parsed wrong, investigate"/>
    <s v="n/a"/>
    <x v="0"/>
    <m/>
    <s v="n/a"/>
    <s v="n/a"/>
    <s v="n/a"/>
    <s v="n/a"/>
    <s v="n/a"/>
    <n v="1021003827"/>
    <s v="Taiheiyō no kakyōsha tsunoda ryūsaku: nihongaku no SENSEI"/>
    <s v="太平洋の架橋者角田柳作: 「日本学」のSENSEI"/>
    <s v="Ogino, Fujio"/>
    <s v="荻野, 富士夫(1953-)"/>
    <x v="2"/>
    <s v="n/a"/>
    <x v="0"/>
    <s v="芙蓉書房出版"/>
    <n v="2011"/>
    <s v="Tsunoda,ryūsaku"/>
    <n v="0"/>
    <m/>
    <m/>
  </r>
  <r>
    <n v="284"/>
    <m/>
    <m/>
    <m/>
    <x v="0"/>
    <m/>
    <m/>
    <s v="n/a"/>
    <x v="0"/>
    <m/>
    <s v="n/a"/>
    <s v="n/a"/>
    <s v="n/a"/>
    <n v="9784041780015"/>
    <n v="4041780012"/>
    <n v="674572308"/>
    <s v="Taiyō no hō"/>
    <s v="太陽の法: 新時代を照らす釈迦の啓示"/>
    <s v="Ōkawa, Ryūhō, 1956-"/>
    <s v="大川, 隆法, 1956-"/>
    <x v="2"/>
    <s v="n/a"/>
    <x v="0"/>
    <s v="角川書店"/>
    <n v="1990"/>
    <s v="n/a"/>
    <n v="0"/>
    <m/>
    <m/>
  </r>
  <r>
    <n v="285"/>
    <m/>
    <m/>
    <m/>
    <x v="0"/>
    <m/>
    <m/>
    <s v="n/a"/>
    <x v="0"/>
    <m/>
    <s v="n/a"/>
    <s v="n/a"/>
    <s v="n/a"/>
    <n v="9784931437050"/>
    <n v="4931437052"/>
    <n v="675496472"/>
    <s v="Nyonin gosho = St.Nichiren's Nyonin gosho"/>
    <s v="女人御書 = St.Nichiren's Nyonin gosho"/>
    <s v="Nichiren, 1222-1282 ^ Hori, Kyōtsū, 1926-"/>
    <s v="日蓮, 1222-1282. ^ 堀, 教通, 1926-"/>
    <x v="2"/>
    <s v="n/a"/>
    <x v="0"/>
    <s v="日蓮宗海外布教後援会"/>
    <n v="1995"/>
    <s v="Nichirenshū  --  Kyōgi"/>
    <n v="0"/>
    <m/>
    <m/>
  </r>
  <r>
    <n v="286"/>
    <n v="4"/>
    <m/>
    <m/>
    <x v="0"/>
    <m/>
    <m/>
    <s v="n/a"/>
    <x v="0"/>
    <m/>
    <s v="n/a"/>
    <s v="n/a"/>
    <s v="y"/>
    <s v="n/a"/>
    <s v="n/a"/>
    <n v="28110472"/>
    <s v="Kōshi"/>
    <s v="孔子"/>
    <s v="Kanaya, Osamu, 1920-2006"/>
    <s v="金谷治, 1920-"/>
    <x v="91"/>
    <s v="人類の知的遺產 ; 4."/>
    <x v="1"/>
    <s v="講談社"/>
    <n v="1980"/>
    <s v="Confucius"/>
    <n v="0"/>
    <m/>
    <m/>
  </r>
  <r>
    <n v="287"/>
    <n v="3"/>
    <m/>
    <m/>
    <x v="0"/>
    <m/>
    <m/>
    <s v="n/a"/>
    <x v="0"/>
    <m/>
    <s v="n/a"/>
    <s v="n/a"/>
    <s v="n/a"/>
    <s v="n/a"/>
    <s v="n/a"/>
    <n v="833337399"/>
    <s v="Sekai no meicho: 003"/>
    <s v="世界の名著. 3"/>
    <s v="Kaizuka, Shigeki, 1904-1987"/>
    <s v="貝塚茂樹, 1904-1987"/>
    <x v="2"/>
    <s v="n/a"/>
    <x v="113"/>
    <s v="中央公論社"/>
    <n v="1966"/>
    <s v="Kōshi, 551-479B.C ^ Mōshi ^ Mencius"/>
    <n v="0"/>
    <m/>
    <m/>
  </r>
  <r>
    <n v="288"/>
    <m/>
    <m/>
    <m/>
    <x v="0"/>
    <m/>
    <m/>
    <s v="n/a"/>
    <x v="0"/>
    <m/>
    <s v="n/a"/>
    <s v="n/a"/>
    <s v="y"/>
    <s v="n/a"/>
    <s v="n/a"/>
    <n v="15901322"/>
    <s v="Kōshi to Rongo"/>
    <s v="孔子と論語"/>
    <s v="Kimura, Eiichi, 1906-1981, ^ author"/>
    <s v="木村英一, 1906-1981, author"/>
    <x v="52"/>
    <s v="東洋学叢書."/>
    <x v="31"/>
    <s v="n/a"/>
    <n v="1971"/>
    <s v="Confucius. Lun yu ^ Confucius. Lun yu  --  Criticism and interpretation ^ Lun yu (Confucius)"/>
    <n v="0"/>
    <m/>
    <m/>
  </r>
  <r>
    <n v="289"/>
    <m/>
    <m/>
    <m/>
    <x v="0"/>
    <m/>
    <m/>
    <s v="n/a"/>
    <x v="0"/>
    <m/>
    <s v="n/a"/>
    <s v="n/a"/>
    <s v="y"/>
    <s v="n/a"/>
    <s v="n/a"/>
    <n v="122876823"/>
    <s v="Keigaku jikai benran"/>
    <s v="經学字海便覽"/>
    <s v="Okajima, Kanzan, 1674-1728"/>
    <s v="岡島冠山, 1674-1728"/>
    <x v="2"/>
    <s v="n/a"/>
    <x v="114"/>
    <s v="楠本正継"/>
    <n v="1956"/>
    <s v="Chinese language  --  Dictionaries  --  Japanese ^ Chinese language  --  Conversation and phrase books  --  Japanese"/>
    <n v="0"/>
    <m/>
    <m/>
  </r>
  <r>
    <n v="290"/>
    <n v="4"/>
    <m/>
    <m/>
    <x v="0"/>
    <m/>
    <m/>
    <s v="n/a"/>
    <x v="0"/>
    <m/>
    <s v="n/a"/>
    <s v="n/a"/>
    <s v="y"/>
    <n v="9784625570049"/>
    <n v="4625570042"/>
    <n v="9269653"/>
    <s v="Mōshi"/>
    <s v="孟子"/>
    <s v="Uchino, Kumaichirō, 1904- ^ Mencius ^ Mengzi.; Japanese &amp; Chinese"/>
    <s v="內野熊一郎, 1904- ^ Mencius. ^ 孟子. ^ Japanese ^ &amp; ^ Chinese"/>
    <x v="92"/>
    <s v="新釈漢文大系 ; 4."/>
    <x v="9"/>
    <s v="明治書院"/>
    <n v="1962"/>
    <s v="Mencius. Mengzi ^ Mengzi (Mencius)"/>
    <n v="0"/>
    <m/>
    <m/>
  </r>
  <r>
    <n v="293"/>
    <m/>
    <m/>
    <m/>
    <x v="0"/>
    <m/>
    <s v="need to see item, no WorldCat record"/>
    <s v="n/a"/>
    <x v="0"/>
    <m/>
    <s v="n/a"/>
    <s v="n/a"/>
    <s v="n/a"/>
    <s v="n/a"/>
    <s v="n/a"/>
    <s v="n/a"/>
    <s v="n/a"/>
    <s v="孤独の中の思索"/>
    <s v="n/a"/>
    <s v="トーマス・マートン"/>
    <x v="2"/>
    <s v="n/a"/>
    <x v="115"/>
    <s v="ヴェリタス書院"/>
    <n v="1966"/>
    <s v="n/a"/>
    <n v="0"/>
    <m/>
    <m/>
  </r>
  <r>
    <n v="294"/>
    <m/>
    <m/>
    <m/>
    <x v="0"/>
    <m/>
    <s v="need to see item, confused by donors statement, 孫子新解 (日経ベンチャー別冊) accompany with 孫子考 / 山口春水著 |a 岡田武彦 |d 1992"/>
    <s v="n/a"/>
    <x v="0"/>
    <m/>
    <s v="n/a"/>
    <s v="n/a"/>
    <s v="n/a"/>
    <s v="n/a"/>
    <s v="n/a"/>
    <n v="704074666"/>
    <s v="Sonshi shinkai"/>
    <s v="孫子新解"/>
    <s v="Okada, Takehiko, 1908-2004 ^ Nikkei Benchā Henshūbu"/>
    <s v="日経ベンチャー編集部"/>
    <x v="2"/>
    <s v="n/a"/>
    <x v="0"/>
    <s v="日経BP社"/>
    <n v="1992"/>
    <s v="sonshi(keiten)"/>
    <n v="0"/>
    <m/>
    <m/>
  </r>
  <r>
    <n v="295"/>
    <m/>
    <m/>
    <m/>
    <x v="0"/>
    <m/>
    <m/>
    <s v="n/a"/>
    <x v="0"/>
    <m/>
    <s v="n/a"/>
    <s v="n/a"/>
    <s v="y"/>
    <s v="n/a"/>
    <s v="n/a"/>
    <n v="43188650"/>
    <s v="Son Pin heihō: Ginjyakusan Kanbo chikukan"/>
    <s v="孫臏兵法: 銀雀山漢墓竹簡"/>
    <s v="Sun, Bin, active 4th century B.C ^ Sun Bin bing fa.; Japanese &amp; Chinese ^ Yin-ch'üeh shan Han mu chu chien cheng li hsiao tsu"/>
    <s v="銀雀山漢墓竹簡整理小組"/>
    <x v="2"/>
    <s v="n/a"/>
    <x v="116"/>
    <s v="東方書店"/>
    <n v="1976"/>
    <s v="Military art and science  --  Early works to 1800 ^ Art et science militaires  --  Ouvrages avant 1800 ^ Sun, Bin, active 4th century B.C. Sun Bin bing fa ^ Sun Bin bing fa (Sun, Bin)"/>
    <n v="0"/>
    <m/>
    <m/>
  </r>
  <r>
    <n v="297"/>
    <s v="6v"/>
    <m/>
    <m/>
    <x v="0"/>
    <m/>
    <m/>
    <s v="n/a"/>
    <x v="0"/>
    <m/>
    <s v="n/a"/>
    <s v="n/a"/>
    <s v="y"/>
    <s v="n/a"/>
    <s v="n/a"/>
    <n v="15488340"/>
    <s v="Uno Seiichi chosakushū"/>
    <s v="宇野精一著作集"/>
    <s v="Uno, Seiichi, 1910-2008"/>
    <s v="宇野精一, 1910-2008"/>
    <x v="2"/>
    <s v="n/a"/>
    <x v="9"/>
    <s v="明治書院"/>
    <s v="1986-1990"/>
    <s v="Philosophy, Chinese ^ Chinese classics  --  History and criticism ^ Philosophie chinoise ^ Classiques (Littérature chinoise)  --  Histoire et critique ^ Criticism, interpretation, etc"/>
    <n v="0"/>
    <m/>
    <m/>
  </r>
  <r>
    <n v="298"/>
    <m/>
    <m/>
    <m/>
    <x v="0"/>
    <m/>
    <m/>
    <s v="n/a"/>
    <x v="0"/>
    <m/>
    <s v="n/a"/>
    <s v="n/a"/>
    <s v="y"/>
    <s v="n/a"/>
    <s v="n/a"/>
    <n v="55512043"/>
    <s v="St. Nichiren's Shugo kokka-ron and Sainan Kōki yurai, Sainan taiji-shō"/>
    <s v="n/a"/>
    <s v="Nichiren, 1222-1282 ^ Hori, Kyōtsū"/>
    <s v="日蓮, 1222-1282. ^ 堀敎通"/>
    <x v="2"/>
    <s v="n/a"/>
    <x v="117"/>
    <s v="日蓮宗海外布教後援會"/>
    <n v="1998"/>
    <s v="Nichiren (Sect)  --  Doctrines  --  Early works to 1800 ^ Nichirenshū  --  Doctrines  --  Early works to 1800"/>
    <n v="0"/>
    <m/>
    <m/>
  </r>
  <r>
    <n v="299"/>
    <n v="9"/>
    <m/>
    <m/>
    <x v="0"/>
    <m/>
    <m/>
    <s v="n/a"/>
    <x v="0"/>
    <m/>
    <s v="n/a"/>
    <s v="n/a"/>
    <s v="y"/>
    <s v="n/a"/>
    <s v="n/a"/>
    <n v="15405678"/>
    <s v="Andō Seian, Kaibara Ekiken"/>
    <s v="安東省庵・貝原益軒"/>
    <s v="Komoguchi, Isao, 1937-2007 ^ Okada, Takehiko"/>
    <s v="菰口治, 1937- ^ 岡田武彦"/>
    <x v="93"/>
    <s v="叢書・日本の思想家 ; 9"/>
    <x v="13"/>
    <s v="明徳出版社"/>
    <n v="1985"/>
    <s v="Philosophers  --  Japan  --  Biography ^ Philosophes  --  Japon  --  Biographies ^ Andō, Seian, 1622-1701 ^ Kaibara, Ekiken, 1630-1714"/>
    <n v="0"/>
    <m/>
    <m/>
  </r>
  <r>
    <n v="300"/>
    <n v="6"/>
    <m/>
    <m/>
    <x v="0"/>
    <m/>
    <m/>
    <s v="n/a"/>
    <x v="0"/>
    <m/>
    <s v="n/a"/>
    <s v="n/a"/>
    <s v="y"/>
    <s v="n/a"/>
    <s v="n/a"/>
    <n v="33589079"/>
    <s v="Sō to Gen"/>
    <s v="宋と元"/>
    <s v="Miyazaki, Ichisada, 1901-1995"/>
    <s v="宮崎市定, 1901-"/>
    <x v="94"/>
    <s v="n/a"/>
    <x v="2"/>
    <s v="中央公論社"/>
    <n v="1961"/>
    <s v="World history ^ Histoire universelle ^ Song Dynasty (China) ^ Yuan Dynasty (China) ^ 960-1368 ^ China  --  History  --  Song dynasty, 960-1279 ^ China  --  History  --  Yuan dynasty, 1260-1368 ^ Chine  --  Histoire  --  960-1279 (Dynastie des Song) ^ Chine  --  Histoire  --  1260-1368 (Dynastie des Yuan)"/>
    <n v="0"/>
    <m/>
    <m/>
  </r>
  <r>
    <n v="302"/>
    <n v="7"/>
    <m/>
    <m/>
    <x v="0"/>
    <m/>
    <m/>
    <s v="https://www.amazon.jp/dp/4642080074"/>
    <x v="0"/>
    <m/>
    <s v="n/a"/>
    <s v="n/a"/>
    <s v="y"/>
    <n v="9784642080071"/>
    <n v="4642080074"/>
    <n v="20873683"/>
    <s v="Sōdai no keizai seikatsu"/>
    <s v="宋代の経済生活"/>
    <s v="Kawakami, Kōichi, 1917-1992"/>
    <s v="河上光一, 1917-1992 ^ 河上光一(1917- )"/>
    <x v="95"/>
    <s v="ユーラシア文化史選書 ; 7"/>
    <x v="10"/>
    <s v="吉川弘文館"/>
    <n v="1966"/>
    <s v="Economic history ^ To 1644 ^ China  --  Economic conditions  --  To 1644 ^ Chine  --  Conditions économiques  --  Jusqu'à 1644"/>
    <n v="0"/>
    <m/>
    <m/>
  </r>
  <r>
    <n v="303"/>
    <m/>
    <m/>
    <m/>
    <x v="0"/>
    <m/>
    <s v="insert/signed"/>
    <s v="n/a"/>
    <x v="0"/>
    <m/>
    <s v="n/a"/>
    <s v="n/a"/>
    <s v="n/a"/>
    <s v="n/a"/>
    <s v="n/a"/>
    <n v="835045095"/>
    <s v="Sōdai bukkyōshi no kenkyū"/>
    <s v="宋代仏教史の研究"/>
    <s v="Takao, Giken, 1888-"/>
    <s v="高雄義堅, 1888-"/>
    <x v="2"/>
    <s v="n/a"/>
    <x v="118"/>
    <s v="百華苑"/>
    <n v="1975"/>
    <s v="bukkyō chūgoku rekishi"/>
    <n v="0"/>
    <m/>
    <m/>
  </r>
  <r>
    <n v="304"/>
    <m/>
    <m/>
    <m/>
    <x v="0"/>
    <m/>
    <m/>
    <s v="n/a"/>
    <x v="0"/>
    <m/>
    <s v="n/a"/>
    <s v="n/a"/>
    <s v="y"/>
    <s v="n/a"/>
    <s v="n/a"/>
    <n v="14945854"/>
    <s v="Sōdai Jugaku no Zen shisō kenkyū"/>
    <s v="宋代儒学の禅思想研究"/>
    <s v="Kusumoto, Bunʼyū, 1907- ^ author"/>
    <s v="久須本文雄, 1907- ^ author"/>
    <x v="2"/>
    <s v="n/a"/>
    <x v="119"/>
    <s v="n/a"/>
    <n v="1980"/>
    <s v="Zen Buddhism  --  Relations  --  Confucianism ^ Confucianism  --  Relations  --  Zen Buddhism ^ Neo-Confucianism  --  China  --  History ^ Néo-confucianisme  --  Chine  --  Histoire ^ Interfaith relations"/>
    <n v="0"/>
    <m/>
    <m/>
  </r>
  <r>
    <n v="305"/>
    <m/>
    <m/>
    <m/>
    <x v="0"/>
    <m/>
    <m/>
    <s v="n/a"/>
    <x v="0"/>
    <m/>
    <s v="n/a"/>
    <s v="n/a"/>
    <s v="y"/>
    <s v="n/a"/>
    <s v="n/a"/>
    <n v="12114057"/>
    <s v="Sōdai shi kenkyū"/>
    <s v="宋代史研究"/>
    <s v="Sudō, Yoshiyuki, 1907-1990"/>
    <s v="周藤吉之, 1907-"/>
    <x v="96"/>
    <s v="n/a"/>
    <x v="27"/>
    <s v="東洋文庫"/>
    <n v="1969"/>
    <s v="Song Dynasty (China) ^ History ^ 960-1279 ^ China  --  History  --  Song dynasty, 960-1279 ^ Chine  --  Histoire  --  960-1279 (Dynastie des Song)"/>
    <n v="0"/>
    <m/>
    <m/>
  </r>
  <r>
    <n v="306"/>
    <m/>
    <m/>
    <m/>
    <x v="0"/>
    <m/>
    <m/>
    <s v="n/a"/>
    <x v="0"/>
    <m/>
    <s v="n/a"/>
    <s v="n/a"/>
    <s v="y"/>
    <s v="n/a"/>
    <s v="n/a"/>
    <n v="22820913"/>
    <s v="Sōdai Kōnan keizaishi no kenkyū"/>
    <s v="宋代江南経済史の研究"/>
    <s v="Shiba, Yoshinobu"/>
    <s v="斯波義信"/>
    <x v="97"/>
    <s v="n/a"/>
    <x v="120"/>
    <s v="東京大学東洋文化研究所"/>
    <n v="1988"/>
    <s v="Economic history ^ To 1644 ^ Yangtze River Valley (China)  --  Economic conditions ^ China  --  Economic conditions  --  To 1644 ^ Yangzi jiang, Vallée du (Chine)  --  Conditions économiques ^ Chine  --  Conditions économiques  --  Jusqu'à 1644 ^ China  --  Yangtze River Valley"/>
    <n v="0"/>
    <m/>
    <m/>
  </r>
  <r>
    <n v="307"/>
    <m/>
    <m/>
    <m/>
    <x v="0"/>
    <m/>
    <m/>
    <s v="n/a"/>
    <x v="0"/>
    <m/>
    <s v="n/a"/>
    <s v="n/a"/>
    <s v="y"/>
    <s v="n/a"/>
    <s v="n/a"/>
    <n v="23240247"/>
    <s v="Sōdai kenkyū bunken teiyō"/>
    <s v="宋代硏究文獻提要"/>
    <s v="Sō Shi Teiyō Hensan Kyōryoku Iinkai"/>
    <s v="宋史提要編纂協力委員會"/>
    <x v="2"/>
    <s v="n/a"/>
    <x v="27"/>
    <s v="東洋文庫"/>
    <n v="1961"/>
    <s v="Geschichte ^ Song Dynasty (China) ^ Bibliographies ^ History ^ Bibliografie ^ 960-1279 ^ China  --  History  --  Song dynasty, 960-1279  --  Bibliography ^ Chine  --  Histoire  --  960-1279 (Dynastie des Song)  --  Bibliographie"/>
    <n v="0"/>
    <m/>
    <m/>
  </r>
  <r>
    <n v="308"/>
    <m/>
    <m/>
    <m/>
    <x v="0"/>
    <m/>
    <s v="might be an identical copy in collection?"/>
    <s v="n/a"/>
    <x v="0"/>
    <m/>
    <s v="n/a"/>
    <s v="n/a"/>
    <s v="n/a"/>
    <s v="n/a"/>
    <s v="n/a"/>
    <n v="976975266"/>
    <s v="Sō dai kenkyū bunken mokuroku"/>
    <s v="宋代研究文獻目録"/>
    <s v="Sōshi Teiyō Hensan Kyōryoku Iinkai"/>
    <s v="宋史提要編纂協力委員会"/>
    <x v="2"/>
    <s v="n/a"/>
    <x v="0"/>
    <s v="n/a"/>
    <s v="1957-1970"/>
    <s v="Song Dynasty (China) ^ Bibliographies ^ History ^ 960-1279 ^ China  --  History  --  Song dynasty, 960-1279  --  Bibliography ^ Chine  --  Histoire  --  960-1279 (Dynastie des Song)  --  Bibliographie"/>
    <n v="0"/>
    <m/>
    <m/>
  </r>
  <r>
    <n v="309"/>
    <m/>
    <m/>
    <m/>
    <x v="0"/>
    <m/>
    <m/>
    <s v="n/a"/>
    <x v="0"/>
    <m/>
    <s v="n/a"/>
    <s v="n/a"/>
    <s v="y"/>
    <s v="n/a"/>
    <s v="n/a"/>
    <n v="12174932"/>
    <s v="Sōdai kakyo seido kenkyū"/>
    <s v="宋代科挙制度研究"/>
    <s v="Araki, Toshikazu, 1911-"/>
    <s v="荒木敏一, 1911-"/>
    <x v="98"/>
    <s v="n/a"/>
    <x v="68"/>
    <s v="東洋史研究会"/>
    <n v="1969"/>
    <s v="Civil service  --  China  --  Examinations ^ Fonction publique  --  Chine  --  Examens"/>
    <n v="0"/>
    <m/>
    <m/>
  </r>
  <r>
    <n v="310"/>
    <m/>
    <m/>
    <m/>
    <x v="0"/>
    <m/>
    <m/>
    <s v="n/a"/>
    <x v="0"/>
    <m/>
    <s v="n/a"/>
    <s v="n/a"/>
    <s v="n/a"/>
    <s v="n/a"/>
    <s v="n/a"/>
    <n v="836138027"/>
    <s v="Sōkaiyō shūkō shokka sakuin: jinmeishomei"/>
    <s v="宋会要輯稿食貨索引. 人名・書名篇"/>
    <s v="Tōyō Bunko"/>
    <s v="東洋文庫"/>
    <x v="2"/>
    <s v="n/a"/>
    <x v="71"/>
    <s v="東洋文庫"/>
    <n v="1982"/>
    <s v="chūgoku keizai rekishi sōjidai ^ chūgoku rekishi sōjidai shiryō sakuin"/>
    <n v="0"/>
    <m/>
    <m/>
  </r>
  <r>
    <n v="311"/>
    <m/>
    <m/>
    <m/>
    <x v="0"/>
    <m/>
    <s v="insert/signed"/>
    <s v="n/a"/>
    <x v="0"/>
    <m/>
    <s v="n/a"/>
    <s v="n/a"/>
    <s v="n/a"/>
    <s v="n/a"/>
    <s v="n/a"/>
    <n v="672512321"/>
    <s v="So gen min shin kinsei jugaku henseishiron"/>
    <s v="宋元明清近世儒学変遷史論"/>
    <s v="Fumoto, Yasutaka, 1907-1988"/>
    <s v="麓, 保孝, 1907-1988"/>
    <x v="2"/>
    <s v="n/a"/>
    <x v="0"/>
    <s v="国書刊行会"/>
    <n v="1976"/>
    <s v="Jugaku ^ Chugokushiso  --  Rekishi  --  Sojidai ^ Chugokushiso  --  Rekishi  --  Shinjidai ^ Chūgokushisō  --  Rekishi  --  Sōjidai ^ Chūgokushisō  --  Rekishi  --  Shinjidai"/>
    <n v="0"/>
    <m/>
    <m/>
  </r>
  <r>
    <n v="312"/>
    <m/>
    <m/>
    <m/>
    <x v="0"/>
    <m/>
    <m/>
    <s v="n/a"/>
    <x v="0"/>
    <m/>
    <s v="n/a"/>
    <s v="n/a"/>
    <s v="n/a"/>
    <s v="n/a"/>
    <s v="n/a"/>
    <n v="834447822"/>
    <s v="Sōshi shokkanshi sakuin"/>
    <s v="宋史職官志索引"/>
    <s v="Saeki, Tomi, 1910-"/>
    <s v="佐伯富, 1910-"/>
    <x v="99"/>
    <s v="n/a"/>
    <x v="121"/>
    <s v="京都大学東洋史研究会"/>
    <n v="1963"/>
    <s v="sōshi sakuin ^ kanshoku"/>
    <n v="0"/>
    <m/>
    <m/>
  </r>
  <r>
    <n v="313"/>
    <m/>
    <m/>
    <m/>
    <x v="0"/>
    <m/>
    <m/>
    <s v="n/a"/>
    <x v="0"/>
    <m/>
    <s v="n/a"/>
    <s v="n/a"/>
    <s v="y"/>
    <s v="n/a"/>
    <s v="n/a"/>
    <n v="23190331"/>
    <s v="Sō meishin genkōroku"/>
    <s v="宋名臣言行錄"/>
    <s v="Morohashi, Tetsuji, 1883-1982 ^ Harada, Taneshige, 1911- ^ Zhu, Xi, 1130-1200 ^ Song ming chen yan xing lu.; Selections.; Japanese"/>
    <s v="諸橋轍次, 1883-1982. ^ 原田種成, 1911- ^ 朱熹, 1130-1200. ^ 宋名臣言行錄. ^ Selections. ^ Japanese"/>
    <x v="72"/>
    <s v="n/a"/>
    <x v="13"/>
    <s v="明徳出版社"/>
    <n v="1972"/>
    <s v="Song Dynasty (China) ^ Anecdotes ^ History ^ 960-1279 ^ China  --  History  --  Song dynasty, 960-1279  --  Anecdotes"/>
    <n v="0"/>
    <m/>
    <m/>
  </r>
  <r>
    <n v="314"/>
    <m/>
    <m/>
    <m/>
    <x v="0"/>
    <m/>
    <m/>
    <s v="n/a"/>
    <x v="0"/>
    <m/>
    <s v="n/a"/>
    <s v="n/a"/>
    <s v="y"/>
    <s v="n/a"/>
    <s v="n/a"/>
    <n v="15412508"/>
    <s v="Sō Min tetsugaku no honshitsu"/>
    <s v="宋明哲学の本質"/>
    <s v="Okada, Takehiko ^ Sō Min tetsugaku josetsu"/>
    <s v="岡田武彦. ^ 宋明哲学序說"/>
    <x v="2"/>
    <s v="n/a"/>
    <x v="52"/>
    <s v="木耳社"/>
    <n v="1984"/>
    <s v="Philosophy, Chinese  --  960-1644 ^ Philosophie chinoise  --  960-1644"/>
    <n v="0"/>
    <m/>
    <m/>
  </r>
  <r>
    <n v="315"/>
    <m/>
    <m/>
    <m/>
    <x v="0"/>
    <m/>
    <m/>
    <s v="n/a"/>
    <x v="0"/>
    <m/>
    <s v="n/a"/>
    <s v="n/a"/>
    <s v="y"/>
    <s v="n/a"/>
    <s v="n/a"/>
    <n v="12205366"/>
    <s v="Sō Min tetsugaku josetsu"/>
    <s v="宋明哲学序說"/>
    <s v="Okada, Takehiko"/>
    <s v="岡田武彦"/>
    <x v="2"/>
    <s v="n/a"/>
    <x v="122"/>
    <s v="文言社"/>
    <n v="1977"/>
    <s v="Philosophy, Chinese  --  History ^ Philosophie chinoise  --  Histoire"/>
    <n v="0"/>
    <m/>
    <m/>
  </r>
  <r>
    <n v="316"/>
    <m/>
    <m/>
    <m/>
    <x v="0"/>
    <m/>
    <m/>
    <s v="n/a"/>
    <x v="0"/>
    <m/>
    <s v="n/a"/>
    <s v="n/a"/>
    <s v="y"/>
    <s v="n/a"/>
    <s v="n/a"/>
    <n v="20742600"/>
    <s v="Sō Min jidai jugaku shisō no kenkyū"/>
    <s v="宋明時代儒學思想の研究"/>
    <s v="Kusumoto, Masatsugu, 1896-1963"/>
    <s v="楠本正継, 1896-1963"/>
    <x v="2"/>
    <s v="n/a"/>
    <x v="123"/>
    <s v="廣池学園出版部"/>
    <n v="1962"/>
    <s v="Confucianism ^ Confucianisme ^ Confucius"/>
    <n v="0"/>
    <m/>
    <m/>
  </r>
  <r>
    <n v="317"/>
    <m/>
    <m/>
    <m/>
    <x v="0"/>
    <m/>
    <m/>
    <s v="n/a"/>
    <x v="0"/>
    <m/>
    <s v="n/a"/>
    <s v="n/a"/>
    <s v="n/a"/>
    <s v="n/a"/>
    <s v="n/a"/>
    <n v="673035705"/>
    <s v="Kurozumi munetada kowa sanjikkajo"/>
    <s v="黒住宗忠講話三十箇条"/>
    <s v="Hoshijima, Ryohei, -1878"/>
    <s v="星島, 良平, -1878"/>
    <x v="2"/>
    <s v="n/a"/>
    <x v="0"/>
    <s v="赤塚惣三郎"/>
    <n v="1876"/>
    <s v="n/a"/>
    <n v="0"/>
    <m/>
    <m/>
  </r>
  <r>
    <n v="318"/>
    <n v="43"/>
    <m/>
    <m/>
    <x v="0"/>
    <m/>
    <m/>
    <s v="n/a"/>
    <x v="0"/>
    <m/>
    <s v="n/a"/>
    <s v="n/a"/>
    <s v="n/a"/>
    <s v="n/a"/>
    <s v="n/a"/>
    <n v="1040851002"/>
    <s v="Tominaga Nakamoto, Yamagata Bantō"/>
    <s v="富永仲基・山片蟠桃"/>
    <s v="Tominaga, Nakamoto, 1715-1746 ^ (Creator)Mizuta, Norihisa, 1926- ^ Arisaka, Takamichi, 1921-2004 ^ Tominaga, Nakamoto, 1715-1746. - ^ ; Shutsujō kōgo.Yamagata, Bantō, 1748-1821. - ^ ; Yume no shiro"/>
    <s v="富永仲基, 1715-1746 ^ 水田紀久, 1926- ^ 有坂隆道, 1921-2004 ^ 富永仲基, 1715-1746. ^ 出定後語 ^ 山片蟠桃, 1748-1821. ^ 夢ノ代"/>
    <x v="100"/>
    <s v="n/a"/>
    <x v="18"/>
    <s v="n/a"/>
    <n v="1979"/>
    <s v="Philosophie japonaise"/>
    <n v="0"/>
    <m/>
    <m/>
  </r>
  <r>
    <n v="319"/>
    <m/>
    <m/>
    <m/>
    <x v="0"/>
    <m/>
    <m/>
    <s v="n/a"/>
    <x v="0"/>
    <m/>
    <s v="n/a"/>
    <s v="n/a"/>
    <s v="y"/>
    <s v="n/a"/>
    <s v="n/a"/>
    <n v="23453988"/>
    <s v="Shōgaku"/>
    <s v="小学"/>
    <s v="Endō, Tetsuo ^ Zhu, Xi, 1130-1200 ^ Xiao xue.; Selections.; Japanese &amp; Chinese"/>
    <s v="遠藤哲夫. ^ 朱熹, 1130-1200. ^ 小学. ^ Selections. ^ Japanese ^ &amp; ^ Chinese"/>
    <x v="72"/>
    <s v="n/a"/>
    <x v="13"/>
    <s v="明徳出版社"/>
    <n v="1969"/>
    <s v="Zhu, Xi, 1130-1200. Xiao xue ^ Xiao xue (Zhu, Xi)"/>
    <n v="0"/>
    <m/>
    <m/>
  </r>
  <r>
    <n v="320"/>
    <n v="3"/>
    <m/>
    <m/>
    <x v="0"/>
    <m/>
    <m/>
    <s v="n/a"/>
    <x v="0"/>
    <m/>
    <s v="n/a"/>
    <s v="n/a"/>
    <s v="y"/>
    <s v="n/a"/>
    <s v="n/a"/>
    <n v="22803654"/>
    <s v="Shōgaku"/>
    <s v="小学"/>
    <s v="Uno, Seiichi, 1910-2008 ^ Zhu, Xi, 1130-1200 ^ Xiao xue.; Japanese &amp; Chinese"/>
    <s v="宇野精一, 1910-2008 ^ 朱熹, 1130-1200. ^ 小学. ^ Japanese ^ &amp; ^ Chinese"/>
    <x v="101"/>
    <s v="n/a"/>
    <x v="9"/>
    <s v="明治書院"/>
    <n v="1965"/>
    <s v="Conduct of life  --  Early works to 1800 ^ Confucianism  --  Early works to 1800 ^ Morale pratique  --  Ouvrages avant 1800 ^ Confucianisme  --  Ouvrages avant 1800 ^ Zhu, Xi, 1130-1200. Xiao xue ^ Xiao xue (Zhu, Xi)"/>
    <n v="0"/>
    <m/>
    <m/>
  </r>
  <r>
    <n v="322"/>
    <m/>
    <m/>
    <m/>
    <x v="0"/>
    <m/>
    <m/>
    <s v="n/a"/>
    <x v="0"/>
    <m/>
    <s v="n/a"/>
    <s v="n/a"/>
    <s v="n/a"/>
    <s v="n/a"/>
    <s v="n/a"/>
    <n v="39470222"/>
    <s v="Kyogyōroku"/>
    <s v="居業錄"/>
    <s v="Hirata, Sakae ^ Hu, Juren, 1434-1484 ^ Ju ye lu.; Selections.; Japanese &amp; Chinese"/>
    <s v="平田栄. ^ 胡居仁, 1434-1484. ^ 居業錄. ^ Selections. ^ Japanese ^ &amp; ^ Chinese"/>
    <x v="102"/>
    <s v="中国古典新書 ; 54."/>
    <x v="13"/>
    <s v="明徳出版社"/>
    <n v="1990"/>
    <s v="Philosophy, Chinese ^ Neo-Confucianism ^ Philosophie chinoise ^ Néo-confucianisme ^ Hu, Juren, 1434-1484. Ju ye lu ^ Ju ye lu (Hu, Juren)"/>
    <n v="0"/>
    <m/>
    <m/>
  </r>
  <r>
    <n v="323"/>
    <n v="6"/>
    <m/>
    <m/>
    <x v="0"/>
    <m/>
    <m/>
    <s v="n/a"/>
    <x v="0"/>
    <m/>
    <s v="n/a"/>
    <s v="n/a"/>
    <s v="y"/>
    <s v="n/a"/>
    <s v="n/a"/>
    <n v="15393475"/>
    <s v="Yamazaki Ansai"/>
    <s v="山崎闇斎"/>
    <s v="Okada, Takehiko, 1908-"/>
    <s v="岡田武彦, 1908-"/>
    <x v="103"/>
    <s v="n/a"/>
    <x v="13"/>
    <s v="明徳出版社"/>
    <n v="1985"/>
    <s v="Yamazaki, Ansai, 1618-1682"/>
    <n v="0"/>
    <m/>
    <m/>
  </r>
  <r>
    <n v="324"/>
    <n v="31"/>
    <m/>
    <m/>
    <x v="0"/>
    <m/>
    <m/>
    <s v="n/a"/>
    <x v="0"/>
    <m/>
    <s v="n/a"/>
    <s v="n/a"/>
    <s v="n/a"/>
    <s v="n/a"/>
    <s v="n/a"/>
    <n v="833292604"/>
    <s v="Yamazaki ansai gakuha"/>
    <s v="山崎闇斎学派"/>
    <s v="Yamazaki, Ansai, 1618-1682 ^ Nishi, Junzō, 1914-1984"/>
    <s v="山崎闇斎, 1618-1682. ^ 西順蔵, 1914-1984"/>
    <x v="104"/>
    <s v="n/a"/>
    <x v="98"/>
    <s v="岩波書店"/>
    <n v="1980"/>
    <s v="Yamazaki, Ansai, 1618-1682"/>
    <n v="0"/>
    <m/>
    <m/>
  </r>
  <r>
    <n v="325"/>
    <n v="41"/>
    <m/>
    <m/>
    <x v="0"/>
    <m/>
    <s v="need to see item, can't find worlcat record"/>
    <s v="n/a"/>
    <x v="0"/>
    <m/>
    <s v="n/a"/>
    <s v="n/a"/>
    <s v="n/a"/>
    <s v="n/a"/>
    <s v="n/a"/>
    <s v="BN02071989"/>
    <s v="Yamada hōkoku mishima chūshū"/>
    <s v="山田方谷・三島中州 叢書 (日本の思想家; 41 )"/>
    <s v="n/a"/>
    <s v="山田琢, 石川梅次郎"/>
    <x v="2"/>
    <s v="n/a"/>
    <x v="13"/>
    <s v="明徳出版社"/>
    <n v="1977"/>
    <s v="n/a"/>
    <n v="0"/>
    <m/>
    <m/>
  </r>
  <r>
    <n v="326"/>
    <m/>
    <m/>
    <m/>
    <x v="0"/>
    <m/>
    <m/>
    <s v="n/a"/>
    <x v="0"/>
    <m/>
    <s v="n/a"/>
    <s v="n/a"/>
    <s v="n/a"/>
    <s v="n/a"/>
    <s v="n/a"/>
    <n v="1021029472"/>
    <s v="Sansei shōnin no kenkyū: mindai ni okeru shōnin oyobi shōgyō shihon"/>
    <s v="山西商人の研究: 明代における商人および商業資本"/>
    <s v="Terada, Takanobu"/>
    <s v="寺田, 隆信(1931- )"/>
    <x v="105"/>
    <s v="東洋史研究叢刊 ; 25"/>
    <x v="0"/>
    <s v="京都大學文學部内東洋史研究會"/>
    <n v="1972"/>
    <s v="Chūgoku  --  shōgyō  --  rekishi ^ Chūgoku  --  rekishi  --  minjidai ^ Shōnin  --  chūgoku  --  rekishi"/>
    <n v="0"/>
    <m/>
    <m/>
  </r>
  <r>
    <n v="327"/>
    <n v="32"/>
    <m/>
    <m/>
    <x v="0"/>
    <m/>
    <m/>
    <s v="n/a"/>
    <x v="0"/>
    <m/>
    <s v="n/a"/>
    <s v="n/a"/>
    <s v="n/a"/>
    <s v="n/a"/>
    <s v="n/a"/>
    <n v="833327901"/>
    <s v="Yamaga sokō"/>
    <s v="山鹿素行"/>
    <s v="Yamaga, Sokō, 1622-1685 ^ Tahara, Tsuguo, 1924- ^ Morimoto, Jun'ichirō, 1922-1977"/>
    <s v="山鹿素行, 1622-1685. ^ 田原嗣郎, 1924- ^ 守本順一郎, 1922-1977"/>
    <x v="106"/>
    <s v="n/a"/>
    <x v="98"/>
    <s v="岩波書店"/>
    <n v="1970"/>
    <s v="Yamaga, Sokō, 1622-1685"/>
    <n v="0"/>
    <m/>
    <m/>
  </r>
  <r>
    <n v="328"/>
    <n v="8"/>
    <m/>
    <m/>
    <x v="0"/>
    <m/>
    <m/>
    <s v="n/a"/>
    <x v="0"/>
    <m/>
    <s v="n/a"/>
    <s v="n/a"/>
    <s v="y"/>
    <s v="n/a"/>
    <s v="n/a"/>
    <n v="24805785"/>
    <s v="Yamaga Sokō"/>
    <s v="山鹿素行"/>
    <s v="Sasaki, Moritarō, 1906-1983"/>
    <s v="佐々木杜太郎, 1906-"/>
    <x v="107"/>
    <s v="n/a"/>
    <x v="13"/>
    <s v="明德出版社"/>
    <n v="1978"/>
    <s v="Philosophers  --  Japan  --  Biography ^ Philosophes  --  Japon  --  Biographies ^ Yamaga, Sokō, 1622-1685 ^ collective biographies"/>
    <n v="0"/>
    <m/>
    <m/>
  </r>
  <r>
    <n v="329"/>
    <n v="2"/>
    <m/>
    <m/>
    <x v="0"/>
    <m/>
    <m/>
    <s v="n/a"/>
    <x v="0"/>
    <m/>
    <s v="n/a"/>
    <s v="n/a"/>
    <s v="n/a"/>
    <s v="n/a"/>
    <s v="n/a"/>
    <n v="47598283"/>
    <s v="Iwasaki bunko kichōsho shoshi kaidai: 2"/>
    <s v="岩崎文庫貴重書書誌解題. 2"/>
    <s v="Tōyō Bunko"/>
    <s v="東洋文庫"/>
    <x v="2"/>
    <s v="n/a"/>
    <x v="27"/>
    <s v="東洋文庫"/>
    <n v="1998"/>
    <s v="n/a"/>
    <n v="0"/>
    <m/>
    <m/>
  </r>
  <r>
    <n v="330"/>
    <m/>
    <m/>
    <m/>
    <x v="0"/>
    <m/>
    <m/>
    <s v="n/a"/>
    <x v="0"/>
    <m/>
    <s v="n/a"/>
    <s v="n/a"/>
    <s v="n/a"/>
    <s v="n/a"/>
    <s v="n/a"/>
    <n v="672857231"/>
    <s v="Saden no shisōshiteki kenkyū"/>
    <s v="左伝の思想史的研究"/>
    <s v="Tsuda, Sōkichi, 1873-1961"/>
    <s v="津田, 左右吉, 1873-1961"/>
    <x v="2"/>
    <s v="n/a"/>
    <x v="18"/>
    <s v="岩波書店"/>
    <n v="1958"/>
    <s v="shunjū sashiden"/>
    <n v="0"/>
    <m/>
    <m/>
  </r>
  <r>
    <n v="331"/>
    <n v="33"/>
    <m/>
    <m/>
    <x v="0"/>
    <m/>
    <m/>
    <s v="n/a"/>
    <x v="0"/>
    <m/>
    <s v="n/a"/>
    <s v="n/a"/>
    <s v="n/a"/>
    <s v="n/a"/>
    <s v="n/a"/>
    <n v="834432542"/>
    <s v="Hoashi banri waki guzan"/>
    <s v="帆足万里・脇愚山"/>
    <s v="Hoashi, Tonaji, 1898-1983"/>
    <s v="帆足図南次, 1898-1983"/>
    <x v="108"/>
    <s v="叢書・日本の思想家 ; 33."/>
    <x v="13"/>
    <s v="明徳出版社"/>
    <n v="1978"/>
    <s v="Hoashi, Banri, 1778-1852 ^ Waki, Ranshitsu, 1764-1814"/>
    <n v="0"/>
    <m/>
    <m/>
  </r>
  <r>
    <n v="332"/>
    <m/>
    <m/>
    <m/>
    <x v="0"/>
    <m/>
    <s v="need to see item, can't find exact year in worldcat"/>
    <s v="n/a"/>
    <x v="0"/>
    <m/>
    <s v="n/a"/>
    <s v="n/a"/>
    <s v="n/a"/>
    <s v="n/a"/>
    <s v="n/a"/>
    <s v="n/a"/>
    <s v="n/a"/>
    <s v="常のみすがた (改訂増補）"/>
    <s v="n/a"/>
    <s v="佐藤一徳"/>
    <x v="2"/>
    <s v="n/a"/>
    <x v="0"/>
    <s v="金光教徒社"/>
    <n v="1953"/>
    <s v="n/a"/>
    <n v="0"/>
    <m/>
    <m/>
  </r>
  <r>
    <n v="333"/>
    <n v="1"/>
    <m/>
    <m/>
    <x v="0"/>
    <m/>
    <m/>
    <s v="n/a"/>
    <x v="0"/>
    <m/>
    <s v="n/a"/>
    <s v="n/a"/>
    <s v="y"/>
    <s v="n/a"/>
    <s v="n/a"/>
    <n v="45330801"/>
    <s v="Bakumatsu ishin Shu Ō gakusha shokanshū: kan 1"/>
    <s v="幕末維新朱王学者書翰集. 卷一"/>
    <s v="Okada, Takehiko ^ Satō, Hitoshi, 1927 November 23-"/>
    <s v="岡田武彦. ^ 佐藤仁, 1927 ^ Nov. ^ 23-"/>
    <x v="2"/>
    <s v="n/a"/>
    <x v="124"/>
    <s v="岡田武彦"/>
    <s v="1962- "/>
    <s v="n/a"/>
    <n v="0"/>
    <m/>
    <m/>
  </r>
  <r>
    <n v="334"/>
    <n v="11"/>
    <m/>
    <m/>
    <x v="0"/>
    <m/>
    <m/>
    <s v="n/a"/>
    <x v="0"/>
    <m/>
    <s v="n/a"/>
    <s v="n/a"/>
    <s v="n/a"/>
    <s v="n/a"/>
    <s v="n/a"/>
    <n v="31788413"/>
    <s v="Bakumatsu ishin yōmeigakusha shokanshū: Ō Yōmei seitan gohyakunen kinen"/>
    <s v="幕末維新陽明學者書簡集: 王陽明生誕五百年記念"/>
    <s v="Uno, Tetsuto, 1875-1974 ^ Yasuoka, Masahiro, 1898-1983 ^ Araki, Kengo, 1917-2017"/>
    <s v="宇野哲人, 1875-1974. ^ 安岡正篤, 1898- ^ 荒木見悟, 1917-"/>
    <x v="109"/>
    <s v="陽明學大系 ; 第 11卷."/>
    <x v="13"/>
    <s v="明徳出版社"/>
    <n v="1971"/>
    <s v="Yōmeigaku ^ Philosophers  --  Japan  --  Correspondence ^ Neo-Confucianism  --  Japan ^ Philosophes  --  Japon  --  Correspondance ^ Personal correspondence"/>
    <n v="0"/>
    <m/>
    <m/>
  </r>
  <r>
    <n v="335"/>
    <n v="50"/>
    <m/>
    <m/>
    <x v="0"/>
    <m/>
    <m/>
    <s v="n/a"/>
    <x v="0"/>
    <m/>
    <s v="n/a"/>
    <s v="n/a"/>
    <s v="n/a"/>
    <s v="n/a"/>
    <s v="n/a"/>
    <n v="838636864"/>
    <s v="Hirata atsutane ban nobutomo ōkuni takamasa"/>
    <s v="平田篤胤・伴信友・大国隆正"/>
    <s v="Hirata, Atsutane, 1776-1843 ^ Ban, Nobutomo, 1772-1846 ^ Ōkuni, Takamasa, 1792-1871 ^ Tahara, Tsuguo, 1924-"/>
    <s v="平田篤胤, 1776-1843. ^ 伴信友, 1772-1846. ^ 大国隆正, 1792-1871. ^ 田原嗣郎, 1924-"/>
    <x v="110"/>
    <s v="日本思想大系 ; 50."/>
    <x v="98"/>
    <s v="岩波書店"/>
    <n v="1973"/>
    <s v="nihonshisō ^ Hirata, Atsutane, 1776-1843 ^ Ban, Nobutomo, 1772-1846 ^ Ōkuni, Takamasa, 1792-1871"/>
    <n v="0"/>
    <m/>
    <m/>
  </r>
  <r>
    <n v="336"/>
    <n v="35"/>
    <m/>
    <m/>
    <x v="0"/>
    <m/>
    <m/>
    <s v="n/a"/>
    <x v="0"/>
    <m/>
    <s v="n/a"/>
    <s v="n/a"/>
    <s v="n/a"/>
    <s v="n/a"/>
    <s v="n/a"/>
    <n v="834433823"/>
    <s v="Hirose tansō hirose kyokusō"/>
    <s v="広瀬淡窓・広瀬旭荘"/>
    <s v="Kudō, Toyohiko, 1912-"/>
    <s v="工藤豊彦, 1912-"/>
    <x v="111"/>
    <s v="叢書・日本の思想家 ; 35."/>
    <x v="13"/>
    <s v="明徳出版社"/>
    <n v="1978"/>
    <s v="Hirose, Tansō, 1782-1856 ^ Hirose, Kyokusō, 1807-1863"/>
    <n v="0"/>
    <m/>
    <m/>
  </r>
  <r>
    <n v="338"/>
    <s v="3v"/>
    <m/>
    <m/>
    <x v="0"/>
    <m/>
    <m/>
    <s v="n/a"/>
    <x v="0"/>
    <m/>
    <s v="n/a"/>
    <s v="n/a"/>
    <s v="y"/>
    <s v="n/a"/>
    <s v="n/a"/>
    <n v="24449280"/>
    <s v="Gumyōshū kenkyū: Chūsei Shisōshi Kenkyūhan, Gumyōshū Kenkyūhan kenkyū hōkoku"/>
    <s v="弘明集研究: 中世思想史研究班, 弘明集研究班研究報告"/>
    <s v="Kyōto Daigaku ^ Jinbun Kagaku Kenkyūjo ^ Gumyōshū Kenkyūhan"/>
    <s v="京都大学 ^ 人文科学研究所 ^ 弘明集研究班"/>
    <x v="2"/>
    <s v="n/a"/>
    <x v="78"/>
    <s v="京都大学人文科学研究所"/>
    <s v="1973-1975"/>
    <s v="Buddhism  --  China  --  Doctrines ^ Buddhism  --  China  --  History  --  Sources ^ Bouddhisme  --  Chine  --  Doctrines ^ Bouddhisme  --  Chine  --  Histoire  --  Sources ^ Hung ming chi"/>
    <n v="0"/>
    <m/>
    <m/>
  </r>
  <r>
    <n v="339"/>
    <n v="16"/>
    <m/>
    <m/>
    <x v="0"/>
    <m/>
    <s v="insert/signed"/>
    <s v="n/a"/>
    <x v="0"/>
    <m/>
    <s v="n/a"/>
    <s v="n/a"/>
    <s v="n/a"/>
    <s v="n/a"/>
    <s v="n/a"/>
    <n v="673679580"/>
    <s v="Seifuku ōchō"/>
    <s v="征服王朝"/>
    <s v="Fujieda, Akira, 1911-1998"/>
    <s v="藤枝, 晃, 1911-1998"/>
    <x v="112"/>
    <s v="n/a"/>
    <x v="125"/>
    <s v="秋田屋"/>
    <n v="1948"/>
    <s v="Tetsugaku"/>
    <n v="0"/>
    <m/>
    <m/>
  </r>
  <r>
    <n v="340"/>
    <n v="37"/>
    <m/>
    <m/>
    <x v="0"/>
    <m/>
    <m/>
    <s v="n/a"/>
    <x v="0"/>
    <m/>
    <s v="n/a"/>
    <s v="n/a"/>
    <s v="n/a"/>
    <s v="n/a"/>
    <s v="n/a"/>
    <n v="833327928"/>
    <s v="Sorai gakuha"/>
    <s v="徂徠学派"/>
    <s v="Rai, Tsutomu, 1922-"/>
    <s v="頼惟勤, 1922-"/>
    <x v="113"/>
    <s v="n/a"/>
    <x v="98"/>
    <s v="岩波書店"/>
    <n v="1972"/>
    <s v="nihonshisō ^ kogakuha"/>
    <n v="0"/>
    <m/>
    <m/>
  </r>
  <r>
    <n v="341"/>
    <m/>
    <m/>
    <m/>
    <x v="0"/>
    <m/>
    <m/>
    <s v="n/a"/>
    <x v="0"/>
    <m/>
    <s v="n/a"/>
    <s v="n/a"/>
    <s v="n/a"/>
    <s v="n/a"/>
    <s v="n/a"/>
    <n v="47410788"/>
    <s v="Shingyō fuchū. Ō gaku teikō"/>
    <s v="心経附註"/>
    <s v="Zhen, Dexiu, 1178-1235 ^ Tei, Binsei ^ Yoshimura, Shūyō, 1797-1866"/>
    <s v="真徳秀, 1178-1235. ^ 程敏政. ^ 吉村秋陽, 1797-1866"/>
    <x v="114"/>
    <s v="n/a"/>
    <x v="91"/>
    <s v="中文出版社"/>
    <n v="1977"/>
    <s v="Ō, Yōmei, 1472-1528"/>
    <n v="0"/>
    <m/>
    <m/>
  </r>
  <r>
    <n v="342"/>
    <m/>
    <m/>
    <m/>
    <x v="0"/>
    <m/>
    <s v="need to see item"/>
    <s v="n/a"/>
    <x v="0"/>
    <m/>
    <s v="n/a"/>
    <s v="n/a"/>
    <s v="n/a"/>
    <s v="n/a"/>
    <s v="n/a"/>
    <s v="BN12083146"/>
    <s v="Seiri daizen"/>
    <s v="性理大全"/>
    <s v="n/a"/>
    <s v="明・胡廣等奉勅撰"/>
    <x v="2"/>
    <s v="n/a"/>
    <x v="91"/>
    <s v="中文出版社"/>
    <n v="1981"/>
    <s v="n/a"/>
    <n v="0"/>
    <m/>
    <m/>
  </r>
  <r>
    <n v="344"/>
    <n v="2"/>
    <m/>
    <m/>
    <x v="0"/>
    <m/>
    <m/>
    <s v="n/a"/>
    <x v="0"/>
    <m/>
    <s v="n/a"/>
    <s v="n/a"/>
    <s v="n/a"/>
    <s v="n/a"/>
    <s v="n/a"/>
    <n v="15059827"/>
    <s v="Keishū nanzan no busseki = The Buddhist site of Namsan in Kyŏngju"/>
    <s v="慶州南山の佛蹟 = The Buddhist site of Namsan in Kyŏngju"/>
    <s v="Oba, Tsunekichi, 1878-1958 or 1959 ^ Korea"/>
    <s v="朝鮮總督府"/>
    <x v="115"/>
    <s v="朝鮮寶物古蹟圖錄 ; 第 2."/>
    <x v="126"/>
    <s v="朝鮮總督府"/>
    <n v="1941"/>
    <s v="Buddhist shrines  --  Korea ^ Buddhist antiquities  --  Korea ^ Sanctuaires bouddhiques  --  Corée ^ Antiquités bouddhiques  --  Corée ^ Kyŏngju-si (Korea) ^ Korea (South)  --  Kyŏngju-si"/>
    <n v="0"/>
    <m/>
    <m/>
  </r>
  <r>
    <n v="345"/>
    <n v="1"/>
    <m/>
    <m/>
    <x v="0"/>
    <m/>
    <s v="rare, send to special collections"/>
    <s v="n/a"/>
    <x v="0"/>
    <m/>
    <s v="n/a"/>
    <s v="n/a"/>
    <s v="n/a"/>
    <s v="n/a"/>
    <s v="n/a"/>
    <n v="673269596"/>
    <s v="Keiryo: Higashimongoria ni okeru ryodai teioryo to sono hekiga ni kansuru kokogakuteki chosa hokoku. 1"/>
    <s v="慶陵: 東モンゴリアにおける遼代帝王陵とその壁画に関する考古学的調查報告. 第1"/>
    <s v="Tamura, Jitsuzo, 1904-1999 ^ Kobayashi, Yukio, 1911-1989 ^ Kyoto Daigaku Bungakubu"/>
    <s v="京都大学文学部"/>
    <x v="2"/>
    <s v="n/a"/>
    <x v="0"/>
    <s v="京都大学文学部"/>
    <n v="1953"/>
    <s v="Ryobo ^ Hekiga ^ Kokogaku ^ Ryōbo ^ Chūgoku  --  Rekishi  --  Ryō ^ Chugoku  --  Rekishi  --  Ryo"/>
    <n v="0"/>
    <m/>
    <m/>
  </r>
  <r>
    <n v="346"/>
    <m/>
    <m/>
    <m/>
    <x v="0"/>
    <m/>
    <m/>
    <s v="n/a"/>
    <x v="0"/>
    <m/>
    <s v="n/a"/>
    <s v="n/a"/>
    <s v="n/a"/>
    <n v="9784817511270"/>
    <n v="4817511273"/>
    <n v="672945789"/>
    <s v="Taishin no tetsugaku"/>
    <s v="戴震の哲学: 唯物論と道徳的価値"/>
    <s v="Murase, Hiroya, 1937-"/>
    <s v="村瀬, 裕也, 1937-"/>
    <x v="2"/>
    <s v="n/a"/>
    <x v="0"/>
    <s v="日中出版"/>
    <n v="1984"/>
    <s v="Tai, Shin"/>
    <n v="0"/>
    <m/>
    <m/>
  </r>
  <r>
    <n v="347"/>
    <m/>
    <m/>
    <m/>
    <x v="0"/>
    <m/>
    <s v="need to see item, no exact date match on worldcat"/>
    <s v="n/a"/>
    <x v="0"/>
    <m/>
    <s v="n/a"/>
    <s v="n/a"/>
    <s v="n/a"/>
    <s v="n/a"/>
    <s v="n/a"/>
    <s v="n/a"/>
    <s v="n/a"/>
    <s v="折伏"/>
    <s v="n/a"/>
    <s v="藤井日達"/>
    <x v="2"/>
    <s v="n/a"/>
    <x v="0"/>
    <s v="恵文社"/>
    <n v="1959"/>
    <s v="n/a"/>
    <n v="0"/>
    <m/>
    <m/>
  </r>
  <r>
    <n v="348"/>
    <m/>
    <m/>
    <m/>
    <x v="0"/>
    <m/>
    <s v="need to see item, no exact date match on worldcat"/>
    <s v="n/a"/>
    <x v="0"/>
    <m/>
    <s v="n/a"/>
    <s v="n/a"/>
    <s v="n/a"/>
    <s v="n/a"/>
    <s v="n/a"/>
    <s v="BA67926810"/>
    <s v="Shakubuku kyōten"/>
    <s v="折伏教典"/>
    <s v="n/a"/>
    <s v="小平芳平"/>
    <x v="2"/>
    <s v="n/a"/>
    <x v="94"/>
    <s v="創價學會"/>
    <n v="1954"/>
    <s v="n/a"/>
    <n v="0"/>
    <m/>
    <m/>
  </r>
  <r>
    <n v="349"/>
    <n v="1"/>
    <s v="上"/>
    <m/>
    <x v="0"/>
    <m/>
    <s v="only have one of two volumes?"/>
    <s v="https://www.amazon.co.jp/dp/4061437828"/>
    <x v="0"/>
    <m/>
    <s v="n/a"/>
    <s v="n/a"/>
    <s v="y"/>
    <s v="9784061437821 (v. 1) ^ 9784061437845 (v. 2)"/>
    <s v="4061437828 (v. 1) ^ 4061437844 (v. 2)"/>
    <n v="19172368"/>
    <s v="Shōdaijōron: wayaku to chūkai"/>
    <s v="摂大乗論: 和訳と注解"/>
    <s v="Asaṅga ^ Nagao, Gajin, 1907-2005"/>
    <s v="長尾雅人, 1907-"/>
    <x v="116"/>
    <s v="n/a"/>
    <x v="1"/>
    <s v="講談社"/>
    <s v="1982-1987"/>
    <s v="Yogācāra (Buddhism) ^ Yogācāra (Bouddhisme)"/>
    <n v="0"/>
    <m/>
    <m/>
  </r>
  <r>
    <n v="350"/>
    <m/>
    <m/>
    <m/>
    <x v="0"/>
    <m/>
    <m/>
    <s v="n/a"/>
    <x v="0"/>
    <m/>
    <s v="n/a"/>
    <s v="n/a"/>
    <s v="n/a"/>
    <s v="n/a"/>
    <s v="n/a"/>
    <n v="21761838"/>
    <s v="St. Nichiren's Senji shō: selecting the right time, a tract by Nichiren, the Buddha's disciple"/>
    <s v="n/a"/>
    <s v="Nichiren, 1222-1282 ^ Hori, Kyōtsū"/>
    <s v="日蓮, 1222-1282. ^ 堀教通 ^ 日蓮宗海外布教後援会"/>
    <x v="2"/>
    <s v="n/a"/>
    <x v="127"/>
    <s v="n/a"/>
    <n v="1989"/>
    <s v="Nichiren (Sect)  --  Doctrines  --  Early works to 1800"/>
    <n v="0"/>
    <m/>
    <m/>
  </r>
  <r>
    <n v="351"/>
    <n v="4"/>
    <m/>
    <m/>
    <x v="0"/>
    <m/>
    <s v="need to see, might be in Chinese"/>
    <s v="n/a"/>
    <x v="0"/>
    <m/>
    <s v="n/a"/>
    <s v="n/a"/>
    <s v="n/a"/>
    <s v="n/a"/>
    <s v="n/a"/>
    <n v="34369428"/>
    <s v="Gekijōshū"/>
    <s v="擊壤集"/>
    <s v="Shao, Yong, 1011-1077, ^ author.Okada, Takehiko, ^ ; editor.Ueno, Hideto, 1922- ^ ; writer of supplementary textual content"/>
    <s v="邵雍, 1011-1077, author ^ 岡田武彥, editor ^ 上野日出刀, 1922- ^ writer ^ of ^ supplementary ^ textual ^ content"/>
    <x v="117"/>
    <s v="和刻影印近世漢籍叢刊. 思想編 ; 4"/>
    <x v="91"/>
    <s v="n/a"/>
    <s v="1972, 1669"/>
    <s v="n/a"/>
    <n v="0"/>
    <m/>
    <m/>
  </r>
  <r>
    <n v="352"/>
    <m/>
    <m/>
    <m/>
    <x v="0"/>
    <m/>
    <m/>
    <s v="n/a"/>
    <x v="0"/>
    <m/>
    <s v="n/a"/>
    <s v="n/a"/>
    <s v="y"/>
    <s v="n/a"/>
    <s v="n/a"/>
    <n v="26842390"/>
    <s v="Shina ni tsuite"/>
    <s v="支那について"/>
    <s v="Yoshikawa, Kōjirō, 1904-1980"/>
    <s v="吉川幸次郎, 1904-1980"/>
    <x v="2"/>
    <s v="n/a"/>
    <x v="125"/>
    <s v="秋田屋"/>
    <n v="1946"/>
    <s v="Chinese literature  --  History and criticism ^ Philosophy, Chinese ^ Littérature chinoise  --  Histoire et critique ^ Philosophie chinoise ^ Criticism, interpretation, etc"/>
    <n v="0"/>
    <m/>
    <m/>
  </r>
  <r>
    <n v="353"/>
    <n v="30"/>
    <m/>
    <m/>
    <x v="0"/>
    <m/>
    <m/>
    <s v="n/a"/>
    <x v="0"/>
    <m/>
    <s v="n/a"/>
    <s v="n/a"/>
    <s v="n/a"/>
    <s v="n/a"/>
    <s v="n/a"/>
    <n v="672653783"/>
    <s v="Shina ni okeru bukkyo to jukyo dokyo"/>
    <s v="支那に於ける仏教と儒教道教"/>
    <s v="Tokiwa, Daijo, 1870-1945"/>
    <s v="常盤, 大定, 1870-1945"/>
    <x v="2"/>
    <s v="n/a"/>
    <x v="0"/>
    <s v="東洋書林"/>
    <n v="1982"/>
    <s v="Bukkyo  --  Chugoku  --  Rekishi ^ Jugaku ^ Dokyo"/>
    <n v="0"/>
    <m/>
    <m/>
  </r>
  <r>
    <n v="354"/>
    <m/>
    <m/>
    <m/>
    <x v="0"/>
    <m/>
    <m/>
    <s v="n/a"/>
    <x v="0"/>
    <m/>
    <s v="n/a"/>
    <s v="n/a"/>
    <s v="n/a"/>
    <s v="n/a"/>
    <s v="n/a"/>
    <n v="182639926"/>
    <s v="Shina kodai ni okeru gōriteki shii no tenkai"/>
    <s v="支那古代に於ける合理的思惟の展開"/>
    <s v="Shigezawa, Toshio, 1906-"/>
    <s v="重澤俊郎, 1906-"/>
    <x v="118"/>
    <s v="n/a"/>
    <x v="86"/>
    <s v="ハーバード・燕京・同志社東方文化講座委員會"/>
    <n v="1956"/>
    <s v="Philosophy, Chinese  --  To 221 B.C ^ Rationalism ^ Philosophie chinoise  --  Jusqu'à 221 av. J.-C ^ Rationalisme ^ rationalism (philosophy)"/>
    <n v="0"/>
    <m/>
    <m/>
  </r>
  <r>
    <n v="355"/>
    <m/>
    <m/>
    <m/>
    <x v="0"/>
    <m/>
    <m/>
    <s v="n/a"/>
    <x v="0"/>
    <m/>
    <s v="n/a"/>
    <s v="n/a"/>
    <s v="n/a"/>
    <s v="n/a"/>
    <s v="n/a"/>
    <n v="1065225300"/>
    <s v="Shina shigakushi"/>
    <s v="支那史學史"/>
    <s v="Naitō, Konan"/>
    <s v="内藤湖南(1866-1934)"/>
    <x v="2"/>
    <s v="n/a"/>
    <x v="0"/>
    <s v="弘文堂"/>
    <n v="1949"/>
    <s v="n/a"/>
    <n v="0"/>
    <m/>
    <m/>
  </r>
  <r>
    <n v="356"/>
    <m/>
    <m/>
    <m/>
    <x v="0"/>
    <m/>
    <m/>
    <s v="n/a"/>
    <x v="0"/>
    <m/>
    <s v="n/a"/>
    <s v="n/a"/>
    <s v="n/a"/>
    <s v="n/a"/>
    <s v="n/a"/>
    <n v="1028582681"/>
    <s v="Iwanami kōza: Tōyō shichō"/>
    <s v="岩波講座. 東洋思潮"/>
    <s v="Iwanami Shoten"/>
    <s v="岩波書店"/>
    <x v="2"/>
    <s v="n/a"/>
    <x v="18"/>
    <s v="岩波書店"/>
    <s v="1935-1936"/>
    <s v="Civilization ^ Asia  --  Civilization ^ Asie  --  Civilisation"/>
    <n v="0"/>
    <m/>
    <m/>
  </r>
  <r>
    <n v="357"/>
    <m/>
    <m/>
    <m/>
    <x v="0"/>
    <m/>
    <m/>
    <s v="n/a"/>
    <x v="0"/>
    <m/>
    <s v="n/a"/>
    <s v="n/a"/>
    <s v="n/a"/>
    <s v="n/a"/>
    <s v="n/a"/>
    <n v="22949604"/>
    <s v="Shina shisōshi"/>
    <s v="支那思想史"/>
    <s v="Takeuchi, Yoshio, 1886-1966"/>
    <s v="武內義雄, 1886-"/>
    <x v="119"/>
    <s v="n/a"/>
    <x v="18"/>
    <s v="岩波書店"/>
    <n v="1936"/>
    <s v="Learning and scholarship  --  China ^ Philosophy, Chinese  --  History ^ Savoir et érudition  --  Chine ^ Philosophie chinoise  --  Histoire"/>
    <n v="0"/>
    <m/>
    <m/>
  </r>
  <r>
    <n v="358"/>
    <m/>
    <m/>
    <m/>
    <x v="0"/>
    <m/>
    <m/>
    <s v="https://www.amazon.jp/dp/4756805930"/>
    <x v="0"/>
    <m/>
    <s v="n/a"/>
    <s v="n/a"/>
    <s v="n/a"/>
    <n v="9784756805935"/>
    <n v="4756805930"/>
    <n v="44061447"/>
    <s v="Shina kyōikugaku shi"/>
    <s v="支那教育學史"/>
    <s v="Tauchi, Takatsugu"/>
    <s v="田內高次"/>
    <x v="120"/>
    <s v="アジア学叢書 ; 53"/>
    <x v="128"/>
    <s v="大空社"/>
    <s v="1998, 1942"/>
    <s v="Education  --  China ^ Education  --  Philosophy  --  History ^ Éducation  --  Chine ^ Éducation  --  Philosophie  --  Histoire ^ Kyōikugaku-Rekishi ^ Chūgoku-Kyōiku ^ Chūgoku shisō"/>
    <n v="0"/>
    <m/>
    <m/>
  </r>
  <r>
    <n v="359"/>
    <m/>
    <m/>
    <m/>
    <x v="0"/>
    <m/>
    <m/>
    <s v="n/a"/>
    <x v="0"/>
    <m/>
    <s v="n/a"/>
    <s v="n/a"/>
    <s v="n/a"/>
    <s v="n/a"/>
    <s v="n/a"/>
    <n v="913210360"/>
    <s v="Shina bungaku geijutsu ko"/>
    <s v="支那文學藝術考"/>
    <s v="Aoki, Masaru"/>
    <s v="青木正兒"/>
    <x v="2"/>
    <s v="n/a"/>
    <x v="0"/>
    <s v="弘文堂書房"/>
    <n v="1942"/>
    <s v="n/a"/>
    <n v="0"/>
    <m/>
    <m/>
  </r>
  <r>
    <n v="360"/>
    <m/>
    <m/>
    <m/>
    <x v="0"/>
    <m/>
    <m/>
    <s v="n/a"/>
    <x v="0"/>
    <m/>
    <s v="n/a"/>
    <s v="n/a"/>
    <s v="n/a"/>
    <s v="n/a"/>
    <s v="n/a"/>
    <n v="673452712"/>
    <s v="Shinaron"/>
    <s v="支那論"/>
    <s v="Naitō, Torajirō, 1866-1934"/>
    <s v="内藤, 虎次郎, 1866-1934"/>
    <x v="2"/>
    <s v="n/a"/>
    <x v="129"/>
    <s v="文会堂書店"/>
    <n v="1914"/>
    <s v="n/a"/>
    <n v="0"/>
    <m/>
    <m/>
  </r>
  <r>
    <n v="361"/>
    <m/>
    <m/>
    <m/>
    <x v="0"/>
    <m/>
    <m/>
    <s v="n/a"/>
    <x v="0"/>
    <m/>
    <s v="n/a"/>
    <s v="n/a"/>
    <s v="n/a"/>
    <s v="n/a"/>
    <s v="n/a"/>
    <n v="45447094"/>
    <s v="Shina tōjikishi"/>
    <s v="支那陶磁器史"/>
    <s v="Watanabe, Soshū, pseud., 1890-"/>
    <s v="渡邊素舟, pseud., 1890-"/>
    <x v="2"/>
    <s v="n/a"/>
    <x v="0"/>
    <s v="東京"/>
    <n v="1939"/>
    <s v="Pottery, Chinese"/>
    <n v="0"/>
    <m/>
    <m/>
  </r>
  <r>
    <n v="362"/>
    <n v="1"/>
    <m/>
    <m/>
    <x v="0"/>
    <m/>
    <s v="need to see item to determine proper title vs. serial title"/>
    <s v="n/a"/>
    <x v="0"/>
    <m/>
    <s v="n/a"/>
    <s v="n/a"/>
    <s v="n/a"/>
    <s v="n/a"/>
    <s v="n/a"/>
    <s v="BA44414106"/>
    <s v="Kyōgyō shinshō no teshigaku"/>
    <s v="教行信証の哲学 (武内義範著作集; 第 1巻)"/>
    <s v="n/a"/>
    <s v="武内義範"/>
    <x v="2"/>
    <s v="n/a"/>
    <x v="24"/>
    <s v="法蔵館"/>
    <n v="1999"/>
    <s v="n/a"/>
    <n v="0"/>
    <m/>
    <m/>
  </r>
  <r>
    <n v="363"/>
    <n v="72"/>
    <m/>
    <m/>
    <x v="0"/>
    <m/>
    <m/>
    <s v="n/a"/>
    <x v="0"/>
    <m/>
    <s v="n/a"/>
    <s v="n/a"/>
    <s v="y"/>
    <n v="9784809702303"/>
    <n v="4809702308"/>
    <n v="435415071"/>
    <s v="Tonkō Torufan shutsudo Kanbun monjo no shinkenkyū"/>
    <s v="敦煌・吐魯番出土漢文文書の新研究"/>
    <s v="Dohi, Yoshikazu, 1933- ^ ; editor"/>
    <s v="土肥義和, 1933- ^ editor"/>
    <x v="121"/>
    <s v="東洋文庫論叢 ; 第72."/>
    <x v="27"/>
    <s v="東洋文庫"/>
    <n v="2009"/>
    <s v="Manuscripts, Chinese  --  China  --  Turpan Shi ^ Manuscripts, Chinese  --  China  --  Dunhuang ^ Chūgoku-Rekishi-Tō jidai ^ Komonjo ^ Tonkō ^ Torufan ^ Antiquities ^ Turpan Shi (China)  --  Antiquities ^ Dunhuang (China)  --  Antiquities ^ Dunhuang manuscripts"/>
    <n v="0"/>
    <m/>
    <m/>
  </r>
  <r>
    <n v="364"/>
    <m/>
    <m/>
    <m/>
    <x v="0"/>
    <m/>
    <m/>
    <s v="n/a"/>
    <x v="0"/>
    <m/>
    <s v="n/a"/>
    <s v="n/a"/>
    <s v="n/a"/>
    <s v="n/a"/>
    <s v="n/a"/>
    <n v="672928168"/>
    <s v="Tonkō shutsudo bungaku bunken bunrui mokuroku kaisetsu"/>
    <s v="敦煌出土文学文献分類目錄(附)解說: スタイン本・ペリオ本"/>
    <s v="Kanaoka, Shōkō, 1930-1991"/>
    <s v="金岡, 照光, 1930-1991"/>
    <x v="122"/>
    <s v="n/a"/>
    <x v="0"/>
    <s v="東洋文庫"/>
    <n v="1971"/>
    <s v="Chūgokubungaku  --  Shomoku ^ tonkō"/>
    <n v="0"/>
    <m/>
    <m/>
  </r>
  <r>
    <n v="365"/>
    <m/>
    <m/>
    <m/>
    <x v="0"/>
    <m/>
    <m/>
    <s v="n/a"/>
    <x v="0"/>
    <m/>
    <s v="n/a"/>
    <s v="n/a"/>
    <s v="y"/>
    <s v="n/a"/>
    <s v="n/a"/>
    <n v="6406703"/>
    <s v="Sutain Shōrai Daiei Hakubutsukan zō Tonkō bunken bunrui mokuroku: Dōkyō no bu"/>
    <s v="スタイン将来大英博物館蔵敦煌文献分類目錄: 道教之部"/>
    <s v="Yoshioka, Yoshitoyo, 1916-1979 ^ Tōyō Bunko (Japan) ^ Tonkō Bunken Kenkyū Iinkai"/>
    <s v="東洋文庫 (Japan) ^ 敦煌文獻研究委員會"/>
    <x v="123"/>
    <s v="n/a"/>
    <x v="130"/>
    <s v="東洋文庫敦煌文献研究委員会"/>
    <n v="1969"/>
    <s v="Taoism  --  Bibliography  --  Catalogs ^ Manuscripts, Chinese  --  Bibliography  --  Catalogs ^ Taoïsme  --  Bibliographie  --  Catalogues ^ Taoismus ^ Manuscrits de Dunhuang  --  Bibliographie  --  Catalogues ^ British museum (Londres)  --  Catalogues ^ Bibliographies"/>
    <n v="0"/>
    <m/>
    <m/>
  </r>
  <r>
    <n v="366"/>
    <m/>
    <m/>
    <m/>
    <x v="0"/>
    <m/>
    <m/>
    <s v="n/a"/>
    <x v="0"/>
    <m/>
    <s v="n/a"/>
    <s v="n/a"/>
    <s v="n/a"/>
    <s v="n/a"/>
    <s v="n/a"/>
    <n v="835233286"/>
    <s v="Bunka to shūkyō no rinen"/>
    <s v="文化と宗教の理念"/>
    <s v="Yoshimitsu, Yoshihiko, 1904-1945"/>
    <s v="吉満義彦, 1904-1945"/>
    <x v="124"/>
    <s v="吉満義彦著作集 ; 第1卷."/>
    <x v="59"/>
    <s v="みすず書房"/>
    <n v="1947"/>
    <s v="shūkyō ^ bunkatetsugaku"/>
    <n v="0"/>
    <m/>
    <m/>
  </r>
  <r>
    <n v="367"/>
    <n v="35"/>
    <m/>
    <m/>
    <x v="0"/>
    <m/>
    <m/>
    <s v="https://www.amazon.jp/dp/4000700359"/>
    <x v="0"/>
    <m/>
    <s v="n/a"/>
    <s v="n/a"/>
    <s v="y"/>
    <n v="9784000700351"/>
    <n v="4000700359"/>
    <n v="17940922"/>
    <s v="Arai Hakuseki"/>
    <s v="新井白石"/>
    <s v="Arai, Hakuseki, 1657-1725 ^ Matsumura, Akira, 1916-2001 ^ Bitō, Masahide, 1923-2013 ^ Katō, Shūichi, 1919-2008"/>
    <s v="新井白石, 1657-1725 ^ 松村明, 1916-2001 ^ 尾藤正英, 1923-2013 ^ 加藤周一, 1919-2008"/>
    <x v="125"/>
    <s v="日本思想大系 ; 35"/>
    <x v="18"/>
    <s v="岩波書店"/>
    <n v="1975"/>
    <s v="Arai, Hakuseki, 1657-1725"/>
    <n v="0"/>
    <m/>
    <m/>
  </r>
  <r>
    <n v="368"/>
    <m/>
    <m/>
    <m/>
    <x v="0"/>
    <m/>
    <s v="need to see to determine if this is the revised and expanded edition"/>
    <s v="n/a"/>
    <x v="0"/>
    <m/>
    <s v="n/a"/>
    <s v="n/a"/>
    <s v="n/a"/>
    <s v="n/a"/>
    <s v="n/a"/>
    <s v="BA58004270"/>
    <s v="Shinkō shūkyō kaisetsu"/>
    <s v="新興宗敎解說"/>
    <s v="Kangakuryō"/>
    <s v="勸學寮編"/>
    <x v="2"/>
    <s v="n/a"/>
    <x v="73"/>
    <s v="百華苑"/>
    <n v="1952"/>
    <s v="n/a"/>
    <n v="0"/>
    <m/>
    <m/>
  </r>
  <r>
    <n v="369"/>
    <m/>
    <m/>
    <m/>
    <x v="0"/>
    <m/>
    <m/>
    <s v="n/a"/>
    <x v="0"/>
    <m/>
    <s v="n/a"/>
    <s v="n/a"/>
    <s v="y"/>
    <s v="n/a"/>
    <s v="n/a"/>
    <n v="37847016"/>
    <s v="Shinkō shukyō: sore o meguru gendai no jōken"/>
    <s v="新興宗教: それをめぐる現代の条件"/>
    <s v="Saki, Akio, 1906-1988"/>
    <s v="佐木秋夫, 1906-"/>
    <x v="2"/>
    <s v="n/a"/>
    <x v="100"/>
    <s v="青木書店"/>
    <n v="1960"/>
    <s v="Sects  --  Japan ^ Sectes  --  Japon ^ Religion ^ Since 1945 ^ Japan  --  Religion  --  1945- ^ Japon  --  Religion  --  1945-"/>
    <n v="0"/>
    <m/>
    <m/>
  </r>
  <r>
    <n v="370"/>
    <m/>
    <m/>
    <m/>
    <x v="0"/>
    <m/>
    <m/>
    <s v="n/a"/>
    <x v="0"/>
    <m/>
    <s v="n/a"/>
    <s v="n/a"/>
    <s v="n/a"/>
    <s v="n/a"/>
    <s v="n/a"/>
    <n v="23203816"/>
    <s v="Shinkō shūkyō -- taishū o miryō surumono--"/>
    <s v="新興宗教 -- 大衆を魅了するもの -"/>
    <s v="Takagi, Hiroo"/>
    <s v="高木, 宏夫"/>
    <x v="126"/>
    <s v="ミリオン・ブックス"/>
    <x v="0"/>
    <s v="n/a"/>
    <n v="1958"/>
    <s v="Religion ^ Japan  --  Religion ^ Japon  --  Religion"/>
    <n v="0"/>
    <m/>
    <m/>
  </r>
  <r>
    <n v="371"/>
    <m/>
    <m/>
    <m/>
    <x v="0"/>
    <m/>
    <m/>
    <s v="n/a"/>
    <x v="0"/>
    <m/>
    <s v="n/a"/>
    <s v="n/a"/>
    <s v="y"/>
    <s v="n/a"/>
    <s v="n/a"/>
    <n v="726795288"/>
    <s v="Shinkō shūkyō-dokuhon: sono kyōri to genkyō no kenkyū"/>
    <s v="新興宗教読本: その教理と現況の研究"/>
    <s v="Jinja Shinpōsha"/>
    <s v="神社新報社"/>
    <x v="2"/>
    <s v="n/a"/>
    <x v="131"/>
    <s v="神社新報社"/>
    <n v="1959"/>
    <s v="Sects  --  Japan ^ Sectes  --  Japon ^ Religion ^ Since 1945 ^ Japan  --  Religion  --  1945- ^ Japon  --  Religion  --  1945-"/>
    <n v="0"/>
    <m/>
    <m/>
  </r>
  <r>
    <n v="372"/>
    <m/>
    <m/>
    <m/>
    <x v="0"/>
    <m/>
    <m/>
    <s v="n/a"/>
    <x v="0"/>
    <m/>
    <s v="n/a"/>
    <s v="n/a"/>
    <s v="y"/>
    <n v="9784892032011"/>
    <n v="4892032018"/>
    <n v="26402230"/>
    <s v="Nihon, Chūgoku no shūkyō bunka no kenkyū"/>
    <s v="日本・中国の宗敎文化の硏究"/>
    <s v="Sakai, Tadao, 1912-2010 ^ Fukui, Fumimasa, 1934-2017 ^ Yamada, Toshiaki, 1947-"/>
    <s v="酒井忠夫, 1912- ^ 福井文雅, 1934- ^ 山田利明, 1947-"/>
    <x v="2"/>
    <s v="n/a"/>
    <x v="132"/>
    <s v="平河出版社"/>
    <n v="1991"/>
    <s v="Religion and culture  --  East Asia  --  Congresses ^ Religion  --  Japon  --  Histoire  --  Actes de congrès ^ Chine  --  Religion  --  Actes de congrès ^ Conference papers and proceedings ^ Japan  --  Religion  --  Congresses ^ China  --  Religion  --  Congresses ^ Japon  --  Religion  --  Congrès ^ Chine  --  Religion  --  Congrès"/>
    <n v="0"/>
    <m/>
    <m/>
  </r>
  <r>
    <n v="373"/>
    <m/>
    <m/>
    <m/>
    <x v="0"/>
    <m/>
    <s v="insert/signed"/>
    <s v="n/a"/>
    <x v="0"/>
    <m/>
    <s v="n/a"/>
    <s v="n/a"/>
    <s v="n/a"/>
    <s v="n/a"/>
    <s v="n/a"/>
    <n v="704120139"/>
    <s v="Nihon no butten"/>
    <s v="日本の佛"/>
    <s v="Takeuchi, Yoshinori, 1913- ^ Umehara, Takeshi, 1925-2019"/>
    <s v="武內義範, 1913- ^ 梅原猛, 1925-"/>
    <x v="127"/>
    <s v="中公新書 179"/>
    <x v="0"/>
    <s v="n/a"/>
    <n v="1969"/>
    <s v="Buddhism  --  Sacred books ^ Buddha (The concept)  --  Sacred books ^ Buddhism  --  Japan  --  History ^ Buddha (The concept)  --  History ^ Bouddhisme  --  Livres sacrés ^ Bouddha (Le concept)  --  Livres sacrés ^ Bouddhisme  --  Japon  --  Histoire ^ Bouddha (Le concept)  --  Histoire"/>
    <n v="0"/>
    <m/>
    <m/>
  </r>
  <r>
    <n v="374"/>
    <m/>
    <m/>
    <m/>
    <x v="0"/>
    <m/>
    <s v="need to see item"/>
    <s v="n/a"/>
    <x v="0"/>
    <m/>
    <s v="n/a"/>
    <s v="n/a"/>
    <s v="n/a"/>
    <s v="n/a"/>
    <s v="n/a"/>
    <s v="BN07361217"/>
    <s v="Nihon no shūkyō"/>
    <s v="日本の宗教 : 昭和 39年"/>
    <s v="Monbushō chōsa kyōshūmuka"/>
    <s v="文部省調査局宗務課編"/>
    <x v="2"/>
    <s v="n/a"/>
    <x v="133"/>
    <s v="文部省調査局宗務課編"/>
    <n v="1964"/>
    <s v="n/a"/>
    <n v="0"/>
    <m/>
    <m/>
  </r>
  <r>
    <n v="375"/>
    <m/>
    <m/>
    <m/>
    <x v="0"/>
    <m/>
    <s v="two identical copies in donation"/>
    <s v="n/a"/>
    <x v="0"/>
    <m/>
    <s v="n/a"/>
    <s v="n/a"/>
    <s v="n/a"/>
    <s v="n/a"/>
    <s v="n/a"/>
    <n v="1021015455"/>
    <s v="Nihon no shinkō shūkyō: taishū shisō undō no rekishi to ronri"/>
    <s v="日本の新興宗教: 大衆思想運動の歴史と論理"/>
    <s v="Takagi, Hiroo"/>
    <s v="高木, 宏夫(1921-2005)"/>
    <x v="128"/>
    <s v="岩波新書 ; 青版 365"/>
    <x v="0"/>
    <s v="岩波書店"/>
    <n v="1959"/>
    <s v="Shinshūkyō"/>
    <n v="0"/>
    <m/>
    <m/>
  </r>
  <r>
    <n v="376"/>
    <n v="8"/>
    <s v="上"/>
    <m/>
    <x v="0"/>
    <m/>
    <m/>
    <s v="n/a"/>
    <x v="0"/>
    <m/>
    <s v="n/a"/>
    <s v="n/a"/>
    <s v="n/a"/>
    <s v="n/a"/>
    <s v="n/a"/>
    <n v="33567388"/>
    <s v="Nihon no yōmeigaku: 1"/>
    <s v="日本の陽明学"/>
    <s v="n/a"/>
    <s v="n/a"/>
    <x v="129"/>
    <s v="陽明学大系 ; 第8卷"/>
    <x v="134"/>
    <s v="明徳出版社"/>
    <n v="1973"/>
    <m/>
    <n v="0"/>
    <m/>
    <m/>
  </r>
  <r>
    <n v="377"/>
    <m/>
    <m/>
    <m/>
    <x v="0"/>
    <m/>
    <s v="need to see item, year in worldcat doesnt match"/>
    <s v="n/a"/>
    <x v="0"/>
    <m/>
    <s v="n/a"/>
    <s v="n/a"/>
    <s v="n/a"/>
    <s v="n/a"/>
    <s v="n/a"/>
    <n v="673679624"/>
    <s v="Minmatsu shinsho nihon kisshi no kenkyu"/>
    <s v="明末清初日本乞師の研究"/>
    <s v="Ishihara, Michihiro, 1910-2010"/>
    <s v="石原, 道博, 1910-2010"/>
    <x v="2"/>
    <s v="n/a"/>
    <x v="0"/>
    <s v="富山房"/>
    <n v="1946"/>
    <s v="n/a"/>
    <n v="0"/>
    <m/>
    <m/>
  </r>
  <r>
    <n v="378"/>
    <n v="5"/>
    <m/>
    <m/>
    <x v="0"/>
    <m/>
    <m/>
    <s v="n/a"/>
    <x v="0"/>
    <m/>
    <s v="n/a"/>
    <s v="n/a"/>
    <s v="n/a"/>
    <s v="n/a"/>
    <s v="n/a"/>
    <n v="50552070"/>
    <s v="Nihonjin no shūkyō seikatsu"/>
    <s v="日本人の宗敎生活"/>
    <s v="Sōbunsha"/>
    <s v="創文社"/>
    <x v="130"/>
    <s v="n/a"/>
    <x v="31"/>
    <s v="創文社"/>
    <n v="1954"/>
    <s v="Religion ^ Japan  --  Religion ^ Japan  --  Religious life and customs ^ Japon  --  Religion"/>
    <n v="0"/>
    <m/>
    <m/>
  </r>
  <r>
    <n v="379"/>
    <m/>
    <m/>
    <m/>
    <x v="0"/>
    <m/>
    <m/>
    <s v="n/a"/>
    <x v="0"/>
    <m/>
    <s v="n/a"/>
    <s v="n/a"/>
    <s v="n/a"/>
    <s v="n/a"/>
    <s v="n/a"/>
    <n v="33641742"/>
    <s v="Nihon shūkyō no shakaiteki seikaku"/>
    <s v="日本宗教の社會的性格"/>
    <s v="Oguchi, Iichi, 1910-1986"/>
    <s v="小口偉一, 1910-"/>
    <x v="131"/>
    <s v="n/a"/>
    <x v="3"/>
    <s v="東京大學出版會"/>
    <n v="1953"/>
    <s v="Religion ^ Japan  --  Religion ^ Japon  --  Religion"/>
    <n v="0"/>
    <m/>
    <m/>
  </r>
  <r>
    <n v="380"/>
    <m/>
    <m/>
    <m/>
    <x v="0"/>
    <m/>
    <m/>
    <s v="https://www.amazon.jp/dp/4809701956"/>
    <x v="0"/>
    <m/>
    <s v="n/a"/>
    <s v="n/a"/>
    <s v="y"/>
    <n v="9784809701955"/>
    <n v="4809701956"/>
    <n v="456700475"/>
    <s v="Nihon shozai Chōsen kinsei kirokurui kaidai"/>
    <s v="日本所在朝鮮近世記錄類解題"/>
    <s v="Tōyō Bunko (Japan) ^ Tōhoku Ajia Kenkyūhan"/>
    <s v="東洋文庫 (Japan) ^ 東北アジア研究班"/>
    <x v="2"/>
    <s v="n/a"/>
    <x v="27"/>
    <s v="東洋文庫"/>
    <n v="2009"/>
    <s v="Chōsen-Rekishi-Richō jidai-Shiryō-Shoshi ^ Kyōto Daigaku. Toshokan  --  Catalogs ^ History ^ Sources ^ 1637-1864 ^ Korea  --  History  --  1637-1864  --  Sources ^ Corée  --  Histoire  --  1637-1864  --  Sources"/>
    <n v="0"/>
    <m/>
    <m/>
  </r>
  <r>
    <n v="381"/>
    <m/>
    <m/>
    <m/>
    <x v="0"/>
    <m/>
    <m/>
    <s v="n/a"/>
    <x v="0"/>
    <m/>
    <s v="n/a"/>
    <s v="n/a"/>
    <s v="n/a"/>
    <s v="n/a"/>
    <s v="n/a"/>
    <n v="22825203"/>
    <s v="Nihonbun, Chūgokubun, Chōsenbun tō chikuji kankōbutsu mokuroku: shūzō kikan Tōyō Bunko, Tōkyō Daigaku Tōyō Bunka Kenkyūjo, Kyōto Daigaku Jinbun Kagaku Kenkyūjo"/>
    <s v="日本文・中国文・朝鮮文等逐次刊行物目錄: 収蔵機関 東洋文庫・東京大学東洋文化研究所・京都大学人文科学研究所"/>
    <s v="Tōkyō Daigaku ^ Tōyōgaku Bunken Sentā ^ Renraku Kyōgikai"/>
    <s v="東洋学文献センター ^ 連絡協議会"/>
    <x v="2"/>
    <s v="n/a"/>
    <x v="27"/>
    <s v="東洋文庫"/>
    <n v="1964"/>
    <s v="Japanese periodicals  --  Bibliography  --  Catalogs ^ Chinese periodicals  --  Bibliography  --  Catalogs ^ Korean periodicals  --  Bibliography  --  Catalogs ^ Périodiques japonais  --  Bibliographie  --  Catalogues ^ Périodiques chinois  --  Bibliographie  --  Catalogues ^ Périodiques  --  Bibliographie  --  Catalogues ^ Tōyō Bunko (Japan)  --  Catalogs ^ Tōkyō Daigaku. Tōyō Bunka Kenkyūjo  --  Catalogs ^ Kyōto Daigaku. Jinbun Kagaku Kenkyūjo  --  Catalogs ^ Bibliographies"/>
    <n v="0"/>
    <m/>
    <m/>
  </r>
  <r>
    <n v="382"/>
    <m/>
    <m/>
    <m/>
    <x v="0"/>
    <m/>
    <m/>
    <s v="n/a"/>
    <x v="0"/>
    <m/>
    <s v="n/a"/>
    <s v="n/a"/>
    <s v="n/a"/>
    <s v="n/a"/>
    <s v="n/a"/>
    <s v="BN07908947"/>
    <s v="Nihon kindaika to sono kokusaiteki kankyō: kenkyū hōkoku"/>
    <s v="日本近代化とその国際的環境 : 1967年度研究報告"/>
    <s v="n/a"/>
    <s v="日本近代化研究会"/>
    <x v="2"/>
    <s v="n/a"/>
    <x v="135"/>
    <s v="日本近代化研究会"/>
    <n v="1968"/>
    <s v="n/a"/>
    <n v="0"/>
    <m/>
    <m/>
  </r>
  <r>
    <n v="383"/>
    <m/>
    <m/>
    <m/>
    <x v="0"/>
    <m/>
    <m/>
    <s v="n/a"/>
    <x v="0"/>
    <m/>
    <s v="n/a"/>
    <s v="n/a"/>
    <s v="y"/>
    <s v="n/a"/>
    <s v="n/a"/>
    <n v="40630223"/>
    <s v="Nichiyō hyakkagata Setsuyōshū no tsukawarekata: jikoguchi shutakusō no densan gazō shori ni yoru shiyō ruikei sekishutsu no kokoromi"/>
    <s v="日用百科型節用集の使われかた: 地小口手沢相の電算画像処理による使用類型析出の試み"/>
    <s v="Yokoyama, Toshio, 1947- ^ Kojima, Mitsuhiro ^ Sugita, Shigeharu, 1939-"/>
    <s v="橫山俊夫, 1947- ^ 小島三弘. ^ 杉田繁治, 1939-"/>
    <x v="132"/>
    <s v="n/a"/>
    <x v="78"/>
    <s v="京都大学人文科学研究所"/>
    <n v="1998"/>
    <s v="Japanese language  --  Lexicography ^ Japonais (Langue)  --  Lexicographie ^ Eitai setsuyō mujinzō"/>
    <n v="0"/>
    <m/>
    <m/>
  </r>
  <r>
    <n v="384"/>
    <n v="3"/>
    <m/>
    <m/>
    <x v="0"/>
    <m/>
    <m/>
    <s v="n/a"/>
    <x v="0"/>
    <m/>
    <s v="n/a"/>
    <s v="n/a"/>
    <s v="y"/>
    <s v="n/a"/>
    <s v="n/a"/>
    <n v="41616694"/>
    <s v="Nichi-Sen-Shi no Shushigaku hikakujō no mondai josetsu: toku ni Shushigaku no shotokusei to Nichi-Sen e no denrai hikaku"/>
    <s v="日鮮支の朱子學比較上の問題序說: 特に朱子學の諸特性と日鮮への傳来比較"/>
    <s v="Abe, Yoshio, 1905-1978"/>
    <s v="阿部吉雄, 1905-"/>
    <x v="133"/>
    <s v="n/a"/>
    <x v="136"/>
    <s v="大東文化硏究所"/>
    <n v="1960"/>
    <s v="n/a"/>
    <n v="0"/>
    <m/>
    <m/>
  </r>
  <r>
    <n v="385"/>
    <m/>
    <m/>
    <m/>
    <x v="0"/>
    <m/>
    <m/>
    <s v="n/a"/>
    <x v="0"/>
    <m/>
    <s v="n/a"/>
    <s v="n/a"/>
    <s v="y"/>
    <s v="n/a"/>
    <s v="n/a"/>
    <n v="122861882"/>
    <s v="Mindai jugakusha ichiran: tsuketari sakuin"/>
    <s v="明代儒學者一覽: 附索引"/>
    <s v="Okada, Takehiko ^ Satō, Hitoshi, 1927-"/>
    <s v="岡田武彦, 1908- ^ 佐藤仁, 1927-"/>
    <x v="2"/>
    <s v="n/a"/>
    <x v="137"/>
    <s v="九州大學文學部"/>
    <n v="1957"/>
    <s v="Philosophers  --  China  --  Biography ^ Philosophes  --  Chine  --  Biographies"/>
    <n v="0"/>
    <m/>
    <m/>
  </r>
  <r>
    <n v="386"/>
    <m/>
    <m/>
    <m/>
    <x v="0"/>
    <m/>
    <s v="need to see item, insert/signed"/>
    <s v="n/a"/>
    <x v="0"/>
    <m/>
    <s v="n/a"/>
    <s v="n/a"/>
    <s v="n/a"/>
    <s v="n/a"/>
    <s v="n/a"/>
    <s v="BN01865025"/>
    <s v="Mindai shi ronsō: shimuzi hakushi tsuitō kinen"/>
    <s v="明代史論叢 : 清水博士追悼記念"/>
    <s v="n/a"/>
    <s v="中山八郎 [and others]"/>
    <x v="2"/>
    <s v="n/a"/>
    <x v="0"/>
    <s v="大安"/>
    <n v="1962"/>
    <s v="n/a"/>
    <n v="0"/>
    <m/>
    <m/>
  </r>
  <r>
    <n v="387"/>
    <n v="4"/>
    <m/>
    <m/>
    <x v="0"/>
    <m/>
    <s v="insert/signed"/>
    <s v="n/a"/>
    <x v="0"/>
    <m/>
    <s v="n/a"/>
    <s v="n/a"/>
    <s v="y"/>
    <s v="n/a"/>
    <s v="n/a"/>
    <n v="30730873"/>
    <s v="Mindai yōeki seido no tenkai"/>
    <s v="明代徭役制度の展開"/>
    <s v="Yamane, Yukio, 1921-2005"/>
    <s v="山根幸夫, 1921-"/>
    <x v="134"/>
    <s v="東京女子大学学会研究叢書 ; 4."/>
    <x v="138"/>
    <s v="東京女子大学学会"/>
    <n v="1994"/>
    <s v="Corvée  --  China  --  History  --  Ming dynasty, 1368-1644 ^ Feudalism  --  China  --  History ^ Facsimiles"/>
    <n v="0"/>
    <m/>
    <m/>
  </r>
  <r>
    <n v="388"/>
    <m/>
    <m/>
    <m/>
    <x v="0"/>
    <m/>
    <m/>
    <s v="n/a"/>
    <x v="0"/>
    <m/>
    <s v="n/a"/>
    <s v="n/a"/>
    <s v="y"/>
    <s v="n/a"/>
    <s v="n/a"/>
    <n v="23309850"/>
    <s v="Mindai shisō kenkyū: Mindai ni okeru Jukyō to Bukkyō no kōryū"/>
    <s v="明代思想研究: 明代における儒敎と佛敎の交流"/>
    <s v="Araki, Kengo, 1917-2017, ^ author"/>
    <s v="荒木見悟, 1917- ^ author"/>
    <x v="52"/>
    <s v="東洋學叢書."/>
    <x v="31"/>
    <s v="n/a"/>
    <n v="1972"/>
    <s v="Philosophy, Chinese  --  History ^ Confucianism  --  Relations  --  Buddhism ^ Buddhism  --  Relations  --  Confucianism ^ Philosophie chinoise  --  Histoire ^ Interfaith relations"/>
    <n v="0"/>
    <m/>
    <m/>
  </r>
  <r>
    <n v="389"/>
    <s v="31?"/>
    <m/>
    <m/>
    <x v="0"/>
    <m/>
    <m/>
    <s v="n/a"/>
    <x v="0"/>
    <m/>
    <s v="n/a"/>
    <s v="n/a"/>
    <s v="y"/>
    <s v="n/a"/>
    <s v="n/a"/>
    <n v="17959701"/>
    <s v="Mindai bunkashi kenkyū"/>
    <s v="明代文化史硏究"/>
    <s v="Mano, Senryū, 1923-1981"/>
    <s v="間野潛龍, 1923-1981. ^ 間野潜竜(1923-1981)"/>
    <x v="135"/>
    <s v="東洋史硏究叢刋 ; 31."/>
    <x v="75"/>
    <s v="同朋舎"/>
    <n v="1979"/>
    <s v="Civilization ^ History ^ 1368-1644 ^ China  --  Civilization ^ China  --  History  --  Ming dynasty, 1368-1644 ^ Chine  --  Civilisation ^ Chine  --  Histoire  --  1368-1644 (Dynastie des Ming)"/>
    <n v="0"/>
    <m/>
    <m/>
  </r>
  <r>
    <n v="390"/>
    <m/>
    <m/>
    <m/>
    <x v="0"/>
    <m/>
    <m/>
    <s v="n/a"/>
    <x v="0"/>
    <m/>
    <s v="n/a"/>
    <s v="n/a"/>
    <s v="y"/>
    <s v="n/a"/>
    <s v="n/a"/>
    <n v="24031849"/>
    <s v="Mindai Man-Mō shi kenkyū; Mindai Man-Mō shiryō kenkyū hen"/>
    <s v="明代滿蒙史研究; 明代滿蒙史料硏究篇"/>
    <s v="Tamura, Jitsuzō, 1904- ^ editor ^ n/a"/>
    <s v="田村實造, 1904- ^ editor"/>
    <x v="2"/>
    <s v="n/a"/>
    <x v="0"/>
    <s v="京都"/>
    <n v="1963"/>
    <s v="History ^ 1368-1644 ^ Manchuria (China)  --  History ^ Mongolia  --  History ^ China  --  History  --  Ming dynasty, 1368-1644 ^ Mongolie  --  Histoire ^ Chine  --  Histoire  --  1368-1644 (Dynastie des Ming) ^ China  --  Manchuria"/>
    <n v="0"/>
    <m/>
    <m/>
  </r>
  <r>
    <n v="391"/>
    <m/>
    <m/>
    <m/>
    <x v="0"/>
    <m/>
    <m/>
    <s v="n/a"/>
    <x v="0"/>
    <m/>
    <s v="n/a"/>
    <s v="n/a"/>
    <s v="n/a"/>
    <s v="n/a"/>
    <s v="n/a"/>
    <n v="21387685"/>
    <s v="Mindai basei no kenkyū"/>
    <s v="明代馬政の研究"/>
    <s v="Tani, Mitsutaka, 1920- ^ Tōyōshi Kenkyūkai (Kyoto)"/>
    <s v="東洋史硏究會 (Kyoto)"/>
    <x v="136"/>
    <s v="東洋史硏究叢刋 ; 26."/>
    <x v="68"/>
    <s v="東洋史硏究會"/>
    <n v="1972"/>
    <s v="Horse breeds  --  China  --  History ^ Chevaux  --  Races  --  Chine  --  Histoire ^ 1368-1644 ^ China  --  History  --  Ming dynasty, 1368-1644 ^ Chine  --  Histoire  --  1368-1644 (Dynastie des Ming)"/>
    <n v="0"/>
    <m/>
    <m/>
  </r>
  <r>
    <n v="392"/>
    <m/>
    <m/>
    <m/>
    <x v="0"/>
    <m/>
    <m/>
    <s v="n/a"/>
    <x v="0"/>
    <m/>
    <s v="n/a"/>
    <s v="n/a"/>
    <s v="n/a"/>
    <s v="n/a"/>
    <s v="n/a"/>
    <n v="1020998884"/>
    <s v="Minshi shokukanshi sakuinkō"/>
    <s v="明史職官志索引稿"/>
    <s v="Kyōto daigaku jinbun kagaku kenkyūjo rekishi kenkyūshitsu ^ Kyōto daigaku jinbun kagaku kenkyūsho"/>
    <s v="京都大学人文科学研究所歴史研究室"/>
    <x v="2"/>
    <s v="n/a"/>
    <x v="139"/>
    <s v="[京都大学人文科学研究所]"/>
    <n v="1972"/>
    <s v="Chūgoku  --  rekishi  --  minjidai"/>
    <n v="0"/>
    <m/>
    <m/>
  </r>
  <r>
    <n v="393"/>
    <n v="20"/>
    <m/>
    <m/>
    <x v="0"/>
    <m/>
    <s v="need to see item to know date"/>
    <s v="n/a"/>
    <x v="0"/>
    <m/>
    <s v="n/a"/>
    <s v="n/a"/>
    <s v="n/a"/>
    <s v="n/a"/>
    <s v="n/a"/>
    <s v="BN0119516X"/>
    <s v="Meii taihōroku: chūgoku kindai shisō no hōga"/>
    <s v="明夷待訪録 : 中国近代思想の萌芽"/>
    <s v="n/a"/>
    <s v="黄宗義, 西田太一郎訳"/>
    <x v="2"/>
    <s v="n/a"/>
    <x v="0"/>
    <s v="平凡社"/>
    <n v="1964"/>
    <s v="n/a"/>
    <n v="0"/>
    <m/>
    <m/>
  </r>
  <r>
    <n v="394"/>
    <n v="20"/>
    <m/>
    <m/>
    <x v="0"/>
    <m/>
    <s v="dupe of item 393"/>
    <s v="n/a"/>
    <x v="0"/>
    <m/>
    <s v="n/a"/>
    <s v="n/a"/>
    <s v="n/a"/>
    <s v="n/a"/>
    <s v="n/a"/>
    <s v="BN0119516X"/>
    <s v="Meii taihōroku: chūgoku kindai shisō no hōga"/>
    <s v="明夷待訪録 : 中国近代思想の萌芽"/>
    <s v="n/a"/>
    <s v="黄宗義, 西田太一郎訳"/>
    <x v="2"/>
    <s v="n/a"/>
    <x v="0"/>
    <s v="平凡社"/>
    <n v="1964"/>
    <s v="n/a"/>
    <n v="0"/>
    <m/>
    <m/>
  </r>
  <r>
    <n v="395"/>
    <n v="50"/>
    <m/>
    <m/>
    <x v="0"/>
    <m/>
    <m/>
    <s v="https://www.amazon.jp/dp/4810422682"/>
    <x v="0"/>
    <m/>
    <s v="n/a"/>
    <s v="n/a"/>
    <s v="n/a"/>
    <n v="9784810422689"/>
    <n v="4810422682"/>
    <n v="1021009109"/>
    <s v="Minki tōshakō: tōrintō to fukusha"/>
    <s v="明季党社考: 東林党と復社"/>
    <s v="Ono, Kazuko"/>
    <s v="小野, 和子(1932- )"/>
    <x v="137"/>
    <s v="東洋史研究叢刊 ; 50"/>
    <x v="0"/>
    <s v="同朋舎出版"/>
    <n v="1996"/>
    <s v="Chūgoku  --  rekishi  --  minjidai ^ Chūgoku  --  seiji  --  rekishi  --  minjidai ^ Chūgoku  --  seiji  --  rekishi  --  shinjidai"/>
    <n v="0"/>
    <m/>
    <m/>
  </r>
  <r>
    <n v="396"/>
    <m/>
    <m/>
    <m/>
    <x v="0"/>
    <m/>
    <m/>
    <s v="n/a"/>
    <x v="0"/>
    <m/>
    <s v="n/a"/>
    <s v="n/a"/>
    <s v="n/a"/>
    <s v="n/a"/>
    <s v="n/a"/>
    <n v="934750716"/>
    <s v="Minjidai jugaku no rinrigakuteki kenkyū"/>
    <s v="明時代儒学の倫理学的研"/>
    <s v="Yamamoto, Makoto"/>
    <s v="山本, 命"/>
    <x v="2"/>
    <s v="n/a"/>
    <x v="0"/>
    <s v="n/a"/>
    <n v="1974"/>
    <s v="n/a"/>
    <n v="0"/>
    <m/>
    <m/>
  </r>
  <r>
    <n v="397"/>
    <m/>
    <m/>
    <m/>
    <x v="0"/>
    <m/>
    <m/>
    <s v="n/a"/>
    <x v="0"/>
    <m/>
    <s v="n/a"/>
    <s v="n/a"/>
    <s v="n/a"/>
    <s v="n/a"/>
    <s v="n/a"/>
    <n v="672660229"/>
    <s v="Minmatsu shukyo shiso kenkyu"/>
    <s v="明末宗教思想研究: 管東溟の生涯とその思想"/>
    <s v="Araki, Kengo, 1917-2017"/>
    <s v="荒木, 見悟, 1917-2017"/>
    <x v="2"/>
    <s v="n/a"/>
    <x v="0"/>
    <s v="創文社"/>
    <n v="1979"/>
    <s v="Chugokushiso  --  Rekishi  --  Minjidai ^ Kan, Shido, 1536-1608 ^ Kan, Shidō"/>
    <n v="0"/>
    <m/>
    <m/>
  </r>
  <r>
    <n v="398"/>
    <m/>
    <m/>
    <m/>
    <x v="0"/>
    <m/>
    <m/>
    <s v="n/a"/>
    <x v="0"/>
    <m/>
    <s v="n/a"/>
    <s v="n/a"/>
    <s v="y"/>
    <s v="n/a"/>
    <s v="n/a"/>
    <n v="23652221"/>
    <s v="Minmatsu Shin shoki no kenkyū"/>
    <s v="明末淸初期の硏究"/>
    <s v="Iwami, Hiroshi, 1924- ^ Taniguchi, Kikuo, 1935-"/>
    <s v="岩見宏, 1924- ^ 谷口規矩雄, 1935-"/>
    <x v="2"/>
    <s v="n/a"/>
    <x v="78"/>
    <s v="京都大学人文科学硏究所"/>
    <n v="1989"/>
    <s v="Qing Dynasty (China) ^ History ^ 1368-1912 ^ China  --  History  --  Ming dynasty, 1368-1644 ^ China  --  History  --  Qing dynasty, 1644-1912 ^ Chine  --  Histoire  --  1368-1644 (Dynastie des Ming) ^ Chine  --  Histoire  --  1644-1912 (Dynastie mandchoue)"/>
    <n v="0"/>
    <m/>
    <m/>
  </r>
  <r>
    <n v="399"/>
    <n v="57"/>
    <m/>
    <m/>
    <x v="0"/>
    <m/>
    <m/>
    <s v="n/a"/>
    <x v="0"/>
    <m/>
    <s v="n/a"/>
    <s v="n/a"/>
    <s v="n/a"/>
    <n v="9784582312577"/>
    <n v="4582312578"/>
    <n v="33567334"/>
    <s v="Min matsu Shin sho seiji hyōronshū"/>
    <s v="明末淸初政治評論集"/>
    <s v="Gotō, Motomi, 1915-1977 ^ Yamanoi, Yū"/>
    <s v="後藤基巳, 1915-1977. ^ 山井湧"/>
    <x v="138"/>
    <s v="中国古典文学大系 ; 第57卷."/>
    <x v="25"/>
    <s v="平凡社"/>
    <n v="1971"/>
    <s v="Politics and government ^ 1368-1912 ^ China  --  Politics and government  --  1368-1644 ^ China  --  Politics and government  --  1644-1912 ^ Chine  --  Politique et gouvernement  --  1368-1644 ^ Chine  --  Politique et gouvernement  --  1644-1912"/>
    <n v="0"/>
    <m/>
    <m/>
  </r>
  <r>
    <n v="400"/>
    <m/>
    <m/>
    <m/>
    <x v="0"/>
    <m/>
    <m/>
    <s v="n/a"/>
    <x v="0"/>
    <m/>
    <s v="n/a"/>
    <s v="n/a"/>
    <s v="n/a"/>
    <s v="n/a"/>
    <s v="n/a"/>
    <n v="672533761"/>
    <s v="Min shin shisō to kirisutokyō"/>
    <s v="明清思想とキリスト教"/>
    <s v="Gotō, Motomi, 1915-"/>
    <s v="後藤, 基巳, 1915-"/>
    <x v="2"/>
    <s v="n/a"/>
    <x v="0"/>
    <s v="研文出版"/>
    <n v="1979"/>
    <s v="Chūgokushisō  --  Rekishi  --  Shinjidai ^ Chūgokushisō  --  Rekishi  --  Minjidai ^ Kirisutokyō  --  Chūgoku  --  Rekishi"/>
    <n v="0"/>
    <m/>
    <m/>
  </r>
  <r>
    <n v="401"/>
    <m/>
    <m/>
    <m/>
    <x v="0"/>
    <m/>
    <m/>
    <s v="n/a"/>
    <x v="0"/>
    <m/>
    <s v="n/a"/>
    <s v="n/a"/>
    <s v="y"/>
    <s v="n/a"/>
    <s v="n/a"/>
    <n v="9515423"/>
    <s v="Min Shin shisōshi no kenkyū"/>
    <s v="明清思想史の研究"/>
    <s v="Yamanoi, Yū"/>
    <s v="山井湧"/>
    <x v="2"/>
    <s v="n/a"/>
    <x v="3"/>
    <s v="東京大学出版会"/>
    <n v="1980"/>
    <s v="Intellectual life ^ 960-1912 ^ China  --  Intellectual life  --  960-1644 ^ China  --  Intellectual life  --  1644-1912 ^ Chine  --  Vie intellectuelle  --  960-1644 ^ Chine  --  Vie intellectuelle  --  1644-1912"/>
    <n v="0"/>
    <m/>
    <m/>
  </r>
  <r>
    <n v="402"/>
    <m/>
    <m/>
    <m/>
    <x v="0"/>
    <m/>
    <m/>
    <s v="n/a"/>
    <x v="0"/>
    <m/>
    <s v="n/a"/>
    <s v="n/a"/>
    <s v="y"/>
    <s v="n/a"/>
    <s v="n/a"/>
    <n v="15403884"/>
    <s v="Min Shin jidai no seiji to shakai"/>
    <s v="明清時代の政治と社会"/>
    <s v="Ono, Kazuko, 1932-"/>
    <s v="小野和子, 1932-"/>
    <x v="2"/>
    <s v="n/a"/>
    <x v="78"/>
    <s v="京都大学人文科学研究所"/>
    <n v="1983"/>
    <s v="Politics and government ^ Qing Dynasty (China) ^ History ^ 1368-1912 ^ China  --  History  --  Ming dynasty, 1368-1644 ^ China  --  History  --  Qing dynasty, 1644-1912 ^ China  --  Politics and government  --  1368-1644 ^ China  --  Politics and government  --  1644-1912 ^ Chine  --  Histoire  --  1368-1644 (Dynastie des Ming) ^ Chine  --  Histoire  --  1644-1912 (Dynastie mandchoue) ^ Chine  --  Politique et gouvernement  --  1368-1644 ^ Chine  --  Politique et gouvernement  --  1644-1912"/>
    <n v="0"/>
    <m/>
    <m/>
  </r>
  <r>
    <n v="403"/>
    <m/>
    <m/>
    <m/>
    <x v="0"/>
    <m/>
    <s v="insert/signed"/>
    <s v="n/a"/>
    <x v="0"/>
    <m/>
    <s v="n/a"/>
    <s v="n/a"/>
    <s v="n/a"/>
    <s v="n/a"/>
    <s v="n/a"/>
    <n v="674033906"/>
    <s v="Min shin jidai no kagaku gijutsushi"/>
    <s v="明清時代の科学技術史"/>
    <s v="Yabūchi, Kiyoshi, 1906-2000 ^ Yoshida, Mitsukuni, 1921-1991 ^ Kyōto Daigaku Jinbun Kagaku Kenkyūjo"/>
    <s v="京都大学人文科学研究所"/>
    <x v="2"/>
    <s v="n/a"/>
    <x v="0"/>
    <s v="京都大学人文科学研究所"/>
    <n v="1970"/>
    <s v="Kagakugijutsu  --  Chūgoku  --  Rekishi"/>
    <n v="0"/>
    <m/>
    <m/>
  </r>
  <r>
    <n v="404"/>
    <m/>
    <m/>
    <m/>
    <x v="0"/>
    <m/>
    <m/>
    <s v="n/a"/>
    <x v="0"/>
    <m/>
    <s v="n/a"/>
    <s v="n/a"/>
    <s v="y"/>
    <s v="n/a"/>
    <s v="n/a"/>
    <n v="23323488"/>
    <s v="Min Shin jidai shoin no kenkyū"/>
    <s v="明清時代書院の研究"/>
    <s v="Ōkubo, Hideko"/>
    <s v="大久保英子"/>
    <x v="2"/>
    <s v="n/a"/>
    <x v="83"/>
    <s v="国書刋行会"/>
    <n v="1976"/>
    <s v="Education  --  China  --  History ^ Learned institutions and societies  --  China  --  History ^ Sociétés savantes et instituts  --  Chine  --  Histoire"/>
    <n v="0"/>
    <m/>
    <m/>
  </r>
  <r>
    <n v="405"/>
    <m/>
    <m/>
    <m/>
    <x v="0"/>
    <m/>
    <m/>
    <s v="n/a"/>
    <x v="0"/>
    <m/>
    <s v="n/a"/>
    <s v="n/a"/>
    <s v="n/a"/>
    <n v="9784120037443"/>
    <n v="4120037444"/>
    <n v="70801400"/>
    <s v="Kinō no senchi kara: Beigun Nihongo shōkō ga mita shūsen chokugo no Ajia"/>
    <s v="昨日の戦地から: 米軍日本語将校が見た終戦直後のアジア"/>
    <s v="Keene, Donald ^ Matsumiya, Shirō"/>
    <s v="松宮史朗"/>
    <x v="2"/>
    <s v="n/a"/>
    <x v="140"/>
    <s v="中央公論新社"/>
    <n v="2006"/>
    <s v="World War, 1939-1945  --  Destruction and pillage  --  East Asia ^ World War, 1939-1945  --  Personal narratives, American ^ World War, 1939-1945  --  Atrocities ^ Sailors  --  United States  --  Correspondence ^ Guerre mondiale, 1939-1945  --  Atrocités ^ Marins  --  États-Unis  --  Correspondance ^ Armed Forces  --  Officers ^ United States. Navy  --  Officers  --  Correspondence ^ United States. Navy. Joint Intelligence Center, Pacific Ocean Areas  --  Biography ^ Biographies ^ Personal narratives  --  American ^ Personal correspondence ^ 1939 - 1945"/>
    <n v="0"/>
    <m/>
    <m/>
  </r>
  <r>
    <n v="406"/>
    <m/>
    <m/>
    <m/>
    <x v="0"/>
    <m/>
    <m/>
    <s v="n/a"/>
    <x v="0"/>
    <m/>
    <s v="n/a"/>
    <s v="n/a"/>
    <s v="n/a"/>
    <s v="n/a"/>
    <s v="n/a"/>
    <s v="n/a"/>
    <s v="n/a"/>
    <s v="晦庵先生朱文公文集 : 和刻本漢籍 (上,下,人名索引)"/>
    <s v="n/a"/>
    <s v="朱熹撰"/>
    <x v="2"/>
    <s v="n/a"/>
    <x v="91"/>
    <s v="中文出版社"/>
    <n v="1977"/>
    <s v="n/a"/>
    <n v="0"/>
    <m/>
    <m/>
  </r>
  <r>
    <n v="407"/>
    <m/>
    <m/>
    <m/>
    <x v="0"/>
    <m/>
    <m/>
    <s v="n/a"/>
    <x v="0"/>
    <m/>
    <s v="n/a"/>
    <s v="n/a"/>
    <s v="y"/>
    <s v="n/a"/>
    <s v="n/a"/>
    <n v="33624519"/>
    <s v="Kaian Sensei Shu Bunkō bunshū jinmei sakuin"/>
    <s v="晦庵先生朱文公文集人名索引"/>
    <s v="Satō, Hitoshi, 1927 November 23-"/>
    <s v="佐藤仁, 1927 ^ Nov. ^ 23-"/>
    <x v="2"/>
    <s v="n/a"/>
    <x v="91"/>
    <s v="中文出版社"/>
    <n v="1977"/>
    <s v="Zhu, Xi, 1130-1200. Hui'an xian sheng Zhu Wengong wen ji  --  Indexes"/>
    <n v="0"/>
    <m/>
    <m/>
  </r>
  <r>
    <n v="408"/>
    <m/>
    <m/>
    <m/>
    <x v="0"/>
    <m/>
    <m/>
    <s v="n/a"/>
    <x v="0"/>
    <m/>
    <s v="n/a"/>
    <s v="n/a"/>
    <s v="n/a"/>
    <s v="n/a"/>
    <s v="n/a"/>
    <n v="50982029"/>
    <s v="Shoin to yobareta Nihon no gakkō"/>
    <s v="書院と呼ばれた日本の学校"/>
    <s v="Hirasaka, Kenji, 1919-"/>
    <s v="平坂謙二, 1919-"/>
    <x v="2"/>
    <s v="n/a"/>
    <x v="141"/>
    <s v="平坂謙二"/>
    <n v="1996"/>
    <s v="Education  --  Japan  --  History  --  1600-1868 ^ Schools  --  Japan  --  History ^ Éducation  --  Japon  --  Histoire  --  1600-1868 ^ Écoles  --  Japon  --  Histoire"/>
    <n v="0"/>
    <m/>
    <m/>
  </r>
  <r>
    <n v="409"/>
    <n v="42"/>
    <m/>
    <m/>
    <x v="0"/>
    <m/>
    <m/>
    <s v="n/a"/>
    <x v="0"/>
    <m/>
    <s v="n/a"/>
    <s v="n/a"/>
    <s v="n/a"/>
    <s v="n/a"/>
    <s v="n/a"/>
    <n v="834437817"/>
    <s v="Tsukida mōsai kusumoto tanzan"/>
    <s v="月田蒙斎・楠本端山"/>
    <s v="Nanba, Yukio, 1945- ^ Okada, Takehiko, 1908-2004"/>
    <s v="難波征男, 1945- ^ 岡田武彦, 1908-2004"/>
    <x v="139"/>
    <s v="n/a"/>
    <x v="13"/>
    <s v="明徳出版社"/>
    <n v="1978"/>
    <s v="Tsukida, Mōsai, 1807-1866 ^ Kusumoto, Tanzan, 1828-1883"/>
    <n v="0"/>
    <m/>
    <m/>
  </r>
  <r>
    <n v="410"/>
    <m/>
    <m/>
    <m/>
    <x v="0"/>
    <m/>
    <s v="rare?"/>
    <s v="n/a"/>
    <x v="0"/>
    <m/>
    <s v="n/a"/>
    <s v="n/a"/>
    <s v="n/a"/>
    <s v="n/a"/>
    <s v="n/a"/>
    <n v="33785653"/>
    <s v="Chōsen zenkyōshi"/>
    <s v="朝鮮禪敎史"/>
    <s v="Nukariya, Kaiten, 1867-1934"/>
    <s v="忽滑谷快天, 1867-1934"/>
    <x v="2"/>
    <s v="n/a"/>
    <x v="93"/>
    <s v="春秋社"/>
    <n v="1930"/>
    <s v="n/a"/>
    <n v="0"/>
    <m/>
    <m/>
  </r>
  <r>
    <n v="411"/>
    <n v="44"/>
    <m/>
    <m/>
    <x v="0"/>
    <m/>
    <m/>
    <s v="n/a"/>
    <x v="0"/>
    <m/>
    <s v="n/a"/>
    <s v="n/a"/>
    <s v="n/a"/>
    <s v="n/a"/>
    <s v="n/a"/>
    <n v="833327942"/>
    <s v="Honda toshiaki kaiho seiryō"/>
    <s v="本多利明・海保青陵"/>
    <s v="Honda, Toshiaki, 1744-1821 ^ Kaiho, Seiryō, 1755-1817 ^ Tsukatani, Akihiro, 1919-1995 ^ Kuranami, Seiji, 1925-"/>
    <s v="本多利明, 1744-1821. ^ 海保青陵, 1755-1817. ^ 塚谷晃弘, 1919-1995. ^ 蔵並省自, 1925-"/>
    <x v="140"/>
    <s v="日本思想大系 ; 44."/>
    <x v="98"/>
    <s v="岩波書店"/>
    <n v="1970"/>
    <s v="Honda, Toshiaki, 1744-1821 ^ Kaiho, Seiryō, 1755-1817"/>
    <n v="0"/>
    <m/>
    <m/>
  </r>
  <r>
    <n v="412"/>
    <n v="9"/>
    <m/>
    <m/>
    <x v="0"/>
    <m/>
    <m/>
    <s v="n/a"/>
    <x v="0"/>
    <m/>
    <s v="n/a"/>
    <s v="n/a"/>
    <s v="n/a"/>
    <s v="n/a"/>
    <s v="n/a"/>
    <n v="917310426"/>
    <s v="Shu Genshō"/>
    <s v="朱元璋"/>
    <s v="Taniguchi, Kikuo"/>
    <s v="谷口, 規矩雄"/>
    <x v="141"/>
    <s v="中国人物叢書 : 第1期 ; 9"/>
    <x v="142"/>
    <s v="人物往来社"/>
    <n v="1966"/>
    <s v="Ming Taizu China, Kaiser 1328-1398 ^ Biografie"/>
    <n v="0"/>
    <m/>
    <m/>
  </r>
  <r>
    <n v="413"/>
    <n v="19"/>
    <m/>
    <m/>
    <x v="0"/>
    <m/>
    <s v="insert/signed"/>
    <s v="n/a"/>
    <x v="0"/>
    <m/>
    <s v="n/a"/>
    <s v="n/a"/>
    <s v="y"/>
    <s v="n/a"/>
    <s v="n/a"/>
    <n v="28235083"/>
    <s v="Shushi"/>
    <s v="朱子"/>
    <s v="Miura, Kunio, 1941-"/>
    <s v="三浦国雄, 1941-"/>
    <x v="142"/>
    <s v="n/a"/>
    <x v="1"/>
    <s v="講談社"/>
    <n v="1979"/>
    <s v="Neo-Confucianism ^ Néo-confucianisme ^ Zhu, Xi, 1130-1200"/>
    <n v="0"/>
    <m/>
    <m/>
  </r>
  <r>
    <n v="414"/>
    <n v="4"/>
    <m/>
    <m/>
    <x v="0"/>
    <m/>
    <m/>
    <s v="n/a"/>
    <x v="0"/>
    <m/>
    <s v="n/a"/>
    <s v="n/a"/>
    <s v="y"/>
    <s v="n/a"/>
    <s v="n/a"/>
    <n v="41456281"/>
    <s v="Bunshū gorui shō"/>
    <s v="文集・語類抄"/>
    <s v="Zhu, Xi, 1130-1200 ^ Araki, Kengo, 1917-2017 ^ Wang, Yangming, 1472-1529 ^ Chuan xi lu.; Japanese"/>
    <s v="朱熹, 1130-1200. ^ 荒木見悟, 1917- ^ 王陽明, 1472-1529. ^ 伝習錄. ^ Japanese"/>
    <x v="143"/>
    <s v="世界の名著. 続 ; 4."/>
    <x v="2"/>
    <s v="中央公論社"/>
    <n v="1974"/>
    <s v="n/a"/>
    <n v="0"/>
    <m/>
    <m/>
  </r>
  <r>
    <n v="415"/>
    <m/>
    <m/>
    <m/>
    <x v="0"/>
    <m/>
    <m/>
    <s v="n/a"/>
    <x v="0"/>
    <m/>
    <s v="n/a"/>
    <s v="n/a"/>
    <s v="n/a"/>
    <n v="9784389441241"/>
    <n v="4389441248"/>
    <n v="1035566259"/>
    <s v="Shushi to o yomei: Shinjugaku to daigaku no rinen"/>
    <s v="朱子と王陽明: 新儒学と大学の理念"/>
    <s v="Mano, Senryu, 1923-1981"/>
    <s v="間野, 潜竜, 1923-1981"/>
    <x v="144"/>
    <s v="n/a"/>
    <x v="0"/>
    <s v="清水書院"/>
    <n v="2018"/>
    <s v="Shu, Ki, 1130-1200 ^ O, Shujin, 1472-1528"/>
    <n v="0"/>
    <m/>
    <m/>
  </r>
  <r>
    <n v="416"/>
    <m/>
    <m/>
    <m/>
    <x v="0"/>
    <m/>
    <m/>
    <s v="n/a"/>
    <x v="0"/>
    <m/>
    <s v="n/a"/>
    <s v="n/a"/>
    <s v="y"/>
    <s v="n/a"/>
    <s v="n/a"/>
    <n v="37284705"/>
    <s v="Shushi no rinri shisō: zoku Shushi no jissen tetsugaku"/>
    <s v="朱子の倫理思想: 続朱子の実践哲学"/>
    <s v="Gotō Toshimizu, 1893-"/>
    <s v="後藤俊瑞, 1927-"/>
    <x v="2"/>
    <s v="n/a"/>
    <x v="143"/>
    <s v="後藤俊瑞博士遺稿刊行会"/>
    <n v="1964"/>
    <s v="Confucian ethics ^ Morale confucéenne ^ Zhu, Xi, 1130-1200  --  Ethics"/>
    <n v="0"/>
    <m/>
    <m/>
  </r>
  <r>
    <n v="417"/>
    <m/>
    <m/>
    <m/>
    <x v="0"/>
    <m/>
    <m/>
    <s v="n/a"/>
    <x v="0"/>
    <m/>
    <s v="n/a"/>
    <s v="n/a"/>
    <s v="n/a"/>
    <n v="9784582841077"/>
    <n v="4582841074"/>
    <n v="674339904"/>
    <s v="Shushigaku to jiyū no dentō"/>
    <s v="朱子学と自由の伝統"/>
    <s v="De Bary, William Theodore, 1918- ^ Yamaguchi, Hisakazu, 1948-"/>
    <s v="山口, 久和, 1948-"/>
    <x v="2"/>
    <s v="n/a"/>
    <x v="0"/>
    <s v="平凡社"/>
    <n v="1987"/>
    <s v="Shushigaku ^ Jiyūshugi  --  Chūgoku  --  Rekishi ^ Jiyushugi ^ Jiyushugi  -- "/>
    <n v="0"/>
    <m/>
    <m/>
  </r>
  <r>
    <n v="418"/>
    <n v="1"/>
    <m/>
    <m/>
    <x v="0"/>
    <m/>
    <m/>
    <s v="n/a"/>
    <x v="0"/>
    <m/>
    <s v="n/a"/>
    <s v="n/a"/>
    <s v="n/a"/>
    <s v="n/a"/>
    <s v="n/a"/>
    <n v="11871999"/>
    <s v="Shushigaku nyūmon"/>
    <s v="朱子學入門"/>
    <s v="Morohashi, Tetsuji, 1883-1982 ^ Yasuoka, Masahiro, 1898-1983"/>
    <s v="諸橋轍次, 1883-1982 ^ 安岡正篤, 1898-"/>
    <x v="145"/>
    <s v="n/a"/>
    <x v="13"/>
    <s v="明德出版社"/>
    <n v="1974"/>
    <s v="Zhu, Xi, 1130-1200"/>
    <n v="0"/>
    <m/>
    <m/>
  </r>
  <r>
    <n v="419"/>
    <m/>
    <m/>
    <m/>
    <x v="0"/>
    <m/>
    <m/>
    <s v="n/a"/>
    <x v="0"/>
    <m/>
    <s v="n/a"/>
    <s v="n/a"/>
    <s v="n/a"/>
    <s v="n/a"/>
    <s v="n/a"/>
    <n v="673136807"/>
    <s v="Shushigakuteki shii"/>
    <s v="朱子学的思惟: 中国思想史における伝統と革新"/>
    <s v="Arita, Kazuo, 1934- ^ Oshima, Akira, 1946-2015"/>
    <s v="有田, 和夫, 1934- ^ 大島, 晃, 1946-2015"/>
    <x v="2"/>
    <s v="n/a"/>
    <x v="0"/>
    <s v="汲古書院"/>
    <n v="1990"/>
    <s v="Shushigaku ^ Chugokushiso  --  Rekishi ^ Chūgokushisō  --  Rekishi"/>
    <n v="0"/>
    <m/>
    <m/>
  </r>
  <r>
    <n v="422"/>
    <n v="6"/>
    <m/>
    <m/>
    <x v="0"/>
    <m/>
    <m/>
    <s v="n/a"/>
    <x v="0"/>
    <m/>
    <s v="n/a"/>
    <s v="n/a"/>
    <s v="n/a"/>
    <s v="n/a"/>
    <s v="n/a"/>
    <n v="17037898"/>
    <s v="Shushi gorui"/>
    <s v="朱子語類"/>
    <s v="Zhu, Xi, 1130-1200 ^ Okada, Takehiko"/>
    <s v="朱熹, 1130-1200. ^ 岡田武彥"/>
    <x v="27"/>
    <s v="n/a"/>
    <x v="13"/>
    <s v="明徳出版社"/>
    <n v="1981"/>
    <s v="Zhu, Xi, 1130-1200. Chu-tzu yü lei"/>
    <n v="0"/>
    <m/>
    <m/>
  </r>
  <r>
    <n v="423"/>
    <m/>
    <m/>
    <m/>
    <x v="0"/>
    <m/>
    <m/>
    <s v="n/a"/>
    <x v="0"/>
    <m/>
    <s v="n/a"/>
    <s v="n/a"/>
    <s v="n/a"/>
    <s v="n/a"/>
    <s v="n/a"/>
    <n v="37284752"/>
    <s v="Shushi gorui kōkanki: So no ichi"/>
    <s v="朱子語類校勘記. 其の一"/>
    <s v="Zhu, Xi, 1130-1200 ^ Kyūshū Daigaku ^ Bungakubu ^ Sōmin Shisō Kenkyū kai"/>
    <s v="九州大学 ^ 文学部 ^ 宋明思想研究会"/>
    <x v="2"/>
    <s v="n/a"/>
    <x v="137"/>
    <s v="九州大学文学部"/>
    <s v="1900s"/>
    <s v="Zhu, Xi, 1130-1200. Chu-tzu yü lei"/>
    <n v="0"/>
    <m/>
    <m/>
  </r>
  <r>
    <n v="424"/>
    <m/>
    <m/>
    <m/>
    <x v="0"/>
    <m/>
    <s v="not in worldcat"/>
    <s v="n/a"/>
    <x v="0"/>
    <m/>
    <s v="n/a"/>
    <s v="n/a"/>
    <s v="n/a"/>
    <s v="n/a"/>
    <s v="n/a"/>
    <s v="n/a"/>
    <s v="n/a"/>
    <s v="朱子論語集注残稿"/>
    <s v="n/a"/>
    <s v="n/a"/>
    <x v="2"/>
    <s v="n/a"/>
    <x v="0"/>
    <s v="長尾雨山?"/>
    <n v="1918"/>
    <s v="n/a"/>
    <n v="0"/>
    <m/>
    <m/>
  </r>
  <r>
    <n v="425"/>
    <n v="3"/>
    <m/>
    <m/>
    <x v="0"/>
    <m/>
    <s v="insert/signed"/>
    <s v="n/a"/>
    <x v="0"/>
    <m/>
    <s v="n/a"/>
    <s v="n/a"/>
    <s v="y"/>
    <s v="n/a"/>
    <s v="n/a"/>
    <n v="26597837"/>
    <s v="Shushi shū"/>
    <s v="朱子集"/>
    <s v="Zhu, Xi, 1130-1200 ^ Yoshikawa, Kōjirō, 1904-1980 ^ Miura, Kunio, 1944-"/>
    <s v="朱熹, 1130-1200. ^ 吉川幸次郎, 1904-1980. ^ 三浦国雄, 1944-"/>
    <x v="146"/>
    <s v="n/a"/>
    <x v="41"/>
    <s v="朝日新聞社"/>
    <n v="1976"/>
    <s v="Zhu, Xi, 1130-1200  --  Quotations ^ Zhu, Xi, 1130-1200. Zhuzu yu lei"/>
    <n v="0"/>
    <m/>
    <m/>
  </r>
  <r>
    <n v="426"/>
    <m/>
    <m/>
    <m/>
    <x v="0"/>
    <m/>
    <m/>
    <s v="n/a"/>
    <x v="0"/>
    <m/>
    <s v="n/a"/>
    <s v="n/a"/>
    <s v="n/a"/>
    <s v="n/a"/>
    <s v="n/a"/>
    <n v="835697944"/>
    <s v="Shu ki to ō yōmei: mono to kokoro to ri no hikaku shisōron"/>
    <s v="朱熹と王陽明: 物と心と理の比較思想論"/>
    <s v="Takahashi, Susumu, 1928- , rinrigaku"/>
    <s v="高橋進, 1928- ^ , 倫理学"/>
    <x v="2"/>
    <s v="n/a"/>
    <x v="144"/>
    <s v="国書刊行会"/>
    <n v="1977"/>
    <s v="Shu, Ki, 1130-1200 ^ Ō, Yōmei, 1472-1528"/>
    <n v="0"/>
    <m/>
    <m/>
  </r>
  <r>
    <n v="427"/>
    <m/>
    <m/>
    <m/>
    <x v="0"/>
    <m/>
    <m/>
    <s v="n/a"/>
    <x v="0"/>
    <m/>
    <s v="n/a"/>
    <s v="n/a"/>
    <s v="y"/>
    <n v="9784891740849"/>
    <n v="4891740841"/>
    <n v="22847166"/>
    <s v="Shu Ki shitchū Rongo zen'yaku"/>
    <s v="朱熹集註論語全訳"/>
    <s v="Ozawa, Seimei, 1921- ^ Zhu, Xi, 1130-1200 ^ Lun yu huo wen.; Japanese.Confucius ^ Lun yu.; Japanese"/>
    <s v="小澤正明, 1921- ^ 朱熹, 1130-1200. ^ 論語集註. ^ Japanese. ^ Confucius. ^ 論語."/>
    <x v="2"/>
    <s v="n/a"/>
    <x v="145"/>
    <s v="白帝社"/>
    <n v="1988"/>
    <s v="Zhu, Xi, 1130-1200. Lun yu huo wen ^ Confucius. Lun yu ^ Lun yu (Confucius) ^ Lun yu huo wen (Zhu, Xi)"/>
    <n v="0"/>
    <m/>
    <m/>
  </r>
  <r>
    <n v="428"/>
    <m/>
    <m/>
    <m/>
    <x v="0"/>
    <m/>
    <m/>
    <s v="n/a"/>
    <x v="0"/>
    <m/>
    <s v="n/a"/>
    <s v="n/a"/>
    <s v="y"/>
    <s v="n/a"/>
    <s v="n/a"/>
    <n v="23189907"/>
    <s v="Richō kōnōsei no kenkyū"/>
    <s v="李朝貢納制の研究"/>
    <s v="Tagawa, Kōzō, 1909-1988"/>
    <s v="田川孝三, 1909-"/>
    <x v="147"/>
    <s v="東洋文庫論叢 ; 第47"/>
    <x v="0"/>
    <s v="東京"/>
    <n v="1964"/>
    <s v="Taxation  --  Korea  --  History ^ Impôt  --  Corée  --  Histoire"/>
    <n v="0"/>
    <m/>
    <m/>
  </r>
  <r>
    <n v="429"/>
    <m/>
    <m/>
    <m/>
    <x v="0"/>
    <m/>
    <m/>
    <s v="n/a"/>
    <x v="0"/>
    <m/>
    <s v="n/a"/>
    <s v="n/a"/>
    <s v="n/a"/>
    <s v="n/a"/>
    <s v="n/a"/>
    <n v="1051199381"/>
    <s v="Ri taikei to kei no tetsugaku"/>
    <s v="李退渓と敬の哲学"/>
    <s v="Takahashi, Susumu, 1928-2010"/>
    <s v="高橋, 進, 1928-2010"/>
    <x v="2"/>
    <s v="n/a"/>
    <x v="146"/>
    <s v="東洋書院"/>
    <n v="1985"/>
    <s v="Ri, Ko, 1501-1570"/>
    <n v="0"/>
    <m/>
    <m/>
  </r>
  <r>
    <n v="430"/>
    <m/>
    <m/>
    <m/>
    <x v="0"/>
    <m/>
    <s v="insert/signed"/>
    <s v="n/a"/>
    <x v="0"/>
    <m/>
    <s v="n/a"/>
    <s v="n/a"/>
    <s v="n/a"/>
    <s v="n/a"/>
    <s v="n/a"/>
    <n v="673036417"/>
    <s v="Ri taikei shōden"/>
    <s v="李退渓小伝"/>
    <s v="Chon, Bisoku, 1911- ^ Takashima, Yoshirō, 1951-"/>
    <s v="鄭, 飛石, 1911- ^ 高島, 淑郎, 1951-"/>
    <x v="2"/>
    <s v="n/a"/>
    <x v="147"/>
    <s v="[多田屋]"/>
    <n v="1979"/>
    <s v="Ri, Kō"/>
    <n v="0"/>
    <m/>
    <m/>
  </r>
  <r>
    <n v="431"/>
    <n v="28"/>
    <m/>
    <m/>
    <x v="0"/>
    <m/>
    <s v="only volume 28"/>
    <s v="n/a"/>
    <x v="0"/>
    <m/>
    <s v="n/a"/>
    <s v="n/a"/>
    <s v="n/a"/>
    <n v="9784480203281"/>
    <n v="4480203281"/>
    <n v="959665352"/>
    <s v="Toho"/>
    <s v="杜甫"/>
    <s v="To, Ho ^ Yoshikawa, Kojiro"/>
    <s v="杜, 甫 ^ 吉川, 幸次郎"/>
    <x v="148"/>
    <s v="n/a"/>
    <x v="0"/>
    <s v="筑摩書房"/>
    <s v="1967-1972"/>
    <s v="To,ho(712-770)"/>
    <n v="0"/>
    <m/>
    <m/>
  </r>
  <r>
    <n v="432"/>
    <m/>
    <m/>
    <m/>
    <x v="0"/>
    <m/>
    <m/>
    <s v="n/a"/>
    <x v="0"/>
    <m/>
    <s v="n/a"/>
    <s v="n/a"/>
    <s v="y"/>
    <s v="n/a"/>
    <s v="n/a"/>
    <n v="23760817"/>
    <s v="Tōa bunkashi sokō"/>
    <s v="東亜文化史叢考"/>
    <s v="Ishida, Mikinosuke, 1891-1974"/>
    <s v="石田幹之助, 1891-"/>
    <x v="149"/>
    <s v="東洋文庫論叢, 第54"/>
    <x v="0"/>
    <s v="東京"/>
    <n v="1973"/>
    <s v="Civilization ^ East Asia  --  Civilization ^ Extrême-Orient  --  Civilisation"/>
    <n v="0"/>
    <m/>
    <m/>
  </r>
  <r>
    <n v="433"/>
    <m/>
    <m/>
    <m/>
    <x v="0"/>
    <m/>
    <s v="need to see item"/>
    <s v="n/a"/>
    <x v="0"/>
    <m/>
    <s v="n/a"/>
    <s v="n/a"/>
    <s v="n/a"/>
    <s v="n/a"/>
    <s v="n/a"/>
    <n v="45669975"/>
    <s v="Tōa shi kenkyū"/>
    <s v="東亞史研究"/>
    <s v="Wada, Sei, 1890-1963"/>
    <s v="和田淸, 1890- ^ 和田, 清(1890-1963)"/>
    <x v="150"/>
    <s v="n/a"/>
    <x v="27"/>
    <s v="東洋文庫"/>
    <s v="1955- "/>
    <s v="East Asia  --  History ^ Extrême-Orient  --  Histoire"/>
    <n v="0"/>
    <m/>
    <m/>
  </r>
  <r>
    <n v="434"/>
    <m/>
    <m/>
    <m/>
    <x v="0"/>
    <m/>
    <m/>
    <s v="n/a"/>
    <x v="0"/>
    <m/>
    <s v="n/a"/>
    <s v="n/a"/>
    <s v="n/a"/>
    <s v="n/a"/>
    <s v="n/a"/>
    <n v="863788946"/>
    <s v="Tōkyō Daigaku Bungakubu Chūgoku Tetsugaku Chūgoku Bungaku Kenkyūshitsu zōsho mokuroku: tsuketari shomei jinmei tsūken"/>
    <s v="東京大学文学部中国哲学中国文学研究室叢書目録: つきたり書名人名通研"/>
    <s v="Tōkyō Daigaku. Bungakubu. Chūgoku Tetsugaku Chūgoku Bungaku Kenkyūshitsu"/>
    <s v="n/a"/>
    <x v="151"/>
    <s v="n/a"/>
    <x v="148"/>
    <s v="n/a"/>
    <s v="1965, ?"/>
    <s v="Chinese literature  --  Bibliography  --  Catalogs ^ Philosophy, Chinese  --  Bibliography  --  Catalogs ^ Littérature chinoise  --  Bibliographie  --  Catalogues ^ Philosophie chinoise  --  Bibliographie  --  Catalogues ^ Philosophie  --  Chine  --  Bibliographie ^ Tōkyō Daigaku. Bungakubu. Chūgoku Tetsugaku Chūgoku Bungaku Kenkyūshitsu  --  Catalogs ^ Bibliographies"/>
    <n v="0"/>
    <m/>
    <m/>
  </r>
  <r>
    <n v="435"/>
    <m/>
    <m/>
    <m/>
    <x v="0"/>
    <m/>
    <m/>
    <s v="n/a"/>
    <x v="0"/>
    <m/>
    <s v="n/a"/>
    <s v="n/a"/>
    <s v="n/a"/>
    <s v="n/a"/>
    <s v="n/a"/>
    <n v="674049443"/>
    <s v="Tōhoku daigaku shozō wakanjo koten bunrui mokuroku: kanseki(shibu)"/>
    <s v="東北大学所蔵和漢書古典分類目錄. 漢籍子部・集部・叢書部・附錄"/>
    <s v="Tōhoku Daigaku Fuzoku Toshokan"/>
    <s v="東北大学附属図書館"/>
    <x v="2"/>
    <s v="n/a"/>
    <x v="0"/>
    <s v="東北大学附属図書館"/>
    <n v="1975"/>
    <s v="Zōshomokuroku"/>
    <n v="0"/>
    <m/>
    <m/>
  </r>
  <r>
    <n v="436"/>
    <m/>
    <m/>
    <m/>
    <x v="0"/>
    <m/>
    <m/>
    <s v="n/a"/>
    <x v="0"/>
    <m/>
    <s v="n/a"/>
    <s v="n/a"/>
    <s v="n/a"/>
    <s v="n/a"/>
    <s v="n/a"/>
    <n v="33567677"/>
    <s v="Tōhoku daigaku shozō wakanjo koten bunrui mokuroku: ()"/>
    <s v="東北大学所蔵和漢書古典分類目錄. 漢籍 経部・史部"/>
    <s v="Tōhoku Daigakufuzoku Toshokan"/>
    <s v="東北大学 ^ 附属図書館"/>
    <x v="2"/>
    <s v="n/a"/>
    <x v="149"/>
    <s v="東北大学附属図書館"/>
    <n v="1974"/>
    <s v="n/a"/>
    <n v="0"/>
    <m/>
    <m/>
  </r>
  <r>
    <n v="437"/>
    <m/>
    <m/>
    <m/>
    <x v="0"/>
    <m/>
    <s v="need to see item. Two identical copies in donation? Put second item in &quot;Adam please check&quot; cart."/>
    <s v="n/a"/>
    <x v="0"/>
    <m/>
    <s v="n/a"/>
    <s v="n/a"/>
    <s v="n/a"/>
    <s v="n/a"/>
    <s v="n/a"/>
    <s v="BN01750646"/>
    <s v="Tōhoku daigaku fuzoku toshokan becchibon mokuroku"/>
    <s v="東北大学附属図書館別置本目錄 : 增訂稿"/>
    <s v="n/a"/>
    <s v="東北大学附属図書館"/>
    <x v="2"/>
    <s v="n/a"/>
    <x v="150"/>
    <s v="東北大学附属図書館"/>
    <n v="1961"/>
    <s v="n/a"/>
    <n v="0"/>
    <m/>
    <m/>
  </r>
  <r>
    <n v="438"/>
    <m/>
    <m/>
    <m/>
    <x v="0"/>
    <m/>
    <m/>
    <s v="n/a"/>
    <x v="0"/>
    <m/>
    <s v="n/a"/>
    <s v="n/a"/>
    <s v="n/a"/>
    <s v="n/a"/>
    <s v="n/a"/>
    <n v="9484589"/>
    <s v="Tōhoku Daigaku shozō Wa-Kansho koten bunrui mokuroku kanseki shomei jinmei sakuin"/>
    <s v="東北大學所藏和漢書古典分類目錄漢籍書名人名索引"/>
    <s v="Tōhoku Daigaku"/>
    <s v="東北大学"/>
    <x v="2"/>
    <s v="n/a"/>
    <x v="150"/>
    <s v="東北大学附属図書館"/>
    <n v="1980"/>
    <s v="Tōhoku Daigaku. Tōhoku Daigaku shozō Wa-Kansho koten bunrui mokuroku, Kanseki  --  Indexes ^ Tōhoku Daigaku. Toshokan ^ China  --  Imprints  --  Indexes ^ Japan  --  Imprints  --  Indexes"/>
    <n v="0"/>
    <m/>
    <m/>
  </r>
  <r>
    <n v="439"/>
    <m/>
    <m/>
    <m/>
    <x v="0"/>
    <m/>
    <m/>
    <s v="n/a"/>
    <x v="0"/>
    <m/>
    <s v="n/a"/>
    <s v="n/a"/>
    <s v="n/a"/>
    <s v="n/a"/>
    <s v="n/a"/>
    <n v="36708073"/>
    <s v="Tōhō Gakkai sōritsu jūgoshūnen kinen Tōhōgaku ronshū"/>
    <s v="東方學會創立十五周年記念東方學論集"/>
    <s v="Tōhō Gakkai"/>
    <s v="東方學會"/>
    <x v="2"/>
    <s v="n/a"/>
    <x v="151"/>
    <s v="[東方學會]"/>
    <n v="1962"/>
    <s v="Chinese philology ^ China  --  History ^ Philologie chinoise ^ China  --  Study and teaching ^ China  --  Literature ^ Chine  --  Étude et enseignement"/>
    <n v="0"/>
    <m/>
    <m/>
  </r>
  <r>
    <n v="440"/>
    <m/>
    <m/>
    <m/>
    <x v="0"/>
    <m/>
    <m/>
    <s v="n/a"/>
    <x v="0"/>
    <m/>
    <s v="n/a"/>
    <s v="n/a"/>
    <s v="n/a"/>
    <s v="n/a"/>
    <s v="n/a"/>
    <n v="674116818"/>
    <s v="Tōyō no michi"/>
    <s v="東洋の道"/>
    <s v="Okada, Takehiko, 1908-2004"/>
    <s v="岡田, 武彦, 1908-2004"/>
    <x v="2"/>
    <s v="n/a"/>
    <x v="0"/>
    <s v="明徳出版社"/>
    <n v="1969"/>
    <s v="Chūgokushisō"/>
    <n v="0"/>
    <m/>
    <m/>
  </r>
  <r>
    <n v="441"/>
    <m/>
    <m/>
    <m/>
    <x v="0"/>
    <m/>
    <m/>
    <s v="n/a"/>
    <x v="0"/>
    <m/>
    <s v="n/a"/>
    <s v="n/a"/>
    <s v="n/a"/>
    <s v="n/a"/>
    <s v="n/a"/>
    <n v="674320436"/>
    <s v="Tōyōshijō yori mitaru kodai no nihon"/>
    <s v="東洋史上より観たる古代の日本"/>
    <s v="Wada, Sei, 1890-1963 ^ Habado Enkei Dōshisha Tōhō Bunka Kōza Iinkai"/>
    <s v="ハーバード燕京同志社東方文化講座委員会"/>
    <x v="152"/>
    <s v="n/a"/>
    <x v="86"/>
    <s v="ハーバード・燕京・同志社東方文化講座委員会"/>
    <n v="1956"/>
    <s v="Nihon  --  Rekishi  --  Kodai"/>
    <n v="0"/>
    <m/>
    <m/>
  </r>
  <r>
    <n v="442"/>
    <m/>
    <m/>
    <m/>
    <x v="0"/>
    <m/>
    <m/>
    <s v="n/a"/>
    <x v="0"/>
    <m/>
    <s v="n/a"/>
    <s v="n/a"/>
    <s v="n/a"/>
    <s v="n/a"/>
    <s v="n/a"/>
    <n v="42409243"/>
    <s v="Tōyō Bunko betchi Kindai Chūgoku kankei Ōbun tosho mokuroku: 1973-nen 3-gatsu genzai"/>
    <s v="東洋文庫別置近代中国関係欧文図書目錄: 1973年3月現在"/>
    <s v="Tōyō Bunko (Japan) ^ Kindai Chūgoku Kenkyū Iinkai"/>
    <s v="東洋文庫 (Japan) ^ 近代中国硏究委員会"/>
    <x v="2"/>
    <s v="n/a"/>
    <x v="27"/>
    <s v="東洋文庫"/>
    <n v="1974"/>
    <s v="Tōyō Bunko (Japan)  --  Catalogs ^ Bibliographies ^ China  --  Bibliography  --  Catalogs"/>
    <n v="0"/>
    <m/>
    <m/>
  </r>
  <r>
    <n v="443"/>
    <m/>
    <m/>
    <m/>
    <x v="0"/>
    <m/>
    <m/>
    <s v="n/a"/>
    <x v="0"/>
    <m/>
    <s v="n/a"/>
    <s v="n/a"/>
    <s v="n/a"/>
    <s v="n/a"/>
    <s v="n/a"/>
    <n v="672612203"/>
    <s v="Tōyō bunko shozō kanseki bunrui mokuroku: keibu"/>
    <s v="東洋文庫所蔵漢籍分類目錄. 経部"/>
    <s v="Tōyō Bunko"/>
    <s v="東洋文庫"/>
    <x v="2"/>
    <s v="n/a"/>
    <x v="0"/>
    <s v="東洋文庫"/>
    <n v="1978"/>
    <s v="Zōshomokuroku"/>
    <n v="0"/>
    <m/>
    <m/>
  </r>
  <r>
    <n v="444"/>
    <s v=" "/>
    <m/>
    <m/>
    <x v="0"/>
    <m/>
    <s v="insert/signed"/>
    <s v="n/a"/>
    <x v="0"/>
    <m/>
    <s v="n/a"/>
    <s v="n/a"/>
    <s v="n/a"/>
    <s v="n/a"/>
    <s v="n/a"/>
    <n v="672630979"/>
    <s v="Tōyō bunko shozō kōkotsu monji"/>
    <s v="東洋文庫所蔵甲骨文字"/>
    <s v="Tōyō Bunko"/>
    <s v="東洋文庫"/>
    <x v="2"/>
    <s v="n/a"/>
    <x v="0"/>
    <s v="東洋文庫"/>
    <n v="1979"/>
    <s v="Kōkotsubun"/>
    <n v="0"/>
    <m/>
    <m/>
  </r>
  <r>
    <n v="445"/>
    <m/>
    <m/>
    <m/>
    <x v="0"/>
    <m/>
    <m/>
    <s v="n/a"/>
    <x v="0"/>
    <m/>
    <s v="n/a"/>
    <s v="n/a"/>
    <s v="y"/>
    <s v="n/a"/>
    <s v="n/a"/>
    <n v="708692740"/>
    <s v="Tōyō Bunko shozō kindai Chūgoku kankei tosho bunrui mokuroku: Chūgoku bun"/>
    <s v="東洋文庫所蔵近代中国関係図書分類目錄: 中国文"/>
    <s v="Tōyō Bunko (Japan) ^ Kindai Chūgoku Kenkyū Iinkai"/>
    <s v="東洋文庫(Japan) ^ 近代中国研究委員会"/>
    <x v="2"/>
    <s v="n/a"/>
    <x v="27"/>
    <s v="東洋文庫"/>
    <s v="1975- "/>
    <s v="Chinese imprints  --  Catalogs ^ Toyo Bunko (Japan)  --  Catalogs ^ Chinese imprints  --  Bibliography ^ Imprimés chinois  --  Catalogues ^ Tōyō Bunko (Japan)  --  Catalogs ^ China  --  Bibliography  --  Catalogs"/>
    <n v="0"/>
    <m/>
    <m/>
  </r>
  <r>
    <n v="446"/>
    <m/>
    <m/>
    <m/>
    <x v="0"/>
    <m/>
    <m/>
    <s v="n/a"/>
    <x v="0"/>
    <m/>
    <s v="n/a"/>
    <s v="n/a"/>
    <s v="n/a"/>
    <s v="n/a"/>
    <s v="n/a"/>
    <n v="834721858"/>
    <s v="Kindai chūgoku kankei tosho bunrui mokuroku: tōyō bunko shozō. chū kokubun sakuin"/>
    <s v="近代中国関係図書分類目錄: 東洋文庫所蔵. 中国文索引"/>
    <s v="Tōyō Bunko Kindai Chūgoku Kenkyū Iinkai"/>
    <s v="東洋文庫近代中国研究委員会"/>
    <x v="2"/>
    <s v="n/a"/>
    <x v="27"/>
    <s v="東洋文庫"/>
    <n v="1976"/>
    <s v="chūgoku shomoku"/>
    <n v="0"/>
    <m/>
    <m/>
  </r>
  <r>
    <n v="447"/>
    <s v="1?"/>
    <m/>
    <m/>
    <x v="0"/>
    <m/>
    <s v="same oclc as key entry 448"/>
    <s v="n/a"/>
    <x v="0"/>
    <m/>
    <s v="n/a"/>
    <s v="n/a"/>
    <s v="y"/>
    <s v="n/a"/>
    <s v="n/a"/>
    <n v="23879691"/>
    <s v="Tōyō Bunko shozō kindai Chūgoku kankei tosho bunrui mokuroku: Nihon bun"/>
    <s v="東洋文庫所蔵近代中国関係図書分類目錄: 日本文"/>
    <s v="Tōyō Bunko (Japan) ^ Kindai Chūgoku Kenkyū Iinkai"/>
    <s v="東洋文庫(Japan) ^ 近代中国研究委員会"/>
    <x v="2"/>
    <s v="n/a"/>
    <x v="27"/>
    <s v="東洋文庫"/>
    <n v="1973"/>
    <s v="Japanese imprints  --  Bibliography ^ Toyo Bunko (Japan) ^ Imprimés japonais  --  Bibliographie ^ Tōyō Bunko (Japan) ^ Catalogs ^ Bibliographies ^ China  --  Bibliography  --  Catalogs"/>
    <n v="0"/>
    <m/>
    <m/>
  </r>
  <r>
    <n v="448"/>
    <s v="2?"/>
    <m/>
    <m/>
    <x v="0"/>
    <m/>
    <s v="same oclc as key entry 447"/>
    <s v="n/a"/>
    <x v="0"/>
    <m/>
    <s v="n/a"/>
    <s v="n/a"/>
    <s v="y"/>
    <s v="n/a"/>
    <s v="n/a"/>
    <n v="23879691"/>
    <s v="Tōyō Bunko shozō kindai Chūgoku kankei tosho bunrui mokuroku: Nihon bun"/>
    <s v="東洋文庫所蔵近代中国関係図書分類目錄: 日本文"/>
    <s v="Tōyō Bunko (Japan) ^ Kindai Chūgoku Kenkyū Iinkai"/>
    <s v="東洋文庫(Japan) ^ 近代中国研究委員会"/>
    <x v="2"/>
    <s v="n/a"/>
    <x v="27"/>
    <s v="東洋文庫"/>
    <n v="1973"/>
    <s v="Japanese imprints  --  Bibliography ^ Toyo Bunko (Japan) ^ Imprimés japonais  --  Bibliographie ^ Tōyō Bunko (Japan) ^ Catalogs ^ Bibliographies ^ China  --  Bibliography  --  Catalogs"/>
    <n v="0"/>
    <m/>
    <m/>
  </r>
  <r>
    <n v="449"/>
    <n v="2"/>
    <m/>
    <m/>
    <x v="0"/>
    <m/>
    <s v="need to see item"/>
    <s v="n/a"/>
    <x v="0"/>
    <m/>
    <s v="n/a"/>
    <s v="n/a"/>
    <s v="y"/>
    <s v="n/a"/>
    <s v="n/a"/>
    <n v="27992593"/>
    <s v="Tōyō Bunko shozō kindai Chūgoku kankei tosho bunrui mokuroku: Chūgoku bun II, tsuki sakuin"/>
    <s v="東洋文庫所蔵近代中国関係図書分類目錄: 中国文II 附索引"/>
    <s v="Tōyō Bunko (Japan) ^ Kindai Chūgoku Kenkyū Iinkai"/>
    <s v="東洋文庫 (Japan) ^ 近代中国研究委員会"/>
    <x v="2"/>
    <s v="n/a"/>
    <x v="27"/>
    <s v="東洋文庫"/>
    <n v="1992"/>
    <s v="Chinese imprints  --  Bibliography ^ Imprimés chinois  --  Bibliographie ^ Tōyō Bunko (Japan) ^ Catalogs ^ Bibliographies ^ Bibliografie ^ Katalog ^ China  --  Bibliography  --  Catalogs"/>
    <n v="0"/>
    <m/>
    <m/>
  </r>
  <r>
    <n v="450"/>
    <m/>
    <m/>
    <m/>
    <x v="0"/>
    <m/>
    <m/>
    <s v="n/a"/>
    <x v="0"/>
    <m/>
    <s v="n/a"/>
    <s v="n/a"/>
    <s v="n/a"/>
    <s v="n/a"/>
    <s v="n/a"/>
    <n v="674319114"/>
    <s v="Tōyō bunko shozō kanseki bunrui mokuroku: shibu"/>
    <s v="東洋文庫所蔵漢籍分類目錄. 子部"/>
    <s v="Tōyō Bunko"/>
    <s v="東洋文庫"/>
    <x v="2"/>
    <s v="n/a"/>
    <x v="0"/>
    <s v="東洋文庫"/>
    <n v="1993"/>
    <s v="Zōshomokuroku"/>
    <n v="0"/>
    <m/>
    <m/>
  </r>
  <r>
    <n v="451"/>
    <m/>
    <m/>
    <m/>
    <x v="0"/>
    <m/>
    <m/>
    <s v="n/a"/>
    <x v="0"/>
    <m/>
    <s v="n/a"/>
    <s v="n/a"/>
    <s v="n/a"/>
    <s v="n/a"/>
    <s v="n/a"/>
    <n v="502292749"/>
    <s v="Kusumoto bunko Kanseki mokuroku"/>
    <s v="楠本文庫漢籍目錄"/>
    <s v="Kusumoto, Masatsugu, 1896-1963 ^ Kokushikan Daigaku. Toshokan"/>
    <s v="n/a"/>
    <x v="2"/>
    <s v="n/a"/>
    <x v="152"/>
    <s v="同図書館"/>
    <n v="1973"/>
    <s v="Chinese imprints  --  Catalogs ^ Kusumoto, Masatsugu, 1896-1963  --  Library ^ Kokushikan Daigaku. Toshokan ^ China  --  Imprints  --  Catalogs ^ Japan  --  Imprints  --  Catalogs"/>
    <n v="0"/>
    <m/>
    <m/>
  </r>
  <r>
    <n v="452"/>
    <m/>
    <m/>
    <m/>
    <x v="0"/>
    <m/>
    <m/>
    <s v="n/a"/>
    <x v="0"/>
    <m/>
    <s v="n/a"/>
    <s v="n/a"/>
    <s v="n/a"/>
    <s v="n/a"/>
    <s v="n/a"/>
    <n v="1063555588"/>
    <s v="Kusumoto masatsugu sensei chūgoku tetsugaku kenkyū"/>
    <s v="楠本正繼先生中國哲學研究"/>
    <s v="Kusumoto, Masatsugu"/>
    <s v="楠本正継"/>
    <x v="2"/>
    <s v="n/a"/>
    <x v="0"/>
    <s v="国士館大学附属図書館"/>
    <n v="1975"/>
    <s v="Kusumoto, Masatsugu(1896-1963)"/>
    <n v="0"/>
    <m/>
    <m/>
  </r>
  <r>
    <n v="453"/>
    <m/>
    <m/>
    <m/>
    <x v="0"/>
    <m/>
    <s v="two identical copies in donation"/>
    <s v="n/a"/>
    <x v="0"/>
    <m/>
    <s v="n/a"/>
    <s v="n/a"/>
    <s v="n/a"/>
    <s v="n/a"/>
    <s v="n/a"/>
    <n v="834681867"/>
    <s v="Kusumoto tanzan: shōgai to shisō"/>
    <s v="楠本端山: 生涯と思想"/>
    <s v="Okada, Takehiko, 1908-2004"/>
    <s v="岡田武彦, 1908-2004"/>
    <x v="2"/>
    <s v="n/a"/>
    <x v="153"/>
    <s v="積文館書店"/>
    <n v="1959"/>
    <s v="Kusumoto, Tanzan, 1828-1883"/>
    <n v="0"/>
    <m/>
    <m/>
  </r>
  <r>
    <n v="454"/>
    <m/>
    <m/>
    <m/>
    <x v="0"/>
    <m/>
    <m/>
    <s v="n/a"/>
    <x v="0"/>
    <m/>
    <s v="n/a"/>
    <s v="n/a"/>
    <s v="n/a"/>
    <s v="n/a"/>
    <s v="n/a"/>
    <n v="607094219"/>
    <s v="Kusumoto Tanzan Sekisui zenshū"/>
    <s v="楠本端山・碩水全集"/>
    <s v="Kusumoto, Tanzan, 1828-1883 ^ Okada, Takehiko ^ Kusumoto, Sekisui, 1832-1916 ^ Works"/>
    <s v="楠本端山, 1828-1883. ^ 岡田武彦. ^ 楠本碩水, 1832-1916. ^ Works"/>
    <x v="2"/>
    <s v="n/a"/>
    <x v="80"/>
    <s v="葦書房"/>
    <n v="1980"/>
    <s v="Philosophers  --  Japan  --  Biography ^ Philosophes  --  Japon  --  Biographies ^ Kusumoto, Tanzan, 1828-1883 ^ Kusumoto, Sekisui, 1832-1916"/>
    <n v="0"/>
    <m/>
    <m/>
  </r>
  <r>
    <n v="455"/>
    <n v="4"/>
    <m/>
    <m/>
    <x v="0"/>
    <m/>
    <s v="insert/signed"/>
    <s v="n/a"/>
    <x v="0"/>
    <m/>
    <s v="n/a"/>
    <s v="n/a"/>
    <s v="n/a"/>
    <s v="n/a"/>
    <s v="n/a"/>
    <n v="835793281"/>
    <s v="Kikai bunmei no naka no ningen: Ōsaka daigaku kaihō kōza. 004"/>
    <s v="機械文明の中の人間: 大阪大学開放講座. 4"/>
    <s v="Sahoda, Tsuruji, 1899-1986 ^ Yamakawa, Kōzō, 1917- ^ Kimura, Eiichi, 1906-1981 ^ Ōsaka Daigaku"/>
    <s v="大阪大学"/>
    <x v="2"/>
    <s v="n/a"/>
    <x v="154"/>
    <s v="大阪科学技術センター"/>
    <n v="1969"/>
    <s v="gijutsutobunmei"/>
    <n v="0"/>
    <m/>
    <m/>
  </r>
  <r>
    <n v="456"/>
    <m/>
    <m/>
    <m/>
    <x v="0"/>
    <m/>
    <m/>
    <s v="https://www.amazon.jp/dp/4897473144"/>
    <x v="0"/>
    <m/>
    <s v="n/a"/>
    <s v="n/a"/>
    <s v="n/a"/>
    <s v="9784897473147 (br. 4)"/>
    <n v="4897473144"/>
    <n v="869213768"/>
    <s v="Ōbei no Tōyōgaku to hikakuron"/>
    <s v="欧米の東洋学と比較"/>
    <s v="Fukui, Fumimasa, (1934- ...)., ^ Auteur"/>
    <s v="福井, 文雅, (1934- ^ ...)., Auteur"/>
    <x v="2"/>
    <s v="n/a"/>
    <x v="84"/>
    <s v="隆文館"/>
    <n v="1991"/>
    <s v="Education ^ China  --  Study and teaching  --  Europe ^ China  --  Study and teaching  --  United States ^ Asia  --  Study and teaching ^ Chine  --  Étude et enseignement  --  Europe ^ Chine  --  Étude et enseignement  --  États-Unis ^ Asie  --  Étude et enseignement"/>
    <n v="0"/>
    <m/>
    <m/>
  </r>
  <r>
    <n v="457"/>
    <m/>
    <m/>
    <m/>
    <x v="0"/>
    <m/>
    <s v="dupe?"/>
    <s v="n/a"/>
    <x v="0"/>
    <m/>
    <s v="n/a"/>
    <s v="n/a"/>
    <s v="n/a"/>
    <s v="n/a"/>
    <s v="n/a"/>
    <s v="n/a"/>
    <s v="n/a"/>
    <s v="欧米の東洋学と比較論"/>
    <s v="n/a"/>
    <s v="福井文雅"/>
    <x v="2"/>
    <s v="n/a"/>
    <x v="0"/>
    <s v="隆文館"/>
    <n v="1991"/>
    <s v="n/a"/>
    <n v="0"/>
    <m/>
    <m/>
  </r>
  <r>
    <n v="458"/>
    <m/>
    <m/>
    <m/>
    <x v="0"/>
    <m/>
    <m/>
    <s v="n/a"/>
    <x v="0"/>
    <m/>
    <s v="n/a"/>
    <s v="n/a"/>
    <s v="n/a"/>
    <s v="n/a"/>
    <s v="n/a"/>
    <n v="33684528"/>
    <s v="Kintei Seiiki dōbunshi: Kenkyū hen"/>
    <s v="欽定西域同文志. 研究篇"/>
    <s v="Tōyō Bunko"/>
    <s v="東洋文庫"/>
    <x v="153"/>
    <s v="東洋文庫叢刋 ; 第16."/>
    <x v="27"/>
    <s v="東洋文庫"/>
    <n v="1964"/>
    <s v="n/a"/>
    <n v="0"/>
    <m/>
    <m/>
  </r>
  <r>
    <n v="459"/>
    <m/>
    <s v="下"/>
    <m/>
    <x v="0"/>
    <m/>
    <m/>
    <s v="n/a"/>
    <x v="0"/>
    <m/>
    <s v="n/a"/>
    <s v="n/a"/>
    <s v="n/a"/>
    <s v="n/a"/>
    <s v="n/a"/>
    <n v="33684528"/>
    <s v="Kintei Seiiki dōbunshi: Kenkyū hen"/>
    <s v="欽定西域同文志. 研究篇"/>
    <s v="Tōyō Bunko"/>
    <s v="東洋文庫"/>
    <x v="153"/>
    <s v="東洋文庫叢刋 ; 第16."/>
    <x v="27"/>
    <s v="東洋文庫"/>
    <n v="1964"/>
    <s v="n/a"/>
    <n v="0"/>
    <m/>
    <m/>
  </r>
  <r>
    <n v="460"/>
    <m/>
    <m/>
    <m/>
    <x v="0"/>
    <m/>
    <m/>
    <s v="n/a"/>
    <x v="0"/>
    <m/>
    <s v="n/a"/>
    <s v="n/a"/>
    <s v="y"/>
    <s v="n/a"/>
    <s v="n/a"/>
    <n v="20248830"/>
    <s v="Seimō"/>
    <s v="正蒙"/>
    <s v="Yamane, Mitsuyoshi, 1927- ^ Zhang, Zai, 1020-1077 ^ Zheng meng.; Selections.; Japanese.; 1970"/>
    <s v="山根三芳, 1927- ^ 張載, 1020-1077. ^ 正蒙. ^ Selections. ^ Japanese. ^ 1970"/>
    <x v="72"/>
    <s v="n/a"/>
    <x v="13"/>
    <s v="明德出版社"/>
    <n v="1970"/>
    <s v="Zhang, Zai, 1020-1077. Zheng meng ^ Zheng meng (Zhang, Zai)"/>
    <n v="0"/>
    <m/>
    <m/>
  </r>
  <r>
    <n v="461"/>
    <s v="10v"/>
    <m/>
    <m/>
    <x v="0"/>
    <m/>
    <m/>
    <s v="n/a"/>
    <x v="0"/>
    <m/>
    <s v="n/a"/>
    <s v="n/a"/>
    <s v="n/a"/>
    <s v="n/a"/>
    <s v="n/a"/>
    <n v="222468783"/>
    <s v="Takeuchi Yoshio zenshū"/>
    <s v="武内義雄全集"/>
    <s v="Takeuchi, Yoshio, 1886-1966"/>
    <s v="武内義雄, 1886-"/>
    <x v="2"/>
    <s v="n/a"/>
    <x v="155"/>
    <s v="角川書店"/>
    <s v="1979-1980"/>
    <s v="Philosophy, Chinese ^ Philosophie chinoise"/>
    <n v="0"/>
    <m/>
    <m/>
  </r>
  <r>
    <n v="462"/>
    <m/>
    <m/>
    <m/>
    <x v="0"/>
    <m/>
    <m/>
    <s v="n/a"/>
    <x v="0"/>
    <m/>
    <s v="n/a"/>
    <s v="n/a"/>
    <s v="y"/>
    <s v="n/a"/>
    <s v="n/a"/>
    <n v="17074503"/>
    <s v="Rekishi ni okeru minshū to bunka: Sakai Tadao Sensei koki shukuga kinen ronshū"/>
    <s v="歴史における民衆と文化: 酒井忠夫先生古稀祝賀記念論集"/>
    <s v="Sakai Tadao Sensei Koki Shukuga Kinen no Kai"/>
    <s v="酒井忠夫先生古稀祝賀記念の会"/>
    <x v="2"/>
    <s v="n/a"/>
    <x v="83"/>
    <s v="國書刊行会"/>
    <n v="1982"/>
    <s v="Sakai, Tadao, 1912-2010 ^ Festschriften ^ China  --  Civilization ^ Asia  --  Civilization ^ Chine  --  Civilisation ^ Asie  --  Civilisation"/>
    <n v="0"/>
    <m/>
    <m/>
  </r>
  <r>
    <n v="463"/>
    <m/>
    <m/>
    <m/>
    <x v="0"/>
    <m/>
    <m/>
    <s v="https://www.amazon.jp/dp/4809702332"/>
    <x v="0"/>
    <m/>
    <s v="n/a"/>
    <s v="n/a"/>
    <s v="n/a"/>
    <n v="9784809702334"/>
    <n v="4809702332"/>
    <n v="705960692"/>
    <s v="Rekishiteki shiya kara mita gendai Chūgoku keizai"/>
    <s v="歴史的視野からみた現代中国経済"/>
    <s v="Nakagane, Katsuji"/>
    <s v="中兼和津次"/>
    <x v="2"/>
    <s v="n/a"/>
    <x v="27"/>
    <s v="東洋文庫"/>
    <n v="2010"/>
    <s v="Economic history ^ 1900-1999 ^ China  --  Economic conditions  --  20th century ^ China  --  History  --  20th century ^ Chine  --  Conditions économiques  --  20e siècle ^ Chine  --  Histoire  --  20e siècle"/>
    <n v="0"/>
    <m/>
    <m/>
  </r>
  <r>
    <n v="464"/>
    <m/>
    <m/>
    <m/>
    <x v="0"/>
    <m/>
    <m/>
    <s v="n/a"/>
    <x v="0"/>
    <m/>
    <s v="n/a"/>
    <s v="n/a"/>
    <s v="n/a"/>
    <s v="n/a"/>
    <s v="n/a"/>
    <n v="834509092"/>
    <s v="Shi to unmei: chūgoku kodai no shisaku"/>
    <s v="死と運命: 中国古代の思索"/>
    <s v="Kanaya, Osamu, 1920-2006"/>
    <s v="金谷治, 1920-2006"/>
    <x v="154"/>
    <s v="n/a"/>
    <x v="24"/>
    <s v="法蔵館"/>
    <n v="1986"/>
    <s v="chūgokushisō ^ seishi"/>
    <n v="0"/>
    <m/>
    <m/>
  </r>
  <r>
    <n v="465"/>
    <m/>
    <m/>
    <m/>
    <x v="0"/>
    <m/>
    <m/>
    <s v="n/a"/>
    <x v="0"/>
    <m/>
    <s v="n/a"/>
    <s v="n/a"/>
    <s v="y"/>
    <n v="9784130160087"/>
    <n v="4130160087"/>
    <n v="22819117"/>
    <s v="Ki no shisō: Chūgoku ni okeru shizenkan to ningenkan no tenkai"/>
    <s v="気の思想: 中国における自然観と人間観の展開"/>
    <s v="Onozawa, Seiichi ^ Fukunaga, Mitsuji, 1918- ^ Yamanoi, Yū"/>
    <s v="小野沢精一. ^ 福永光司, 1918- ^ 山井湧"/>
    <x v="2"/>
    <s v="n/a"/>
    <x v="3"/>
    <s v="東京大学出版会"/>
    <n v="1978"/>
    <s v="Qi (Chinese philosophy) ^ Qi (Philosophie chinoise)"/>
    <n v="0"/>
    <m/>
    <m/>
  </r>
  <r>
    <n v="466"/>
    <n v="53"/>
    <m/>
    <m/>
    <x v="0"/>
    <m/>
    <m/>
    <s v="n/a"/>
    <x v="0"/>
    <m/>
    <s v="n/a"/>
    <s v="n/a"/>
    <s v="n/a"/>
    <n v="9784000700535"/>
    <n v="4000700537"/>
    <n v="833327963"/>
    <s v="Mitogaku"/>
    <s v="水戶学"/>
    <s v="Imai, Usaburō, 1911- ^ Seya, Yoshihiko, 1914- ^ Bitō, Masahide, 1923-"/>
    <s v="今井宇三郎, 1911- ^ 瀬谷義彦, 1914- ^ 尾藤正英, 1923-"/>
    <x v="155"/>
    <s v="日本思想大系 ; 53."/>
    <x v="98"/>
    <s v="岩波書店"/>
    <n v="1973"/>
    <s v="nihonshisō ^ mitogaku"/>
    <n v="0"/>
    <m/>
    <m/>
  </r>
  <r>
    <n v="467"/>
    <m/>
    <m/>
    <m/>
    <x v="0"/>
    <m/>
    <s v="need to see item, no worldcat item"/>
    <s v="n/a"/>
    <x v="0"/>
    <m/>
    <s v="n/a"/>
    <s v="n/a"/>
    <s v="y"/>
    <n v="9784809702587"/>
    <n v="4809702588"/>
    <n v="908157122"/>
    <s v="Suikei chūso yakuchū: Rakusui, Isui hen"/>
    <s v="水経注疏訳注. 洛水・伊水篇/"/>
    <s v="Yang, Shoujing, 1839-1915 ^ Shui jing zhu shu.; Selections.Yang, Shoujing, 1839-1915 ^ Shui jing zhu shu.; Selections.; Japanese ^ Tōyō Bunko (Japan) ^ Chūgoku Kodai Chiikishi Kenkyūhan"/>
    <s v="東洋文庫 (Japan) ^ 中国古代地域史研究班"/>
    <x v="156"/>
    <s v="東洋文庫論叢 ; 第 78."/>
    <x v="27"/>
    <s v="n/a"/>
    <n v="2015"/>
    <s v="Rivers  --  China ^ Cours d'eau  --  Chine ^ Li, Daoyuan, -527. Shui jing zhu ^ Yang, Shoujing, 1839-1915. Shui jing zhu shu ^ Shui jing zhu (Li, Daoyuan)"/>
    <n v="0"/>
    <m/>
    <m/>
  </r>
  <r>
    <n v="468"/>
    <n v="10"/>
    <m/>
    <m/>
    <x v="0"/>
    <m/>
    <m/>
    <s v="n/a"/>
    <x v="0"/>
    <m/>
    <s v="n/a"/>
    <s v="n/a"/>
    <s v="n/a"/>
    <s v="n/a"/>
    <s v="n/a"/>
    <n v="917310370"/>
    <s v="Eirakutei"/>
    <s v="永楽帝"/>
    <s v="Terada, Takanobu"/>
    <s v="寺田, 隆信"/>
    <x v="157"/>
    <s v="中国人物叢書 : 第1期 ; 10"/>
    <x v="142"/>
    <s v="人物往来社"/>
    <n v="1966"/>
    <s v="n/a"/>
    <n v="0"/>
    <m/>
    <m/>
  </r>
  <r>
    <n v="469"/>
    <m/>
    <m/>
    <m/>
    <x v="0"/>
    <m/>
    <m/>
    <s v="n/a"/>
    <x v="0"/>
    <m/>
    <s v="n/a"/>
    <s v="n/a"/>
    <s v="n/a"/>
    <s v="n/a"/>
    <s v="n/a"/>
    <n v="673809370"/>
    <s v="Jodoshushi: Zen"/>
    <s v="浄土宗史: 全"/>
    <s v="Etani, Ryukai, 1902-1979"/>
    <s v="恵谷, 隆戒, 1902-1979"/>
    <x v="2"/>
    <s v="n/a"/>
    <x v="0"/>
    <s v="平楽寺書店"/>
    <n v="1948"/>
    <s v="Jodoshu  --  Rekishi ^ Jōdoshū  --  Rekishi"/>
    <n v="0"/>
    <m/>
    <m/>
  </r>
  <r>
    <n v="470"/>
    <m/>
    <m/>
    <m/>
    <x v="0"/>
    <m/>
    <m/>
    <s v="n/a"/>
    <x v="0"/>
    <m/>
    <s v="n/a"/>
    <s v="n/a"/>
    <s v="n/a"/>
    <s v="n/a"/>
    <s v="n/a"/>
    <n v="673859082"/>
    <s v="Enanji ni arawareta ki no kenkyu"/>
    <s v="淮南子に現われた気の研究"/>
    <s v="Hiraoka, Teikichi, 1906-"/>
    <s v="平岡, 禎吉, 1906-"/>
    <x v="2"/>
    <s v="n/a"/>
    <x v="0"/>
    <s v="理想社"/>
    <n v="1968"/>
    <s v="Ryu, An, 178?-122B.C ^ Enanji (keiten) ^ Enanji(keiten)"/>
    <n v="0"/>
    <m/>
    <m/>
  </r>
  <r>
    <n v="471"/>
    <m/>
    <m/>
    <m/>
    <x v="0"/>
    <m/>
    <s v="insert/signed, double check year"/>
    <s v="https://www.amazon.jp/dp/4061914421"/>
    <x v="0"/>
    <m/>
    <s v="n/a"/>
    <s v="n/a"/>
    <s v="y"/>
    <n v="9784061914421"/>
    <n v="4061914421"/>
    <n v="23207163"/>
    <s v="Shindai seigenshū"/>
    <s v="清代清言集"/>
    <s v="Gōyama Kiwamu ^ Gōyama, Kiwamu"/>
    <s v="合山究. ^ 合山究, 1942-"/>
    <x v="15"/>
    <s v="n/a"/>
    <x v="1"/>
    <s v="講談社"/>
    <n v="1987"/>
    <s v="Aphorisms and apothegms ^ Aphorisms and Proverbs as Topic ^ Aphorismes et apophtegmes"/>
    <n v="0"/>
    <m/>
    <m/>
  </r>
  <r>
    <n v="472"/>
    <n v="2"/>
    <m/>
    <m/>
    <x v="0"/>
    <m/>
    <m/>
    <s v="n/a"/>
    <x v="0"/>
    <m/>
    <s v="n/a"/>
    <s v="n/a"/>
    <s v="y"/>
    <s v="n/a"/>
    <s v="n/a"/>
    <n v="23331898"/>
    <s v="Shindai ensei no kenkyū"/>
    <s v="清代鹽政の硏究"/>
    <s v="Saeki, Tomi, 1910-2006"/>
    <s v="佐伯富, 1910- ^ 佐伯富(1910- )"/>
    <x v="158"/>
    <s v="東洋史硏究叢刋 ; 2"/>
    <x v="0"/>
    <s v="京都"/>
    <n v="1956"/>
    <s v="Salt industry and trade  --  China ^ Sel  --  Industrie  --  Chine"/>
    <n v="0"/>
    <m/>
    <m/>
  </r>
  <r>
    <n v="473"/>
    <n v="9"/>
    <m/>
    <m/>
    <x v="0"/>
    <m/>
    <s v="insert/signed"/>
    <s v="n/a"/>
    <x v="0"/>
    <m/>
    <s v="n/a"/>
    <s v="n/a"/>
    <s v="y"/>
    <s v="n/a"/>
    <s v="n/a"/>
    <n v="187468115"/>
    <s v="Shin teikoku no han'ei"/>
    <s v="清帝国の繁栄"/>
    <s v="Miyazaki, Ichisada, 1905-"/>
    <s v="宮崎市貞, 1905-"/>
    <x v="159"/>
    <s v="n/a"/>
    <x v="142"/>
    <s v="人物住來社"/>
    <n v="1967"/>
    <s v="Qing Dynasty (China) ^ International relations ^ History ^ 1644-1912 ^ China  --  History  --  Qing dynasty, 1644-1912 ^ Europe  --  Relations  --  China ^ Chine  --  Histoire  --  1644-1912 (Dynastie mandchoue) ^ Europe  --  Relations  --  Chine"/>
    <n v="0"/>
    <m/>
    <m/>
  </r>
  <r>
    <n v="474"/>
    <m/>
    <m/>
    <m/>
    <x v="0"/>
    <m/>
    <s v="insert/signed, we own 1978 version"/>
    <s v="https://www.amazon.jp/dp/4000700553"/>
    <x v="0"/>
    <m/>
    <s v="n/a"/>
    <s v="n/a"/>
    <s v="y"/>
    <n v="9784000700559"/>
    <n v="4000700553"/>
    <n v="647454865"/>
    <s v="Watanabe kazan takano chōei sakuma shōzan yokoi shōnan hashimoto sanai"/>
    <s v="渡辺崋山・高野長英・佐久間象山・横井小楠・橋本左内"/>
    <s v="Watanabe, Kazan ^ Takano, Chōei ^ Sakuma, Shōzan ^ Yokoi, Shōnan ^ Hashimoto, Sanai ^ Satō, Shōsuke"/>
    <s v="渡辺崋山 ^ 高野長英 ^ 佐久間象山 ^ 横井小楠 ^ 橋本左内 ^ 佐藤昌介"/>
    <x v="160"/>
    <s v="Nihon shisō taikei"/>
    <x v="98"/>
    <s v="岩波書店"/>
    <n v="1971"/>
    <s v="Watanabe, Kazan, 1793-1841 ^ Takano, Chōei, 1804-1850 ^ Sakuma, Shōzan, 1811-1864 ^ Yokoi, Shōnan, 1809-1869 ^ Hashimoto, Sanai, 1835-1859 ^ nihonshisō"/>
    <n v="0"/>
    <m/>
    <m/>
  </r>
  <r>
    <n v="475"/>
    <m/>
    <m/>
    <m/>
    <x v="0"/>
    <m/>
    <s v="insert/signed"/>
    <s v="n/a"/>
    <x v="0"/>
    <m/>
    <s v="n/a"/>
    <s v="n/a"/>
    <s v="y"/>
    <n v="9784759905915"/>
    <s v="475990591X"/>
    <n v="10951484"/>
    <s v="Tan Kansen no gakusetsu"/>
    <s v="湛甘泉の学說"/>
    <s v="Shiga, Ichirō, 1915-"/>
    <s v="志賀一朗, 1915-"/>
    <x v="2"/>
    <s v="n/a"/>
    <x v="21"/>
    <s v="風間書房"/>
    <n v="1983"/>
    <s v="Zhan, Ruoshui, 1466-1560"/>
    <n v="0"/>
    <m/>
    <m/>
  </r>
  <r>
    <n v="476"/>
    <m/>
    <m/>
    <m/>
    <x v="0"/>
    <m/>
    <m/>
    <s v="n/a"/>
    <x v="0"/>
    <m/>
    <s v="n/a"/>
    <s v="n/a"/>
    <s v="n/a"/>
    <n v="9784759906882"/>
    <n v="4759906886"/>
    <n v="36947697"/>
    <s v="Tan Kansen no kenkyū"/>
    <s v="湛甘泉の研究"/>
    <s v="Shiga, Ichirō, 1915-"/>
    <s v="志賀一朗, 1915-"/>
    <x v="2"/>
    <s v="n/a"/>
    <x v="21"/>
    <s v="風間書房"/>
    <n v="1987"/>
    <s v="Zhan, Ruoshui, 1466-1560"/>
    <n v="0"/>
    <m/>
    <m/>
  </r>
  <r>
    <n v="477"/>
    <s v="2v"/>
    <m/>
    <m/>
    <x v="0"/>
    <m/>
    <s v="only volumes 3 and 7"/>
    <s v="n/a"/>
    <x v="0"/>
    <m/>
    <s v="n/a"/>
    <s v="n/a"/>
    <s v="y"/>
    <s v="n/a"/>
    <s v="n/a"/>
    <n v="27753885"/>
    <s v="Manbun rōtō"/>
    <s v="滿文老檔"/>
    <s v="Kanda, Nobuo, 1921-2003 ^ Manbun Rōtō Kenkyūkai"/>
    <s v="滿文老檔研究會"/>
    <x v="161"/>
    <s v="東洋文庫叢刊;第十二."/>
    <x v="27"/>
    <s v="東洋文庫"/>
    <s v="1955-1963"/>
    <s v="History ^ Sources ^ Manchuria (China)  --  History  --  Sources ^ China  --  Manchuria"/>
    <n v="0"/>
    <m/>
    <m/>
  </r>
  <r>
    <n v="478"/>
    <m/>
    <m/>
    <m/>
    <x v="0"/>
    <m/>
    <m/>
    <s v="n/a"/>
    <x v="0"/>
    <m/>
    <s v="n/a"/>
    <s v="n/a"/>
    <s v="y"/>
    <s v="n/a"/>
    <s v="n/a"/>
    <n v="34720642"/>
    <s v="Kandai kazoku no keitai ni kansuru kōsatsu"/>
    <s v="漢代家族の形態に關する考察"/>
    <s v="Moriya, Mitsuo, 1915-1966"/>
    <s v="守屋美都雄, 1915-1966 ^ ハーバード・燕京・同志社東方文化講座委員會"/>
    <x v="162"/>
    <s v="ハーバード燕京同志社東方文化講座 ; 第 2輯."/>
    <x v="86"/>
    <s v="ハーバード燕京同志社東方文化講座委員會"/>
    <n v="1956"/>
    <s v="Families  --  China  --  History ^ Familles  --  Chine  --  Histoire ^ Han Dynasty (China) ^ 202 B.C.-220 A.D ^ China  --  History  --  Han dynasty, 202 B.C.-220 A.D ^ Chine  --  Histoire  --  202 av. J.-C.-220 (Dynastie des Han)"/>
    <n v="0"/>
    <m/>
    <m/>
  </r>
  <r>
    <n v="479"/>
    <m/>
    <m/>
    <m/>
    <x v="0"/>
    <m/>
    <s v="insert/signed"/>
    <s v="n/a"/>
    <x v="0"/>
    <m/>
    <s v="n/a"/>
    <s v="n/a"/>
    <s v="y"/>
    <s v="n/a"/>
    <s v="n/a"/>
    <n v="22768512"/>
    <s v="Kanbun no hanashi"/>
    <s v="漢文の話"/>
    <s v="Yoshikawa, Kōjirō, 1904-1980"/>
    <s v="吉川幸次郎, 1904-1980"/>
    <x v="163"/>
    <s v="グリ-ンベルト・シリ-ズ; 6. グリーンベルト・シリーズ ; 6"/>
    <x v="0"/>
    <s v="東京"/>
    <n v="1962"/>
    <s v="Chinese prose literature  --  History and criticism ^ Kunten ^ Prose chinoise  --  Histoire et critique ^ Criticism, interpretation, etc"/>
    <n v="0"/>
    <m/>
    <m/>
  </r>
  <r>
    <n v="480"/>
    <m/>
    <m/>
    <m/>
    <x v="0"/>
    <m/>
    <m/>
    <s v="n/a"/>
    <x v="0"/>
    <m/>
    <s v="n/a"/>
    <s v="n/a"/>
    <s v="n/a"/>
    <s v="n/a"/>
    <s v="n/a"/>
    <n v="863138962"/>
    <s v="Kanseki bunrui mokuroku, Shūbu: Tōyō Bunko no bu"/>
    <s v="漢籍分類目錄. 集部 : 東洋文庫之部"/>
    <s v="Tsuji, Naoshirō; (1899-) ^ (Editor); Éditeur scientifique ^ Tōyōgaku Bunken Sentā ^ Renraku Kyōgikai"/>
    <s v="n/a"/>
    <x v="2"/>
    <s v="n/a"/>
    <x v="27"/>
    <s v="n/a"/>
    <s v="1967, ?"/>
    <s v="Chinese imprints  --  Japan  --  Catalogs ^ Chinese imprints  --  Japan  --  Bibliography  --  Union lists ^ Imprimés chinois  --  Japon  --  Bibliographie  --  Catalogues collectifs ^ Bibliothèque orientale (Tōkyō)  --  Japon ^ Union catalogs ^ China  --  Imprints  --  Catalogs"/>
    <n v="0"/>
    <m/>
    <m/>
  </r>
  <r>
    <n v="482"/>
    <m/>
    <m/>
    <m/>
    <x v="0"/>
    <m/>
    <m/>
    <s v="n/a"/>
    <x v="0"/>
    <m/>
    <s v="n/a"/>
    <s v="n/a"/>
    <s v="n/a"/>
    <s v="n/a"/>
    <s v="n/a"/>
    <n v="673188199"/>
    <s v="Mui shizen kara sakui sekkyoku e: Tosokan ni okeru shiso no tenkai to sono rekishiteki seikaku"/>
    <s v="無為自然から作為積極へ: 唐宋間における思想の展開とその歴史的性格"/>
    <s v="Takahashi, Susumu, 1928-2010"/>
    <s v="高橋, 進, 1928-2010"/>
    <x v="2"/>
    <s v="n/a"/>
    <x v="0"/>
    <s v="文理書院"/>
    <n v="1965"/>
    <s v="Chugokushiso  --  Rekishi  --  Tojidai ^ Chugokushiso  --  Rekishi  --  Sojidai ^ Chūgokushisō  --  Rekishi  --  Tōjidai ^ Chūgokushisō  --  Rekishi  --  Sōjidai"/>
    <n v="0"/>
    <m/>
    <m/>
  </r>
  <r>
    <n v="483"/>
    <n v="30"/>
    <m/>
    <m/>
    <x v="0"/>
    <m/>
    <s v="insert/signed"/>
    <s v="n/a"/>
    <x v="0"/>
    <m/>
    <s v="n/a"/>
    <s v="n/a"/>
    <s v="n/a"/>
    <n v="9784000700306"/>
    <n v="4000700308"/>
    <n v="15243605"/>
    <s v="Kumazawa Banzan"/>
    <s v="熊澤蕃山"/>
    <s v="Kumazawa, Banzan, 1619-1691 ^ Gotō, Yōichi, 1913- ^ Tomoeda, Ryūtarō, 1916-1986"/>
    <s v="熊澤蕃山, 1619-1691 ^ 後藤陽一, 1913- ^ 友枝龍太郎, 1916-"/>
    <x v="164"/>
    <s v="日本思想大系 ; 30."/>
    <x v="18"/>
    <s v="岩波書店"/>
    <n v="1971"/>
    <s v="Kumazawa, Banzan, 1619-1691"/>
    <n v="0"/>
    <m/>
    <m/>
  </r>
  <r>
    <n v="484"/>
    <m/>
    <m/>
    <m/>
    <x v="0"/>
    <m/>
    <m/>
    <s v="n/a"/>
    <x v="0"/>
    <m/>
    <s v="n/a"/>
    <s v="n/a"/>
    <s v="n/a"/>
    <s v="n/a"/>
    <s v="n/a"/>
    <n v="672514601"/>
    <s v="Bokumin shinkan"/>
    <s v="牧民心鑑"/>
    <s v="Hayashi, Hideichi, 1902-1980"/>
    <s v="林, 秀一, 1902-1980"/>
    <x v="2"/>
    <s v="n/a"/>
    <x v="0"/>
    <s v="明徳出版社"/>
    <n v="1973"/>
    <s v="Ridō"/>
    <n v="0"/>
    <m/>
    <m/>
  </r>
  <r>
    <n v="485"/>
    <n v="13"/>
    <m/>
    <m/>
    <x v="0"/>
    <m/>
    <s v="no data in worldcat"/>
    <s v="n/a"/>
    <x v="0"/>
    <m/>
    <s v="n/a"/>
    <s v="n/a"/>
    <s v="n/a"/>
    <s v="n/a"/>
    <s v="n/a"/>
    <s v="n/a"/>
    <s v="n/a"/>
    <s v="特集内藤湖南 (書論 第13号)"/>
    <s v="n/a"/>
    <s v="書論編集室編"/>
    <x v="2"/>
    <s v="n/a"/>
    <x v="45"/>
    <s v="燈影社"/>
    <n v="1978"/>
    <s v="n/a"/>
    <n v="0"/>
    <m/>
    <m/>
  </r>
  <r>
    <n v="486"/>
    <m/>
    <m/>
    <m/>
    <x v="0"/>
    <m/>
    <m/>
    <s v="n/a"/>
    <x v="0"/>
    <m/>
    <s v="n/a"/>
    <s v="n/a"/>
    <s v="y"/>
    <s v="n/a"/>
    <s v="n/a"/>
    <n v="21199752"/>
    <s v="Dokusai no kenkyū"/>
    <s v="独裁の硏究"/>
    <s v="Inoki, Masamichi, 1914-2012"/>
    <s v="猪木正道, 1914-"/>
    <x v="2"/>
    <s v="n/a"/>
    <x v="31"/>
    <s v="創文社"/>
    <n v="1957"/>
    <s v="Despotism ^ Dictators  --  Europe ^ Dictatorship ^ Despotisme ^ Dictateurs  --  Europe"/>
    <n v="0"/>
    <m/>
    <m/>
  </r>
  <r>
    <n v="487.1"/>
    <n v="1"/>
    <s v="上"/>
    <n v="2"/>
    <x v="0"/>
    <m/>
    <s v="no data in worldcat"/>
    <s v="n/a"/>
    <x v="0"/>
    <m/>
    <s v="n/a"/>
    <s v="n/a"/>
    <s v="n/a"/>
    <s v="n/a"/>
    <s v="n/a"/>
    <s v="BN08913556"/>
    <s v="n/a"/>
    <s v="王学雑誌 上"/>
    <s v="n/a"/>
    <s v="岡田武彦監修"/>
    <x v="2"/>
    <s v="n/a"/>
    <x v="122"/>
    <s v="文言社, 発売元批評社"/>
    <n v="1992"/>
    <s v="n/a"/>
    <n v="0"/>
    <m/>
    <m/>
  </r>
  <r>
    <n v="487.2"/>
    <n v="2"/>
    <s v="下"/>
    <n v="2"/>
    <x v="0"/>
    <m/>
    <s v="no data in worldcat"/>
    <s v="n/a"/>
    <x v="0"/>
    <m/>
    <s v="n/a"/>
    <s v="n/a"/>
    <s v="n/a"/>
    <s v="n/a"/>
    <s v="n/a"/>
    <s v="BN08913556"/>
    <s v="n/a"/>
    <s v="王学雑誌 下"/>
    <s v="n/a"/>
    <s v="岡田武彦監修"/>
    <x v="2"/>
    <s v="n/a"/>
    <x v="122"/>
    <s v="文言社, 発売元批評社"/>
    <n v="1992"/>
    <s v="n/a"/>
    <n v="0"/>
    <m/>
    <m/>
  </r>
  <r>
    <n v="489"/>
    <s v="2v"/>
    <m/>
    <m/>
    <x v="0"/>
    <m/>
    <m/>
    <s v="n/a"/>
    <x v="0"/>
    <m/>
    <s v="n/a"/>
    <s v="n/a"/>
    <s v="n/a"/>
    <s v="n/a"/>
    <s v="n/a"/>
    <n v="79596072"/>
    <s v="Ō Yōmei"/>
    <s v="王陽明"/>
    <s v="Ō, Shujin, 1472-1528"/>
    <s v="王, 守仁(1472-1528) ^ 安岡, 正篤(1898-1983) ^ 宇野, 哲人(1875-1974) ^ 柳町, 達也(1911-) ^ 中田, 勝(1926-) ^ 近藤, 康信(1903-) ^ 浜, 隆一郎(1890-)"/>
    <x v="165"/>
    <s v="陽明学体系 ; 2"/>
    <x v="13"/>
    <s v="n/a"/>
    <n v="1972"/>
    <s v="Ō, Shujin(1472-1528) ^ Yômeigaku"/>
    <n v="0"/>
    <m/>
    <m/>
  </r>
  <r>
    <n v="490"/>
    <n v="2"/>
    <m/>
    <m/>
    <x v="0"/>
    <m/>
    <m/>
    <s v="n/a"/>
    <x v="0"/>
    <m/>
    <s v="n/a"/>
    <s v="n/a"/>
    <s v="y"/>
    <s v="n/a"/>
    <s v="n/a"/>
    <n v="23880013"/>
    <s v="Ō Yōmei"/>
    <s v="王陽明"/>
    <s v="Okada, Takehiko"/>
    <s v="岡田武彦"/>
    <x v="166"/>
    <s v="陽明学体系 ; 3"/>
    <x v="13"/>
    <s v="明徳出版社"/>
    <s v="1989- "/>
    <s v="Neo-Confucianism ^ Néo-confucianisme ^ Wang, Yangming, 1472-1529"/>
    <n v="0"/>
    <m/>
    <m/>
  </r>
  <r>
    <n v="491"/>
    <m/>
    <m/>
    <m/>
    <x v="0"/>
    <m/>
    <m/>
    <s v="n/a"/>
    <x v="0"/>
    <m/>
    <s v="n/a"/>
    <s v="n/a"/>
    <s v="n/a"/>
    <s v="n/a"/>
    <s v="n/a"/>
    <n v="834494006"/>
    <s v="Ō yōmei to minmatsu no jugaku"/>
    <s v="王陽明と明末の儒学"/>
    <s v="Okada, Takehiko, 1908-2004"/>
    <s v="岡田武彦, 1908-2004"/>
    <x v="2"/>
    <s v="n/a"/>
    <x v="13"/>
    <s v="明徳出版社"/>
    <n v="1970"/>
    <s v="Ō, Yōmei, 1472-1528"/>
    <n v="0"/>
    <m/>
    <m/>
  </r>
  <r>
    <n v="492"/>
    <m/>
    <m/>
    <m/>
    <x v="0"/>
    <m/>
    <m/>
    <s v="n/a"/>
    <x v="0"/>
    <m/>
    <s v="n/a"/>
    <s v="n/a"/>
    <s v="n/a"/>
    <s v="n/a"/>
    <s v="n/a"/>
    <n v="672505037"/>
    <s v="Ō yōmei to tan kansen"/>
    <s v="王陽明と湛甘泉"/>
    <s v="Shiga, Ichirō, 1915-"/>
    <s v="志賀, 一朗, 1915-"/>
    <x v="2"/>
    <s v="n/a"/>
    <x v="0"/>
    <s v="新塔社"/>
    <n v="1976"/>
    <s v="Ō, Shujin ^ Tan, Kansen"/>
    <n v="0"/>
    <m/>
    <m/>
  </r>
  <r>
    <n v="494"/>
    <n v="2"/>
    <m/>
    <n v="10"/>
    <x v="0"/>
    <m/>
    <m/>
    <s v="n/a"/>
    <x v="0"/>
    <m/>
    <s v="n/a"/>
    <s v="n/a"/>
    <s v="y"/>
    <s v="n/a"/>
    <s v="n/a"/>
    <n v="11212023"/>
    <s v="Ō Yōmei zenshū"/>
    <s v="王陽明全集"/>
    <s v="Wang, Yangming, 1472-1529, ^ author"/>
    <s v="王陽明, 1472-1529, author"/>
    <x v="2"/>
    <s v="n/a"/>
    <x v="13"/>
    <s v="n/a"/>
    <s v="1982-1987"/>
    <s v="Neo-Confucianism ^ Néo-confucianisme"/>
    <n v="0"/>
    <m/>
    <m/>
  </r>
  <r>
    <n v="495"/>
    <s v="3v"/>
    <m/>
    <n v="10"/>
    <x v="0"/>
    <m/>
    <s v="same as row above, but different volumes"/>
    <s v="n/a"/>
    <x v="0"/>
    <m/>
    <s v="n/a"/>
    <s v="n/a"/>
    <s v="y"/>
    <s v="n/a"/>
    <s v="n/a"/>
    <n v="11212023"/>
    <s v="Ō Yōmei zenshū"/>
    <s v="王陽明全集"/>
    <s v="Wang, Yangming, 1472-1529, ^ author"/>
    <s v="王陽明, 1472-1529, author"/>
    <x v="2"/>
    <s v="n/a"/>
    <x v="13"/>
    <s v="n/a"/>
    <s v="1982-1987"/>
    <s v="Neo-Confucianism ^ Néo-confucianisme"/>
    <n v="0"/>
    <m/>
    <m/>
  </r>
  <r>
    <n v="496"/>
    <m/>
    <m/>
    <m/>
    <x v="0"/>
    <m/>
    <m/>
    <s v="n/a"/>
    <x v="0"/>
    <m/>
    <s v="n/a"/>
    <s v="n/a"/>
    <s v="y"/>
    <n v="9784896191271"/>
    <n v="4896191277"/>
    <n v="37468899"/>
    <s v="Ō Yōmei shōden"/>
    <s v="王陽明小伝"/>
    <s v="Okada, Takehiko"/>
    <s v="岡田武彦"/>
    <x v="2"/>
    <s v="n/a"/>
    <x v="13"/>
    <s v="明徳出版社"/>
    <n v="1995"/>
    <s v="Neo-Confucianism ^ Néo-confucianisme ^ Wang, Yangming, 1472-1529"/>
    <n v="0"/>
    <m/>
    <m/>
  </r>
  <r>
    <n v="497"/>
    <n v="6"/>
    <m/>
    <m/>
    <x v="0"/>
    <m/>
    <m/>
    <s v="n/a"/>
    <x v="0"/>
    <m/>
    <s v="n/a"/>
    <s v="n/a"/>
    <s v="y"/>
    <s v="n/a"/>
    <s v="n/a"/>
    <n v="24851546"/>
    <s v="Ō Yōmei shū"/>
    <s v="王陽明集"/>
    <s v="Wang, Yangming, 1472-1529 ^ Shimada, Kenji, 1917-"/>
    <s v="王陽明, 1472-1529. ^ 島田虔次, 1917-"/>
    <x v="167"/>
    <s v="n/a"/>
    <x v="41"/>
    <s v="朝日新聞社"/>
    <n v="1975"/>
    <s v="n/a"/>
    <n v="0"/>
    <m/>
    <m/>
  </r>
  <r>
    <n v="498"/>
    <m/>
    <m/>
    <m/>
    <x v="0"/>
    <m/>
    <m/>
    <s v="n/a"/>
    <x v="0"/>
    <m/>
    <s v="n/a"/>
    <s v="n/a"/>
    <s v="y"/>
    <n v="9784896191172"/>
    <s v="489619117X"/>
    <n v="29964436"/>
    <s v="Gendai no Yōmeigaku"/>
    <s v="現代の陽明学"/>
    <s v="Okada, Takehiko"/>
    <s v="岡田武彦"/>
    <x v="2"/>
    <s v="n/a"/>
    <x v="13"/>
    <s v="明徳出版社"/>
    <n v="1992"/>
    <s v="Wang, Yangming, 1472-1529"/>
    <n v="0"/>
    <m/>
    <m/>
  </r>
  <r>
    <n v="499"/>
    <n v="6"/>
    <m/>
    <m/>
    <x v="0"/>
    <m/>
    <m/>
    <s v="n/a"/>
    <x v="0"/>
    <m/>
    <s v="n/a"/>
    <s v="n/a"/>
    <s v="n/a"/>
    <s v="n/a"/>
    <s v="n/a"/>
    <n v="1031905132"/>
    <s v="Gendai Nihon no seishin jōkyō"/>
    <s v="現代日本の精神状況"/>
    <s v="Sōbunsha ^ Henshūbu"/>
    <s v="創文社 ^ 編集部"/>
    <x v="168"/>
    <s v="現代宗敎講座 ; 6."/>
    <x v="31"/>
    <s v="創文社"/>
    <n v="1955"/>
    <s v="Religion ^ religion (discipline) ^ Shūkyō  --  sōsho ^ Shakaishisō  --  nihon"/>
    <n v="0"/>
    <m/>
    <m/>
  </r>
  <r>
    <n v="500"/>
    <m/>
    <m/>
    <m/>
    <x v="0"/>
    <m/>
    <m/>
    <s v="n/a"/>
    <x v="0"/>
    <m/>
    <s v="n/a"/>
    <s v="n/a"/>
    <s v="y"/>
    <s v="n/a"/>
    <s v="n/a"/>
    <n v="15408460"/>
    <s v="Gendai shakai no shomondai to shūkyō"/>
    <s v="現代社会の諸問題と宗敎"/>
    <s v="Nishitani, Keiji, 1900-1990"/>
    <s v="西谷啓治, 1900-1990"/>
    <x v="2"/>
    <s v="n/a"/>
    <x v="24"/>
    <s v="法藏館"/>
    <n v="1951"/>
    <s v="Religion and sociology ^ Sociologie religieuse"/>
    <n v="0"/>
    <m/>
    <m/>
  </r>
  <r>
    <n v="501"/>
    <m/>
    <m/>
    <m/>
    <x v="0"/>
    <m/>
    <s v="double check year of publication"/>
    <s v="n/a"/>
    <x v="0"/>
    <m/>
    <s v="n/a"/>
    <s v="n/a"/>
    <s v="n/a"/>
    <s v="n/a"/>
    <s v="n/a"/>
    <n v="38442096"/>
    <s v="Seisho"/>
    <s v="生書"/>
    <s v="Tenshō Kōtai Jingūkyō Honbu"/>
    <s v="天照皇大神宮敎本部"/>
    <x v="2"/>
    <s v="n/a"/>
    <x v="156"/>
    <s v="天照皇大神宮敎本部"/>
    <s v="1960-1967"/>
    <s v="Tenshō Kōtai Jingūkyō"/>
    <n v="0"/>
    <m/>
    <m/>
  </r>
  <r>
    <n v="502"/>
    <m/>
    <m/>
    <m/>
    <x v="0"/>
    <m/>
    <m/>
    <s v="n/a"/>
    <x v="0"/>
    <m/>
    <s v="n/a"/>
    <s v="n/a"/>
    <s v="y"/>
    <s v="n/a"/>
    <s v="n/a"/>
    <n v="23320381"/>
    <s v="Gikyō kenkyū"/>
    <s v="疑經研究"/>
    <s v="Makita, Tairyō, 1912-2011"/>
    <s v="牧田諦亮, 1912-"/>
    <x v="2"/>
    <s v="n/a"/>
    <x v="78"/>
    <s v="京都大学人文科学研究所"/>
    <n v="1976"/>
    <s v="Apocryphal books (Tripiṭaka)  --  Criticism, interpretation, etc ^ Da zang jing  --  Criticism, Textual"/>
    <n v="0"/>
    <m/>
    <m/>
  </r>
  <r>
    <n v="503"/>
    <m/>
    <m/>
    <m/>
    <x v="0"/>
    <m/>
    <m/>
    <s v="n/a"/>
    <x v="0"/>
    <m/>
    <s v="n/a"/>
    <s v="n/a"/>
    <s v="y"/>
    <s v="n/a"/>
    <s v="n/a"/>
    <n v="36634456"/>
    <s v="Shinshū jiten"/>
    <s v="眞宗辭典"/>
    <s v="Nishimura, Shichibē, 1907-"/>
    <s v="西村七兵衛, 1907-"/>
    <x v="2"/>
    <s v="n/a"/>
    <x v="24"/>
    <s v="法藏館"/>
    <n v="1966"/>
    <s v="Shin (Sect)  --  Dictionaries  --  Japanese"/>
    <n v="0"/>
    <m/>
    <m/>
  </r>
  <r>
    <n v="504"/>
    <m/>
    <m/>
    <m/>
    <x v="0"/>
    <m/>
    <m/>
    <s v="n/a"/>
    <x v="0"/>
    <m/>
    <s v="n/a"/>
    <s v="n/a"/>
    <s v="y"/>
    <s v="n/a"/>
    <s v="n/a"/>
    <n v="23012131"/>
    <s v="Tanchōtei shū; Zuihitsushū"/>
    <s v="短長亭集; 隨筆集"/>
    <s v="Yoshikawa, Kōjirō, 1904-1980"/>
    <s v="吉川幸次郎, 1904-1980"/>
    <x v="2"/>
    <s v="n/a"/>
    <x v="0"/>
    <s v="東京"/>
    <n v="1964"/>
    <s v="Chinese literature ^ Littérature chinoise"/>
    <n v="0"/>
    <m/>
    <m/>
  </r>
  <r>
    <n v="505"/>
    <m/>
    <m/>
    <m/>
    <x v="0"/>
    <m/>
    <m/>
    <s v="n/a"/>
    <x v="0"/>
    <m/>
    <s v="n/a"/>
    <s v="n/a"/>
    <s v="y"/>
    <s v="n/a"/>
    <s v="n/a"/>
    <n v="23070087"/>
    <s v="Sekibutsu kikō"/>
    <s v="石仏紀行"/>
    <s v="Taniguchi, Tetsuo, 1909- ^ Katayama, Setsuzō, 1914-2005"/>
    <s v="谷口鉄雄, 1909- ^ 片山摂三, 1914-2005"/>
    <x v="2"/>
    <s v="n/a"/>
    <x v="157"/>
    <s v="[朝日新聞社]"/>
    <n v="1966"/>
    <s v="Sculpture, Japanese ^ Buddhist art ^ Sculpture japonaise ^ Art bouddhique"/>
    <n v="0"/>
    <m/>
    <m/>
  </r>
  <r>
    <n v="506"/>
    <m/>
    <m/>
    <m/>
    <x v="0"/>
    <m/>
    <m/>
    <s v="n/a"/>
    <x v="0"/>
    <m/>
    <s v="n/a"/>
    <s v="n/a"/>
    <s v="y"/>
    <s v="n/a"/>
    <s v="n/a"/>
    <n v="6292425"/>
    <s v="Ishida Hakushi shōju kinen Tōyō shi ronsō"/>
    <s v="石田博士頌壽記念東洋史論叢"/>
    <s v="Ishida Hakushi Koki Kinen Jigyōkai"/>
    <s v="石田博士古稀記念事業會"/>
    <x v="2"/>
    <s v="n/a"/>
    <x v="158"/>
    <s v="石田博士古稀記念事業會"/>
    <n v="1965"/>
    <s v="Ishida, Mikinosuke, 1891-1974 ^ History ^ China  --  History ^ Asia  --  History ^ Chine  --  Histoire ^ Asie  --  Histoire"/>
    <n v="0"/>
    <m/>
    <m/>
  </r>
  <r>
    <n v="507"/>
    <n v="42"/>
    <m/>
    <m/>
    <x v="0"/>
    <m/>
    <s v="mistake with year recorded? double check"/>
    <s v="n/a"/>
    <x v="0"/>
    <m/>
    <s v="n/a"/>
    <s v="n/a"/>
    <s v="y"/>
    <n v="9784000700429"/>
    <n v="4000700421"/>
    <n v="15246488"/>
    <s v="Sekimon Shingaku"/>
    <s v="石門心學"/>
    <s v="Shibata, Minoru, 1906-"/>
    <s v="柴田実, 1906-"/>
    <x v="169"/>
    <s v="n/a"/>
    <x v="18"/>
    <s v="岩波書店"/>
    <n v="1971"/>
    <s v="Shingaku"/>
    <n v="0"/>
    <m/>
    <m/>
  </r>
  <r>
    <n v="508"/>
    <m/>
    <m/>
    <m/>
    <x v="0"/>
    <m/>
    <m/>
    <s v="n/a"/>
    <x v="0"/>
    <m/>
    <s v="n/a"/>
    <s v="n/a"/>
    <s v="n/a"/>
    <s v="n/a"/>
    <s v="n/a"/>
    <n v="663659459"/>
    <s v="Hekiganshū teihon"/>
    <s v="碧巌集定本"/>
    <s v="Xuedou, 980-1052 ^ Yuanwu, 1063-1135 ^ Itō, Yūten, 1889-"/>
    <s v="重顕 ^ 伊藤猷典(1889-)"/>
    <x v="2"/>
    <s v="n/a"/>
    <x v="0"/>
    <s v="理想社"/>
    <n v="1963"/>
    <s v="Zen Buddhism ^ Buddha (The concept) ^ Bouddhisme zen ^ Bouddha (Le concept) ^ Zenaga (language) ^ khans (built works) ^ Ch'an (religion) ^ China  --  Religion ^ Chine  --  Religion"/>
    <n v="0"/>
    <m/>
    <m/>
  </r>
  <r>
    <n v="509"/>
    <s v="3v"/>
    <m/>
    <m/>
    <x v="0"/>
    <m/>
    <m/>
    <s v="n/a"/>
    <x v="0"/>
    <m/>
    <s v="n/a"/>
    <s v="n/a"/>
    <s v="y"/>
    <s v="n/a"/>
    <s v="n/a"/>
    <n v="22820230"/>
    <s v="Raiki"/>
    <s v="礼記"/>
    <s v="n/a"/>
    <s v="n/a"/>
    <x v="170"/>
    <s v="n/a"/>
    <x v="159"/>
    <s v="集英社"/>
    <s v="1976-1979"/>
    <s v="Li ji ^ Li ji (Title)"/>
    <n v="0"/>
    <m/>
    <m/>
  </r>
  <r>
    <n v="510"/>
    <m/>
    <m/>
    <m/>
    <x v="0"/>
    <m/>
    <s v="double check year of publication"/>
    <s v="n/a"/>
    <x v="0"/>
    <m/>
    <s v="n/a"/>
    <s v="n/a"/>
    <s v="n/a"/>
    <s v="n/a"/>
    <s v="n/a"/>
    <n v="122895241"/>
    <s v="Kami no kuni"/>
    <s v="神の国"/>
    <s v="Tenshō Kōtai Jingūkyō"/>
    <s v="天照皇大神宮教"/>
    <x v="2"/>
    <s v="n/a"/>
    <x v="160"/>
    <s v="天照皇大神宮教"/>
    <n v="1967"/>
    <s v="Kitamura, Sayo, 1900-1967 ^ Tenshō Kōtai Jingūkyō  --  Pictorial works ^ Tenshō Kōtai Jingūkyō  --  Biography ^ Biographies"/>
    <n v="0"/>
    <m/>
    <m/>
  </r>
  <r>
    <n v="511"/>
    <m/>
    <m/>
    <m/>
    <x v="0"/>
    <m/>
    <m/>
    <s v="n/a"/>
    <x v="0"/>
    <m/>
    <s v="n/a"/>
    <s v="n/a"/>
    <s v="n/a"/>
    <s v="n/a"/>
    <s v="n/a"/>
    <n v="1073837125"/>
    <s v="Zen no honshitsu to ningen no shinri"/>
    <s v="禅の本質と人間の真"/>
    <s v="Hisamatsu, Shin'ichi 1889-1980 ^ Herausgeber (Editor)Nishitani, Keiji; 1900-1990 ^ ; Herausgeber; (Editor)"/>
    <s v="久松, 真一 ^ 西谷, 啓治"/>
    <x v="2"/>
    <s v="n/a"/>
    <x v="0"/>
    <s v="n/a"/>
    <n v="1977"/>
    <m/>
    <n v="0"/>
    <m/>
    <m/>
  </r>
  <r>
    <n v="512"/>
    <s v="3v (1,2,3)"/>
    <m/>
    <m/>
    <x v="0"/>
    <m/>
    <s v="check what volumes were actually seen"/>
    <s v="n/a"/>
    <x v="0"/>
    <m/>
    <s v="n/a"/>
    <s v="n/a"/>
    <s v="n/a"/>
    <s v="n/a"/>
    <s v="n/a"/>
    <n v="23073528"/>
    <s v="Journal keeping by administrators: exploring one example of reflection as a means to successful professional practice"/>
    <s v="n/a"/>
    <s v="Cooper, Joanne E. 1945- ^ (Joanne Elizabeth May)"/>
    <s v="n/a"/>
    <x v="2"/>
    <s v="n/a"/>
    <x v="0"/>
    <s v="n/a"/>
    <n v="1989"/>
    <s v="Diaries  --  Authorship ^ Adult education ^ Professional education ^ Journaux intimes  --  Art d'écrire ^ Éducation des adultes ^ Academic Dissertation ^ Academic theses ^ Thèses et écrits académiques"/>
    <n v="0"/>
    <m/>
    <m/>
  </r>
  <r>
    <n v="513"/>
    <m/>
    <m/>
    <m/>
    <x v="0"/>
    <m/>
    <m/>
    <s v="n/a"/>
    <x v="0"/>
    <m/>
    <s v="n/a"/>
    <s v="n/a"/>
    <s v="n/a"/>
    <s v="n/a"/>
    <s v="n/a"/>
    <n v="23324582"/>
    <s v="Zenshū shiyō"/>
    <s v="禪宗史要"/>
    <s v="Masunaga, Reihō, 1902-1981"/>
    <s v="增永靈鳳, 1902-"/>
    <x v="2"/>
    <s v="n/a"/>
    <x v="161"/>
    <s v="鴻盟社"/>
    <n v="1957"/>
    <s v="Zen Buddhism  --  China  --  History ^ Zen Buddhism  --  Japan  --  History ^ Bouddhisme zen  --  Chine  --  Histoire ^ Bouddhisme zen  --  Japon  --  Histoire"/>
    <n v="0"/>
    <m/>
    <m/>
  </r>
  <r>
    <n v="514"/>
    <n v="2"/>
    <s v="下"/>
    <s v="2?"/>
    <x v="0"/>
    <m/>
    <s v="isbn?"/>
    <s v="https://www.amazon.jp/dp/4130260049"/>
    <x v="0"/>
    <m/>
    <s v="n/a"/>
    <s v="n/a"/>
    <s v="y"/>
    <n v="9784130260046"/>
    <n v="4130260049"/>
    <n v="20253641"/>
    <s v="Shin Kan Zui Tō shi no kenkyū"/>
    <s v="秦漢隋唐史の硏究"/>
    <s v="Hamaguchi Shigekuni cho ^ Hamaguchi, Shigekuni ^ 重国(1901-1981)&quot;},&quot;secondName&quot;:{ ^ 浜口&quot;},&quot;isPrimary&quot;:false}"/>
    <s v="濱口重國著. ^ 濱口重國, 1901- ^ 重国(1901-1981)&quot;},&quot;secondName&quot;:{ ^ 浜口&quot;},&quot;isPrimary&quot;:false}"/>
    <x v="15"/>
    <s v="n/a"/>
    <x v="3"/>
    <s v="東京大學出版会"/>
    <n v="1966"/>
    <s v="Draft China History ^ Service militaire obligatoire Chine Histoire ^ China History 221 B.C.-960 A.D ^ Chine Histoire 221 av. J.-C.-960 ^ 中国 歴史 漢時代 ^ 中国 歴史 隋時代 ^ 中国 歴史 秦時代"/>
    <n v="0"/>
    <m/>
    <m/>
  </r>
  <r>
    <n v="515"/>
    <m/>
    <m/>
    <m/>
    <x v="0"/>
    <m/>
    <m/>
    <s v="n/a"/>
    <x v="0"/>
    <m/>
    <s v="n/a"/>
    <s v="n/a"/>
    <s v="n/a"/>
    <s v="n/a"/>
    <s v="n/a"/>
    <n v="672525784"/>
    <s v="Tei isen tetsugaku no kenkyū"/>
    <s v="程伊川哲学の研究"/>
    <s v="Ichikawa, Yasuji, 1910-"/>
    <s v="市川, 安司, 1910-"/>
    <x v="2"/>
    <s v="n/a"/>
    <x v="3"/>
    <s v="東京大学出版会"/>
    <n v="1964"/>
    <s v="Tei, I ^ Cheng, Yi, 1033-1107 ^ Ti,isen"/>
    <n v="0"/>
    <m/>
    <m/>
  </r>
  <r>
    <n v="516"/>
    <m/>
    <m/>
    <m/>
    <x v="0"/>
    <m/>
    <m/>
    <s v="n/a"/>
    <x v="0"/>
    <m/>
    <s v="n/a"/>
    <s v="n/a"/>
    <s v="n/a"/>
    <n v="9784931437043"/>
    <n v="4931437044"/>
    <n v="675496450"/>
    <s v="Risshō ankokuron = St.Nichiren's Rissho ankoku-ron and letter and tracts concerning it"/>
    <s v="立正安国論 = St.Nichiren's Rissho ankoku-ron and letter and tracts concerning it"/>
    <s v="Nichiren, 1222-1282 ^ Hori, Kyōtsū, 1926-"/>
    <s v="日蓮, 1222-1282. ^ 堀, 教通, 1926-"/>
    <x v="2"/>
    <s v="n/a"/>
    <x v="0"/>
    <s v="日蓮宗海外布教後援会"/>
    <n v="1992"/>
    <s v="Nichirenshū  --  Kyōgi"/>
    <n v="0"/>
    <m/>
    <m/>
  </r>
  <r>
    <n v="517"/>
    <m/>
    <m/>
    <m/>
    <x v="0"/>
    <m/>
    <m/>
    <s v="n/a"/>
    <x v="0"/>
    <m/>
    <s v="n/a"/>
    <s v="n/a"/>
    <s v="n/a"/>
    <s v="n/a"/>
    <s v="n/a"/>
    <n v="674119006"/>
    <s v="Chikusō zuihitsu"/>
    <s v="竹窓随筆"/>
    <s v="Araki, Kengo, 1917-"/>
    <s v="荒木, 見悟, 1917-"/>
    <x v="2"/>
    <s v="n/a"/>
    <x v="0"/>
    <s v="明徳出版社"/>
    <n v="1969"/>
    <s v="Shukō ^ Shu,ko(1535-1615)  --  Chikusozuihitsu ^ chikusō zuihitsu"/>
    <n v="0"/>
    <m/>
    <m/>
  </r>
  <r>
    <n v="518"/>
    <m/>
    <m/>
    <m/>
    <x v="0"/>
    <m/>
    <m/>
    <s v="n/a"/>
    <x v="0"/>
    <m/>
    <s v="n/a"/>
    <s v="n/a"/>
    <s v="n/a"/>
    <s v="n/a"/>
    <s v="n/a"/>
    <n v="37775921"/>
    <s v="Bingata: Ko Ryūkyū"/>
    <s v="紅型: 古流球"/>
    <s v="Yamamura, Kōka, 1886-1942 ^ Iha, Fuyū, 1876-1947"/>
    <s v="山村耕花, 1886-1942. ^ 伊波普猷, 1876-1947"/>
    <x v="2"/>
    <s v="n/a"/>
    <x v="162"/>
    <s v="巧藝社"/>
    <n v="1928"/>
    <s v="Textile design ^ Dyes and dyeing ^ Textiles et tissus  --  Dessins"/>
    <n v="0"/>
    <m/>
    <m/>
  </r>
  <r>
    <n v="519"/>
    <n v="21"/>
    <m/>
    <m/>
    <x v="0"/>
    <m/>
    <m/>
    <s v="n/a"/>
    <x v="0"/>
    <m/>
    <s v="n/a"/>
    <s v="n/a"/>
    <s v="n/a"/>
    <s v="n/a"/>
    <s v="n/a"/>
    <n v="122962575"/>
    <s v="Hosoi Heishū: (tsuketari) Nakanishi Tanen"/>
    <s v="細井平淵: (附) 中西淡淵"/>
    <s v="Kitō, Yūichi, 1919-"/>
    <s v="鬼頭有一, 1919-"/>
    <x v="171"/>
    <s v="叢書・日本の思想家 ; 21."/>
    <x v="13"/>
    <s v="明徳出版社"/>
    <n v="1977"/>
    <s v="Philosophers  --  Japan  --  Biography ^ Philosophes  --  Japon  --  Biographies ^ Hosoi, Heishū, 1728-1801 ^ Nakanishi, Tanen, 1662-1705"/>
    <n v="0"/>
    <m/>
    <m/>
  </r>
  <r>
    <n v="520"/>
    <m/>
    <m/>
    <m/>
    <x v="0"/>
    <m/>
    <m/>
    <s v="n/a"/>
    <x v="0"/>
    <m/>
    <s v="n/a"/>
    <s v="n/a"/>
    <s v="y"/>
    <s v="n/a"/>
    <s v="n/a"/>
    <n v="27115186"/>
    <s v="Keikoku santen goi shūran"/>
    <s v="經國三典語彙集覽"/>
    <s v="Tōyō Bunko (Japan) ^ Chōsen Kenkyū Iinkai"/>
    <s v="東洋文庫 ^ 朝鮮研究委員会"/>
    <x v="2"/>
    <s v="n/a"/>
    <x v="27"/>
    <s v="東洋文庫"/>
    <n v="1977"/>
    <s v="Indexes ^ Kyŏngguk taejŏn  --  Terminology  --  Indexes ^ Taejŏn songnok  --  Terminology  --  Indexes ^ Taejŏn hu songnok  --  Terminology  --  Indexes ^ Kyŏngguk taejŏn chuhae  --  Terminology  --  Indexes"/>
    <n v="0"/>
    <m/>
    <m/>
  </r>
  <r>
    <n v="521"/>
    <m/>
    <m/>
    <m/>
    <x v="0"/>
    <m/>
    <s v="two identical copies in donation"/>
    <s v="n/a"/>
    <x v="0"/>
    <m/>
    <s v="n/a"/>
    <s v="n/a"/>
    <s v="y"/>
    <s v="n/a"/>
    <s v="n/a"/>
    <n v="122876823"/>
    <s v="Keigaku jikai benran"/>
    <s v="經学字海便覽"/>
    <s v="Okajima, Kanzan, 1674-1728"/>
    <s v="岡島冠山, 1674-1728"/>
    <x v="2"/>
    <s v="n/a"/>
    <x v="114"/>
    <s v="楠本正継"/>
    <n v="1956"/>
    <s v="Chinese language  --  Dictionaries  --  Japanese ^ Chinese language  --  Conversation and phrase books  --  Japanese"/>
    <n v="0"/>
    <m/>
    <m/>
  </r>
  <r>
    <n v="522"/>
    <m/>
    <m/>
    <m/>
    <x v="0"/>
    <m/>
    <m/>
    <s v="n/a"/>
    <x v="0"/>
    <m/>
    <s v="n/a"/>
    <s v="n/a"/>
    <s v="y"/>
    <s v="n/a"/>
    <s v="n/a"/>
    <n v="22609987"/>
    <s v="Yuimagyō no shisōteki kenkyū"/>
    <s v="維摩経の思想的研究"/>
    <s v="Hashimoto, Hōkei, 1910-"/>
    <s v="橋本芳契, 1910-"/>
    <x v="2"/>
    <s v="n/a"/>
    <x v="0"/>
    <s v="京都"/>
    <n v="1966"/>
    <s v="Tripiṭaka. Sūtrapiṭaka. Vimalakīrtinirdeśa. Japanese"/>
    <n v="0"/>
    <m/>
    <m/>
  </r>
  <r>
    <n v="523"/>
    <m/>
    <m/>
    <m/>
    <x v="0"/>
    <m/>
    <m/>
    <s v="n/a"/>
    <x v="0"/>
    <m/>
    <s v="n/a"/>
    <s v="n/a"/>
    <s v="n/a"/>
    <s v="n/a"/>
    <s v="n/a"/>
    <n v="42951890"/>
    <s v="Zoku Shinkō shūkyō kaisetsu"/>
    <s v="續新興宗敎解說"/>
    <s v="n/a"/>
    <s v="n/a"/>
    <x v="2"/>
    <s v="n/a"/>
    <x v="73"/>
    <s v="百華苑"/>
    <n v="1952"/>
    <s v="n/a"/>
    <n v="0"/>
    <m/>
    <m/>
  </r>
  <r>
    <n v="525"/>
    <m/>
    <m/>
    <m/>
    <x v="0"/>
    <m/>
    <m/>
    <s v="https://www.amazon.jp/dp/4061914219"/>
    <x v="0"/>
    <m/>
    <s v="n/a"/>
    <s v="n/a"/>
    <s v="y"/>
    <n v="9784061914216"/>
    <n v="4061914219"/>
    <n v="23207194"/>
    <s v="Rōshi : \"/>
    <s v="老子 : 「無地無欲」のすすめ"/>
    <s v="Kanaya Osamu ^ Kanaya, Osamu ^ Laozi"/>
    <s v="金谷治. ^ 金谷治, 1920- ^ 老子."/>
    <x v="15"/>
    <s v="n/a"/>
    <x v="1"/>
    <s v="講談社"/>
    <n v="1988"/>
    <s v="Laozi ^ Dao de jing (Laozi)"/>
    <n v="0"/>
    <m/>
    <m/>
  </r>
  <r>
    <n v="526"/>
    <m/>
    <m/>
    <m/>
    <x v="0"/>
    <m/>
    <m/>
    <s v="n/a"/>
    <x v="0"/>
    <m/>
    <s v="n/a"/>
    <s v="n/a"/>
    <s v="y"/>
    <s v="n/a"/>
    <s v="n/a"/>
    <n v="17308116"/>
    <s v="Rōshi no shinkenkyū"/>
    <s v="老子の新硏究"/>
    <s v="Kimura, Eiichi, 1906-1981"/>
    <s v="木村英一, 1906-"/>
    <x v="2"/>
    <s v="n/a"/>
    <x v="31"/>
    <s v="創文社"/>
    <n v="1959"/>
    <s v="Taoism ^ Laozi. Daodejing ^ Taoïsme"/>
    <n v="0"/>
    <m/>
    <m/>
  </r>
  <r>
    <n v="527"/>
    <m/>
    <m/>
    <m/>
    <x v="0"/>
    <m/>
    <m/>
    <s v="n/a"/>
    <x v="0"/>
    <m/>
    <s v="n/a"/>
    <s v="n/a"/>
    <s v="y"/>
    <s v="n/a"/>
    <s v="n/a"/>
    <n v="33145929"/>
    <s v="Rōshi genshi"/>
    <s v="老子原始"/>
    <s v="Takeuchi, Yoshio, 1886-1966"/>
    <s v="武內義雄, 1886-"/>
    <x v="2"/>
    <s v="n/a"/>
    <x v="163"/>
    <s v="清水弘文堂書房"/>
    <n v="1967"/>
    <s v="Philosophers  --  China ^ Philosophes  --  Chine ^ Lao-tzu"/>
    <n v="0"/>
    <m/>
    <m/>
  </r>
  <r>
    <n v="528"/>
    <m/>
    <m/>
    <m/>
    <x v="0"/>
    <m/>
    <s v="insert/signed"/>
    <s v="n/a"/>
    <x v="0"/>
    <m/>
    <s v="n/a"/>
    <s v="n/a"/>
    <s v="y"/>
    <s v="n/a"/>
    <s v="n/a"/>
    <n v="33783270"/>
    <s v="Rō-Sō-teki sekai: Enanji no shisō"/>
    <s v="老荘的世界: 淮南子の思想"/>
    <s v="Kanaya, Osamu, 1920-2006"/>
    <s v="金谷治, 1920-"/>
    <x v="172"/>
    <s v="n/a"/>
    <x v="88"/>
    <s v="平楽寺書店"/>
    <n v="1959"/>
    <s v="Liu, An, -122 B.C. Huai-nan tzu"/>
    <n v="0"/>
    <m/>
    <m/>
  </r>
  <r>
    <n v="530"/>
    <n v="2"/>
    <m/>
    <m/>
    <x v="0"/>
    <m/>
    <m/>
    <s v="n/a"/>
    <x v="0"/>
    <m/>
    <s v="n/a"/>
    <s v="n/a"/>
    <s v="n/a"/>
    <s v="n/a"/>
    <s v="n/a"/>
    <n v="989491152"/>
    <s v="Kyu manshuto"/>
    <s v="旧満州档: 天聡九年. 2"/>
    <s v="Kanda, Nobuo, 1921-2003 ^ Matsumura, Jun, 1924- ^ Okada, Hidehiro, 1931-2017 ^ Toyo Bunko"/>
    <s v="東洋文庫"/>
    <x v="2"/>
    <s v="n/a"/>
    <x v="0"/>
    <s v="東洋文庫"/>
    <n v="1975"/>
    <s v="Chugoku  --  Rekishi  --  Shinjidai  --  Shiryo"/>
    <n v="0"/>
    <m/>
    <m/>
  </r>
  <r>
    <n v="531"/>
    <m/>
    <m/>
    <m/>
    <x v="0"/>
    <m/>
    <m/>
    <s v="n/a"/>
    <x v="0"/>
    <m/>
    <s v="n/a"/>
    <s v="n/a"/>
    <s v="n/a"/>
    <s v="n/a"/>
    <s v="n/a"/>
    <n v="703794168"/>
    <s v="Chakyo"/>
    <s v="茶経: 付喫茶養生記"/>
    <s v="Hayashi, Samae, 1932- ^ Yasui, Kozan, 1921-1989"/>
    <s v="林, 左馬衛, 1932- ^ 安居, 香山, 1921-1989"/>
    <x v="2"/>
    <s v="n/a"/>
    <x v="0"/>
    <s v="明徳出版社"/>
    <n v="1974"/>
    <s v="Riku, U, -804 ^ Chakyo ^ Chakyō"/>
    <n v="0"/>
    <m/>
    <m/>
  </r>
  <r>
    <n v="532"/>
    <m/>
    <s v="上"/>
    <m/>
    <x v="0"/>
    <m/>
    <m/>
    <s v="n/a"/>
    <x v="0"/>
    <m/>
    <s v="n/a"/>
    <s v="n/a"/>
    <s v="n/a"/>
    <s v="n/a"/>
    <s v="n/a"/>
    <n v="1097251519"/>
    <s v="Junshi"/>
    <s v="荀子"/>
    <s v="Xunzi, 340 B.C.-245 B.C ^ Kanaya, Osamu, 1920-2006, ^ ; translator"/>
    <s v="荀子, 340-245 ^ B.C. ^ 金谷治, 1920-2006, translator"/>
    <x v="173"/>
    <s v="岩波文庫 ; 33-208-1, 33-208-2."/>
    <x v="18"/>
    <s v="n/a"/>
    <s v="1961-1962"/>
    <s v="Xunzi, 340 B.C.-245 B.C. Xunzi ^ Xunzi (Xunzi)"/>
    <n v="0"/>
    <m/>
    <m/>
  </r>
  <r>
    <n v="533"/>
    <m/>
    <m/>
    <m/>
    <x v="0"/>
    <m/>
    <m/>
    <s v="n/a"/>
    <x v="0"/>
    <m/>
    <s v="n/a"/>
    <s v="n/a"/>
    <s v="n/a"/>
    <s v="n/a"/>
    <s v="n/a"/>
    <n v="26842664"/>
    <s v="Junshi"/>
    <s v="荀子"/>
    <s v="Xunzi, 340 B.C.-245 B.C ^ Tsukamoto, Tetsuzō, 1881-1953"/>
    <s v="荀子, 340-245 ^ B. ^ C. ^ 塚本哲三, 1881-1953"/>
    <x v="174"/>
    <s v="漢文叢書."/>
    <x v="164"/>
    <s v="有朋堂"/>
    <n v="1922"/>
    <s v="n/a"/>
    <n v="0"/>
    <m/>
    <m/>
  </r>
  <r>
    <n v="534"/>
    <m/>
    <m/>
    <m/>
    <x v="0"/>
    <m/>
    <s v="insert/signed"/>
    <s v="n/a"/>
    <x v="0"/>
    <m/>
    <s v="n/a"/>
    <s v="n/a"/>
    <s v="y"/>
    <s v="n/a"/>
    <s v="n/a"/>
    <n v="20615132"/>
    <s v="Sōshi: kodai Chūgoku no jitsuzon shugi"/>
    <s v="荘子: 古代中国の実存主義"/>
    <s v="Fukunaga, Mitsuji, 1918-"/>
    <s v="福永光司, 1918-"/>
    <x v="175"/>
    <s v="n/a"/>
    <x v="2"/>
    <s v="中央公論社"/>
    <n v="1964"/>
    <s v="Existentialism ^ Existentialisme ^ Taoismus ^ Philosophie ^ Chuang-tzu ^ Zhuangzi ^ Zhuang, Zhou, approximately v4./3. Jh"/>
    <n v="0"/>
    <m/>
    <m/>
  </r>
  <r>
    <n v="535"/>
    <m/>
    <m/>
    <m/>
    <x v="0"/>
    <m/>
    <s v="insert/signed"/>
    <s v="n/a"/>
    <x v="0"/>
    <m/>
    <s v="n/a"/>
    <s v="n/a"/>
    <s v="n/a"/>
    <s v="n/a"/>
    <s v="n/a"/>
    <n v="36091769"/>
    <s v="Sōshi"/>
    <s v="荘子"/>
    <s v="Abe, Yoshio, 1905-1978 ^ Zhuangzi ^ Nanhua jing.; Japanese"/>
    <s v="阿部吉雄, 1905- ^ 荘子. ^ 南華經. ^ Japanese"/>
    <x v="72"/>
    <s v="n/a"/>
    <x v="13"/>
    <s v="明徳出版社"/>
    <n v="1968"/>
    <s v="Taoismus ^ Zhuangzi ^ Zhuang, Zhou, approximately v4./3. Jh ^ China"/>
    <n v="0"/>
    <m/>
    <m/>
  </r>
  <r>
    <n v="536"/>
    <m/>
    <m/>
    <m/>
    <x v="0"/>
    <m/>
    <s v="insert/signed"/>
    <s v="n/a"/>
    <x v="0"/>
    <m/>
    <s v="n/a"/>
    <s v="n/a"/>
    <s v="y"/>
    <s v="n/a"/>
    <s v="n/a"/>
    <n v="33614218"/>
    <s v="Sōshi"/>
    <s v="荘子"/>
    <s v="Fukunaga, Mitsuji, 1918- ^ Zhuangzi ^ Nanhua jing.; Nei pian.; Japanese"/>
    <s v="福永光司, 1918- ^ 莊子. ^ 南华经. ^ 內篇. ^ Japanese"/>
    <x v="176"/>
    <s v="n/a"/>
    <x v="41"/>
    <s v="朝日新聞社"/>
    <n v="1956"/>
    <s v="Nanhua jing (Zhuangzi)"/>
    <n v="0"/>
    <m/>
    <m/>
  </r>
  <r>
    <n v="537"/>
    <s v="2v"/>
    <m/>
    <m/>
    <x v="0"/>
    <m/>
    <s v="insert/signed"/>
    <s v="n/a"/>
    <x v="0"/>
    <m/>
    <s v="n/a"/>
    <s v="n/a"/>
    <s v="y"/>
    <n v="9784003320617"/>
    <n v="4003320611"/>
    <n v="22962090"/>
    <s v="Sōshi"/>
    <s v="荘子"/>
    <s v="Zhuangzi ^ Kanaya, Osamu, 1920-2006"/>
    <s v="荘子. ^ 金谷治, 1920-"/>
    <x v="177"/>
    <s v="n/a"/>
    <x v="18"/>
    <s v="岩波書店"/>
    <s v="1971-1983"/>
    <s v="Taoism ^ Taoïsme"/>
    <n v="0"/>
    <m/>
    <m/>
  </r>
  <r>
    <n v="538"/>
    <n v="36"/>
    <m/>
    <m/>
    <x v="0"/>
    <m/>
    <m/>
    <s v="n/a"/>
    <x v="0"/>
    <m/>
    <s v="n/a"/>
    <s v="n/a"/>
    <s v="y"/>
    <n v="9784000700368"/>
    <n v="4000700367"/>
    <n v="17929998"/>
    <s v="Ogyū Sorai"/>
    <s v="荻生徂徕"/>
    <s v="Ogyū, Sorai, 1666-1728, ^ author.Yoshikawa, Kōjirō, 1904-1980"/>
    <s v="荻生徂徕, 1666-1728, author ^ 吉川幸次郎, 1904-1980"/>
    <x v="178"/>
    <s v="n/a"/>
    <x v="18"/>
    <s v="n/a"/>
    <n v="1973"/>
    <s v="Ogyū, Sorai, 1666-1728"/>
    <n v="0"/>
    <m/>
    <m/>
  </r>
  <r>
    <n v="539"/>
    <m/>
    <m/>
    <m/>
    <x v="0"/>
    <m/>
    <s v="need to see item, no worldcat record?"/>
    <s v="n/a"/>
    <x v="0"/>
    <m/>
    <s v="n/a"/>
    <s v="n/a"/>
    <s v="n/a"/>
    <s v="n/a"/>
    <s v="n/a"/>
    <s v="n/a"/>
    <s v="n/a"/>
    <s v="菅子"/>
    <s v="n/a"/>
    <s v="塚本哲三編輯"/>
    <x v="2"/>
    <s v="n/a"/>
    <x v="165"/>
    <s v="有朋堂書店"/>
    <n v="1923"/>
    <s v="n/a"/>
    <n v="0"/>
    <m/>
    <m/>
  </r>
  <r>
    <n v="540"/>
    <m/>
    <m/>
    <m/>
    <x v="0"/>
    <m/>
    <s v="need to see item, no worldcat or cinii records"/>
    <s v="n/a"/>
    <x v="0"/>
    <m/>
    <s v="n/a"/>
    <s v="n/a"/>
    <s v="n/a"/>
    <s v="n/a"/>
    <s v="n/a"/>
    <s v="n/a"/>
    <s v="n/a"/>
    <s v="菅子の研究 : 中国古代思想史の一面"/>
    <s v="n/a"/>
    <s v="金谷治"/>
    <x v="2"/>
    <s v="n/a"/>
    <x v="18"/>
    <s v="岩波書店"/>
    <n v="1987"/>
    <s v="n/a"/>
    <n v="0"/>
    <m/>
    <m/>
  </r>
  <r>
    <n v="541"/>
    <n v="76"/>
    <m/>
    <m/>
    <x v="0"/>
    <m/>
    <m/>
    <s v="https://www.amazon.jp/dp/4809702677"/>
    <x v="0"/>
    <m/>
    <s v="n/a"/>
    <s v="n/a"/>
    <s v="y"/>
    <n v="9784809702679"/>
    <n v="4809702677"/>
    <n v="875002916"/>
    <s v="Kahoku no hakken"/>
    <s v="華北の発見"/>
    <s v="Honjō Hisako, Uchiyama Masao, Kubo Tōru hen = Discovery of North China / edited by Honjo Hisako, Uchiyama Masao, Kubo Toru ^ Honjō, Hisako ^ Uchiyama, Masao ^ Kubo, Tōru"/>
    <s v="本庄比佐子, 内山雅生, 久保亨編 = Discovery of North China / edited by Honjo Hisako, Uchiyama Masao, Kubo Toru ^ 本庄比佐子 ^ 内山雅生 ^ 久保亨"/>
    <x v="179"/>
    <s v="n/a"/>
    <x v="166"/>
    <s v="Kōeki Zaidan Hōjin Tōyō Bunko"/>
    <n v="2013"/>
    <s v="North China Plain (China) History 19th century ^ North China Plain (China) History 20th century ^ China North China Plain ^ Norra Kina Historia Japan. 19th century ^ 1800-1999"/>
    <n v="0"/>
    <m/>
    <m/>
  </r>
  <r>
    <n v="542"/>
    <m/>
    <m/>
    <m/>
    <x v="0"/>
    <m/>
    <m/>
    <s v="n/a"/>
    <x v="0"/>
    <m/>
    <s v="n/a"/>
    <s v="n/a"/>
    <s v="n/a"/>
    <s v="n/a"/>
    <s v="n/a"/>
    <n v="33703410"/>
    <s v="Hōsa bunko suruga oyuzuribon mokuroku"/>
    <s v="蓬左文庫駿河御譲本目錄"/>
    <s v="Nagoyashi Tsurumai Toshokan"/>
    <s v="名古屋市鶴舞図書館"/>
    <x v="2"/>
    <s v="n/a"/>
    <x v="167"/>
    <s v="名古屋市鶴舞図書館"/>
    <n v="1962"/>
    <s v="n/a"/>
    <n v="0"/>
    <m/>
    <m/>
  </r>
  <r>
    <n v="543"/>
    <n v="12"/>
    <m/>
    <m/>
    <x v="0"/>
    <m/>
    <s v="price note: parsed incorectly by macro"/>
    <s v="n/a"/>
    <x v="0"/>
    <m/>
    <s v="n/a"/>
    <s v="n/a"/>
    <s v="y"/>
    <n v="9784061925823"/>
    <n v="4061925822"/>
    <n v="29339867"/>
    <s v="Rennyo"/>
    <s v="蓮如"/>
    <s v="Minamoto, Ryōen, 1920-2020"/>
    <s v="源了圓, 1920-"/>
    <x v="180"/>
    <s v="n/a"/>
    <x v="1"/>
    <s v="講談社"/>
    <n v="1993"/>
    <s v="Shin priests  --  Japan  --  Biography ^ Prêtres shins  --  Japon  --  Biographies ^ Rennyo, 1415-1499"/>
    <n v="0"/>
    <m/>
    <m/>
  </r>
  <r>
    <n v="544"/>
    <m/>
    <m/>
    <m/>
    <x v="0"/>
    <m/>
    <m/>
    <s v="n/a"/>
    <x v="0"/>
    <m/>
    <s v="n/a"/>
    <s v="n/a"/>
    <s v="n/a"/>
    <s v="n/a"/>
    <s v="n/a"/>
    <n v="38110378"/>
    <s v="Lotus petals: selected quotations from the Lotus Sutra = Renben"/>
    <s v="Lotus petals: selected quotations from the Lotus Sutra = 蓮弁"/>
    <s v="Matsuda, Ryūshō"/>
    <s v="松田龍紹."/>
    <x v="2"/>
    <s v="n/a"/>
    <x v="168"/>
    <s v="n/a"/>
    <n v="1995"/>
    <s v="Mahayana Buddhism  --  Sacred books"/>
    <n v="0"/>
    <m/>
    <m/>
  </r>
  <r>
    <n v="545"/>
    <m/>
    <m/>
    <m/>
    <x v="0"/>
    <m/>
    <m/>
    <s v="n/a"/>
    <x v="0"/>
    <m/>
    <s v="n/a"/>
    <s v="n/a"/>
    <s v="y"/>
    <s v="n/a"/>
    <s v="n/a"/>
    <n v="33534446"/>
    <s v="Fujii Bunko mokuroku"/>
    <s v="藤井文庫目錄"/>
    <s v="Fujii, Naohisa, 1894-1967 ^ Tōyō Bunko"/>
    <s v="東洋文庫"/>
    <x v="2"/>
    <s v="n/a"/>
    <x v="169"/>
    <s v="国立国会図書館"/>
    <n v="1969"/>
    <s v="Fujii, Naohisa, 1894-1967  --  Library"/>
    <n v="0"/>
    <m/>
    <m/>
  </r>
  <r>
    <n v="546"/>
    <n v="1"/>
    <m/>
    <m/>
    <x v="0"/>
    <m/>
    <m/>
    <s v="n/a"/>
    <x v="0"/>
    <m/>
    <s v="n/a"/>
    <s v="n/a"/>
    <s v="n/a"/>
    <s v="n/a"/>
    <s v="n/a"/>
    <n v="834458129"/>
    <s v="Fujiwara seika"/>
    <s v="藤原惺窩"/>
    <s v="Inokuchi, Atsushi, 1915- ^ Matano, Tarō"/>
    <s v="猪口篤志, 1915- ^ 俣野太郎"/>
    <x v="181"/>
    <s v="叢書・日本の思想家 ; 1."/>
    <x v="13"/>
    <s v="明徳出版社"/>
    <n v="1982"/>
    <s v="Fujiwara, Seika, 1561-1619 ^ Matsunaga, Sekigo, 1592-1657"/>
    <n v="0"/>
    <m/>
    <m/>
  </r>
  <r>
    <n v="547"/>
    <n v="28"/>
    <m/>
    <m/>
    <x v="0"/>
    <m/>
    <m/>
    <s v="n/a"/>
    <x v="0"/>
    <m/>
    <s v="n/a"/>
    <s v="n/a"/>
    <s v="n/a"/>
    <s v="n/a"/>
    <s v="n/a"/>
    <n v="838636846"/>
    <s v="Fujiwara seika hayashi razan"/>
    <s v="藤原惺窩・林羅山"/>
    <s v="Fujiwara, Seika, 1561-1619 ^ Hayashi, Razan, 1583-1657 ^ Ishida, Ichirō, 1913- ^ Kanaya, Osamu, 1920-2006"/>
    <s v="藤原惺窩, 1561-1619. ^ 林羅山, 1583-1657. ^ 石田一良, 1913- ^ 金谷治, 1920-2006"/>
    <x v="182"/>
    <s v="日本思想大系 ; 28."/>
    <x v="98"/>
    <s v="岩波書店"/>
    <n v="1975"/>
    <s v="Fujiwara, Seika, 1561-1619 ^ Hayashi, Razan, 1583-1657"/>
    <n v="0"/>
    <m/>
    <m/>
  </r>
  <r>
    <n v="548"/>
    <m/>
    <m/>
    <m/>
    <x v="0"/>
    <m/>
    <m/>
    <s v="n/a"/>
    <x v="0"/>
    <m/>
    <s v="n/a"/>
    <s v="n/a"/>
    <s v="y"/>
    <s v="n/a"/>
    <s v="n/a"/>
    <n v="33570929"/>
    <s v="Seitō kanki"/>
    <s v="西東間記"/>
    <s v="Yoshikawa, Kōjirō, 1904-1980, ^ author"/>
    <s v="吉川幸次郎, 1904-1980, author"/>
    <x v="2"/>
    <s v="n/a"/>
    <x v="18"/>
    <s v="n/a"/>
    <n v="1972"/>
    <s v="Chinese literature ^ Littérature chinoise"/>
    <n v="0"/>
    <m/>
    <m/>
  </r>
  <r>
    <n v="549"/>
    <n v="9"/>
    <m/>
    <m/>
    <x v="0"/>
    <m/>
    <s v="insert/signed"/>
    <s v="https://www.amazon.jp/dp/4061925792"/>
    <x v="0"/>
    <m/>
    <s v="n/a"/>
    <s v="n/a"/>
    <s v="y"/>
    <n v="9784061925793"/>
    <n v="4061925792"/>
    <n v="26976876"/>
    <s v="Shinran"/>
    <s v="親鸞"/>
    <s v="Takeuchi Yoshinori, Ishida Yoshikazu ^ Takeuchi, Yoshinori ^ Ishida, Yoshikazu"/>
    <s v="武内義範, 石田慶和. ^ 武内義範, 1913- ^ 石田慶和"/>
    <x v="183"/>
    <s v="n/a"/>
    <x v="1"/>
    <s v="講談社"/>
    <n v="1991"/>
    <s v="Shinran, 1173-1263"/>
    <n v="0"/>
    <m/>
    <m/>
  </r>
  <r>
    <n v="550"/>
    <m/>
    <m/>
    <m/>
    <x v="0"/>
    <m/>
    <s v="insert/signed"/>
    <s v="n/a"/>
    <x v="0"/>
    <m/>
    <s v="n/a"/>
    <s v="n/a"/>
    <s v="n/a"/>
    <s v="n/a"/>
    <s v="n/a"/>
    <n v="13987793"/>
    <s v="Shinran to gendai"/>
    <s v="親鸞と現代"/>
    <s v="Takeuchi, Yoshinori, 1913-"/>
    <s v="武內義範, 1913-"/>
    <x v="184"/>
    <s v="n/a"/>
    <x v="2"/>
    <s v="中央公論社"/>
    <n v="1974"/>
    <s v="Shinran, 1173-1263"/>
    <n v="0"/>
    <m/>
    <m/>
  </r>
  <r>
    <n v="551"/>
    <m/>
    <m/>
    <m/>
    <x v="0"/>
    <m/>
    <s v="need to see item, no worldcat entry?"/>
    <s v="n/a"/>
    <x v="0"/>
    <m/>
    <s v="n/a"/>
    <s v="n/a"/>
    <s v="n/a"/>
    <s v="n/a"/>
    <s v="n/a"/>
    <s v="BA53114293"/>
    <s v="Shinran shōnin goshinsekishū"/>
    <s v="親鸞聖人御真蹟集 (墨美特集)"/>
    <s v="Enjun Miyazaki "/>
    <s v="宮崎圓遵編"/>
    <x v="2"/>
    <s v="n/a"/>
    <x v="0"/>
    <s v="墨美社"/>
    <n v="1961"/>
    <s v="n/a"/>
    <n v="0"/>
    <m/>
    <m/>
  </r>
  <r>
    <n v="552"/>
    <m/>
    <m/>
    <m/>
    <x v="0"/>
    <m/>
    <m/>
    <s v="n/a"/>
    <x v="0"/>
    <m/>
    <s v="n/a"/>
    <s v="n/a"/>
    <s v="n/a"/>
    <s v="n/a"/>
    <s v="n/a"/>
    <s v="n/a"/>
    <s v="St. Nichiren's Kanjin honzon-shō = A treatise revealing the spiritual contemplation and the object of worship for the first time in the fifth 500-year period after death of Sākyamuni Buddha"/>
    <s v="n/a"/>
    <s v="Nichiren; Kyōtsū Hori"/>
    <s v="n/a"/>
    <x v="2"/>
    <s v="n/a"/>
    <x v="74"/>
    <s v="n/a"/>
    <n v="1991"/>
    <s v="n/a"/>
    <n v="0"/>
    <m/>
    <m/>
  </r>
  <r>
    <n v="553"/>
    <m/>
    <m/>
    <m/>
    <x v="0"/>
    <m/>
    <m/>
    <s v="n/a"/>
    <x v="0"/>
    <m/>
    <s v="n/a"/>
    <s v="n/a"/>
    <s v="n/a"/>
    <s v="n/a"/>
    <s v="n/a"/>
    <n v="673479230"/>
    <s v="Shi to ai to jitsuzon"/>
    <s v="詩と愛と実存"/>
    <s v="Yoshimitsu, Yoshihiko, 1904-1945"/>
    <s v="吉満, 義彦, 1904-1945"/>
    <x v="185"/>
    <s v="n/a"/>
    <x v="155"/>
    <s v="角川書店"/>
    <n v="1948"/>
    <s v="n/a"/>
    <n v="0"/>
    <m/>
    <m/>
  </r>
  <r>
    <n v="554"/>
    <m/>
    <m/>
    <m/>
    <x v="0"/>
    <m/>
    <s v="insert/signed"/>
    <s v="n/a"/>
    <x v="0"/>
    <m/>
    <s v="n/a"/>
    <s v="n/a"/>
    <s v="n/a"/>
    <s v="n/a"/>
    <s v="n/a"/>
    <n v="672475730"/>
    <s v="Shi to gekkō: Chūgoku bungaku ronshū"/>
    <s v="詩と月光: 中国文学論集"/>
    <s v="Yoshikawa, Kōjirō, 1904-1980"/>
    <s v="吉川, 幸次郎, 1904-1980"/>
    <x v="2"/>
    <s v="n/a"/>
    <x v="23"/>
    <s v="筑摩書房"/>
    <n v="1964"/>
    <s v="Chūgokubungaku ^ Chūgokushi"/>
    <n v="0"/>
    <m/>
    <m/>
  </r>
  <r>
    <n v="555"/>
    <m/>
    <m/>
    <m/>
    <x v="0"/>
    <m/>
    <m/>
    <s v="n/a"/>
    <x v="0"/>
    <m/>
    <s v="n/a"/>
    <s v="n/a"/>
    <s v="y"/>
    <s v="n/a"/>
    <s v="n/a"/>
    <n v="23341949"/>
    <s v="Shikyō shohen no seiritsu ni kansuru kenkyū"/>
    <s v="詩經諸篇の成立に關する硏究"/>
    <s v="Matsumoto, Masaaki, 1912-"/>
    <s v="松本雅明, 1912- ^ 松本, 雅明(1912- ) ^ 東洋文庫"/>
    <x v="186"/>
    <s v="東洋文庫論叢 ; 第41."/>
    <x v="0"/>
    <s v="東京"/>
    <n v="1958"/>
    <s v="Shi jing"/>
    <n v="0"/>
    <m/>
    <m/>
  </r>
  <r>
    <n v="556"/>
    <m/>
    <s v="下"/>
    <m/>
    <x v="0"/>
    <m/>
    <m/>
    <s v="n/a"/>
    <x v="0"/>
    <m/>
    <s v="n/a"/>
    <s v="n/a"/>
    <s v="n/a"/>
    <s v="n/a"/>
    <s v="n/a"/>
    <n v="703883090"/>
    <s v="Doku tsuganron"/>
    <s v="読通鑑論"/>
    <s v="Ō, Fushi, 1619-1692 ^ Kōda, Rentarō, 1874-1963"/>
    <s v="王, 夫之, 1619-1692. ^ 公田, 連太郎, 1874-1963"/>
    <x v="2"/>
    <s v="n/a"/>
    <x v="0"/>
    <s v="日本図書センター"/>
    <n v="1979"/>
    <s v="Chūgoku  --  Rekishi ^ Chugoku  --  Rekishi"/>
    <n v="0"/>
    <m/>
    <m/>
  </r>
  <r>
    <n v="557"/>
    <n v="1"/>
    <m/>
    <m/>
    <x v="0"/>
    <m/>
    <m/>
    <s v="n/a"/>
    <x v="0"/>
    <m/>
    <s v="n/a"/>
    <s v="n/a"/>
    <s v="n/a"/>
    <n v="9784625570018"/>
    <n v="4625570018"/>
    <n v="835209055"/>
    <s v="Rongo"/>
    <s v="論語"/>
    <s v="Yoshida, Kenkō, 1900-1995"/>
    <s v="吉田賢抗, 1900-1995"/>
    <x v="187"/>
    <s v="n/a"/>
    <x v="170"/>
    <s v="明治書院"/>
    <n v="1975"/>
    <s v="rongo hyōshaku"/>
    <n v="0"/>
    <m/>
    <m/>
  </r>
  <r>
    <n v="558"/>
    <s v="2v"/>
    <m/>
    <m/>
    <x v="0"/>
    <m/>
    <m/>
    <s v="n/a"/>
    <x v="0"/>
    <m/>
    <s v="n/a"/>
    <s v="n/a"/>
    <s v="y"/>
    <s v="n/a"/>
    <s v="n/a"/>
    <n v="7429348"/>
    <s v="Rongo"/>
    <s v="論語"/>
    <s v="Yoshikawa, Kōjirō, 1904-1980 ^ Confucius ^ Lun yu.; Japanese"/>
    <s v="吉川幸次郎, 1904-1980. ^ Confucius. ^ 論語. ^ Japanese"/>
    <x v="188"/>
    <s v="n/a"/>
    <x v="41"/>
    <s v="n/a"/>
    <s v="1965-1966"/>
    <s v="Confucius. Lun yu ^ Confucius. Lun yü ^ Lun yu (Confucius)"/>
    <n v="0"/>
    <m/>
    <m/>
  </r>
  <r>
    <n v="559"/>
    <n v="69"/>
    <m/>
    <m/>
    <x v="0"/>
    <m/>
    <m/>
    <s v="n/a"/>
    <x v="0"/>
    <m/>
    <s v="n/a"/>
    <s v="n/a"/>
    <s v="y"/>
    <s v="n/a"/>
    <s v="n/a"/>
    <n v="33724092"/>
    <s v="Rongo, Mōshi, Daigaku, Chūyō"/>
    <s v="論語・孟子・大学・中庸"/>
    <s v="Kuraishi, Takeshirō, 1897-1975 ^ Yuasa, Yukihiko, 1917- ^ Kanaya, Osamu, 1920-2006"/>
    <s v="倉石武四郎, 1897-1975. ^ 湯浅幸孫, 1917- ^ 金谷治, 1920-"/>
    <x v="189"/>
    <s v="n/a"/>
    <x v="23"/>
    <s v="筑摩書房"/>
    <n v="1968"/>
    <s v="n/a"/>
    <n v="0"/>
    <m/>
    <m/>
  </r>
  <r>
    <n v="560"/>
    <d v="2022-02-01T00:00:00"/>
    <m/>
    <m/>
    <x v="0"/>
    <m/>
    <s v="need to see item"/>
    <s v="n/a"/>
    <x v="0"/>
    <m/>
    <s v="n/a"/>
    <s v="n/a"/>
    <s v="n/a"/>
    <s v="n/a"/>
    <s v="n/a"/>
    <n v="672881864"/>
    <s v="Sekai no daishisō: 2(1), Kōshi mōshi rōshi sōshi"/>
    <s v="世界の大思想. 第2期第1, 孔子・孟子・老子・荘子"/>
    <s v="n/a"/>
    <s v="n/a"/>
    <x v="2"/>
    <s v="n/a"/>
    <x v="171"/>
    <s v="河出書房新社"/>
    <n v="1968"/>
    <s v="n/a"/>
    <n v="0"/>
    <m/>
    <m/>
  </r>
  <r>
    <n v="563"/>
    <m/>
    <m/>
    <m/>
    <x v="0"/>
    <m/>
    <s v="insert/signed"/>
    <s v="n/a"/>
    <x v="0"/>
    <m/>
    <s v="n/a"/>
    <s v="n/a"/>
    <s v="n/a"/>
    <s v="n/a"/>
    <s v="n/a"/>
    <n v="122861882"/>
    <s v="Mindai jugakusha ichiran: tsuketari sakuin"/>
    <s v="明代儒學者一覽: 附索引"/>
    <s v="Okada, Takehiko ^ Satō, Hitoshi, 1927-"/>
    <s v="岡田武彦, 1908- ^ 佐藤仁, 1927-"/>
    <x v="2"/>
    <s v="n/a"/>
    <x v="137"/>
    <s v="九州大學文學部"/>
    <n v="1957"/>
    <s v="Philosophers  --  China  --  Biography ^ Philosophes  --  Chine  --  Biographies"/>
    <n v="0"/>
    <m/>
    <m/>
  </r>
  <r>
    <n v="565"/>
    <n v="1"/>
    <m/>
    <m/>
    <x v="0"/>
    <m/>
    <s v="price note: macro parsed wrong"/>
    <s v="n/a"/>
    <x v="0"/>
    <m/>
    <s v="n/a"/>
    <s v="n/a"/>
    <s v="y"/>
    <n v="9784816703423"/>
    <s v="481670342X"/>
    <n v="33876348"/>
    <s v="Kaibara Ekiken"/>
    <s v="貝原益軒"/>
    <s v="Okada, Takehiko ^ Fukuoka Jinbutsushi Henshū Iinkai"/>
    <s v="ふくおか人物誌編集委員会"/>
    <x v="12"/>
    <s v="ふくおか人物誌 ; 1."/>
    <x v="19"/>
    <s v="西日本新聞社"/>
    <n v="1993"/>
    <s v="Kaibara, Ekiken, 1630-1714"/>
    <n v="0"/>
    <m/>
    <m/>
  </r>
  <r>
    <n v="566"/>
    <n v="34"/>
    <m/>
    <m/>
    <x v="0"/>
    <m/>
    <s v="ISBN?"/>
    <s v="n/a"/>
    <x v="0"/>
    <m/>
    <s v="n/a"/>
    <s v="n/a"/>
    <s v="n/a"/>
    <n v="9784000700344"/>
    <n v="4000700340"/>
    <n v="1040864086"/>
    <s v="Kaibara Ekiken, Muro Kyūsō"/>
    <s v="貝原益軒, 室鳩巢"/>
    <s v="Kaibara, Ekiken, 1630-1714 ^ (Creator)Muro, Kyūsō, 1658-1734 ^ Araki, Kengo, 1917- ^ Inoue, Tadashi, 1915-"/>
    <s v="貝原益軒, 1630-1714 ^ 荒木見悟, 1917- ^ 井上忠, 1915- ^ 室鳩巣, 1658-1734"/>
    <x v="190"/>
    <s v="日本思想大系 34"/>
    <x v="18"/>
    <s v="n/a"/>
    <n v="1977"/>
    <s v="Zhu, Xi"/>
    <n v="0"/>
    <m/>
    <m/>
  </r>
  <r>
    <n v="567"/>
    <s v="10v"/>
    <m/>
    <m/>
    <x v="0"/>
    <m/>
    <m/>
    <s v="n/a"/>
    <x v="0"/>
    <m/>
    <s v="n/a"/>
    <s v="n/a"/>
    <s v="y"/>
    <s v="n/a"/>
    <s v="n/a"/>
    <n v="8767410"/>
    <s v="Kaizuka Shigeki chosakushū"/>
    <s v="貝塚茂樹著作集"/>
    <s v="Kaizuka, Shigeki, 1904-1987"/>
    <s v="貝塚茂樹, 1904-"/>
    <x v="2"/>
    <s v="n/a"/>
    <x v="2"/>
    <s v="中央公論社"/>
    <s v="1976-1978"/>
    <s v="Civilization ^ History ^ To 960 ^ China  --  History ^ China  --  History  --  To 221 B.C ^ China  --  History  --  221 B.C.-960 A.D ^ China  --  Civilization ^ Chine  --  Histoire ^ Chine  --  Histoire  --  Jusqu'à 221 av. J.-C ^ Chine  --  Histoire  --  221 av. J.-C.-960 ^ Chine  --  Civilisation"/>
    <n v="0"/>
    <m/>
    <m/>
  </r>
  <r>
    <n v="568"/>
    <m/>
    <m/>
    <m/>
    <x v="0"/>
    <m/>
    <s v="insert/signed"/>
    <s v="n/a"/>
    <x v="0"/>
    <m/>
    <s v="n/a"/>
    <s v="n/a"/>
    <s v="y"/>
    <s v="n/a"/>
    <s v="n/a"/>
    <n v="4793679"/>
    <s v="Shiji tsugan sakuin"/>
    <s v="資治通鑑索引"/>
    <s v="Saeki, Tomi, 1910-2006 ^ Sima, Guang, 1019-1086 ^ Zi zhi tong jian"/>
    <s v="佐伯富, 1910- ^ 司馬光, 1019-1086. ^ 資治通鑑"/>
    <x v="191"/>
    <s v="n/a"/>
    <x v="68"/>
    <s v="東洋史硏究會"/>
    <n v="1961"/>
    <s v="Sima, Guang, 1019-1086. Zi zhi tong jian  --  Indexes ^ Si ma, Guang, 1019-1086. Zi zhi tong jian  --  Indexes ^ Zi zhi tong jian (Sima, Guang)"/>
    <n v="0"/>
    <m/>
    <m/>
  </r>
  <r>
    <n v="569"/>
    <m/>
    <m/>
    <m/>
    <x v="0"/>
    <m/>
    <m/>
    <s v="n/a"/>
    <x v="0"/>
    <m/>
    <s v="n/a"/>
    <s v="n/a"/>
    <s v="n/a"/>
    <s v="n/a"/>
    <s v="n/a"/>
    <n v="672972376"/>
    <s v="Ashikaga gakkō iseki toshokan kosho bunrui mokuroku"/>
    <s v="足利学校遺蹟図書館古書分類目錄"/>
    <s v="Nagasawa, Kikuya, 1902-1980"/>
    <s v="長沢, 規矩也, 1902-1980"/>
    <x v="2"/>
    <s v="n/a"/>
    <x v="172"/>
    <s v="足利市"/>
    <n v="1966"/>
    <s v="Kisho  --  Mokuroku ^ ashikaga gakkō"/>
    <n v="0"/>
    <m/>
    <m/>
  </r>
  <r>
    <n v="570"/>
    <m/>
    <m/>
    <m/>
    <x v="0"/>
    <m/>
    <m/>
    <s v="n/a"/>
    <x v="0"/>
    <m/>
    <s v="n/a"/>
    <s v="n/a"/>
    <s v="y"/>
    <s v="n/a"/>
    <s v="n/a"/>
    <n v="26836827"/>
    <s v="Kinsei Ajia kyōikushi kenkyū"/>
    <s v="近世アジア教育史研究"/>
    <s v="Taga, Akigorō, 1912-1990, ^ ; editor, author"/>
    <s v="多賀秋五郎, 1912-1990, editor, author"/>
    <x v="2"/>
    <s v="n/a"/>
    <x v="173"/>
    <s v="n/a"/>
    <n v="1966"/>
    <s v="Education  --  China  --  History  --  To 1912 ^ Education  --  Asia  --  History ^ Éducation  --  Chine  --  Histoire  --  Jusqu'à 1912 ^ Éducation  --  Asie  --  Histoire"/>
    <n v="0"/>
    <m/>
    <m/>
  </r>
  <r>
    <n v="571"/>
    <m/>
    <m/>
    <m/>
    <x v="0"/>
    <m/>
    <m/>
    <s v="n/a"/>
    <x v="0"/>
    <m/>
    <s v="n/a"/>
    <s v="n/a"/>
    <s v="y"/>
    <s v="n/a"/>
    <s v="n/a"/>
    <n v="23323067"/>
    <s v="Kinsei Chūgoku kyōikushi kenkyū: sono bunkyō seisaku to shomin kyōiku"/>
    <s v="近世中國敎育史研究: その文教政策と庶民教育"/>
    <s v="Hayashi, Tomoharu, 1915-"/>
    <s v="林友春, 1915-"/>
    <x v="2"/>
    <s v="n/a"/>
    <x v="174"/>
    <s v="国土社"/>
    <n v="1958"/>
    <s v="Education  --  China  --  History ^ Family records ^ Archives familiales ^ family papers"/>
    <n v="0"/>
    <m/>
    <m/>
  </r>
  <r>
    <n v="572"/>
    <n v="48"/>
    <m/>
    <m/>
    <x v="0"/>
    <m/>
    <m/>
    <s v="n/a"/>
    <x v="0"/>
    <m/>
    <s v="n/a"/>
    <s v="n/a"/>
    <s v="n/a"/>
    <s v="n/a"/>
    <s v="n/a"/>
    <n v="28972776"/>
    <s v="Kinseishi ronshū"/>
    <s v="近世史論集"/>
    <s v="Matsumoto, Sannosuke, 1926- ^ Ogura, Yoshihiko, 1927-"/>
    <s v="松本三之介, 1926- ^ 小倉芳彦, 1927-"/>
    <x v="192"/>
    <s v="日本思想大系 ; 48."/>
    <x v="18"/>
    <s v="岩波書店"/>
    <n v="1976"/>
    <s v="Historiography ^ Japan  --  Historiography"/>
    <n v="0"/>
    <m/>
    <m/>
  </r>
  <r>
    <n v="573"/>
    <n v="47"/>
    <m/>
    <m/>
    <x v="0"/>
    <m/>
    <m/>
    <s v="n/a"/>
    <x v="0"/>
    <m/>
    <s v="n/a"/>
    <s v="n/a"/>
    <s v="n/a"/>
    <s v="n/a"/>
    <s v="n/a"/>
    <n v="833327945"/>
    <s v="Kinsei kōki jukashū"/>
    <s v="近世後期儒家集"/>
    <s v="Nakamura, Yukihiko, 1911-1998 ^ Okada, Takehiko, 1908-2004"/>
    <s v="中村幸彦, 1911-1998. ^ 岡田武彦, 1908-2004"/>
    <x v="193"/>
    <s v="日本思想大系 ; 47."/>
    <x v="98"/>
    <s v="岩波書店"/>
    <n v="1972"/>
    <s v="nihonshisō ^ jugaku"/>
    <n v="0"/>
    <m/>
    <m/>
  </r>
  <r>
    <n v="574"/>
    <n v="39"/>
    <m/>
    <m/>
    <x v="0"/>
    <m/>
    <m/>
    <s v="n/a"/>
    <x v="0"/>
    <m/>
    <s v="n/a"/>
    <s v="n/a"/>
    <s v="n/a"/>
    <s v="n/a"/>
    <s v="n/a"/>
    <n v="833327934"/>
    <s v="Kinsei shintōron zenki kokugaku"/>
    <s v="近世神道論・前期国学"/>
    <s v="Taira, Shigemichi, 1911-1993 ^ Abe, Akio, 1910-1999"/>
    <s v="平重道, 1911-1993. ^ 阿部秋生, 1910-1999"/>
    <x v="194"/>
    <s v="日本思想大系 ; 39."/>
    <x v="98"/>
    <s v="岩波書店"/>
    <n v="1972"/>
    <s v="nihonshisō ^ shintō ^ kokugaku"/>
    <n v="0"/>
    <m/>
    <m/>
  </r>
  <r>
    <n v="575"/>
    <m/>
    <m/>
    <m/>
    <x v="0"/>
    <m/>
    <m/>
    <s v="n/a"/>
    <x v="0"/>
    <m/>
    <s v="n/a"/>
    <s v="n/a"/>
    <s v="n/a"/>
    <s v="n/a"/>
    <s v="n/a"/>
    <n v="502464401"/>
    <s v="Kindai Nihon to Kirisutokyō: Taishō, Shōwa hen"/>
    <s v="近代日本とキリスト敎: 大正. 昭和篇"/>
    <s v="Kuyama, Yasushi, 1915- ^ Kōsaka, Masaaki, 1900-1969"/>
    <s v="久山康, 1915- ^ 高坂正顕, 1900-1969"/>
    <x v="2"/>
    <s v="n/a"/>
    <x v="175"/>
    <s v="基督敎学徒兄弟団"/>
    <n v="1956"/>
    <s v="Church and social problems  --  Japan ^ Église et problèmes sociaux  --  Japon ^ History ^ 1912-1989 ^ Japan  --  History  --  Taishō period, 1912-1926 ^ Japan  --  History  --  Shōwa period, 1926-1989 ^ Japon  --  Histoire  --  1912-1926 (Ère Taishō) ^ Japon  --  Histoire  --  1926-1989 (Ère Shōwa)"/>
    <n v="0"/>
    <m/>
    <m/>
  </r>
  <r>
    <n v="576"/>
    <m/>
    <m/>
    <m/>
    <x v="0"/>
    <m/>
    <m/>
    <s v="n/a"/>
    <x v="0"/>
    <m/>
    <s v="n/a"/>
    <s v="n/a"/>
    <s v="y"/>
    <s v="n/a"/>
    <s v="n/a"/>
    <n v="40686899"/>
    <s v="Kindai minshū shūkyōshi no kenkyū"/>
    <s v="近代民衆宗教史の研究"/>
    <s v="Murakami, Shigeyoshi, 1928-1991"/>
    <s v="村上重良, 1928-"/>
    <x v="2"/>
    <s v="n/a"/>
    <x v="24"/>
    <s v="法蔵館"/>
    <n v="1958"/>
    <s v="Shinto sects ^ Nationalism  --  Religious aspects ^ Sectes shintoïstes ^ Nationalisme  --  Aspect religieux"/>
    <n v="0"/>
    <m/>
    <m/>
  </r>
  <r>
    <n v="577"/>
    <n v="37"/>
    <m/>
    <m/>
    <x v="0"/>
    <m/>
    <n v="4825570379"/>
    <s v="n/a"/>
    <x v="0"/>
    <m/>
    <s v="n/a"/>
    <s v="n/a"/>
    <s v="y"/>
    <s v="n/a"/>
    <m/>
    <n v="22803345"/>
    <s v="Kinshiroku"/>
    <s v="近思錄"/>
    <s v="Ichikawa, Yasuji, 1910- ^ Zhu, Xi, 1130-1200 ^ Jin si lu.; Japanese &amp; Chinese"/>
    <s v="市川安司, 1910- ^ 朱熹, 1130-1200. ^ 近思錄. ^ Japanese ^ &amp; ^ Chinese"/>
    <x v="195"/>
    <s v="新釈漢文大系 ; 37."/>
    <x v="9"/>
    <s v="明治書院"/>
    <n v="1975"/>
    <s v="Zhu, Xi, 1130-1200. Jin si lu ^ Jin si lu (Zhu, Xi)"/>
    <n v="0"/>
    <m/>
    <m/>
  </r>
  <r>
    <n v="578"/>
    <n v="9"/>
    <m/>
    <m/>
    <x v="0"/>
    <m/>
    <m/>
    <s v="n/a"/>
    <x v="0"/>
    <m/>
    <s v="n/a"/>
    <s v="n/a"/>
    <s v="n/a"/>
    <s v="n/a"/>
    <s v="n/a"/>
    <n v="11872018"/>
    <s v="Kinshiroku"/>
    <s v="近思錄"/>
    <s v="Zhu, Xi, 1130-1200 ^ Jin si lu.; Japanese"/>
    <s v="朱熹, 1130-1200. ^ 近思錄"/>
    <x v="196"/>
    <s v="朱子學大系 ; 第 9 卷."/>
    <x v="13"/>
    <s v="明德出版社"/>
    <n v="1974"/>
    <s v="Zhu, Xi, 1130-1200. Jin si lu ^ Jin si lu (Zhu, Xi)"/>
    <n v="0"/>
    <m/>
    <m/>
  </r>
  <r>
    <n v="582"/>
    <m/>
    <m/>
    <m/>
    <x v="0"/>
    <m/>
    <m/>
    <s v="n/a"/>
    <x v="0"/>
    <m/>
    <s v="n/a"/>
    <s v="n/a"/>
    <s v="n/a"/>
    <s v="n/a"/>
    <s v="n/a"/>
    <n v="673578681"/>
    <s v="Kinshiroku"/>
    <s v="近思錄"/>
    <s v="Yamazaki, Michio, 1904-"/>
    <s v="山崎, 道夫, 1904-"/>
    <x v="197"/>
    <s v="中国古典新書"/>
    <x v="13"/>
    <s v="明徳出版社"/>
    <n v="1967"/>
    <s v="kinshiroku"/>
    <n v="0"/>
    <m/>
    <m/>
  </r>
  <r>
    <n v="583"/>
    <m/>
    <m/>
    <m/>
    <x v="0"/>
    <m/>
    <m/>
    <s v="n/a"/>
    <x v="0"/>
    <m/>
    <s v="n/a"/>
    <s v="n/a"/>
    <s v="y"/>
    <s v="n/a"/>
    <s v="n/a"/>
    <n v="28232550"/>
    <s v="Dōgen no kenkyū"/>
    <s v="道元の研究"/>
    <s v="Akiyama, Hanji, 1893-"/>
    <s v="秋山範二, 1893-"/>
    <x v="2"/>
    <s v="n/a"/>
    <x v="0"/>
    <s v="名古屋"/>
    <n v="1965"/>
    <s v="Zen Buddhism  --  Japan ^ Bouddhisme zen  --  Japon ^ Dōgen, 1200-1253"/>
    <n v="0"/>
    <m/>
    <m/>
  </r>
  <r>
    <n v="584"/>
    <s v="2v"/>
    <m/>
    <m/>
    <x v="0"/>
    <m/>
    <s v="insert/signed"/>
    <s v="n/a"/>
    <x v="0"/>
    <m/>
    <s v="n/a"/>
    <s v="n/a"/>
    <s v="y"/>
    <s v="n/a"/>
    <s v="n/a"/>
    <n v="10725323"/>
    <s v="Dōkyō"/>
    <s v="道教"/>
    <s v="Fukui, Kōjun, 1898-"/>
    <s v="福井康順, 1898-"/>
    <x v="2"/>
    <s v="n/a"/>
    <x v="132"/>
    <s v="平河出版社"/>
    <s v="1983- "/>
    <s v="Taoism ^ Taoism  --  Bibliography ^ Taoïsme ^ Taoïsme  --  Bibliographie ^ Bibliographies"/>
    <n v="0"/>
    <m/>
    <m/>
  </r>
  <r>
    <n v="585"/>
    <n v="3"/>
    <m/>
    <m/>
    <x v="0"/>
    <m/>
    <m/>
    <s v="n/a"/>
    <x v="0"/>
    <m/>
    <s v="n/a"/>
    <s v="n/a"/>
    <s v="n/a"/>
    <s v="n/a"/>
    <s v="n/a"/>
    <n v="123329586"/>
    <s v="Dōkyō to Bukkyō"/>
    <s v="道敎と佛敎"/>
    <s v="Yoshioka, Yoshitoyo, 1916-1979"/>
    <s v="吉岡義豊, 1916-"/>
    <x v="2"/>
    <s v="n/a"/>
    <x v="83"/>
    <s v="国書刋行会"/>
    <s v="1976-1980"/>
    <s v="Taoism  --  Relations  --  Buddhism ^ Buddhism  --  Relations  --  Taoism ^ Taoism  --  History  --  Sources ^ Taoïsme  --  Histoire  --  Sources ^ Interfaith relations"/>
    <n v="0"/>
    <m/>
    <m/>
  </r>
  <r>
    <n v="586"/>
    <n v="2"/>
    <m/>
    <m/>
    <x v="0"/>
    <m/>
    <m/>
    <s v="n/a"/>
    <x v="0"/>
    <m/>
    <s v="n/a"/>
    <s v="n/a"/>
    <s v="y"/>
    <s v="n/a"/>
    <s v="n/a"/>
    <n v="31771023"/>
    <s v="Dōkyō to Bukkyō"/>
    <s v="道教と佛教"/>
    <s v="Yoshioka, Yoshitoyo, 1916-1979"/>
    <s v="吉岡義豐, 1916-"/>
    <x v="2"/>
    <s v="n/a"/>
    <x v="176"/>
    <s v="豊島書房"/>
    <s v="1970- "/>
    <s v="Taoism ^ Buddhism ^ Taoism  --  History ^ Taoïsme ^ Bouddhisme ^ Taoïsme  --  Histoire"/>
    <n v="0"/>
    <m/>
    <m/>
  </r>
  <r>
    <n v="587"/>
    <m/>
    <m/>
    <m/>
    <x v="0"/>
    <m/>
    <s v="double check publisher"/>
    <s v="n/a"/>
    <x v="0"/>
    <m/>
    <s v="n/a"/>
    <s v="n/a"/>
    <s v="n/a"/>
    <s v="n/a"/>
    <s v="n/a"/>
    <n v="15345901"/>
    <s v="Dōkyō no kisoteki kenkyū"/>
    <s v="道敎の基礎的研究"/>
    <s v="Fukui, Kōjun, 1898-"/>
    <s v="福井康順, 1898-"/>
    <x v="2"/>
    <s v="n/a"/>
    <x v="177"/>
    <s v="理想社"/>
    <n v="1952"/>
    <s v="Taoism ^ Taoïsme"/>
    <n v="0"/>
    <m/>
    <m/>
  </r>
  <r>
    <n v="588"/>
    <m/>
    <m/>
    <m/>
    <x v="0"/>
    <m/>
    <m/>
    <s v="n/a"/>
    <x v="0"/>
    <m/>
    <s v="n/a"/>
    <s v="n/a"/>
    <s v="y"/>
    <s v="n/a"/>
    <s v="n/a"/>
    <n v="31824478"/>
    <s v="Dōkyō no sōgōteki kenkyū"/>
    <s v="道教の総合的研究"/>
    <s v="Sakai, Tadao, 1912-2010, ^ ; editor"/>
    <s v="酒井忠夫, 1912-2010, editor"/>
    <x v="2"/>
    <s v="n/a"/>
    <x v="83"/>
    <s v="n/a"/>
    <n v="1977"/>
    <s v="Taoism  --  Congresses ^ Taoïsme  --  Congrès ^ Conference papers and proceedings"/>
    <n v="0"/>
    <m/>
    <m/>
  </r>
  <r>
    <n v="589"/>
    <m/>
    <m/>
    <m/>
    <x v="0"/>
    <m/>
    <m/>
    <s v="n/a"/>
    <x v="0"/>
    <m/>
    <s v="n/a"/>
    <s v="n/a"/>
    <s v="n/a"/>
    <s v="n/a"/>
    <s v="n/a"/>
    <n v="953118415"/>
    <s v="Kentōshi"/>
    <s v="遣唐使"/>
    <s v="Mori, Katsumi, 1903-1981"/>
    <s v="森克己, 1903-"/>
    <x v="2"/>
    <s v="n/a"/>
    <x v="43"/>
    <s v="至文堂"/>
    <n v="1955"/>
    <s v="Civilization  --  Chinese influences ^ Diplomatic relations ^ China  --  Foreign relations  --  Japan ^ Japan  --  Civilization  --  Chinese influences ^ Japan  --  Foreign relations  --  China ^ Chine  --  Relations extérieures  --  Japon ^ Japon  --  Civilisation  --  Influence chinoise ^ Japon  --  Relations extérieures  --  Chine"/>
    <n v="0"/>
    <m/>
    <m/>
  </r>
  <r>
    <n v="590"/>
    <s v="?"/>
    <m/>
    <m/>
    <x v="0"/>
    <m/>
    <m/>
    <s v="n/a"/>
    <x v="0"/>
    <m/>
    <s v="n/a"/>
    <s v="n/a"/>
    <s v="n/a"/>
    <s v="n/a"/>
    <s v="n/a"/>
    <n v="674066709"/>
    <s v="Toshi jiin no shakaiteki kinō"/>
    <s v="都市寺院の社会的機能"/>
    <s v="Kashikuma, Kōji, 1927-1983"/>
    <s v="柏熊, 岬二, 1927-1983"/>
    <x v="2"/>
    <s v="n/a"/>
    <x v="178"/>
    <s v="仏教徒文化交流協会"/>
    <n v="1961"/>
    <s v="Jiin"/>
    <n v="0"/>
    <m/>
    <m/>
  </r>
  <r>
    <n v="591"/>
    <m/>
    <m/>
    <m/>
    <x v="0"/>
    <m/>
    <s v="need to see item, can't find same year on worldcat"/>
    <s v="n/a"/>
    <x v="0"/>
    <m/>
    <s v="n/a"/>
    <s v="n/a"/>
    <s v="n/a"/>
    <s v="n/a"/>
    <s v="n/a"/>
    <s v="n/a"/>
    <s v="n/a"/>
    <s v="金光教教典"/>
    <s v="n/a"/>
    <s v="金光教本部教庁"/>
    <x v="2"/>
    <s v="n/a"/>
    <x v="64"/>
    <s v="金光教本部教庁"/>
    <n v="1959"/>
    <s v="n/a"/>
    <n v="0"/>
    <m/>
    <m/>
  </r>
  <r>
    <n v="592"/>
    <s v="3v"/>
    <m/>
    <m/>
    <x v="0"/>
    <m/>
    <m/>
    <s v="n/a"/>
    <x v="0"/>
    <m/>
    <s v="n/a"/>
    <s v="n/a"/>
    <s v="y"/>
    <s v="9784892032851 (v. 1) ^ 9784892032868 (v. 2) ^ 9784892032875 (v. 3)"/>
    <s v="4892032867 ^ 4892032875 ^ 4892032859 (v. 1)"/>
    <n v="38440050"/>
    <s v="Kanaya Osamu Chūgoku shisō ronshū"/>
    <s v="金谷治中国思想論集"/>
    <s v="Kanaya, Osamu, 1920-2006"/>
    <s v="金谷治, 1920-"/>
    <x v="2"/>
    <s v="n/a"/>
    <x v="132"/>
    <s v="平河出版社"/>
    <n v="1997"/>
    <s v="Philosophy, Chinese ^ Philosophie chinoise ^ Intellectual life ^ Chugoku shiso ^ China  --  Intellectual life ^ Chine  --  Vie intellectuelle"/>
    <n v="0"/>
    <m/>
    <m/>
  </r>
  <r>
    <n v="593"/>
    <m/>
    <m/>
    <m/>
    <x v="0"/>
    <m/>
    <m/>
    <s v="n/a"/>
    <x v="0"/>
    <m/>
    <s v="n/a"/>
    <s v="n/a"/>
    <s v="n/a"/>
    <s v="n/a"/>
    <s v="n/a"/>
    <n v="42737655"/>
    <s v="Kamakura bushi to Zen"/>
    <s v="鎌倉武士と禪"/>
    <s v="Washio, Junkei, 1868-1941"/>
    <s v="鷲尾順敬, 1868-1941"/>
    <x v="2"/>
    <s v="n/a"/>
    <x v="179"/>
    <s v="日本學術普及會"/>
    <n v="1935"/>
    <s v="Zen Buddhism  --  Japan  --  History ^ Bouddhisme zen  --  Japon  --  Histoire"/>
    <n v="0"/>
    <m/>
    <m/>
  </r>
  <r>
    <n v="594"/>
    <s v="3v"/>
    <m/>
    <m/>
    <x v="0"/>
    <m/>
    <s v="is this actually three volumes?"/>
    <s v="n/a"/>
    <x v="0"/>
    <m/>
    <s v="n/a"/>
    <s v="n/a"/>
    <s v="n/a"/>
    <s v="n/a"/>
    <s v="n/a"/>
    <n v="215190794"/>
    <s v="Sakokumae ni Nanbanjin no tsukureru Nihon chizu"/>
    <s v="鎖国前に南蛮人の作れる日本地図"/>
    <s v="Nakamura, Hiroshi, 1891-"/>
    <s v="中村拓, 1891- ^ 中村, 拓(1891-1974)"/>
    <x v="198"/>
    <s v="n/a"/>
    <x v="27"/>
    <s v="東洋文庫"/>
    <s v="1966-1967"/>
    <s v="Early maps ^ Cartes anciennes ^ Japan  --  Maps"/>
    <n v="0"/>
    <m/>
    <m/>
  </r>
  <r>
    <n v="595"/>
    <n v="1"/>
    <m/>
    <m/>
    <x v="0"/>
    <m/>
    <m/>
    <s v="n/a"/>
    <x v="0"/>
    <m/>
    <s v="n/a"/>
    <s v="n/a"/>
    <s v="n/a"/>
    <s v="n/a"/>
    <s v="n/a"/>
    <n v="50028220"/>
    <s v="Jōkōki tō: Kanryūchō"/>
    <s v="鑲紅旗檔: 乾隆朝"/>
    <s v="Tōyō Bunko (Japan) ^ Shindaishi Kenkyūshitsu"/>
    <s v="東洋文庫 (Japan) ^ 清代史研究室"/>
    <x v="2"/>
    <s v="n/a"/>
    <x v="27"/>
    <s v="東洋文庫"/>
    <n v="1983"/>
    <s v="Armed Forces ^ History ^ Military history ^ Sources ^ 1726-1795 ^ China  --  History  --  Qianlong, 1726-1795  --  Sources ^ China  --  History, Military  --  Sources ^ China  --  Armed Forces  --  History  --  Sources ^ Chine  --  Histoire militaire  --  Sources"/>
    <n v="0"/>
    <m/>
    <m/>
  </r>
  <r>
    <n v="596"/>
    <m/>
    <m/>
    <m/>
    <x v="0"/>
    <m/>
    <m/>
    <s v="n/a"/>
    <x v="0"/>
    <m/>
    <s v="n/a"/>
    <s v="n/a"/>
    <s v="n/a"/>
    <s v="n/a"/>
    <s v="n/a"/>
    <n v="33151900"/>
    <s v="Hirakeyuku kami no kuni = The paradise of Tabuse"/>
    <s v="開けゆく神の国 = The paradise of Tabuse"/>
    <s v="Kitamura, Yoshito ^ Tenshō Kōtai Jingūkyō"/>
    <s v="天照皇大神宮敎"/>
    <x v="2"/>
    <s v="n/a"/>
    <x v="180"/>
    <s v="天照皇大神宮敎本部"/>
    <n v="1953"/>
    <s v="Tenshō Kōtai Jingūkyō"/>
    <n v="0"/>
    <m/>
    <m/>
  </r>
  <r>
    <n v="597"/>
    <m/>
    <m/>
    <m/>
    <x v="0"/>
    <m/>
    <m/>
    <s v="n/a"/>
    <x v="0"/>
    <m/>
    <s v="n/a"/>
    <s v="n/a"/>
    <s v="n/a"/>
    <n v="9784931437005"/>
    <n v="4931437001"/>
    <n v="675496333"/>
    <s v="Kaimokushō = St.Nichiren's Kaimoku-sho"/>
    <s v="開目抄 = St.Nichiren's Kaimoku-shô"/>
    <s v="Nichiren, 1222-1282 ^ Hori, Kyōtsū, 1926-"/>
    <s v="日蓮, 1222-1282. ^ 堀, 教通, 1926-"/>
    <x v="2"/>
    <s v="n/a"/>
    <x v="0"/>
    <s v="日蓮宗海外布教後援會"/>
    <n v="1987"/>
    <s v="Nichirenshū  --  Kyōgi"/>
    <n v="0"/>
    <m/>
    <m/>
  </r>
  <r>
    <n v="598"/>
    <m/>
    <m/>
    <m/>
    <x v="0"/>
    <m/>
    <m/>
    <s v="n/a"/>
    <x v="0"/>
    <m/>
    <s v="n/a"/>
    <s v="n/a"/>
    <s v="y"/>
    <s v="n/a"/>
    <s v="n/a"/>
    <n v="42956272"/>
    <s v="Aunakyō hongi"/>
    <s v="阿吽阿教本義"/>
    <s v="Tomioka, Shunjirō, 1862-"/>
    <s v="富岡俊次郎, 1862-"/>
    <x v="2"/>
    <s v="n/a"/>
    <x v="181"/>
    <s v="阿吽阿教團本部"/>
    <n v="1950"/>
    <s v="n/a"/>
    <n v="0"/>
    <m/>
    <m/>
  </r>
  <r>
    <n v="599"/>
    <m/>
    <m/>
    <m/>
    <x v="0"/>
    <m/>
    <m/>
    <s v="n/a"/>
    <x v="0"/>
    <m/>
    <s v="n/a"/>
    <s v="n/a"/>
    <s v="y"/>
    <s v="n/a"/>
    <s v="n/a"/>
    <n v="31628033"/>
    <s v="Inshitsuroku"/>
    <s v="陰騭錄"/>
    <s v="Yuan, Liaofan, 1533-1606 ^ Ishikawa, Umejirō"/>
    <s v="袁了凡, 1533-1606. ^ 石川梅次郎"/>
    <x v="72"/>
    <s v="中国古典新書."/>
    <x v="13"/>
    <s v="明德出版社"/>
    <n v="1970"/>
    <s v="Ethics  --  China ^ Taoism ^ Morale  --  Chine ^ Taoïsme"/>
    <n v="0"/>
    <m/>
    <m/>
  </r>
  <r>
    <n v="600"/>
    <n v="4"/>
    <m/>
    <m/>
    <x v="0"/>
    <m/>
    <m/>
    <s v="n/a"/>
    <x v="0"/>
    <m/>
    <s v="n/a"/>
    <s v="n/a"/>
    <s v="n/a"/>
    <s v="n/a"/>
    <s v="n/a"/>
    <n v="31788409"/>
    <s v="Riku Shōzan: Ō Yōmei seitan gohyakunen kinen"/>
    <s v="陸象山: 王陽明生誕五百年記念"/>
    <s v="Uno, Tetsuto, 1875-1974 ^ Yasuoka, Masahiro, 1898-1983 ^ Araki, Kengo, 1917-2017"/>
    <s v="宇野哲人, 1875-1974. ^ 安岡正篤, 1898- ^ 荒木見悟, 1917-"/>
    <x v="199"/>
    <s v="n/a"/>
    <x v="13"/>
    <s v="明徳出版社"/>
    <n v="1973"/>
    <s v="Philosophy, Chinese ^ Philosophie chinoise ^ Lu, Jiuyuan, 1139-1193"/>
    <n v="0"/>
    <m/>
    <m/>
  </r>
  <r>
    <n v="601"/>
    <m/>
    <m/>
    <m/>
    <x v="0"/>
    <m/>
    <m/>
    <s v="n/a"/>
    <x v="0"/>
    <m/>
    <s v="n/a"/>
    <s v="n/a"/>
    <s v="y"/>
    <s v="n/a"/>
    <s v="n/a"/>
    <n v="20249989"/>
    <s v="Riku Shōzan bunshū"/>
    <s v="陸象山文集"/>
    <s v="Fukuda, Shigeru, 1933-2016 ^ Lu, Jiuyuan, 1139-1193"/>
    <s v="福田殖, 1933- ^ 陸象山, 1139-1193"/>
    <x v="72"/>
    <s v="中国古典新書"/>
    <x v="0"/>
    <s v="東京"/>
    <n v="1972"/>
    <s v="Lu, Jiuyuan, 1139-1193"/>
    <n v="0"/>
    <m/>
    <m/>
  </r>
  <r>
    <n v="603"/>
    <m/>
    <m/>
    <m/>
    <x v="0"/>
    <m/>
    <m/>
    <s v="n/a"/>
    <x v="0"/>
    <m/>
    <s v="n/a"/>
    <s v="n/a"/>
    <s v="n/a"/>
    <s v="n/a"/>
    <s v="n/a"/>
    <n v="673484636"/>
    <s v="Yōmei sensei kasho"/>
    <s v="陽明先生家書"/>
    <s v="Ō, Shujin, 1472-1528"/>
    <s v="王, 守仁, 1472-1528"/>
    <x v="2"/>
    <s v="n/a"/>
    <x v="182"/>
    <s v="油谷博文堂"/>
    <n v="1913"/>
    <s v="n/a"/>
    <n v="0"/>
    <m/>
    <m/>
  </r>
  <r>
    <n v="604"/>
    <m/>
    <m/>
    <m/>
    <x v="0"/>
    <m/>
    <m/>
    <s v="n/a"/>
    <x v="0"/>
    <m/>
    <s v="n/a"/>
    <s v="n/a"/>
    <s v="y"/>
    <s v="n/a"/>
    <s v="n/a"/>
    <n v="17582217"/>
    <s v="Yōmeigaku no sekai"/>
    <s v="陽明学の世界"/>
    <s v="Okada, Takehiko"/>
    <s v="岡田武彦"/>
    <x v="2"/>
    <s v="n/a"/>
    <x v="13"/>
    <s v="明徳出版社"/>
    <n v="1986"/>
    <s v="Wang, Yangming, 1472-1529 ^ Ō, Yōmei, 1472-1528"/>
    <n v="0"/>
    <m/>
    <m/>
  </r>
  <r>
    <n v="605"/>
    <m/>
    <m/>
    <m/>
    <x v="0"/>
    <m/>
    <m/>
    <s v="n/a"/>
    <x v="0"/>
    <m/>
    <s v="n/a"/>
    <s v="n/a"/>
    <s v="y"/>
    <s v="n/a"/>
    <s v="n/a"/>
    <n v="28492071"/>
    <s v="Yōmeigaku no kenkyū"/>
    <s v="陽明學の研究"/>
    <s v="Yamashita, Ryūji, 1924-2011"/>
    <s v="山下竜二, 1924-"/>
    <x v="2"/>
    <s v="n/a"/>
    <x v="0"/>
    <s v="東京"/>
    <s v="1971- "/>
    <s v="Yōmeigaku ^ Wang, Yangming, 1472-1529 ^ Wang, Yangming 1472-1529"/>
    <n v="0"/>
    <m/>
    <m/>
  </r>
  <r>
    <n v="606"/>
    <n v="12"/>
    <m/>
    <m/>
    <x v="0"/>
    <m/>
    <m/>
    <s v="n/a"/>
    <x v="0"/>
    <m/>
    <s v="n/a"/>
    <s v="n/a"/>
    <s v="n/a"/>
    <s v="n/a"/>
    <s v="n/a"/>
    <n v="31788414"/>
    <s v="Yōmeigaku binran: Ō Yōmei seitan gohyakunen kinen"/>
    <s v="陽明學便覧: 王陽明生誕五百年記念"/>
    <s v="Uno, Tetsuto, 1875-1974 ^ Yasuoka, Masahiro, 1898-1983 ^ Araki, Kengo, 1917-2017"/>
    <s v="宇野哲人, 1875-1974. ^ 安岡正篤, 1898-1983. ^ 荒木見悟, 1917-"/>
    <x v="200"/>
    <s v="n/a"/>
    <x v="13"/>
    <s v="明徳出版社"/>
    <n v="1974"/>
    <s v="Yōmeigaku ^ Neo-Confucianism  --  China  --  Chronology ^ Neo-Confucianism  --  China  --  Bibliography ^ Neo-Confucianism  --  Japan  --  Chronology ^ Neo-Confucianism  --  Japan  --  Bibliography ^ Néo-confucianisme  --  Chine  --  Chronologie ^ Néo-confucianisme  --  Chine  --  Bibliographie ^ Bibliographies ^ Chronologies"/>
    <n v="0"/>
    <m/>
    <m/>
  </r>
  <r>
    <n v="607"/>
    <m/>
    <m/>
    <m/>
    <x v="0"/>
    <m/>
    <m/>
    <s v="n/a"/>
    <x v="0"/>
    <m/>
    <s v="n/a"/>
    <s v="n/a"/>
    <s v="y"/>
    <s v="n/a"/>
    <s v="n/a"/>
    <n v="21247214"/>
    <s v="Yōmeigaku jikkō"/>
    <s v="陽明学十講"/>
    <s v="Yasuoka, Masahiro, 1898-1983 ^ Nishō Gakusha Daigaku ^ Yōmeigaku Kenkyūjo"/>
    <s v="二松学舎大学 ^ 陽明学研究所"/>
    <x v="2"/>
    <s v="n/a"/>
    <x v="183"/>
    <s v="二松学舎大学出版部"/>
    <n v="1981"/>
    <s v="Yōmeigaku ^ Wang, Yangming, 1472-1529"/>
    <n v="0"/>
    <m/>
    <m/>
  </r>
  <r>
    <n v="608"/>
    <n v="1"/>
    <m/>
    <m/>
    <x v="0"/>
    <m/>
    <m/>
    <s v="n/a"/>
    <x v="0"/>
    <m/>
    <s v="n/a"/>
    <s v="n/a"/>
    <s v="n/a"/>
    <s v="n/a"/>
    <s v="n/a"/>
    <n v="33567248"/>
    <s v="Yōmeigaku nyūmon"/>
    <s v="陽明学入門"/>
    <s v="n/a"/>
    <s v="n/a"/>
    <x v="201"/>
    <s v="n/a"/>
    <x v="134"/>
    <s v="明徳出版社"/>
    <n v="1971"/>
    <s v="n/a"/>
    <n v="0"/>
    <m/>
    <m/>
  </r>
  <r>
    <n v="609"/>
    <s v="3v 5,6,7"/>
    <m/>
    <m/>
    <x v="0"/>
    <m/>
    <m/>
    <s v="n/a"/>
    <x v="0"/>
    <m/>
    <s v="n/a"/>
    <s v="n/a"/>
    <s v="n/a"/>
    <s v="n/a"/>
    <s v="n/a"/>
    <n v="898049663"/>
    <s v="Yōmei monka"/>
    <s v="陽明門下"/>
    <s v="Araki, Kengo, 1918-"/>
    <s v="荒木見俉, 1918-"/>
    <x v="202"/>
    <s v="n/a"/>
    <x v="13"/>
    <s v="明徳出版社"/>
    <n v="1972"/>
    <s v="n/a"/>
    <n v="0"/>
    <m/>
    <m/>
  </r>
  <r>
    <n v="610"/>
    <m/>
    <m/>
    <m/>
    <x v="0"/>
    <m/>
    <m/>
    <s v="n/a"/>
    <x v="0"/>
    <m/>
    <s v="n/a"/>
    <s v="n/a"/>
    <s v="n/a"/>
    <s v="n/a"/>
    <s v="n/a"/>
    <n v="33647675"/>
    <s v="Zuitō bukkyōshi no kenkyū"/>
    <s v="隋唐仏敎史の研究"/>
    <s v="Yamazaki, Hiroshi, 1903-"/>
    <s v="山崎宏, 1903-"/>
    <x v="2"/>
    <s v="n/a"/>
    <x v="24"/>
    <s v="法蔵館"/>
    <n v="1967"/>
    <s v="Buddhism  --  China  --  History  --  581-960 ^ Bouddhisme  --  Chine  --  Histoire  --  581-960"/>
    <n v="0"/>
    <m/>
    <m/>
  </r>
  <r>
    <n v="611"/>
    <m/>
    <m/>
    <m/>
    <x v="0"/>
    <m/>
    <m/>
    <s v="n/a"/>
    <x v="0"/>
    <m/>
    <s v="n/a"/>
    <s v="n/a"/>
    <s v="n/a"/>
    <s v="n/a"/>
    <s v="n/a"/>
    <n v="673692346"/>
    <s v="Seikadō bunko kanseki bunrui mokuroku"/>
    <s v="静嘉堂文庫漢籍分類目錄"/>
    <s v="Seikadō Bunko"/>
    <s v="静嘉堂文庫"/>
    <x v="2"/>
    <s v="n/a"/>
    <x v="184"/>
    <s v="静嘉堂文庫"/>
    <n v="1930"/>
    <s v="n/a"/>
    <n v="0"/>
    <m/>
    <m/>
  </r>
  <r>
    <n v="612"/>
    <n v="109"/>
    <m/>
    <m/>
    <x v="0"/>
    <m/>
    <m/>
    <s v="https://www.amazon.jp/dp/4582841090"/>
    <x v="0"/>
    <m/>
    <s v="n/a"/>
    <s v="n/a"/>
    <s v="y"/>
    <n v="9784582841091"/>
    <n v="4582841090"/>
    <n v="18641494"/>
    <s v="Kankoku no rekishizō: ransei o ikita hito to shisō"/>
    <s v="韓国の歴史像: 乱世を生きた人と思想"/>
    <s v="Yi, U-sŏng, ^ author.Tsuruzono, Yutaka, 1950- ^ ; translator"/>
    <s v="李佑成, author ^ 鶴園裕, 1950- ^ translator"/>
    <x v="203"/>
    <s v="平凡社選書 ; 109"/>
    <x v="25"/>
    <s v="n/a"/>
    <n v="1987"/>
    <s v="Civilization ^ History ^ 935-1910 ^ Korea  --  Civilization  --  1392-1910 ^ Korea  --  History  --  Koryŏ period, 935-1392 ^ Corée  --  Civilisation  --  1392-1910 ^ Corée  --  Histoire  --  935-1392 (Époque de Koryŏ)"/>
    <n v="0"/>
    <m/>
    <m/>
  </r>
  <r>
    <n v="613"/>
    <n v="11"/>
    <m/>
    <m/>
    <x v="0"/>
    <m/>
    <m/>
    <s v="https://www.amazon.jp/dp/4061453114"/>
    <x v="0"/>
    <m/>
    <s v="n/a"/>
    <s v="n/a"/>
    <s v="y"/>
    <n v="9784061453111"/>
    <n v="4061453114"/>
    <s v="31997446"/>
    <s v="Kanpi"/>
    <s v="韓非"/>
    <s v="Kaizuka Shigeki ^ Kaizuka, Shigeki ^ Han, Fei"/>
    <s v="貝塚茂樹. ^ 貝塚茂樹, 1904- ^ 韓非"/>
    <x v="204"/>
    <s v="n/a"/>
    <x v="1"/>
    <s v="Kōdansha"/>
    <n v="1982"/>
    <s v="Han, Fei, -233 B.C ^ Han Feizi (Han, Fei)"/>
    <n v="0"/>
    <m/>
    <m/>
  </r>
  <r>
    <n v="614"/>
    <s v="2v 3,4"/>
    <m/>
    <m/>
    <x v="0"/>
    <m/>
    <m/>
    <s v="n/a"/>
    <x v="0"/>
    <m/>
    <s v="n/a"/>
    <s v="n/a"/>
    <s v="n/a"/>
    <s v="9784003321010 ^ 9784003321027 ^ 9784003321034 ^ 9784003321041"/>
    <s v="4003321014 (1) ^ 4003321022 (2) ^ 4003321030 (3) ^ 4003321049 (4)"/>
    <n v="959622705"/>
    <s v="Kanpishi"/>
    <s v="韓非子"/>
    <s v="Kanpishi; -233 B.C ^ Kanaya, Osamu; 1920-2006 ^ Han fei zi; -233 B.C"/>
    <s v="韓非子 ^ -233 ^ B.C. ^ 金谷, 治 ^ 1920-2006"/>
    <x v="177"/>
    <s v="岩波文庫 ; 青210-1,210-2,210-3,210-4"/>
    <x v="0"/>
    <s v="岩波書店"/>
    <n v="1994"/>
    <s v="n/a"/>
    <n v="0"/>
    <m/>
    <m/>
  </r>
  <r>
    <n v="615"/>
    <m/>
    <m/>
    <m/>
    <x v="0"/>
    <m/>
    <m/>
    <s v="n/a"/>
    <x v="0"/>
    <m/>
    <s v="n/a"/>
    <s v="n/a"/>
    <s v="y"/>
    <s v="n/a"/>
    <s v="n/a"/>
    <n v="11400069"/>
    <s v="Gan-shi kakun"/>
    <s v="顔氏家訓"/>
    <s v="Yan, Zhitui, 531-591 ^ Uno, Seiichi, 1910-2008"/>
    <s v="顔, 之推, 531-591. ^ 宇野精一, 1910-"/>
    <x v="72"/>
    <s v="中国古典新書."/>
    <x v="13"/>
    <s v="明徳出版社"/>
    <n v="1982"/>
    <s v="Ethics  --  China  --  Early works to 1800 ^ Morale  --  Chine  --  Ouvrages avant 1800 ^ Yen family"/>
    <n v="0"/>
    <m/>
    <m/>
  </r>
  <r>
    <n v="616"/>
    <m/>
    <m/>
    <m/>
    <x v="0"/>
    <m/>
    <m/>
    <s v="https://www.amazon.jp/dp/4122015022"/>
    <x v="0"/>
    <m/>
    <s v="n/a"/>
    <s v="n/a"/>
    <s v="y"/>
    <n v="9784122015029"/>
    <n v="4122015022"/>
    <n v="669318387"/>
    <s v="Fū Dō: ransei no saishō"/>
    <s v="冯道: 乱世の宰相"/>
    <s v="Tonami, Mamoru, 1937-"/>
    <s v="砺波護, 1937-"/>
    <x v="205"/>
    <s v="中公文庫 ; M366-440"/>
    <x v="185"/>
    <s v="中央公論社"/>
    <n v="1988"/>
    <s v="Feng, Dao, 882-954"/>
    <n v="0"/>
    <m/>
    <m/>
  </r>
  <r>
    <n v="617"/>
    <s v="14v"/>
    <m/>
    <m/>
    <x v="0"/>
    <m/>
    <m/>
    <s v="n/a"/>
    <x v="0"/>
    <m/>
    <s v="n/a"/>
    <s v="n/a"/>
    <s v="n/a"/>
    <s v="n/a"/>
    <s v="n/a"/>
    <n v="33716007"/>
    <s v="Takahashi sensei shōju kinengō"/>
    <s v="高橋先生頌寿記念号"/>
    <s v="Chōsen Gakkai (Japan)"/>
    <s v="朝鮮学会"/>
    <x v="206"/>
    <s v="朝鮮学報 ; 第14輯."/>
    <x v="102"/>
    <s v="天理大学出版部"/>
    <n v="1959"/>
    <s v="n/a"/>
    <n v="0"/>
    <m/>
    <m/>
  </r>
  <r>
    <n v="619"/>
    <n v="15"/>
    <m/>
    <m/>
    <x v="0"/>
    <m/>
    <m/>
    <s v="n/a"/>
    <x v="0"/>
    <m/>
    <s v="n/a"/>
    <s v="n/a"/>
    <s v="n/a"/>
    <s v="n/a"/>
    <s v="n/a"/>
    <n v="122822865"/>
    <s v="Kyūze hen meidōshū setsu"/>
    <s v="求是編鳴道集說"/>
    <s v="Okada, Takehiko ^ Araki, Kengo"/>
    <s v="岡田武彦. ^ 荒木見悟"/>
    <x v="207"/>
    <s v="和刻影印近世漢籍叢刊. 思想三編 ; 15."/>
    <x v="91"/>
    <s v="中文出版社"/>
    <n v="1977"/>
    <s v="n/a"/>
    <n v="0"/>
    <m/>
    <m/>
  </r>
  <r>
    <n v="620"/>
    <n v="9"/>
    <m/>
    <m/>
    <x v="0"/>
    <m/>
    <m/>
    <s v="n/a"/>
    <x v="0"/>
    <m/>
    <s v="n/a"/>
    <s v="n/a"/>
    <s v="n/a"/>
    <s v="n/a"/>
    <s v="n/a"/>
    <n v="1020974080"/>
    <s v="Kō sōgi"/>
    <s v="黄宗羲"/>
    <s v="Ono, Kazuko"/>
    <s v="小野, 和子(1932- )"/>
    <x v="208"/>
    <s v="第2期中国人物叢書 ; 9"/>
    <x v="0"/>
    <s v="人物往来社"/>
    <n v="1967"/>
    <s v="Kō, sōgi(1610-1695)"/>
    <n v="0"/>
    <m/>
    <m/>
  </r>
  <r>
    <n v="621"/>
    <n v="33"/>
    <m/>
    <m/>
    <x v="0"/>
    <m/>
    <s v="no worldcat entry with same date"/>
    <s v="n/a"/>
    <x v="0"/>
    <m/>
    <s v="n/a"/>
    <s v="n/a"/>
    <s v="n/a"/>
    <s v="n/a"/>
    <s v="n/a"/>
    <s v="BN00368502"/>
    <s v="n/a"/>
    <s v="黄宗義 (人類の知的遺産; 33)"/>
    <s v="Yamanoi Yū"/>
    <s v="山井湧"/>
    <x v="2"/>
    <s v="n/a"/>
    <x v="1"/>
    <s v="講談社"/>
    <n v="1983"/>
    <s v="n/a"/>
    <n v="0"/>
    <m/>
    <m/>
  </r>
  <r>
    <n v="622"/>
    <s v="2v"/>
    <m/>
    <m/>
    <x v="0"/>
    <m/>
    <m/>
    <s v="n/a"/>
    <x v="0"/>
    <m/>
    <s v="n/a"/>
    <s v="n/a"/>
    <s v="n/a"/>
    <s v="n/a"/>
    <s v="n/a"/>
    <n v="15420535"/>
    <s v="Ryūkei Ō Sensei zenshū"/>
    <s v="龍谿王先生全集"/>
    <s v="Wang, Ji, 1498-1583 ^ Okada, Takehiko"/>
    <s v="王畿, 1498-1583. ^ 岡田武彦"/>
    <x v="209"/>
    <s v="n/a"/>
    <x v="91"/>
    <s v="中文出版社"/>
    <s v="1975, 1696"/>
    <s v="n/a"/>
    <n v="0"/>
    <m/>
    <m/>
  </r>
  <r>
    <n v="1001"/>
    <n v="1"/>
    <s v="上"/>
    <m/>
    <x v="0"/>
    <m/>
    <m/>
    <s v="n/a"/>
    <x v="0"/>
    <m/>
    <s v="n/a"/>
    <s v="n/a"/>
    <s v="n/a"/>
    <s v="n/a"/>
    <s v="n/a"/>
    <n v="22820550"/>
    <s v="Rongo seigi"/>
    <s v="論語精義"/>
    <s v="Zhu, Xi, 1130-1200 ^ Okada, Takehiko ^ Araki, Kengo ^ Satō, Hitoshi"/>
    <s v="朱熹, 1130-1200. ^ 岡田武彦. ^ 荒木見悟. ^ 佐藤仁"/>
    <x v="210"/>
    <s v="n/a"/>
    <x v="91"/>
    <s v="中文出版社"/>
    <s v="1972, 1729"/>
    <s v="n/a"/>
    <n v="0"/>
    <m/>
    <m/>
  </r>
  <r>
    <n v="1002"/>
    <n v="2"/>
    <s v="下"/>
    <m/>
    <x v="0"/>
    <m/>
    <m/>
    <s v="n/a"/>
    <x v="0"/>
    <m/>
    <s v="n/a"/>
    <s v="n/a"/>
    <s v="n/a"/>
    <s v="n/a"/>
    <s v="n/a"/>
    <n v="22820550"/>
    <s v="Rongo seigi"/>
    <s v="論語精義"/>
    <s v="Zhu, Xi, 1130-1200 ^ Okada, Takehiko ^ Araki, Kengo ^ Satō, Hitoshi"/>
    <s v="朱熹, 1130-1200. ^ 岡田武彦. ^ 荒木見悟. ^ 佐藤仁"/>
    <x v="210"/>
    <s v="n/a"/>
    <x v="91"/>
    <s v="中文出版社"/>
    <s v="1972, 1729"/>
    <s v="n/a"/>
    <n v="0"/>
    <m/>
    <m/>
  </r>
  <r>
    <n v="1003"/>
    <n v="3"/>
    <m/>
    <m/>
    <x v="0"/>
    <m/>
    <m/>
    <s v="n/a"/>
    <x v="0"/>
    <m/>
    <s v="n/a"/>
    <s v="n/a"/>
    <s v="n/a"/>
    <s v="n/a"/>
    <s v="n/a"/>
    <s v="n/a"/>
    <s v="n/a"/>
    <s v="孟子精義 (和刻影印近世漢籍叢刊. 思想三編; 3)"/>
    <s v="n/a"/>
    <s v="朱熹撰"/>
    <x v="211"/>
    <s v="n/a"/>
    <x v="91"/>
    <s v="中文出版社"/>
    <n v="1977"/>
    <s v="n/a"/>
    <n v="0"/>
    <m/>
    <m/>
  </r>
  <r>
    <n v="1004"/>
    <n v="4"/>
    <m/>
    <m/>
    <x v="0"/>
    <m/>
    <m/>
    <s v="n/a"/>
    <x v="0"/>
    <m/>
    <s v="n/a"/>
    <s v="n/a"/>
    <s v="n/a"/>
    <s v="n/a"/>
    <s v="n/a"/>
    <s v="n/a"/>
    <s v="n/a"/>
    <s v="論語或問 (和刻影印近世漢籍叢刊; 思想三編)"/>
    <s v="n/a"/>
    <s v="朱熹撰"/>
    <x v="211"/>
    <s v="n/a"/>
    <x v="91"/>
    <s v="中文出版社"/>
    <n v="1977"/>
    <s v="n/a"/>
    <n v="0"/>
    <m/>
    <m/>
  </r>
  <r>
    <n v="1005"/>
    <n v="5"/>
    <m/>
    <m/>
    <x v="0"/>
    <m/>
    <m/>
    <s v="n/a"/>
    <x v="0"/>
    <m/>
    <s v="n/a"/>
    <s v="n/a"/>
    <s v="n/a"/>
    <s v="n/a"/>
    <s v="n/a"/>
    <s v="n/a"/>
    <s v="n/a"/>
    <s v="孟子或問・大学或問・中庸或問 : (和刻影印近世漢籍叢刊思想三編)"/>
    <s v="n/a"/>
    <s v="朱熹撰"/>
    <x v="211"/>
    <s v="n/a"/>
    <x v="91"/>
    <s v="中文出版社"/>
    <n v="1977"/>
    <s v="n/a"/>
    <n v="0"/>
    <m/>
    <m/>
  </r>
  <r>
    <n v="1006"/>
    <n v="6"/>
    <m/>
    <m/>
    <x v="0"/>
    <m/>
    <m/>
    <s v="n/a"/>
    <x v="0"/>
    <m/>
    <s v="n/a"/>
    <s v="n/a"/>
    <s v="n/a"/>
    <s v="n/a"/>
    <s v="n/a"/>
    <s v="n/a"/>
    <s v="n/a"/>
    <s v="近思錄備考 (和刻影印近世漢籍叢刊. 思想三編; 6)"/>
    <s v="n/a"/>
    <s v="貝原益軒"/>
    <x v="211"/>
    <s v="n/a"/>
    <x v="91"/>
    <s v="中文出版社"/>
    <s v="197?"/>
    <s v="n/a"/>
    <n v="0"/>
    <m/>
    <m/>
  </r>
  <r>
    <n v="1007"/>
    <n v="7"/>
    <m/>
    <m/>
    <x v="0"/>
    <m/>
    <m/>
    <s v="n/a"/>
    <x v="0"/>
    <m/>
    <s v="n/a"/>
    <s v="n/a"/>
    <s v="n/a"/>
    <s v="n/a"/>
    <s v="n/a"/>
    <s v="n/a"/>
    <s v="n/a"/>
    <s v="近思錄說略 (和刻影印近世漢籍叢刊. 思想三編; 7)"/>
    <s v="n/a"/>
    <s v="澤田希撰"/>
    <x v="211"/>
    <s v="n/a"/>
    <x v="91"/>
    <s v="中文出版社"/>
    <s v="197?"/>
    <s v="n/a"/>
    <n v="0"/>
    <m/>
    <m/>
  </r>
  <r>
    <n v="1008"/>
    <n v="8"/>
    <m/>
    <m/>
    <x v="0"/>
    <m/>
    <m/>
    <s v="n/a"/>
    <x v="0"/>
    <m/>
    <s v="n/a"/>
    <s v="n/a"/>
    <s v="n/a"/>
    <s v="n/a"/>
    <s v="n/a"/>
    <s v="n/a"/>
    <s v="n/a"/>
    <s v="近思錄集解 (和刻影印近世漢籍叢刊; 思想三編)"/>
    <s v="n/a"/>
    <s v="葉采撰"/>
    <x v="211"/>
    <s v="n/a"/>
    <x v="91"/>
    <s v="中文出版社"/>
    <n v="1977"/>
    <s v="n/a"/>
    <n v="0"/>
    <m/>
    <m/>
  </r>
  <r>
    <n v="1009"/>
    <n v="9"/>
    <s v="上"/>
    <m/>
    <x v="0"/>
    <m/>
    <m/>
    <s v="n/a"/>
    <x v="0"/>
    <m/>
    <s v="n/a"/>
    <s v="n/a"/>
    <s v="n/a"/>
    <s v="n/a"/>
    <s v="n/a"/>
    <s v="n/a"/>
    <s v="n/a"/>
    <s v="朱子書節要 (上) (和刻影印近世漢籍叢刊. 思想三編; 9)"/>
    <s v="n/a"/>
    <s v="李滉撰"/>
    <x v="211"/>
    <s v="n/a"/>
    <x v="91"/>
    <s v="中文出版社"/>
    <n v="1977"/>
    <s v="n/a"/>
    <n v="0"/>
    <m/>
    <m/>
  </r>
  <r>
    <n v="1010"/>
    <n v="10"/>
    <s v="下"/>
    <m/>
    <x v="0"/>
    <m/>
    <m/>
    <s v="n/a"/>
    <x v="0"/>
    <m/>
    <s v="n/a"/>
    <s v="n/a"/>
    <s v="n/a"/>
    <s v="n/a"/>
    <s v="n/a"/>
    <s v="n/a"/>
    <s v="n/a"/>
    <s v="朱子書節要 (下) (和刻影印近世漢籍叢刊. 思想三編; 10)"/>
    <s v="n/a"/>
    <s v="李滉撰"/>
    <x v="211"/>
    <s v="n/a"/>
    <x v="91"/>
    <s v="中文出版社"/>
    <s v="n/a"/>
    <s v="n/a"/>
    <n v="0"/>
    <m/>
    <m/>
  </r>
  <r>
    <n v="1012"/>
    <n v="13"/>
    <s v="上"/>
    <m/>
    <x v="0"/>
    <m/>
    <m/>
    <s v="n/a"/>
    <x v="0"/>
    <m/>
    <s v="n/a"/>
    <s v="n/a"/>
    <s v="n/a"/>
    <s v="n/a"/>
    <s v="n/a"/>
    <s v="n/a"/>
    <s v="n/a"/>
    <s v="考亭淵源錄 (上) (和刻影印近世漢籍叢刊. 思想三編; 13)"/>
    <s v="n/a"/>
    <s v="宋端儀撰"/>
    <x v="211"/>
    <s v="n/a"/>
    <x v="91"/>
    <s v="中文出版社"/>
    <n v="1977"/>
    <s v="n/a"/>
    <n v="0"/>
    <m/>
    <m/>
  </r>
  <r>
    <n v="1013"/>
    <n v="14"/>
    <s v="下"/>
    <m/>
    <x v="0"/>
    <m/>
    <m/>
    <s v="n/a"/>
    <x v="0"/>
    <m/>
    <s v="n/a"/>
    <s v="n/a"/>
    <s v="n/a"/>
    <s v="n/a"/>
    <s v="n/a"/>
    <s v="n/a"/>
    <s v="n/a"/>
    <s v="考亭淵源錄 (下) (和刻影印近世漢籍叢刊. 思想三編; 14)"/>
    <s v="n/a"/>
    <s v="宋端儀撰"/>
    <x v="211"/>
    <s v="n/a"/>
    <x v="91"/>
    <s v="中文出版社"/>
    <s v="n/a"/>
    <s v="n/a"/>
    <n v="0"/>
    <m/>
    <m/>
  </r>
  <r>
    <n v="1014"/>
    <n v="15"/>
    <m/>
    <m/>
    <x v="0"/>
    <m/>
    <m/>
    <s v="n/a"/>
    <x v="0"/>
    <m/>
    <s v="n/a"/>
    <s v="n/a"/>
    <s v="n/a"/>
    <s v="n/a"/>
    <s v="n/a"/>
    <s v="n/a"/>
    <s v="n/a"/>
    <s v="求是編鳴道集說 (和刻影印近世漢籍叢刊. 思想三編; 15)"/>
    <s v="n/a"/>
    <s v="宋端儀撰"/>
    <x v="211"/>
    <s v="n/a"/>
    <x v="91"/>
    <s v="中文出版社"/>
    <s v="n/a"/>
    <s v="n/a"/>
    <n v="0"/>
    <m/>
    <m/>
  </r>
  <r>
    <n v="1015"/>
    <n v="16"/>
    <m/>
    <m/>
    <x v="0"/>
    <m/>
    <m/>
    <s v="n/a"/>
    <x v="0"/>
    <m/>
    <s v="n/a"/>
    <s v="n/a"/>
    <s v="n/a"/>
    <s v="n/a"/>
    <s v="n/a"/>
    <n v="122695508"/>
    <s v="Gakubu tsūben"/>
    <s v="學蔀通辯"/>
    <s v="Chen, Jian ^ Okada, Takehiko ^ Araki, Kengo"/>
    <s v="陳建. ^ 岡田武彦. ^ 荒木見悟"/>
    <x v="212"/>
    <s v="和刻影印近世漢籍叢刊. 思想三編 ; 16."/>
    <x v="91"/>
    <s v="中文出版社"/>
    <n v="1977"/>
    <s v="n/a"/>
    <n v="0"/>
    <m/>
    <m/>
  </r>
  <r>
    <n v="2001"/>
    <n v="1"/>
    <s v="上"/>
    <m/>
    <x v="0"/>
    <m/>
    <m/>
    <s v="n/a"/>
    <x v="0"/>
    <m/>
    <s v="n/a"/>
    <s v="n/a"/>
    <s v="n/a"/>
    <s v="n/a"/>
    <s v="n/a"/>
    <n v="43081855"/>
    <s v="Wakoku eiin kinsei kanseki sōkan: Shisō hen"/>
    <s v="和刻影印近世漢籍叢刊. 思想編"/>
    <s v="Okada, Takehiko"/>
    <s v="岡田武彥"/>
    <x v="2"/>
    <s v="n/a"/>
    <x v="186"/>
    <s v="廣文書局"/>
    <n v="1972"/>
    <s v="Philosophy, Chinese ^ Philosophie chinoise"/>
    <n v="0"/>
    <m/>
    <m/>
  </r>
  <r>
    <n v="2002"/>
    <n v="2"/>
    <s v="中"/>
    <m/>
    <x v="0"/>
    <m/>
    <m/>
    <s v="n/a"/>
    <x v="0"/>
    <m/>
    <s v="n/a"/>
    <s v="n/a"/>
    <s v="n/a"/>
    <s v="n/a"/>
    <s v="n/a"/>
    <n v="43081855"/>
    <s v="Wakoku eiin kinsei kanseki sōkan: Shisō hen"/>
    <s v="和刻影印近世漢籍叢刊. 思想編"/>
    <s v="Okada, Takehiko"/>
    <s v="岡田武彥"/>
    <x v="2"/>
    <s v="n/a"/>
    <x v="186"/>
    <s v="廣文書局"/>
    <n v="1972"/>
    <s v="Philosophy, Chinese ^ Philosophie chinoise"/>
    <n v="0"/>
    <m/>
    <m/>
  </r>
  <r>
    <n v="2003"/>
    <n v="3"/>
    <s v="下"/>
    <m/>
    <x v="0"/>
    <m/>
    <m/>
    <s v="n/a"/>
    <x v="0"/>
    <m/>
    <s v="n/a"/>
    <s v="n/a"/>
    <s v="n/a"/>
    <s v="n/a"/>
    <s v="n/a"/>
    <n v="43081855"/>
    <s v="Wakoku eiin kinsei kanseki sōkan: Shisō hen"/>
    <s v="和刻影印近世漢籍叢刊. 思想編"/>
    <s v="Okada, Takehiko"/>
    <s v="岡田武彥"/>
    <x v="2"/>
    <s v="n/a"/>
    <x v="186"/>
    <s v="廣文書局"/>
    <n v="1972"/>
    <s v="Philosophy, Chinese ^ Philosophie chinoise"/>
    <n v="0"/>
    <m/>
    <m/>
  </r>
  <r>
    <n v="2004"/>
    <n v="4"/>
    <m/>
    <m/>
    <x v="0"/>
    <m/>
    <m/>
    <s v="n/a"/>
    <x v="0"/>
    <m/>
    <s v="n/a"/>
    <s v="n/a"/>
    <s v="n/a"/>
    <s v="n/a"/>
    <s v="n/a"/>
    <n v="43081855"/>
    <s v="Wakoku eiin kinsei kanseki sōkan: Shisō hen"/>
    <s v="和刻影印近世漢籍叢刊. 思想編"/>
    <s v="Okada, Takehiko"/>
    <s v="岡田武彥"/>
    <x v="2"/>
    <s v="n/a"/>
    <x v="186"/>
    <s v="廣文書局"/>
    <n v="1972"/>
    <s v="Philosophy, Chinese ^ Philosophie chinoise"/>
    <n v="0"/>
    <m/>
    <m/>
  </r>
  <r>
    <n v="2005"/>
    <n v="5"/>
    <m/>
    <m/>
    <x v="0"/>
    <m/>
    <s v="can't find, might be in donation somewhere else or already processed under different key number"/>
    <s v="n/a"/>
    <x v="0"/>
    <m/>
    <s v="n/a"/>
    <s v="n/a"/>
    <s v="n/a"/>
    <s v="n/a"/>
    <s v="n/a"/>
    <n v="43081855"/>
    <s v="Wakoku eiin kinsei kanseki sōkan: Shisō hen"/>
    <s v="和刻影印近世漢籍叢刊. 思想編"/>
    <s v="Okada, Takehiko"/>
    <s v="岡田武彥"/>
    <x v="2"/>
    <s v="n/a"/>
    <x v="186"/>
    <s v="廣文書局"/>
    <n v="1972"/>
    <s v="Philosophy, Chinese ^ Philosophie chinoise"/>
    <n v="0"/>
    <m/>
    <m/>
  </r>
  <r>
    <n v="2006"/>
    <n v="6"/>
    <m/>
    <m/>
    <x v="0"/>
    <m/>
    <m/>
    <s v="n/a"/>
    <x v="0"/>
    <m/>
    <s v="n/a"/>
    <s v="n/a"/>
    <s v="n/a"/>
    <s v="n/a"/>
    <s v="n/a"/>
    <n v="43081855"/>
    <s v="Wakoku eiin kinsei kanseki sōkan: Shisō hen"/>
    <s v="和刻影印近世漢籍叢刊. 思想編"/>
    <s v="Okada, Takehiko"/>
    <s v="岡田武彥"/>
    <x v="2"/>
    <s v="n/a"/>
    <x v="186"/>
    <s v="廣文書局"/>
    <n v="1972"/>
    <s v="Philosophy, Chinese ^ Philosophie chinoise"/>
    <n v="0"/>
    <m/>
    <m/>
  </r>
  <r>
    <n v="2007"/>
    <n v="7"/>
    <m/>
    <m/>
    <x v="0"/>
    <m/>
    <m/>
    <s v="n/a"/>
    <x v="0"/>
    <m/>
    <s v="n/a"/>
    <s v="n/a"/>
    <s v="n/a"/>
    <s v="n/a"/>
    <s v="n/a"/>
    <n v="43081855"/>
    <s v="Wakoku eiin kinsei kanseki sōkan: Shisō hen"/>
    <s v="和刻影印近世漢籍叢刊. 思想編"/>
    <s v="Okada, Takehiko"/>
    <s v="岡田武彥"/>
    <x v="2"/>
    <s v="n/a"/>
    <x v="186"/>
    <s v="廣文書局"/>
    <n v="1972"/>
    <s v="Philosophy, Chinese ^ Philosophie chinoise"/>
    <n v="0"/>
    <m/>
    <m/>
  </r>
  <r>
    <n v="2008"/>
    <n v="8"/>
    <m/>
    <m/>
    <x v="0"/>
    <m/>
    <m/>
    <s v="n/a"/>
    <x v="0"/>
    <m/>
    <s v="n/a"/>
    <s v="n/a"/>
    <s v="n/a"/>
    <s v="n/a"/>
    <s v="n/a"/>
    <n v="43081855"/>
    <s v="Wakoku eiin kinsei kanseki sōkan: Shisō hen"/>
    <s v="和刻影印近世漢籍叢刊. 思想編"/>
    <s v="Okada, Takehiko"/>
    <s v="岡田武彥"/>
    <x v="2"/>
    <s v="n/a"/>
    <x v="186"/>
    <s v="廣文書局"/>
    <n v="1972"/>
    <s v="Philosophy, Chinese ^ Philosophie chinoise"/>
    <n v="0"/>
    <m/>
    <m/>
  </r>
  <r>
    <n v="2009"/>
    <n v="9"/>
    <m/>
    <m/>
    <x v="0"/>
    <m/>
    <m/>
    <s v="n/a"/>
    <x v="0"/>
    <m/>
    <s v="n/a"/>
    <s v="n/a"/>
    <s v="n/a"/>
    <s v="n/a"/>
    <s v="n/a"/>
    <n v="43081855"/>
    <s v="Wakoku eiin kinsei kanseki sōkan: Shisō hen"/>
    <s v="和刻影印近世漢籍叢刊. 思想編"/>
    <s v="Okada, Takehiko"/>
    <s v="岡田武彥"/>
    <x v="2"/>
    <s v="n/a"/>
    <x v="186"/>
    <s v="廣文書局"/>
    <n v="1972"/>
    <s v="Philosophy, Chinese ^ Philosophie chinoise"/>
    <n v="0"/>
    <m/>
    <m/>
  </r>
  <r>
    <n v="2010"/>
    <n v="10"/>
    <m/>
    <m/>
    <x v="0"/>
    <m/>
    <m/>
    <s v="n/a"/>
    <x v="0"/>
    <m/>
    <s v="n/a"/>
    <s v="n/a"/>
    <s v="n/a"/>
    <s v="n/a"/>
    <s v="n/a"/>
    <n v="43081855"/>
    <s v="Wakoku eiin kinsei kanseki sōkan: Shisō hen"/>
    <s v="和刻影印近世漢籍叢刊. 思想編"/>
    <s v="Okada, Takehiko"/>
    <s v="岡田武彥"/>
    <x v="2"/>
    <s v="n/a"/>
    <x v="186"/>
    <s v="廣文書局"/>
    <n v="1972"/>
    <s v="Philosophy, Chinese ^ Philosophie chinoise"/>
    <n v="0"/>
    <m/>
    <m/>
  </r>
  <r>
    <n v="2011"/>
    <n v="21"/>
    <m/>
    <m/>
    <x v="0"/>
    <m/>
    <m/>
    <s v="n/a"/>
    <x v="0"/>
    <m/>
    <s v="n/a"/>
    <s v="n/a"/>
    <s v="n/a"/>
    <s v="n/a"/>
    <s v="n/a"/>
    <n v="43081855"/>
    <s v="Wakoku eiin kinsei kanseki sōkan: Shisō hen"/>
    <s v="和刻影印近世漢籍叢刊. 思想編"/>
    <s v="Okada, Takehiko"/>
    <s v="岡田武彥"/>
    <x v="2"/>
    <s v="n/a"/>
    <x v="186"/>
    <s v="廣文書局"/>
    <n v="1972"/>
    <s v="Philosophy, Chinese ^ Philosophie chinoise"/>
    <n v="0"/>
    <m/>
    <m/>
  </r>
  <r>
    <n v="2012"/>
    <n v="22"/>
    <m/>
    <m/>
    <x v="0"/>
    <m/>
    <m/>
    <s v="n/a"/>
    <x v="0"/>
    <m/>
    <s v="n/a"/>
    <s v="n/a"/>
    <s v="n/a"/>
    <s v="n/a"/>
    <s v="n/a"/>
    <n v="43081855"/>
    <s v="Wakoku eiin kinsei kanseki sōkan: Shisō hen"/>
    <s v="和刻影印近世漢籍叢刊. 思想編"/>
    <s v="Okada, Takehiko"/>
    <s v="岡田武彥"/>
    <x v="2"/>
    <s v="n/a"/>
    <x v="186"/>
    <s v="廣文書局"/>
    <n v="1972"/>
    <s v="Philosophy, Chinese ^ Philosophie chinoise"/>
    <n v="0"/>
    <m/>
    <m/>
  </r>
  <r>
    <n v="3000"/>
    <n v="1"/>
    <m/>
    <m/>
    <x v="0"/>
    <m/>
    <m/>
    <s v="n/a"/>
    <x v="0"/>
    <m/>
    <s v="n/a"/>
    <s v="n/a"/>
    <s v="n/a"/>
    <s v="n/a"/>
    <s v="n/a"/>
    <n v="15420558"/>
    <s v="Koshi Chigen"/>
    <s v="胡子知言"/>
    <s v="Hu, Hong, 1105-1155 ^ Tomoeda, Ryūtarō, 1916-1986 ^ Araki, Kengo, 1917-2017 ^ Hu, Yan, 1098-1156 ^ Chong zheng bian.; Japanese &amp; Chinese"/>
    <s v="胡宏, 1105-1155. ^ 友技龍太郎, 1916- ^ 荒木見悟, 1917- ^ 胡寅, 1098-1156. ^ 崇正辯. ^ Japanese ^ &amp; ^ Chinese"/>
    <x v="213"/>
    <s v="和刻影印近世漢籍叢刊. 思想續編 ; 1."/>
    <x v="91"/>
    <s v="中文出版社"/>
    <s v="1975, 1757"/>
    <s v="Philosophy, Confucian  --  Early works to 1800 ^ Buddhism  --  Controversial literature  --  Early works to 1800 ^ Philosophie confucéenne  --  Ouvrages avant 1800 ^ Bouddhisme  --  Ouvrages de controverse  --  Ouvrages avant 1800"/>
    <n v="0"/>
    <m/>
    <m/>
  </r>
  <r>
    <n v="3001"/>
    <n v="2"/>
    <m/>
    <m/>
    <x v="0"/>
    <m/>
    <m/>
    <s v="n/a"/>
    <x v="0"/>
    <m/>
    <s v="n/a"/>
    <s v="n/a"/>
    <s v="n/a"/>
    <s v="n/a"/>
    <s v="n/a"/>
    <n v="17229432"/>
    <s v="Nanken Sensei bunshū"/>
    <s v="南軒先生文集"/>
    <s v="Zhang, Shi, 1133-1180 ^ Imai, Usaburō, 1911-2004"/>
    <s v="張栻, 1133-1180. ^ 今井宇三郎, 1911-"/>
    <x v="214"/>
    <s v="n/a"/>
    <x v="91"/>
    <s v="中文出版社"/>
    <s v="1975, 1669"/>
    <s v="n/a"/>
    <n v="0"/>
    <m/>
    <m/>
  </r>
  <r>
    <n v="3002"/>
    <n v="3"/>
    <s v="上"/>
    <m/>
    <x v="0"/>
    <m/>
    <m/>
    <s v="n/a"/>
    <x v="0"/>
    <m/>
    <s v="n/a"/>
    <s v="n/a"/>
    <s v="n/a"/>
    <s v="n/a"/>
    <s v="n/a"/>
    <n v="17229432"/>
    <s v="Nanken Sensei bunshū"/>
    <s v="南軒先生文集"/>
    <s v="Zhang, Shi, 1133-1180 ^ Imai, Usaburō, 1911-2004"/>
    <s v="張栻, 1133-1180. ^ 今井宇三郎, 1911-"/>
    <x v="214"/>
    <s v="n/a"/>
    <x v="91"/>
    <s v="中文出版社"/>
    <s v="1975, 1669"/>
    <s v="n/a"/>
    <n v="0"/>
    <m/>
    <m/>
  </r>
  <r>
    <n v="3003"/>
    <n v="4"/>
    <s v="下"/>
    <m/>
    <x v="0"/>
    <m/>
    <m/>
    <s v="n/a"/>
    <x v="0"/>
    <m/>
    <s v="n/a"/>
    <s v="n/a"/>
    <s v="n/a"/>
    <s v="n/a"/>
    <s v="n/a"/>
    <n v="16984167"/>
    <s v="Riku Shōzan shūyō"/>
    <s v="陸象山集要"/>
    <s v="Lu, Jiuyuan, 1139-1193 ^ Okada, Takehiko"/>
    <s v="陸九淵, 1139-1193. ^ 岡田武彦"/>
    <x v="117"/>
    <s v="n/a"/>
    <x v="91"/>
    <s v="中文出版社"/>
    <s v="1975, 1709"/>
    <s v="n/a"/>
    <n v="0"/>
    <m/>
    <m/>
  </r>
  <r>
    <n v="3004"/>
    <n v="5"/>
    <m/>
    <m/>
    <x v="0"/>
    <m/>
    <m/>
    <s v="n/a"/>
    <x v="0"/>
    <m/>
    <s v="n/a"/>
    <s v="n/a"/>
    <s v="n/a"/>
    <s v="n/a"/>
    <s v="n/a"/>
    <n v="16984168"/>
    <s v="Rosai zensho ; Rosai shinpō. Itan bensei"/>
    <s v="魯齋全書 ; 魯齋心法. 異端辯正"/>
    <s v="Xu, Heng, 1209-1281 ^ Luzhai xin fa.; Japanese &amp; Chinese.Zhan, Ling, active 16th century ^ Yi duan bian zheng.; Japanese &amp; Chinese"/>
    <s v="許衡, 1209-1281. ^ 魯齋心法. ^ Japanese ^ &amp; ^ Chinese. ^ 詹陵, active ^ 16th ^ century. ^ 異端辯正."/>
    <x v="215"/>
    <s v="n/a"/>
    <x v="91"/>
    <s v="中文出版社"/>
    <s v="1975, 1669"/>
    <s v="Neo-Confucianism ^ Néo-confucianisme"/>
    <n v="0"/>
    <m/>
    <m/>
  </r>
  <r>
    <n v="3005"/>
    <n v="6"/>
    <m/>
    <m/>
    <x v="0"/>
    <m/>
    <m/>
    <s v="n/a"/>
    <x v="0"/>
    <m/>
    <s v="n/a"/>
    <s v="n/a"/>
    <s v="n/a"/>
    <s v="n/a"/>
    <s v="n/a"/>
    <n v="17324617"/>
    <s v="Dokushoroku"/>
    <s v="讀書錄"/>
    <s v="Xue, Xuan, 1392-1464 ^ Satō, Hitoshi, 1927 November 23-"/>
    <s v="薛瑄, 1392-1464. ^ 佐藤仁, 1927 ^ Nov. ^ 23-"/>
    <x v="216"/>
    <s v="和刻影印近世漢籍叢刊. 思想續編 ; 6."/>
    <x v="91"/>
    <s v="中文出版社"/>
    <n v="1975"/>
    <s v="n/a"/>
    <n v="0"/>
    <m/>
    <m/>
  </r>
  <r>
    <n v="3006"/>
    <n v="7"/>
    <m/>
    <m/>
    <x v="0"/>
    <m/>
    <m/>
    <s v="n/a"/>
    <x v="0"/>
    <m/>
    <s v="n/a"/>
    <s v="n/a"/>
    <s v="n/a"/>
    <s v="n/a"/>
    <s v="n/a"/>
    <n v="17324621"/>
    <s v="Dokusho zokuroku"/>
    <s v="讀書續錄"/>
    <s v="Xue, Xuan, 1392-1464 ^ Satō, Hitoshi, 1927 November 23-"/>
    <s v="薛瑄, 1392-1464. ^ 佐藤仁, 1927 ^ November ^ 23-"/>
    <x v="217"/>
    <s v="和刻影印近世漢籍叢刊. 思想續編 ; 7."/>
    <x v="91"/>
    <s v="中文出版社"/>
    <n v="1975"/>
    <s v="n/a"/>
    <n v="0"/>
    <m/>
    <m/>
  </r>
  <r>
    <n v="3007"/>
    <n v="8"/>
    <m/>
    <m/>
    <x v="0"/>
    <m/>
    <m/>
    <s v="n/a"/>
    <x v="0"/>
    <m/>
    <s v="n/a"/>
    <s v="n/a"/>
    <s v="n/a"/>
    <s v="n/a"/>
    <s v="n/a"/>
    <n v="18878590"/>
    <s v="Kyogyōroku"/>
    <s v="居業錄"/>
    <s v="Hu, Juren, 1434-1484 ^ Luo, Qinshun, 1465-1547 ^ Kun zhi ji.; Japanese &amp; Chinese"/>
    <s v="胡居仁, 1434-1484. ^ 羅欽順, 1465-1547. ^ 困知記. ^ Japanese ^ &amp; ^ Chinese"/>
    <x v="218"/>
    <s v="和刻影印近世漢籍叢刊. 思想續編 ; 8."/>
    <x v="91"/>
    <s v="中文出版社"/>
    <s v="1975, 1706"/>
    <s v="Neo-Confucianism ^ Néo-confucianisme"/>
    <n v="0"/>
    <m/>
    <m/>
  </r>
  <r>
    <n v="3008"/>
    <n v="9"/>
    <m/>
    <m/>
    <x v="0"/>
    <m/>
    <m/>
    <s v="n/a"/>
    <x v="0"/>
    <m/>
    <s v="n/a"/>
    <s v="n/a"/>
    <s v="n/a"/>
    <s v="n/a"/>
    <s v="n/a"/>
    <n v="17324587"/>
    <s v="Kōsai Sensei nichiroku: Chin Hakusa bunsui"/>
    <s v="康齋先生日錄. 陳白沙文粹"/>
    <s v="Wu, Yubi, 1391-1469 ^ Okada, Takehiko ^ Araki, Kengo, 1917-2017 ^ Chen, Xianzhang, 1428-1500 ^ Works.; Selections.; Japanese &amp; Chinese.; 1900"/>
    <s v="吳與弼, 1391-1469. ^ 岡田武彦. ^ 荒木見悟, 1917- ^ 陳獻章, 1428-1500. ^ Works. ^ Selections. ^ Japanese ^ &amp; ^ Chinese. ^ 1900"/>
    <x v="219"/>
    <s v="和刻影印近世漢籍叢刊. 思想續編 ; 9."/>
    <x v="91"/>
    <s v="中文出版社"/>
    <s v="1900, 1863"/>
    <s v="Neo-Confucianism ^ Néo-confucianisme"/>
    <n v="0"/>
    <m/>
    <m/>
  </r>
  <r>
    <n v="3009"/>
    <n v="10"/>
    <m/>
    <m/>
    <x v="0"/>
    <m/>
    <m/>
    <s v="n/a"/>
    <x v="0"/>
    <m/>
    <s v="n/a"/>
    <s v="n/a"/>
    <s v="n/a"/>
    <s v="n/a"/>
    <s v="n/a"/>
    <n v="15655289"/>
    <s v="Ō Yōmei Sensei bunroku shō"/>
    <s v="王陽明先生文錄抄"/>
    <s v="Wang, Yangming, 1472-1529 ^ Yoshida, Kōhei, 1942-"/>
    <s v="王陽明, 1472-1529. ^ 吉田公平, 1942-"/>
    <x v="220"/>
    <s v="n/a"/>
    <x v="91"/>
    <s v="中文出版社"/>
    <s v="1975, 1653"/>
    <s v="n/a"/>
    <n v="0"/>
    <m/>
    <m/>
  </r>
  <r>
    <n v="3010"/>
    <n v="11"/>
    <s v="上"/>
    <m/>
    <x v="0"/>
    <m/>
    <m/>
    <s v="n/a"/>
    <x v="0"/>
    <m/>
    <s v="n/a"/>
    <s v="n/a"/>
    <s v="n/a"/>
    <s v="n/a"/>
    <s v="n/a"/>
    <n v="15420535"/>
    <s v="Ryūkei Ō Sensei zenshū"/>
    <s v="龍谿王先生全集"/>
    <s v="Wang, Ji, 1498-1583 ^ Okada, Takehiko"/>
    <s v="王畿, 1498-1583. ^ 岡田武彦"/>
    <x v="209"/>
    <s v="n/a"/>
    <x v="91"/>
    <s v="中文出版社"/>
    <s v="1975, 1696"/>
    <s v="n/a"/>
    <n v="0"/>
    <m/>
    <m/>
  </r>
  <r>
    <n v="3011"/>
    <n v="12"/>
    <s v="下"/>
    <m/>
    <x v="0"/>
    <m/>
    <m/>
    <s v="n/a"/>
    <x v="0"/>
    <m/>
    <s v="n/a"/>
    <s v="n/a"/>
    <s v="n/a"/>
    <s v="n/a"/>
    <s v="n/a"/>
    <n v="15420535"/>
    <s v="Ryūkei Ō Sensei zenshū"/>
    <s v="龍谿王先生全集"/>
    <s v="Wang, Ji, 1498-1583 ^ Okada, Takehiko"/>
    <s v="王畿, 1498-1583. ^ 岡田武彦"/>
    <x v="209"/>
    <s v="n/a"/>
    <x v="91"/>
    <s v="中文出版社"/>
    <s v="1975, 1696"/>
    <s v="n/a"/>
    <n v="0"/>
    <m/>
    <m/>
  </r>
  <r>
    <n v="3012"/>
    <n v="13"/>
    <m/>
    <m/>
    <x v="0"/>
    <m/>
    <m/>
    <s v="n/a"/>
    <x v="0"/>
    <m/>
    <s v="n/a"/>
    <s v="n/a"/>
    <s v="n/a"/>
    <s v="n/a"/>
    <s v="n/a"/>
    <n v="17324580"/>
    <s v="Ō Shinsai zenshū"/>
    <s v="王心齋全集"/>
    <s v="Wang, Gen, 1483-1541 ^ Sano, Kōji, 1936- ^ Luo, Jinxi, 1515-1588 ^ Jinxizi ming dao lu.; Japanese &amp; Chinese"/>
    <s v="王艮, 1483-1541. ^ 佐野公治, 1936- ^ 羅近溪, 1515-1588. ^ 近溪子明道錄. ^ Japanese ^ &amp; ^ Chinese"/>
    <x v="219"/>
    <s v="n/a"/>
    <x v="91"/>
    <s v="中文出版社"/>
    <s v="1975, 1584"/>
    <s v="Neo-Confucianism ^ Néo-confucianisme"/>
    <n v="0"/>
    <m/>
    <m/>
  </r>
  <r>
    <n v="3013"/>
    <n v="14"/>
    <m/>
    <m/>
    <x v="0"/>
    <m/>
    <m/>
    <s v="n/a"/>
    <x v="0"/>
    <m/>
    <s v="n/a"/>
    <s v="n/a"/>
    <s v="n/a"/>
    <s v="n/a"/>
    <s v="n/a"/>
    <n v="17587591"/>
    <s v="Ryū Shūsan bunshō ; Ryū-shi jinpu"/>
    <s v="劉蕺山文抄 ; 劉氏人譜"/>
    <s v="Liu, Zongzhou, 1578-1645 ^ Okada, Takehiko ^ Ren pu.; Japanese &amp; Chinese"/>
    <s v="劉宗周, 1578-1645. ^ 岡田武彥. ^ 人譜. ^ Japanese ^ &amp; ^ Chinese"/>
    <x v="215"/>
    <s v="n/a"/>
    <x v="91"/>
    <s v="中文出版社"/>
    <s v="1975, 1841"/>
    <s v="n/a"/>
    <n v="0"/>
    <m/>
    <m/>
  </r>
  <r>
    <s v="1011.0????"/>
    <n v="11"/>
    <m/>
    <m/>
    <x v="0"/>
    <m/>
    <s v="has been processed already, accidentally overwrote key number"/>
    <s v="n/a"/>
    <x v="0"/>
    <m/>
    <s v="n/a"/>
    <s v="n/a"/>
    <s v="n/a"/>
    <s v="n/a"/>
    <s v="n/a"/>
    <s v="BN03878345"/>
    <s v="Seirigun shokukai"/>
    <s v="性理群書句解 (和刻影印近世漢籍叢刊. 思想三編; 11)"/>
    <s v="n/a"/>
    <s v="熊節撰 ; 熊剛大注"/>
    <x v="211"/>
    <s v="n/a"/>
    <x v="91"/>
    <s v="中文出版社"/>
    <n v="1978"/>
    <s v="n/a"/>
    <n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4187F5-02C1-4FA3-9FEF-7C8294D76C62}" name="Fomats" cacheId="74" applyNumberFormats="0" applyBorderFormats="0" applyFontFormats="0" applyPatternFormats="0" applyAlignmentFormats="0" applyWidthHeightFormats="1" dataCaption="Values" updatedVersion="8" minRefreshableVersion="3" itemPrintTitles="1" createdVersion="7" indent="0" outline="1" outlineData="1" multipleFieldFilters="0" chartFormat="4" rowHeaderCaption="Format">
  <location ref="A1:B7" firstHeaderRow="1" firstDataRow="1" firstDataCol="1"/>
  <pivotFields count="29">
    <pivotField numFmtId="1" showAll="0"/>
    <pivotField showAll="0"/>
    <pivotField showAll="0"/>
    <pivotField showAll="0"/>
    <pivotField axis="axisRow" dataField="1" showAll="0">
      <items count="6">
        <item x="3"/>
        <item x="1"/>
        <item x="2"/>
        <item x="0"/>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6">
    <i>
      <x/>
    </i>
    <i>
      <x v="1"/>
    </i>
    <i>
      <x v="2"/>
    </i>
    <i>
      <x v="3"/>
    </i>
    <i>
      <x v="4"/>
    </i>
    <i t="grand">
      <x/>
    </i>
  </rowItems>
  <colItems count="1">
    <i/>
  </colItems>
  <dataFields count="1">
    <dataField name="Count of Material Type" fld="4" subtotal="count" baseField="0" baseItem="0"/>
  </dataFields>
  <formats count="8">
    <format dxfId="284">
      <pivotArea type="all" dataOnly="0" outline="0" fieldPosition="0"/>
    </format>
    <format dxfId="283">
      <pivotArea outline="0" collapsedLevelsAreSubtotals="1" fieldPosition="0"/>
    </format>
    <format dxfId="282">
      <pivotArea dataOnly="0" labelOnly="1" grandRow="1" outline="0" fieldPosition="0"/>
    </format>
    <format dxfId="281">
      <pivotArea type="all" dataOnly="0" outline="0" fieldPosition="0"/>
    </format>
    <format dxfId="280">
      <pivotArea outline="0" collapsedLevelsAreSubtotals="1" fieldPosition="0"/>
    </format>
    <format dxfId="279">
      <pivotArea dataOnly="0" labelOnly="1" grandRow="1" outline="0" fieldPosition="0"/>
    </format>
    <format dxfId="199">
      <pivotArea outline="0" collapsedLevelsAreSubtotals="1" fieldPosition="0"/>
    </format>
    <format dxfId="200">
      <pivotArea dataOnly="0" labelOnly="1" grandRow="1" outline="0" fieldPosition="0"/>
    </format>
  </formats>
  <chartFormats count="1">
    <chartFormat chart="3"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A9838A9-416D-47D3-9170-59AB7C68D6C4}" name="Assigned_Collection" cacheId="74" applyNumberFormats="0" applyBorderFormats="0" applyFontFormats="0" applyPatternFormats="0" applyAlignmentFormats="0" applyWidthHeightFormats="1" dataCaption="Values" updatedVersion="8" minRefreshableVersion="3" itemPrintTitles="1" createdVersion="7" indent="0" outline="1" outlineData="1" multipleFieldFilters="0" chartFormat="1" rowHeaderCaption="Assigned Collection">
  <location ref="A1:B7" firstHeaderRow="1" firstDataRow="1" firstDataCol="1"/>
  <pivotFields count="29">
    <pivotField numFmtId="1" showAll="0"/>
    <pivotField showAll="0"/>
    <pivotField showAll="0"/>
    <pivotField showAll="0"/>
    <pivotField showAll="0"/>
    <pivotField showAll="0"/>
    <pivotField showAll="0"/>
    <pivotField showAll="0"/>
    <pivotField axis="axisRow" dataField="1" showAll="0">
      <items count="6">
        <item x="0"/>
        <item x="1"/>
        <item x="2"/>
        <item x="3"/>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6">
    <i>
      <x/>
    </i>
    <i>
      <x v="1"/>
    </i>
    <i>
      <x v="2"/>
    </i>
    <i>
      <x v="3"/>
    </i>
    <i>
      <x v="4"/>
    </i>
    <i t="grand">
      <x/>
    </i>
  </rowItems>
  <colItems count="1">
    <i/>
  </colItems>
  <dataFields count="1">
    <dataField name="Count" fld="8" subtotal="count" baseField="0" baseItem="0"/>
  </dataFields>
  <formats count="10">
    <format dxfId="189">
      <pivotArea dataOnly="0" labelOnly="1" outline="0" fieldPosition="0">
        <references count="1">
          <reference field="4294967294" count="1">
            <x v="0"/>
          </reference>
        </references>
      </pivotArea>
    </format>
    <format dxfId="190">
      <pivotArea type="all" dataOnly="0" outline="0" fieldPosition="0"/>
    </format>
    <format dxfId="191">
      <pivotArea outline="0" collapsedLevelsAreSubtotals="1" fieldPosition="0"/>
    </format>
    <format dxfId="192">
      <pivotArea field="8" type="button" dataOnly="0" labelOnly="1" outline="0" axis="axisRow" fieldPosition="0"/>
    </format>
    <format dxfId="193">
      <pivotArea dataOnly="0" labelOnly="1" fieldPosition="0">
        <references count="1">
          <reference field="8" count="0"/>
        </references>
      </pivotArea>
    </format>
    <format dxfId="194">
      <pivotArea dataOnly="0" labelOnly="1" grandRow="1" outline="0" fieldPosition="0"/>
    </format>
    <format dxfId="195">
      <pivotArea dataOnly="0" labelOnly="1" outline="0" fieldPosition="0">
        <references count="1">
          <reference field="4294967294" count="1">
            <x v="0"/>
          </reference>
        </references>
      </pivotArea>
    </format>
    <format dxfId="196">
      <pivotArea outline="0" collapsedLevelsAreSubtotals="1" fieldPosition="0"/>
    </format>
    <format dxfId="197">
      <pivotArea dataOnly="0" labelOnly="1" fieldPosition="0">
        <references count="1">
          <reference field="8" count="0"/>
        </references>
      </pivotArea>
    </format>
    <format dxfId="198">
      <pivotArea dataOnly="0" labelOnly="1" grandRow="1" outline="0" fieldPosition="0"/>
    </format>
  </formats>
  <chartFormats count="2">
    <chartFormat chart="0" format="0" series="1">
      <pivotArea type="data" outline="0" fieldPosition="0">
        <references count="1">
          <reference field="4294967294" count="1" selected="0">
            <x v="0"/>
          </reference>
        </references>
      </pivotArea>
    </chartFormat>
    <chartFormat chart="0" format="24">
      <pivotArea type="data" outline="0" fieldPosition="0">
        <references count="2">
          <reference field="4294967294" count="1" selected="0">
            <x v="0"/>
          </reference>
          <reference field="8"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CB454A3-759F-4B69-9404-47A5F4541AEE}" name="Publishers" cacheId="74" applyNumberFormats="0" applyBorderFormats="0" applyFontFormats="0" applyPatternFormats="0" applyAlignmentFormats="0" applyWidthHeightFormats="1" dataCaption="Values" updatedVersion="8" minRefreshableVersion="3" itemPrintTitles="1" createdVersion="7" indent="0" outline="1" outlineData="1" multipleFieldFilters="0" chartFormat="4" rowHeaderCaption="Publishers">
  <location ref="A1:B189" firstHeaderRow="1" firstDataRow="1" firstDataCol="1"/>
  <pivotFields count="29">
    <pivotField numFmtI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descending">
      <items count="188">
        <item x="18"/>
        <item x="1"/>
        <item x="70"/>
        <item x="140"/>
        <item x="185"/>
        <item x="2"/>
        <item x="4"/>
        <item x="83"/>
        <item x="5"/>
        <item x="6"/>
        <item x="8"/>
        <item x="25"/>
        <item x="59"/>
        <item x="9"/>
        <item x="170"/>
        <item x="96"/>
        <item x="10"/>
        <item x="21"/>
        <item x="27"/>
        <item x="75"/>
        <item x="19"/>
        <item x="11"/>
        <item x="145"/>
        <item x="132"/>
        <item x="13"/>
        <item x="84"/>
        <item x="45"/>
        <item x="14"/>
        <item x="0"/>
        <item x="7"/>
        <item x="3"/>
        <item x="15"/>
        <item x="16"/>
        <item x="22"/>
        <item x="23"/>
        <item x="24"/>
        <item x="28"/>
        <item x="30"/>
        <item x="31"/>
        <item x="32"/>
        <item x="33"/>
        <item x="34"/>
        <item x="35"/>
        <item x="36"/>
        <item x="37"/>
        <item x="38"/>
        <item x="39"/>
        <item x="40"/>
        <item x="41"/>
        <item x="42"/>
        <item x="43"/>
        <item x="44"/>
        <item x="46"/>
        <item x="47"/>
        <item x="48"/>
        <item x="50"/>
        <item x="51"/>
        <item x="29"/>
        <item x="52"/>
        <item x="55"/>
        <item x="58"/>
        <item x="60"/>
        <item x="61"/>
        <item x="62"/>
        <item x="63"/>
        <item x="64"/>
        <item x="67"/>
        <item x="68"/>
        <item x="69"/>
        <item x="72"/>
        <item x="73"/>
        <item x="74"/>
        <item x="76"/>
        <item x="77"/>
        <item x="78"/>
        <item x="79"/>
        <item x="80"/>
        <item x="81"/>
        <item x="85"/>
        <item x="86"/>
        <item x="87"/>
        <item x="88"/>
        <item x="90"/>
        <item x="91"/>
        <item x="92"/>
        <item x="93"/>
        <item x="65"/>
        <item x="94"/>
        <item x="95"/>
        <item x="97"/>
        <item x="99"/>
        <item x="100"/>
        <item x="102"/>
        <item x="104"/>
        <item x="106"/>
        <item x="169"/>
        <item x="108"/>
        <item x="109"/>
        <item x="110"/>
        <item x="111"/>
        <item x="112"/>
        <item x="113"/>
        <item x="114"/>
        <item x="115"/>
        <item x="116"/>
        <item x="117"/>
        <item x="142"/>
        <item x="119"/>
        <item x="122"/>
        <item x="123"/>
        <item x="124"/>
        <item x="125"/>
        <item x="126"/>
        <item x="128"/>
        <item x="129"/>
        <item x="130"/>
        <item x="131"/>
        <item x="133"/>
        <item x="135"/>
        <item x="136"/>
        <item x="137"/>
        <item x="177"/>
        <item x="141"/>
        <item x="143"/>
        <item x="150"/>
        <item x="152"/>
        <item x="153"/>
        <item x="155"/>
        <item x="173"/>
        <item x="156"/>
        <item x="158"/>
        <item x="159"/>
        <item x="160"/>
        <item x="161"/>
        <item x="162"/>
        <item x="163"/>
        <item x="164"/>
        <item x="165"/>
        <item x="166"/>
        <item x="168"/>
        <item x="172"/>
        <item x="174"/>
        <item x="175"/>
        <item x="176"/>
        <item x="178"/>
        <item x="179"/>
        <item x="180"/>
        <item x="181"/>
        <item x="182"/>
        <item x="183"/>
        <item x="184"/>
        <item x="12"/>
        <item x="17"/>
        <item x="20"/>
        <item x="26"/>
        <item x="49"/>
        <item x="53"/>
        <item x="54"/>
        <item x="56"/>
        <item x="57"/>
        <item x="66"/>
        <item x="71"/>
        <item x="82"/>
        <item x="89"/>
        <item x="98"/>
        <item x="101"/>
        <item x="103"/>
        <item x="105"/>
        <item x="107"/>
        <item x="118"/>
        <item x="120"/>
        <item x="121"/>
        <item x="127"/>
        <item x="134"/>
        <item x="138"/>
        <item x="139"/>
        <item x="144"/>
        <item x="146"/>
        <item x="147"/>
        <item x="148"/>
        <item x="149"/>
        <item x="151"/>
        <item x="154"/>
        <item x="157"/>
        <item x="167"/>
        <item x="171"/>
        <item x="18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s>
  <rowFields count="1">
    <field x="22"/>
  </rowFields>
  <rowItems count="188">
    <i>
      <x v="28"/>
    </i>
    <i>
      <x v="24"/>
    </i>
    <i>
      <x v="83"/>
    </i>
    <i>
      <x v="18"/>
    </i>
    <i>
      <x/>
    </i>
    <i>
      <x v="11"/>
    </i>
    <i>
      <x v="38"/>
    </i>
    <i>
      <x v="1"/>
    </i>
    <i>
      <x v="186"/>
    </i>
    <i>
      <x v="5"/>
    </i>
    <i>
      <x v="34"/>
    </i>
    <i>
      <x v="164"/>
    </i>
    <i>
      <x v="30"/>
    </i>
    <i>
      <x v="35"/>
    </i>
    <i>
      <x v="74"/>
    </i>
    <i>
      <x v="16"/>
    </i>
    <i>
      <x v="79"/>
    </i>
    <i>
      <x v="7"/>
    </i>
    <i>
      <x v="67"/>
    </i>
    <i>
      <x v="19"/>
    </i>
    <i>
      <x v="13"/>
    </i>
    <i>
      <x v="48"/>
    </i>
    <i>
      <x v="81"/>
    </i>
    <i>
      <x v="70"/>
    </i>
    <i>
      <x v="31"/>
    </i>
    <i>
      <x v="29"/>
    </i>
    <i>
      <x v="93"/>
    </i>
    <i>
      <x v="71"/>
    </i>
    <i>
      <x v="120"/>
    </i>
    <i>
      <x v="23"/>
    </i>
    <i>
      <x v="42"/>
    </i>
    <i>
      <x v="68"/>
    </i>
    <i>
      <x v="17"/>
    </i>
    <i>
      <x v="21"/>
    </i>
    <i>
      <x v="50"/>
    </i>
    <i>
      <x v="108"/>
    </i>
    <i>
      <x v="58"/>
    </i>
    <i>
      <x v="65"/>
    </i>
    <i>
      <x v="106"/>
    </i>
    <i>
      <x v="124"/>
    </i>
    <i>
      <x v="91"/>
    </i>
    <i>
      <x v="25"/>
    </i>
    <i>
      <x v="12"/>
    </i>
    <i>
      <x v="102"/>
    </i>
    <i>
      <x v="51"/>
    </i>
    <i>
      <x v="156"/>
    </i>
    <i>
      <x v="52"/>
    </i>
    <i>
      <x v="87"/>
    </i>
    <i>
      <x v="57"/>
    </i>
    <i>
      <x v="92"/>
    </i>
    <i>
      <x v="59"/>
    </i>
    <i>
      <x v="26"/>
    </i>
    <i>
      <x v="20"/>
    </i>
    <i>
      <x v="127"/>
    </i>
    <i>
      <x v="76"/>
    </i>
    <i>
      <x v="161"/>
    </i>
    <i>
      <x v="85"/>
    </i>
    <i>
      <x v="173"/>
    </i>
    <i>
      <x v="86"/>
    </i>
    <i>
      <x v="111"/>
    </i>
    <i>
      <x v="123"/>
    </i>
    <i>
      <x v="155"/>
    </i>
    <i>
      <x v="139"/>
    </i>
    <i>
      <x v="61"/>
    </i>
    <i>
      <x v="171"/>
    </i>
    <i>
      <x v="62"/>
    </i>
    <i>
      <x v="131"/>
    </i>
    <i>
      <x v="63"/>
    </i>
    <i>
      <x v="147"/>
    </i>
    <i>
      <x v="64"/>
    </i>
    <i>
      <x v="163"/>
    </i>
    <i>
      <x v="32"/>
    </i>
    <i>
      <x v="179"/>
    </i>
    <i>
      <x v="66"/>
    </i>
    <i>
      <x v="55"/>
    </i>
    <i>
      <x v="3"/>
    </i>
    <i>
      <x v="135"/>
    </i>
    <i>
      <x v="33"/>
    </i>
    <i>
      <x v="143"/>
    </i>
    <i>
      <x v="69"/>
    </i>
    <i>
      <x v="151"/>
    </i>
    <i>
      <x v="8"/>
    </i>
    <i>
      <x v="159"/>
    </i>
    <i>
      <x v="14"/>
    </i>
    <i>
      <x v="167"/>
    </i>
    <i>
      <x v="72"/>
    </i>
    <i>
      <x v="175"/>
    </i>
    <i>
      <x v="73"/>
    </i>
    <i>
      <x v="183"/>
    </i>
    <i>
      <x v="45"/>
    </i>
    <i>
      <x v="125"/>
    </i>
    <i>
      <x v="75"/>
    </i>
    <i>
      <x v="129"/>
    </i>
    <i>
      <x v="46"/>
    </i>
    <i>
      <x v="133"/>
    </i>
    <i>
      <x v="77"/>
    </i>
    <i>
      <x v="137"/>
    </i>
    <i>
      <x v="78"/>
    </i>
    <i>
      <x v="141"/>
    </i>
    <i>
      <x v="15"/>
    </i>
    <i>
      <x v="145"/>
    </i>
    <i>
      <x v="80"/>
    </i>
    <i>
      <x v="149"/>
    </i>
    <i>
      <x v="22"/>
    </i>
    <i>
      <x v="153"/>
    </i>
    <i>
      <x v="82"/>
    </i>
    <i>
      <x v="157"/>
    </i>
    <i>
      <x v="36"/>
    </i>
    <i>
      <x v="43"/>
    </i>
    <i>
      <x v="84"/>
    </i>
    <i>
      <x v="165"/>
    </i>
    <i>
      <x v="47"/>
    </i>
    <i>
      <x v="169"/>
    </i>
    <i>
      <x v="4"/>
    </i>
    <i>
      <x v="44"/>
    </i>
    <i>
      <x v="49"/>
    </i>
    <i>
      <x v="177"/>
    </i>
    <i>
      <x v="88"/>
    </i>
    <i>
      <x v="181"/>
    </i>
    <i>
      <x v="89"/>
    </i>
    <i>
      <x v="60"/>
    </i>
    <i>
      <x v="90"/>
    </i>
    <i>
      <x v="54"/>
    </i>
    <i>
      <x v="40"/>
    </i>
    <i>
      <x v="126"/>
    </i>
    <i>
      <x v="41"/>
    </i>
    <i>
      <x v="128"/>
    </i>
    <i>
      <x v="9"/>
    </i>
    <i>
      <x v="130"/>
    </i>
    <i>
      <x v="94"/>
    </i>
    <i>
      <x v="132"/>
    </i>
    <i>
      <x v="95"/>
    </i>
    <i>
      <x v="134"/>
    </i>
    <i>
      <x v="96"/>
    </i>
    <i>
      <x v="136"/>
    </i>
    <i>
      <x v="97"/>
    </i>
    <i>
      <x v="138"/>
    </i>
    <i>
      <x v="98"/>
    </i>
    <i>
      <x v="140"/>
    </i>
    <i>
      <x v="99"/>
    </i>
    <i>
      <x v="142"/>
    </i>
    <i>
      <x v="100"/>
    </i>
    <i>
      <x v="144"/>
    </i>
    <i>
      <x v="101"/>
    </i>
    <i>
      <x v="146"/>
    </i>
    <i>
      <x v="10"/>
    </i>
    <i>
      <x v="148"/>
    </i>
    <i>
      <x v="103"/>
    </i>
    <i>
      <x v="150"/>
    </i>
    <i>
      <x v="104"/>
    </i>
    <i>
      <x v="152"/>
    </i>
    <i>
      <x v="105"/>
    </i>
    <i>
      <x v="154"/>
    </i>
    <i>
      <x v="27"/>
    </i>
    <i>
      <x v="56"/>
    </i>
    <i>
      <x v="107"/>
    </i>
    <i>
      <x v="158"/>
    </i>
    <i>
      <x v="37"/>
    </i>
    <i>
      <x v="160"/>
    </i>
    <i>
      <x v="109"/>
    </i>
    <i>
      <x v="162"/>
    </i>
    <i>
      <x v="110"/>
    </i>
    <i>
      <x v="2"/>
    </i>
    <i>
      <x v="185"/>
    </i>
    <i>
      <x v="166"/>
    </i>
    <i>
      <x v="53"/>
    </i>
    <i>
      <x v="168"/>
    </i>
    <i>
      <x v="113"/>
    </i>
    <i>
      <x v="170"/>
    </i>
    <i>
      <x v="114"/>
    </i>
    <i>
      <x v="172"/>
    </i>
    <i>
      <x v="115"/>
    </i>
    <i>
      <x v="174"/>
    </i>
    <i>
      <x v="116"/>
    </i>
    <i>
      <x v="176"/>
    </i>
    <i>
      <x v="117"/>
    </i>
    <i>
      <x v="178"/>
    </i>
    <i>
      <x v="118"/>
    </i>
    <i>
      <x v="180"/>
    </i>
    <i>
      <x v="119"/>
    </i>
    <i>
      <x v="182"/>
    </i>
    <i>
      <x v="6"/>
    </i>
    <i>
      <x v="184"/>
    </i>
    <i>
      <x v="121"/>
    </i>
    <i>
      <x v="122"/>
    </i>
    <i>
      <x v="39"/>
    </i>
    <i>
      <x v="112"/>
    </i>
    <i t="grand">
      <x/>
    </i>
  </rowItems>
  <colItems count="1">
    <i/>
  </colItems>
  <dataFields count="1">
    <dataField name="Count" fld="22" subtotal="count" baseField="0" baseItem="0"/>
  </dataFields>
  <formats count="12">
    <format dxfId="177">
      <pivotArea dataOnly="0" labelOnly="1" outline="0" fieldPosition="0">
        <references count="1">
          <reference field="4294967294" count="1">
            <x v="0"/>
          </reference>
        </references>
      </pivotArea>
    </format>
    <format dxfId="178">
      <pivotArea type="all" dataOnly="0" outline="0" fieldPosition="0"/>
    </format>
    <format dxfId="179">
      <pivotArea outline="0" collapsedLevelsAreSubtotals="1" fieldPosition="0"/>
    </format>
    <format dxfId="180">
      <pivotArea field="22" type="button" dataOnly="0" labelOnly="1" outline="0" axis="axisRow" fieldPosition="0"/>
    </format>
    <format dxfId="181">
      <pivotArea dataOnly="0" labelOnly="1" fieldPosition="0">
        <references count="1">
          <reference field="22" count="0"/>
        </references>
      </pivotArea>
    </format>
    <format dxfId="182">
      <pivotArea dataOnly="0" labelOnly="1" grandRow="1" outline="0" fieldPosition="0"/>
    </format>
    <format dxfId="183">
      <pivotArea dataOnly="0" labelOnly="1" outline="0" fieldPosition="0">
        <references count="1">
          <reference field="4294967294" count="1">
            <x v="0"/>
          </reference>
        </references>
      </pivotArea>
    </format>
    <format dxfId="184">
      <pivotArea field="22" type="button" dataOnly="0" labelOnly="1" outline="0" axis="axisRow" fieldPosition="0"/>
    </format>
    <format dxfId="185">
      <pivotArea outline="0" collapsedLevelsAreSubtotals="1" fieldPosition="0"/>
    </format>
    <format dxfId="186">
      <pivotArea dataOnly="0" labelOnly="1" fieldPosition="0">
        <references count="1">
          <reference field="22" count="0"/>
        </references>
      </pivotArea>
    </format>
    <format dxfId="187">
      <pivotArea dataOnly="0" labelOnly="1" grandRow="1" outline="0" fieldPosition="0"/>
    </format>
    <format dxfId="188">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
  <rv s="0">
    <v>en-US</v>
    <v>ave8h7</v>
    <v>268435456</v>
    <v>1</v>
    <v>Powered by Refinitiv</v>
    <v>0</v>
    <v>JPY/USD</v>
    <v>2</v>
    <v>3</v>
    <v>Finance</v>
    <v>4</v>
    <v>8.8380000000000004E-3</v>
    <v>6.5799999999999999E-3</v>
    <v>3.0000000000000001E-6</v>
    <v>4.0680000000000002E-4</v>
    <v>USD</v>
    <v>JPY</v>
    <v>7.391E-3</v>
    <v>Currency Pair</v>
    <v>44909.166759259257</v>
    <v>7.3680000000000004E-3</v>
    <v>Japanese Yen/US Dollar FX Cross Rate</v>
    <v>7.3749999999999996E-3</v>
    <v>7.3749999999999996E-3</v>
    <v>7.378E-3</v>
    <v>JPYUSD</v>
    <v>JPY/USD</v>
  </rv>
  <rv s="1">
    <v>0</v>
  </rv>
  <rv s="0">
    <v>en-US</v>
    <v>avffww</v>
    <v>268435456</v>
    <v>1</v>
    <v>Powered by Refinitiv</v>
    <v>0</v>
    <v>KRW/USD</v>
    <v>2</v>
    <v>3</v>
    <v>Finance</v>
    <v>4</v>
    <v>8.5280000000000002E-4</v>
    <v>6.9090000000000004E-4</v>
    <v>-3.3699999999999999E-6</v>
    <v>-4.3470000000000002E-3</v>
    <v>USD</v>
    <v>KRW</v>
    <v>7.7550000000000004E-4</v>
    <v>Currency Pair</v>
    <v>44909.166701388887</v>
    <v>7.6880000000000004E-4</v>
    <v>Korean Won/US Dollar FX Cross Rate</v>
    <v>7.7519999999999998E-4</v>
    <v>7.7519999999999998E-4</v>
    <v>7.718E-4</v>
    <v>KRWUSD</v>
    <v>KRW/USD</v>
  </rv>
  <rv s="1">
    <v>2</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14" formatCode="0.00%"/>
    </x:dxf>
    <x:dxf>
      <x:numFmt numFmtId="27" formatCode="m/d/yyyy\ h:mm"/>
    </x:dxf>
    <x:dxf>
      <x:numFmt numFmtId="2" formatCode="0.00"/>
    </x:dxf>
    <x:dxf>
      <x:numFmt numFmtId="0" formatCode="General"/>
    </x:dxf>
  </dxfs>
  <richProperties>
    <rPr n="NumberFormat" t="s"/>
    <rPr n="IsTitleField" t="b"/>
  </richProperties>
  <richStyles>
    <rSty dxfid="3">
      <rpv i="0">_([$$-en-US]* #,##0.00_);_([$$-en-US]* (#,##0.00);_([$$-en-US]* "-"??_);_(@_)</rpv>
    </rSty>
    <rSty>
      <rpv i="1">1</rpv>
    </rSty>
    <rSty dxfid="0"/>
    <rSty dxfid="1"/>
    <rSty dxfid="2">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CBC0E3-DBE3-410C-AE35-D79B57EB35CC}" name="Donation" displayName="Donation" ref="A5:AC200" totalsRowShown="0" headerRowDxfId="234" dataDxfId="233" tableBorderDxfId="288">
  <autoFilter ref="A5:AC200" xr:uid="{52CBC0E3-DBE3-410C-AE35-D79B57EB35CC}"/>
  <sortState xmlns:xlrd2="http://schemas.microsoft.com/office/spreadsheetml/2017/richdata2" ref="A6:AC664">
    <sortCondition ref="A5:A664"/>
  </sortState>
  <tableColumns count="29">
    <tableColumn id="1" xr3:uid="{D81E40CE-D985-4517-BB0C-6065A464FD57}" name="Key" dataDxfId="258"/>
    <tableColumn id="3" xr3:uid="{207A4FB8-E769-4452-BA8D-8980550BD4CA}" name="Volume # / Issue# / Sequence #" dataDxfId="257"/>
    <tableColumn id="4" xr3:uid="{398898F3-A048-426B-AE2A-CDF1B456BFB8}" name="上_x000a_中_x000a_下" dataDxfId="256"/>
    <tableColumn id="5" xr3:uid="{2E4933B4-1F76-4EEA-BFBB-A3987053C1B2}" name="of Total Volumes" dataDxfId="255"/>
    <tableColumn id="6" xr3:uid="{4C3EEF23-3CD5-409E-98EC-952B149AE3EF}" name="Material Type" dataDxfId="176"/>
    <tableColumn id="2" xr3:uid="{F9D229F3-CFA6-489F-A45F-0AE2D33A3D7C}" name="Cross_x000a_Ref w_x000a_ Key" dataDxfId="254"/>
    <tableColumn id="7" xr3:uid="{15AF4CA7-AA8A-41B8-8426-498DC9166F51}" name="Note" dataDxfId="253"/>
    <tableColumn id="8" xr3:uid="{C8117656-131C-491A-B09F-D3ACFDCC5CD7}" name="URL for Price Check" dataDxfId="252"/>
    <tableColumn id="9" xr3:uid="{9934EBF9-63E9-49B9-9BCF-CE727E48B33F}" name="Collection" dataDxfId="251"/>
    <tableColumn id="10" xr3:uid="{C1880AEC-B3D2-44CA-B4AD-6E99AB08135A}" name="j" dataDxfId="250"/>
    <tableColumn id="11" xr3:uid="{82C39321-9B8F-4983-84A2-75C629EBDC71}" name="Dupe_x000a_ISBN_x000a_Check" dataDxfId="249"/>
    <tableColumn id="12" xr3:uid="{0C7ADA8E-FCA2-489D-BC5C-CE31E6124C4E}" name="Dupe_x000a_Title_x000a_Check" dataDxfId="248"/>
    <tableColumn id="13" xr3:uid="{A896DC71-0A7D-4568-9EB7-5F5256815B19}" name="Dupe Check in WC / FS" dataDxfId="247"/>
    <tableColumn id="14" xr3:uid="{1366D349-A031-4F45-A417-3AD905F1494E}" name="ISBN13#/_x000a_ISSN#" dataDxfId="246"/>
    <tableColumn id="15" xr3:uid="{D16A51C9-5934-4CF4-9D39-C61F6BE68445}" name="ISBN10#/_x000a_ISSN#" dataDxfId="245"/>
    <tableColumn id="16" xr3:uid="{90F130C0-7993-4534-A8CB-0EB3DE3B9BAE}" name="OCLC#" dataDxfId="244"/>
    <tableColumn id="17" xr3:uid="{2E7B0064-BBB3-48F0-8E10-31F0F854831C}" name="Title (R/E)" dataDxfId="85"/>
    <tableColumn id="18" xr3:uid="{22F24C81-9CBB-47F5-9C0A-FCB5C26470FF}" name="Title (N)" dataDxfId="243"/>
    <tableColumn id="19" xr3:uid="{68D91129-9076-42DE-98EA-0899BFA79FE4}" name="Creator (R/E)" dataDxfId="242"/>
    <tableColumn id="20" xr3:uid="{8DA1683F-F3BE-4BC0-BC16-A425EA4F9D4C}" name="Creator (N)" dataDxfId="241"/>
    <tableColumn id="21" xr3:uid="{15B92BA3-A3D3-41B9-8977-B8DDF4CC0865}" name="Series (R/E)" dataDxfId="240"/>
    <tableColumn id="31" xr3:uid="{DCD6400C-178C-43D6-B3B0-4473A95AAD9A}" name="Series (N)" dataDxfId="239"/>
    <tableColumn id="22" xr3:uid="{12EAC821-F7E7-4155-99EE-CDD7A7109A09}" name="Publisher (R/E)" dataDxfId="238"/>
    <tableColumn id="23" xr3:uid="{DBD4EA94-FAC5-4364-865C-F41975F554AC}" name="Publisher (N)" dataDxfId="175"/>
    <tableColumn id="24" xr3:uid="{D85F4E25-7BB4-4E43-9C6C-CA85EA1892FB}" name="Pub Date" dataDxfId="173"/>
    <tableColumn id="30" xr3:uid="{3C9E2392-8EB4-441F-92A7-19E605F64542}" name="Subject_x000a_Headings" dataDxfId="174"/>
    <tableColumn id="25" xr3:uid="{2C8043B3-3DEF-4DC4-915C-88BBA411C889}" name="Value (Estimate)_x000a_$USD" dataDxfId="237"/>
    <tableColumn id="27" xr3:uid="{DE2559B4-6485-4927-9E60-ED86038A6C1C}" name="$_x000a_¥_x000a_₩" dataDxfId="236"/>
    <tableColumn id="28" xr3:uid="{BC838B1E-7DE1-4931-9ACA-C1B143781380}" name="Value (Estimate)_x000a_¥ or ₩" dataDxfId="235"/>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FE880D2-576F-4873-9004-DB0FF4378C6E}" name="Debugging" displayName="Debugging" ref="AH5:AH200" totalsRowShown="0" headerRowDxfId="171" dataDxfId="170" tableBorderDxfId="5">
  <autoFilter ref="AH5:AH200" xr:uid="{4FE880D2-576F-4873-9004-DB0FF4378C6E}"/>
  <tableColumns count="1">
    <tableColumn id="1" xr3:uid="{6A8E9F2D-2427-495E-937A-CEF5FA58FE5B}" name="Issues to think about_x000a_including debugging macro" dataDxfId="4"/>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951CF8E-E579-40C4-85EC-4B247B192B25}" name="Tutorial" displayName="Tutorial" ref="B8:AD201" totalsRowShown="0" headerRowDxfId="287" dataDxfId="203" tableBorderDxfId="286">
  <sortState xmlns:xlrd2="http://schemas.microsoft.com/office/spreadsheetml/2017/richdata2" ref="B9:AD91">
    <sortCondition ref="B8:B91"/>
  </sortState>
  <tableColumns count="29">
    <tableColumn id="1" xr3:uid="{72A31FDF-DD1B-4654-AF40-B6AEE94D569C}" name="Key" dataDxfId="232"/>
    <tableColumn id="3" xr3:uid="{E8F2FB2D-7ADA-4C36-A3BF-B5C59C4C228A}" name="Volume # / Issue# / Sequence #" dataDxfId="231"/>
    <tableColumn id="4" xr3:uid="{CFF907F5-9611-4461-8F23-8DA40C5BA323}" name="上_x000a_中_x000a_下" dataDxfId="230"/>
    <tableColumn id="5" xr3:uid="{D3172E69-D24F-4283-9361-AAEE231DBDF1}" name="of Total Volumes " dataDxfId="229"/>
    <tableColumn id="6" xr3:uid="{375FFA84-3733-4BDA-86E9-9141A5B39580}" name="Cross Ref_x000a_to Key #" dataDxfId="228"/>
    <tableColumn id="2" xr3:uid="{87F45DCD-7B0B-452F-9D2D-EBFE9642F396}" name="Format" dataDxfId="227"/>
    <tableColumn id="7" xr3:uid="{4004E7F1-9D16-4375-8B32-BECFB94F488A}" name="Note" dataDxfId="226"/>
    <tableColumn id="8" xr3:uid="{E43FFD13-7133-419F-A2D0-081116491029}" name="URL for Price Check" dataDxfId="225"/>
    <tableColumn id="9" xr3:uid="{AE50A42F-A158-4AC6-93F3-1E093697E369}" name="Collection" dataDxfId="224"/>
    <tableColumn id="10" xr3:uid="{2D8F9111-1214-4387-A362-BD92E8E611C0}" name="j" dataDxfId="223"/>
    <tableColumn id="11" xr3:uid="{A056C40D-41C8-445A-9490-6E90D907CD51}" name="Dupe_x000a_ISBN_x000a_Check" dataDxfId="222"/>
    <tableColumn id="12" xr3:uid="{CB7B98A4-83BE-4061-9D5C-45DBBEE3E4D1}" name="Dupe_x000a_Title_x000a_Check" dataDxfId="221"/>
    <tableColumn id="13" xr3:uid="{2C2A93CF-A8AC-489E-A261-39581572EDC6}" name="Dupe_x000a_WorldCat_x000a_Check" dataDxfId="220"/>
    <tableColumn id="14" xr3:uid="{FF85C4AD-D2B2-4268-9024-E64E322BF8E6}" name="ISBN13#/_x000a_ISSN#" dataDxfId="219"/>
    <tableColumn id="15" xr3:uid="{CCF807BF-34CB-4B7B-B213-2F2408CF394B}" name="ISBN10#/_x000a_ISSN#" dataDxfId="218"/>
    <tableColumn id="16" xr3:uid="{9D446075-4F49-4A1B-8A28-EE3360DE3A06}" name="OCLC#" dataDxfId="217"/>
    <tableColumn id="17" xr3:uid="{13ABF60F-3B8E-4B06-85F1-F305321DBBC7}" name="Title (V)" dataDxfId="216"/>
    <tableColumn id="18" xr3:uid="{6DA77F92-853D-4433-8370-9DFBA0975E90}" name="Title (R/E)" dataDxfId="215"/>
    <tableColumn id="19" xr3:uid="{A9B3A70C-9385-4C7D-B875-F48F53916A5B}" name="Creator (R/E)" dataDxfId="214"/>
    <tableColumn id="20" xr3:uid="{532EB834-CF45-4948-B315-D132A8CB814F}" name="Creator (V)" dataDxfId="213"/>
    <tableColumn id="21" xr3:uid="{B1623EC9-C75C-4389-A8DF-410D7C83FE26}" name="Series" dataDxfId="212"/>
    <tableColumn id="22" xr3:uid="{2FE4EB17-9FF8-4C22-B33C-7D7C664D7D45}" name="Publisher (R/E)" dataDxfId="211"/>
    <tableColumn id="23" xr3:uid="{564DAC20-BBA8-4BBE-8A49-93CE230FF7F8}" name="Publisher (V)" dataDxfId="210"/>
    <tableColumn id="24" xr3:uid="{D668AE8E-DE2A-4438-97F5-E81200F5F07F}" name="Pub Date" dataDxfId="209"/>
    <tableColumn id="25" xr3:uid="{390F2415-CAC4-42C0-8609-21E43CB92F06}" name="Value (Estimate)_x000a_$USD" dataDxfId="208"/>
    <tableColumn id="26" xr3:uid="{7F5FC397-149C-4C73-A0F8-0178B99175E2}" name="⇄" dataDxfId="207"/>
    <tableColumn id="27" xr3:uid="{58121A17-DD5A-4973-BDCE-62F04E2D9EE8}" name="$_x000a_¥_x000a_₩" dataDxfId="206"/>
    <tableColumn id="28" xr3:uid="{9544716D-B4BE-4459-87AD-052447911EC3}" name="Value (Estimate)_x000a_¥ or ₩" dataDxfId="205"/>
    <tableColumn id="29" xr3:uid="{91D1C939-6E5F-42C7-AE51-FFC203FB2E3B}" name="Subject_x000a_Headings" dataDxfId="204"/>
  </tableColumns>
  <tableStyleInfo name="TableStyleMedium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CE57184-8BB0-4267-9B0F-D3C7CAE6C4C6}" name="Debugging11" displayName="Debugging11" ref="AI8:AI87" totalsRowShown="0" headerRowDxfId="285" dataDxfId="201">
  <autoFilter ref="AI8:AI87" xr:uid="{6EC7C29D-05FA-4214-8DFC-693D889E3DC0}"/>
  <tableColumns count="1">
    <tableColumn id="1" xr3:uid="{CC2A487C-6BB4-4651-B0E4-682AE29E84E7}" name="Issues to think about_x000a_including debugging macro" dataDxfId="202"/>
  </tableColumns>
  <tableStyleInfo name="TableStyleMedium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1D3B6CA-188A-4576-A8E8-DDD79CA3AFE2}" name="SeriesTitleCount" displayName="SeriesTitleCount" ref="A1:B10" totalsRowShown="0" headerRowDxfId="168" dataDxfId="169" tableBorderDxfId="172">
  <autoFilter ref="A1:B10" xr:uid="{41D3B6CA-188A-4576-A8E8-DDD79CA3AFE2}"/>
  <sortState xmlns:xlrd2="http://schemas.microsoft.com/office/spreadsheetml/2017/richdata2" ref="A2:B15">
    <sortCondition ref="A1:A223"/>
  </sortState>
  <tableColumns count="2">
    <tableColumn id="1" xr3:uid="{AC557862-D017-450F-A0D8-50CDC7A5DAA0}" name="Series Title" dataDxfId="167"/>
    <tableColumn id="2" xr3:uid="{6FD3AF40-92CA-4058-8FB1-94F0207F7F5F}" name="Count" dataDxfId="152">
      <calculatedColumnFormula>COUNTIF(Donation!U6:U200,SeriesTitleCount[[#This Row],[Series Title]])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7529B2-3547-429C-ABED-7A4006FF0060}" name="PubDateCount" displayName="PubDateCount" ref="A1:C11" totalsRowCount="1" headerRowDxfId="163" dataDxfId="161" totalsRowDxfId="162">
  <autoFilter ref="A1:C10" xr:uid="{4E7529B2-3547-429C-ABED-7A4006FF0060}"/>
  <sortState xmlns:xlrd2="http://schemas.microsoft.com/office/spreadsheetml/2017/richdata2" ref="A2:B91">
    <sortCondition ref="A1:A91"/>
  </sortState>
  <tableColumns count="3">
    <tableColumn id="1" xr3:uid="{2D59A3B5-6BEA-4E70-8DFA-B0B5099FB7D7}" name="PubDate" totalsRowLabel="Total" dataDxfId="166" totalsRowDxfId="151"/>
    <tableColumn id="2" xr3:uid="{C9BC3191-1802-48DF-8807-7A1AD98FA87B}" name="Count" totalsRowFunction="sum" dataDxfId="165" totalsRowDxfId="150"/>
    <tableColumn id="3" xr3:uid="{D9913512-5831-4189-B5DF-29BB1E01C47F}" name="%" dataDxfId="164" totalsRowDxfId="149"/>
  </tableColumns>
  <tableStyleInfo name="TableStyleMedium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EC95E50-D40D-4A59-A98A-8052093EE610}" name="PubDate_by_Decade" displayName="PubDate_by_Decade" ref="X1:AB8" totalsRowCount="1" headerRowDxfId="155" dataDxfId="153" totalsRowDxfId="154" tableBorderDxfId="278">
  <autoFilter ref="X1:AB7" xr:uid="{1EC95E50-D40D-4A59-A98A-8052093EE610}"/>
  <sortState xmlns:xlrd2="http://schemas.microsoft.com/office/spreadsheetml/2017/richdata2" ref="X2:AB8">
    <sortCondition ref="AA1:AA8"/>
  </sortState>
  <tableColumns count="5">
    <tableColumn id="1" xr3:uid="{47938F4B-E510-4CC2-8419-8FBFBF047168}" name="Start of Decade" totalsRowLabel="Total" dataDxfId="160" totalsRowDxfId="11"/>
    <tableColumn id="2" xr3:uid="{05F8ECCA-2942-4B49-8538-810C2EA94E3A}" name="End of Decade" dataDxfId="159" totalsRowDxfId="10"/>
    <tableColumn id="3" xr3:uid="{89C00457-EA83-428E-B2E2-9AE8FDB4584D}" name="Labels" dataDxfId="158" totalsRowDxfId="9">
      <calculatedColumnFormula>CONCATENATE(PubDate_by_Decade[[#This Row],[Start of Decade]],"-",PubDate_by_Decade[[#This Row],[End of Decade]])</calculatedColumnFormula>
    </tableColumn>
    <tableColumn id="5" xr3:uid="{2758DAB8-1DF8-43B7-B4CA-562F1DC0A486}" name="Count" totalsRowFunction="sum" dataDxfId="157" totalsRowDxfId="8">
      <calculatedColumnFormula>SUMIFS(PubDateCount[Count],PubDateCount[PubDate],"&gt;="&amp;PubDate_by_Decade[[#This Row],[Start of Decade]],PubDateCount[PubDate],"&lt;="&amp;PubDate_by_Decade[[#This Row],[End of Decade]])</calculatedColumnFormula>
    </tableColumn>
    <tableColumn id="4" xr3:uid="{B1393D65-2F53-40F5-B44F-83E2EDAEBD62}" name="%" dataDxfId="156" totalsRowDxfId="7">
      <calculatedColumnFormula>PubDate_by_Decade[[#This Row],[Count]]/PubDate_by_Decade[[#Totals],[Count]]</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0FD3FA1-0B13-4835-8066-CAE7CDC06BB4}" name="Subject_Analysis_Steps" displayName="Subject_Analysis_Steps" ref="A2:D32" totalsRowShown="0" headerRowDxfId="277" dataDxfId="276">
  <tableColumns count="4">
    <tableColumn id="1" xr3:uid="{4040453C-7E8E-43B7-B310-68241F53925A}" name="Step" dataDxfId="275"/>
    <tableColumn id="3" xr3:uid="{D090C9B1-7917-4E16-B5A6-12A31C6E0053}" name="b" dataDxfId="274"/>
    <tableColumn id="2" xr3:uid="{47E925EF-3D52-42E2-8A09-1F507B971DC4}" name="What to Do" dataDxfId="273"/>
    <tableColumn id="4" xr3:uid="{B97E4F4C-483D-4FB8-A3BB-5CD44B818F09}" name="What it Does" dataDxfId="272"/>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7CABD46-5F42-466C-B100-6E0AD9EC3E30}" name="Locations" displayName="Locations" ref="A1:A11" totalsRowShown="0" headerRowDxfId="271" dataDxfId="270" tableBorderDxfId="269">
  <autoFilter ref="A1:A11" xr:uid="{D7CABD46-5F42-466C-B100-6E0AD9EC3E30}"/>
  <sortState xmlns:xlrd2="http://schemas.microsoft.com/office/spreadsheetml/2017/richdata2" ref="A2:A10">
    <sortCondition ref="A1:A10"/>
  </sortState>
  <tableColumns count="1">
    <tableColumn id="1" xr3:uid="{F6DF05C3-5057-4C5D-A034-6433D364599C}" name="Collection_x000a_Locations" dataDxfId="268"/>
  </tableColumns>
  <tableStyleInfo name="TableStyleMedium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D16B2FC-FC41-4109-8AD2-233E821FF13F}" name="Formats" displayName="Formats" ref="C1:C20" totalsRowShown="0" headerRowDxfId="267" dataDxfId="266" tableBorderDxfId="265">
  <autoFilter ref="C1:C20" xr:uid="{ED16B2FC-FC41-4109-8AD2-233E821FF13F}"/>
  <sortState xmlns:xlrd2="http://schemas.microsoft.com/office/spreadsheetml/2017/richdata2" ref="C2:C20">
    <sortCondition ref="C1:C20"/>
  </sortState>
  <tableColumns count="1">
    <tableColumn id="1" xr3:uid="{006700A6-B444-4807-9CBA-72DDA2B347A3}" name="Material_x000a_Formats" dataDxfId="264"/>
  </tableColumns>
  <tableStyleInfo name="TableStyleMedium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DC6FBBE-F7A7-46FE-8A52-0349B3DDB9CE}" name="上中下" displayName="上中下" ref="E1:E4" totalsRowShown="0" headerRowDxfId="263" dataDxfId="261" headerRowBorderDxfId="262" tableBorderDxfId="260">
  <autoFilter ref="E1:E4" xr:uid="{BDC6FBBE-F7A7-46FE-8A52-0349B3DDB9CE}"/>
  <tableColumns count="1">
    <tableColumn id="1" xr3:uid="{CB547F85-9AAF-4D63-9AA8-052E905E2F3A}" name="Asian Style Volume Count" dataDxfId="259"/>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https://github.com/ahlisbon/CJKmaterialProcessing" TargetMode="External"/><Relationship Id="rId6" Type="http://schemas.openxmlformats.org/officeDocument/2006/relationships/comments" Target="../comments2.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hyperlink" Target="https://experts.colorado.edu/display/fisid_152869" TargetMode="External"/><Relationship Id="rId2" Type="http://schemas.openxmlformats.org/officeDocument/2006/relationships/hyperlink" Target="mailto:adam.lisbon@colorado.edu" TargetMode="External"/><Relationship Id="rId1" Type="http://schemas.openxmlformats.org/officeDocument/2006/relationships/hyperlink" Target="https://creativecommons.org/licenses/by-nc/4.0/" TargetMode="External"/><Relationship Id="rId6" Type="http://schemas.openxmlformats.org/officeDocument/2006/relationships/drawing" Target="../drawings/drawing6.xml"/><Relationship Id="rId5" Type="http://schemas.openxmlformats.org/officeDocument/2006/relationships/hyperlink" Target="https://github.com/ahlisbon/CJKmaterialProcessing" TargetMode="External"/><Relationship Id="rId4" Type="http://schemas.openxmlformats.org/officeDocument/2006/relationships/hyperlink" Target="https://www.linkedin.com/in/adam-lisbon-90a7b3106/"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H664"/>
  <sheetViews>
    <sheetView tabSelected="1" zoomScaleNormal="100" workbookViewId="0">
      <pane ySplit="5" topLeftCell="A6" activePane="bottomLeft" state="frozen"/>
      <selection pane="bottomLeft" activeCell="L15" sqref="L15"/>
    </sheetView>
  </sheetViews>
  <sheetFormatPr defaultRowHeight="17.100000000000001" customHeight="1" x14ac:dyDescent="0.25"/>
  <cols>
    <col min="1" max="1" width="7.7109375" style="278" customWidth="1"/>
    <col min="2" max="2" width="9.140625" style="279"/>
    <col min="3" max="3" width="4.7109375" style="227" customWidth="1"/>
    <col min="4" max="4" width="8.7109375" style="221" customWidth="1"/>
    <col min="5" max="5" width="15.7109375" style="280" customWidth="1"/>
    <col min="6" max="6" width="6.7109375" style="223" customWidth="1"/>
    <col min="7" max="7" width="20.7109375" style="169" customWidth="1"/>
    <col min="8" max="8" width="8.7109375" style="169" customWidth="1"/>
    <col min="9" max="9" width="8.7109375" style="227" customWidth="1"/>
    <col min="10" max="10" width="3.7109375" style="279" customWidth="1"/>
    <col min="11" max="11" width="8.7109375" style="169" customWidth="1"/>
    <col min="12" max="13" width="8.7109375" style="221" customWidth="1"/>
    <col min="14" max="14" width="13.7109375" style="280" customWidth="1"/>
    <col min="15" max="16" width="13.7109375" style="281" customWidth="1"/>
    <col min="17" max="17" width="25.7109375" style="282" customWidth="1"/>
    <col min="18" max="18" width="25.7109375" style="227" customWidth="1"/>
    <col min="19" max="24" width="15.7109375" style="227" customWidth="1"/>
    <col min="25" max="25" width="7.7109375" style="342" customWidth="1"/>
    <col min="26" max="26" width="20.7109375" style="283" customWidth="1"/>
    <col min="27" max="27" width="10.7109375" style="95" customWidth="1"/>
    <col min="28" max="28" width="3.7109375" style="284" customWidth="1"/>
    <col min="29" max="29" width="10.7109375" style="285" customWidth="1"/>
    <col min="30" max="30" width="3.7109375" style="277" customWidth="1"/>
    <col min="31" max="31" width="12.7109375" style="275" customWidth="1"/>
    <col min="32" max="32" width="12.7109375" style="276" customWidth="1"/>
    <col min="33" max="33" width="3.7109375" style="276" customWidth="1"/>
    <col min="34" max="34" width="20.7109375" style="5" customWidth="1"/>
    <col min="35" max="16384" width="9.140625" style="5"/>
  </cols>
  <sheetData>
    <row r="1" spans="1:34" ht="20.100000000000001" customHeight="1" x14ac:dyDescent="0.25">
      <c r="A1" s="238" t="s">
        <v>463</v>
      </c>
      <c r="B1" s="238"/>
      <c r="C1" s="238"/>
      <c r="D1" s="238"/>
      <c r="E1" s="238"/>
      <c r="F1" s="238"/>
      <c r="G1" s="238"/>
      <c r="H1" s="238"/>
      <c r="I1" s="238"/>
      <c r="J1" s="238"/>
      <c r="K1" s="238"/>
      <c r="L1" s="238"/>
      <c r="M1" s="238"/>
      <c r="N1" s="238"/>
      <c r="O1" s="238"/>
      <c r="P1" s="238"/>
      <c r="Q1" s="238"/>
      <c r="R1" s="238"/>
      <c r="S1" s="238"/>
      <c r="T1" s="238"/>
      <c r="U1" s="238"/>
      <c r="V1" s="238"/>
      <c r="W1" s="238"/>
      <c r="X1" s="238"/>
      <c r="Y1" s="238"/>
      <c r="Z1" s="239"/>
      <c r="AA1" s="240" t="s">
        <v>410</v>
      </c>
      <c r="AB1" s="241"/>
      <c r="AC1" s="242"/>
      <c r="AD1" s="39"/>
      <c r="AE1" s="243" t="s">
        <v>0</v>
      </c>
      <c r="AF1" s="244"/>
      <c r="AG1" s="5"/>
      <c r="AH1" s="164"/>
    </row>
    <row r="2" spans="1:34" ht="20.100000000000001" customHeight="1" x14ac:dyDescent="0.25">
      <c r="A2" s="245"/>
      <c r="B2" s="246" t="s">
        <v>1</v>
      </c>
      <c r="C2" s="181" t="s">
        <v>464</v>
      </c>
      <c r="D2" s="181"/>
      <c r="E2" s="182"/>
      <c r="F2" s="181"/>
      <c r="G2" s="181"/>
      <c r="H2" s="181"/>
      <c r="I2" s="181"/>
      <c r="J2" s="181"/>
      <c r="K2" s="181"/>
      <c r="L2" s="181"/>
      <c r="M2" s="181"/>
      <c r="N2" s="181"/>
      <c r="O2" s="181"/>
      <c r="P2" s="181"/>
      <c r="Q2" s="182"/>
      <c r="R2" s="182"/>
      <c r="S2" s="182"/>
      <c r="T2" s="182"/>
      <c r="U2" s="182"/>
      <c r="V2" s="182"/>
      <c r="W2" s="182"/>
      <c r="X2" s="182"/>
      <c r="Y2" s="182"/>
      <c r="Z2" s="183"/>
      <c r="AA2" s="174">
        <f>SUM(AA6:AA200)</f>
        <v>0</v>
      </c>
      <c r="AB2" s="171"/>
      <c r="AC2" s="172"/>
      <c r="AD2" s="39"/>
      <c r="AE2" s="9" t="e" vm="1">
        <v>#VALUE!</v>
      </c>
      <c r="AF2" s="10" cm="1">
        <f t="array" ref="AF2">_FV(AE2,"Price",TRUE)</f>
        <v>7.378E-3</v>
      </c>
      <c r="AG2" s="5"/>
      <c r="AH2" s="164"/>
    </row>
    <row r="3" spans="1:34" ht="20.100000000000001" customHeight="1" x14ac:dyDescent="0.25">
      <c r="A3" s="247"/>
      <c r="B3" s="248" t="s">
        <v>3</v>
      </c>
      <c r="C3" s="249"/>
      <c r="D3" s="249"/>
      <c r="E3" s="250"/>
      <c r="F3" s="251"/>
      <c r="G3" s="170"/>
      <c r="H3" s="170"/>
      <c r="I3" s="252" t="s">
        <v>4</v>
      </c>
      <c r="J3" s="253" t="s">
        <v>4</v>
      </c>
      <c r="K3" s="248" t="s">
        <v>5</v>
      </c>
      <c r="L3" s="249"/>
      <c r="M3" s="254"/>
      <c r="N3" s="248" t="s">
        <v>486</v>
      </c>
      <c r="O3" s="249"/>
      <c r="P3" s="254"/>
      <c r="Q3" s="255" t="s">
        <v>7</v>
      </c>
      <c r="R3" s="255"/>
      <c r="S3" s="255"/>
      <c r="T3" s="255"/>
      <c r="U3" s="255"/>
      <c r="V3" s="255"/>
      <c r="W3" s="255"/>
      <c r="X3" s="255"/>
      <c r="Y3" s="255"/>
      <c r="Z3" s="256"/>
      <c r="AA3" s="251"/>
      <c r="AB3" s="251"/>
      <c r="AC3" s="257"/>
      <c r="AD3" s="39"/>
      <c r="AE3" s="11" t="e" vm="2">
        <v>#VALUE!</v>
      </c>
      <c r="AF3" s="12" cm="1">
        <f t="array" ref="AF3">_FV(AE3,"Price",TRUE)</f>
        <v>7.718E-4</v>
      </c>
      <c r="AG3" s="5"/>
      <c r="AH3" s="164"/>
    </row>
    <row r="4" spans="1:34" ht="14.1" customHeight="1" x14ac:dyDescent="0.25">
      <c r="A4" s="258">
        <v>1</v>
      </c>
      <c r="B4" s="167" t="s">
        <v>99</v>
      </c>
      <c r="C4" s="258" t="s">
        <v>252</v>
      </c>
      <c r="D4" s="258" t="s">
        <v>253</v>
      </c>
      <c r="E4" s="167" t="s">
        <v>254</v>
      </c>
      <c r="F4" s="258" t="s">
        <v>255</v>
      </c>
      <c r="G4" s="167">
        <v>7</v>
      </c>
      <c r="H4" s="167">
        <v>8</v>
      </c>
      <c r="I4" s="258">
        <v>9</v>
      </c>
      <c r="J4" s="259">
        <v>10</v>
      </c>
      <c r="K4" s="167" t="s">
        <v>8</v>
      </c>
      <c r="L4" s="258">
        <v>12</v>
      </c>
      <c r="M4" s="258">
        <v>13</v>
      </c>
      <c r="N4" s="167">
        <v>14</v>
      </c>
      <c r="O4" s="258">
        <v>15</v>
      </c>
      <c r="P4" s="258">
        <v>16</v>
      </c>
      <c r="Q4" s="167" t="s">
        <v>424</v>
      </c>
      <c r="R4" s="258" t="s">
        <v>423</v>
      </c>
      <c r="S4" s="258" t="s">
        <v>425</v>
      </c>
      <c r="T4" s="258" t="s">
        <v>426</v>
      </c>
      <c r="U4" s="258" t="s">
        <v>427</v>
      </c>
      <c r="V4" s="258" t="s">
        <v>428</v>
      </c>
      <c r="W4" s="258" t="s">
        <v>429</v>
      </c>
      <c r="X4" s="258" t="s">
        <v>430</v>
      </c>
      <c r="Y4" s="260" t="s">
        <v>411</v>
      </c>
      <c r="Z4" s="261" t="s">
        <v>412</v>
      </c>
      <c r="AA4" s="260" t="s">
        <v>413</v>
      </c>
      <c r="AB4" s="260" t="s">
        <v>435</v>
      </c>
      <c r="AC4" s="262" t="s">
        <v>436</v>
      </c>
      <c r="AD4" s="39"/>
      <c r="AE4" s="5"/>
      <c r="AF4" s="5"/>
      <c r="AG4" s="5"/>
      <c r="AH4" s="164"/>
    </row>
    <row r="5" spans="1:34" ht="39.950000000000003" customHeight="1" x14ac:dyDescent="0.25">
      <c r="A5" s="18" t="s">
        <v>9</v>
      </c>
      <c r="B5" s="291" t="s">
        <v>10</v>
      </c>
      <c r="C5" s="17" t="s">
        <v>11</v>
      </c>
      <c r="D5" s="17" t="s">
        <v>12</v>
      </c>
      <c r="E5" s="263" t="s">
        <v>460</v>
      </c>
      <c r="F5" s="175" t="s">
        <v>461</v>
      </c>
      <c r="G5" s="161" t="s">
        <v>15</v>
      </c>
      <c r="H5" s="168" t="s">
        <v>16</v>
      </c>
      <c r="I5" s="19" t="s">
        <v>17</v>
      </c>
      <c r="J5" s="166" t="s">
        <v>18</v>
      </c>
      <c r="K5" s="161" t="s">
        <v>19</v>
      </c>
      <c r="L5" s="17" t="s">
        <v>20</v>
      </c>
      <c r="M5" s="17" t="s">
        <v>467</v>
      </c>
      <c r="N5" s="161" t="s">
        <v>22</v>
      </c>
      <c r="O5" s="17" t="s">
        <v>23</v>
      </c>
      <c r="P5" s="19" t="s">
        <v>24</v>
      </c>
      <c r="Q5" s="264" t="s">
        <v>26</v>
      </c>
      <c r="R5" s="265" t="s">
        <v>431</v>
      </c>
      <c r="S5" s="19" t="s">
        <v>27</v>
      </c>
      <c r="T5" s="266" t="s">
        <v>432</v>
      </c>
      <c r="U5" s="19" t="s">
        <v>462</v>
      </c>
      <c r="V5" s="266" t="s">
        <v>434</v>
      </c>
      <c r="W5" s="19" t="s">
        <v>30</v>
      </c>
      <c r="X5" s="266" t="s">
        <v>433</v>
      </c>
      <c r="Y5" s="173" t="s">
        <v>85</v>
      </c>
      <c r="Z5" s="364" t="s">
        <v>36</v>
      </c>
      <c r="AA5" s="173" t="s">
        <v>32</v>
      </c>
      <c r="AB5" s="17" t="s">
        <v>34</v>
      </c>
      <c r="AC5" s="162" t="s">
        <v>35</v>
      </c>
      <c r="AD5" s="39"/>
      <c r="AE5" s="5"/>
      <c r="AF5" s="5"/>
      <c r="AG5" s="5"/>
      <c r="AH5" s="394" t="s">
        <v>37</v>
      </c>
    </row>
    <row r="6" spans="1:34" ht="17.100000000000001" customHeight="1" x14ac:dyDescent="0.25">
      <c r="A6" s="201">
        <v>1</v>
      </c>
      <c r="B6" s="202"/>
      <c r="C6" s="203"/>
      <c r="D6" s="204"/>
      <c r="E6" s="363"/>
      <c r="F6" s="205"/>
      <c r="G6" s="206"/>
      <c r="H6" s="218"/>
      <c r="I6" s="177"/>
      <c r="J6" s="176"/>
      <c r="K6" s="207"/>
      <c r="L6" s="208"/>
      <c r="M6" s="208"/>
      <c r="N6" s="209">
        <v>9784329100139</v>
      </c>
      <c r="O6" s="210"/>
      <c r="P6" s="211"/>
      <c r="Q6" s="220"/>
      <c r="R6" s="205"/>
      <c r="S6" s="205"/>
      <c r="T6" s="205"/>
      <c r="U6" s="205"/>
      <c r="V6" s="205"/>
      <c r="W6" s="205"/>
      <c r="X6" s="205"/>
      <c r="Y6" s="213"/>
      <c r="Z6" s="214"/>
      <c r="AA6" s="215"/>
      <c r="AB6" s="216"/>
      <c r="AC6" s="217"/>
      <c r="AD6" s="267" t="s">
        <v>4</v>
      </c>
      <c r="AE6" s="268"/>
      <c r="AF6" s="268"/>
      <c r="AG6" s="5"/>
      <c r="AH6" s="164"/>
    </row>
    <row r="7" spans="1:34" ht="17.100000000000001" customHeight="1" x14ac:dyDescent="0.25">
      <c r="A7" s="201">
        <v>2</v>
      </c>
      <c r="B7" s="202"/>
      <c r="C7" s="203"/>
      <c r="D7" s="204"/>
      <c r="E7" s="363"/>
      <c r="F7" s="205"/>
      <c r="G7" s="206"/>
      <c r="H7" s="218"/>
      <c r="I7" s="177"/>
      <c r="J7" s="176"/>
      <c r="K7" s="207"/>
      <c r="L7" s="208"/>
      <c r="M7" s="208"/>
      <c r="N7" s="209">
        <v>9784422300818</v>
      </c>
      <c r="O7" s="210"/>
      <c r="P7" s="210"/>
      <c r="Q7" s="220"/>
      <c r="R7" s="212"/>
      <c r="S7" s="205"/>
      <c r="T7" s="205"/>
      <c r="U7" s="205"/>
      <c r="V7" s="205"/>
      <c r="W7" s="205"/>
      <c r="X7" s="205"/>
      <c r="Y7" s="219"/>
      <c r="Z7" s="214"/>
      <c r="AA7" s="215"/>
      <c r="AB7" s="216"/>
      <c r="AC7" s="217"/>
      <c r="AD7" s="267" t="s">
        <v>4</v>
      </c>
      <c r="AE7" s="268"/>
      <c r="AF7" s="268"/>
      <c r="AG7" s="5"/>
      <c r="AH7" s="164"/>
    </row>
    <row r="8" spans="1:34" ht="17.100000000000001" customHeight="1" x14ac:dyDescent="0.25">
      <c r="A8" s="201">
        <v>3</v>
      </c>
      <c r="B8" s="202"/>
      <c r="C8" s="203"/>
      <c r="D8" s="204"/>
      <c r="E8" s="363"/>
      <c r="F8" s="205"/>
      <c r="G8" s="206"/>
      <c r="H8" s="218"/>
      <c r="I8" s="177"/>
      <c r="J8" s="176"/>
      <c r="K8" s="207"/>
      <c r="L8" s="208"/>
      <c r="M8" s="208"/>
      <c r="N8" s="209">
        <v>9784560088685</v>
      </c>
      <c r="O8" s="210"/>
      <c r="P8" s="211"/>
      <c r="Q8" s="220"/>
      <c r="R8" s="205"/>
      <c r="S8" s="205"/>
      <c r="T8" s="205"/>
      <c r="U8" s="205"/>
      <c r="V8" s="205"/>
      <c r="W8" s="205"/>
      <c r="X8" s="205"/>
      <c r="Y8" s="213"/>
      <c r="Z8" s="214"/>
      <c r="AA8" s="215"/>
      <c r="AB8" s="216"/>
      <c r="AC8" s="217"/>
      <c r="AD8" s="267" t="s">
        <v>4</v>
      </c>
      <c r="AE8" s="268"/>
      <c r="AF8" s="268"/>
      <c r="AG8" s="5"/>
      <c r="AH8" s="164"/>
    </row>
    <row r="9" spans="1:34" ht="17.100000000000001" customHeight="1" x14ac:dyDescent="0.25">
      <c r="A9" s="201"/>
      <c r="B9" s="202"/>
      <c r="C9" s="203"/>
      <c r="D9" s="204"/>
      <c r="E9" s="363"/>
      <c r="F9" s="205"/>
      <c r="G9" s="206"/>
      <c r="H9" s="218"/>
      <c r="I9" s="177"/>
      <c r="J9" s="176"/>
      <c r="K9" s="207"/>
      <c r="L9" s="208"/>
      <c r="M9" s="208"/>
      <c r="N9" s="209">
        <v>9784575244649</v>
      </c>
      <c r="O9" s="210"/>
      <c r="P9" s="210"/>
      <c r="Q9" s="220"/>
      <c r="R9" s="205"/>
      <c r="S9" s="205"/>
      <c r="T9" s="205"/>
      <c r="U9" s="205"/>
      <c r="V9" s="205"/>
      <c r="X9" s="205"/>
      <c r="Y9" s="219"/>
      <c r="Z9" s="214"/>
      <c r="AA9" s="215"/>
      <c r="AB9" s="216"/>
      <c r="AC9" s="217"/>
      <c r="AD9" s="267" t="s">
        <v>4</v>
      </c>
      <c r="AE9" s="268"/>
      <c r="AF9" s="268"/>
      <c r="AG9" s="5"/>
      <c r="AH9" s="164"/>
    </row>
    <row r="10" spans="1:34" ht="17.100000000000001" customHeight="1" x14ac:dyDescent="0.25">
      <c r="A10" s="201"/>
      <c r="B10" s="202"/>
      <c r="C10" s="203"/>
      <c r="D10" s="204"/>
      <c r="E10" s="363"/>
      <c r="F10" s="205"/>
      <c r="G10" s="206"/>
      <c r="H10" s="269"/>
      <c r="I10" s="177"/>
      <c r="J10" s="176"/>
      <c r="K10" s="207"/>
      <c r="L10" s="208"/>
      <c r="M10" s="208"/>
      <c r="N10" s="270"/>
      <c r="O10" s="271">
        <v>4582747132</v>
      </c>
      <c r="P10" s="210"/>
      <c r="Q10" s="272"/>
      <c r="R10" s="273"/>
      <c r="S10" s="273"/>
      <c r="T10" s="273"/>
      <c r="U10" s="205"/>
      <c r="V10" s="205"/>
      <c r="X10" s="273"/>
      <c r="Y10" s="365"/>
      <c r="Z10" s="214"/>
      <c r="AA10" s="215"/>
      <c r="AB10" s="216"/>
      <c r="AC10" s="217"/>
      <c r="AD10" s="267" t="s">
        <v>4</v>
      </c>
      <c r="AE10" s="268"/>
      <c r="AF10" s="268"/>
      <c r="AG10" s="5"/>
      <c r="AH10" s="164"/>
    </row>
    <row r="11" spans="1:34" ht="17.100000000000001" customHeight="1" x14ac:dyDescent="0.25">
      <c r="A11" s="201"/>
      <c r="B11" s="202"/>
      <c r="C11" s="203"/>
      <c r="D11" s="204"/>
      <c r="E11" s="363"/>
      <c r="F11" s="205"/>
      <c r="G11" s="206"/>
      <c r="H11" s="218"/>
      <c r="I11" s="177"/>
      <c r="J11" s="176"/>
      <c r="K11" s="207"/>
      <c r="L11" s="208"/>
      <c r="M11" s="208"/>
      <c r="N11" s="209"/>
      <c r="O11" s="210">
        <v>4585325093</v>
      </c>
      <c r="P11" s="210"/>
      <c r="Q11" s="220"/>
      <c r="R11" s="205"/>
      <c r="S11" s="205"/>
      <c r="T11" s="205"/>
      <c r="U11" s="205"/>
      <c r="V11" s="205"/>
      <c r="W11" s="205"/>
      <c r="X11" s="205"/>
      <c r="Y11" s="219"/>
      <c r="Z11" s="214"/>
      <c r="AA11" s="215"/>
      <c r="AB11" s="216"/>
      <c r="AC11" s="217"/>
      <c r="AD11" s="267" t="s">
        <v>4</v>
      </c>
      <c r="AE11" s="268"/>
      <c r="AF11" s="268"/>
      <c r="AG11" s="5"/>
      <c r="AH11" s="164"/>
    </row>
    <row r="12" spans="1:34" ht="17.100000000000001" customHeight="1" x14ac:dyDescent="0.25">
      <c r="A12" s="201"/>
      <c r="B12" s="202"/>
      <c r="C12" s="203"/>
      <c r="D12" s="204"/>
      <c r="E12" s="363"/>
      <c r="F12" s="205"/>
      <c r="G12" s="206"/>
      <c r="H12" s="218"/>
      <c r="I12" s="177"/>
      <c r="J12" s="176"/>
      <c r="K12" s="207"/>
      <c r="L12" s="208"/>
      <c r="M12" s="208"/>
      <c r="N12" s="209"/>
      <c r="O12" s="210">
        <v>4585390049</v>
      </c>
      <c r="P12" s="210"/>
      <c r="Q12" s="220"/>
      <c r="R12" s="205"/>
      <c r="S12" s="205"/>
      <c r="T12" s="205"/>
      <c r="U12" s="205"/>
      <c r="V12" s="205"/>
      <c r="X12" s="205"/>
      <c r="Y12" s="219"/>
      <c r="Z12" s="214"/>
      <c r="AA12" s="215"/>
      <c r="AB12" s="216"/>
      <c r="AC12" s="217"/>
      <c r="AD12" s="267" t="s">
        <v>4</v>
      </c>
      <c r="AE12" s="268"/>
      <c r="AF12" s="268"/>
      <c r="AG12" s="5"/>
      <c r="AH12" s="164"/>
    </row>
    <row r="13" spans="1:34" ht="17.100000000000001" customHeight="1" x14ac:dyDescent="0.25">
      <c r="A13" s="201"/>
      <c r="B13" s="202"/>
      <c r="C13" s="203"/>
      <c r="D13" s="204"/>
      <c r="E13" s="363"/>
      <c r="F13" s="205"/>
      <c r="G13" s="206"/>
      <c r="H13" s="218"/>
      <c r="I13" s="177"/>
      <c r="J13" s="176"/>
      <c r="K13" s="207"/>
      <c r="L13" s="208"/>
      <c r="M13" s="208"/>
      <c r="N13" s="209"/>
      <c r="O13" s="210">
        <v>4620326941</v>
      </c>
      <c r="P13" s="210"/>
      <c r="Q13" s="220"/>
      <c r="R13" s="205"/>
      <c r="S13" s="205"/>
      <c r="T13" s="205"/>
      <c r="U13" s="205"/>
      <c r="V13" s="205"/>
      <c r="W13" s="205"/>
      <c r="X13" s="205"/>
      <c r="Y13" s="219"/>
      <c r="Z13" s="214"/>
      <c r="AA13" s="215"/>
      <c r="AB13" s="216"/>
      <c r="AC13" s="217"/>
      <c r="AD13" s="267" t="s">
        <v>4</v>
      </c>
      <c r="AE13" s="268"/>
      <c r="AF13" s="268"/>
      <c r="AG13" s="5"/>
      <c r="AH13" s="164"/>
    </row>
    <row r="14" spans="1:34" ht="17.100000000000001" customHeight="1" x14ac:dyDescent="0.25">
      <c r="A14" s="201"/>
      <c r="B14" s="202"/>
      <c r="C14" s="203"/>
      <c r="D14" s="204"/>
      <c r="E14" s="363"/>
      <c r="F14" s="205"/>
      <c r="G14" s="206"/>
      <c r="H14" s="218"/>
      <c r="I14" s="177"/>
      <c r="J14" s="176"/>
      <c r="K14" s="207"/>
      <c r="L14" s="208"/>
      <c r="M14" s="208"/>
      <c r="N14" s="209"/>
      <c r="O14" s="210"/>
      <c r="P14" s="210">
        <v>1280977021</v>
      </c>
      <c r="Q14" s="220"/>
      <c r="R14" s="205"/>
      <c r="S14" s="205"/>
      <c r="T14" s="205"/>
      <c r="U14" s="205"/>
      <c r="V14" s="205"/>
      <c r="W14" s="205"/>
      <c r="X14" s="205"/>
      <c r="Y14" s="219"/>
      <c r="Z14" s="214"/>
      <c r="AA14" s="215"/>
      <c r="AB14" s="216"/>
      <c r="AC14" s="217"/>
      <c r="AD14" s="267" t="s">
        <v>4</v>
      </c>
      <c r="AE14" s="268"/>
      <c r="AF14" s="268"/>
      <c r="AG14" s="5"/>
      <c r="AH14" s="164"/>
    </row>
    <row r="15" spans="1:34" ht="17.100000000000001" customHeight="1" x14ac:dyDescent="0.25">
      <c r="A15" s="201"/>
      <c r="B15" s="202"/>
      <c r="C15" s="203"/>
      <c r="D15" s="204"/>
      <c r="E15" s="363"/>
      <c r="F15" s="205"/>
      <c r="G15" s="206"/>
      <c r="H15" s="290"/>
      <c r="I15" s="177"/>
      <c r="J15" s="176"/>
      <c r="K15" s="207"/>
      <c r="L15" s="208"/>
      <c r="M15" s="208"/>
      <c r="N15" s="209"/>
      <c r="O15" s="210"/>
      <c r="P15" s="210">
        <v>1257754194</v>
      </c>
      <c r="Q15" s="220"/>
      <c r="R15" s="205"/>
      <c r="S15" s="205"/>
      <c r="T15" s="205"/>
      <c r="U15" s="205"/>
      <c r="V15" s="205"/>
      <c r="W15" s="205"/>
      <c r="X15" s="205"/>
      <c r="Y15" s="219"/>
      <c r="Z15" s="214"/>
      <c r="AA15" s="215"/>
      <c r="AB15" s="216"/>
      <c r="AC15" s="217"/>
      <c r="AD15" s="267" t="s">
        <v>4</v>
      </c>
      <c r="AE15" s="268"/>
      <c r="AF15" s="268"/>
      <c r="AG15" s="5"/>
      <c r="AH15" s="164"/>
    </row>
    <row r="16" spans="1:34" ht="17.100000000000001" customHeight="1" x14ac:dyDescent="0.25">
      <c r="A16" s="201"/>
      <c r="B16" s="202"/>
      <c r="C16" s="203"/>
      <c r="D16" s="204"/>
      <c r="E16" s="363"/>
      <c r="F16" s="205"/>
      <c r="G16" s="206"/>
      <c r="H16" s="290"/>
      <c r="I16" s="177"/>
      <c r="J16" s="176"/>
      <c r="K16" s="207"/>
      <c r="L16" s="208"/>
      <c r="M16" s="208"/>
      <c r="N16" s="209"/>
      <c r="O16" s="210"/>
      <c r="P16" s="211">
        <v>1267332686</v>
      </c>
      <c r="Q16" s="220"/>
      <c r="R16" s="205"/>
      <c r="S16" s="205"/>
      <c r="T16" s="205"/>
      <c r="U16" s="205"/>
      <c r="V16" s="205"/>
      <c r="W16" s="205"/>
      <c r="X16" s="205"/>
      <c r="Y16" s="213"/>
      <c r="Z16" s="214"/>
      <c r="AA16" s="215"/>
      <c r="AB16" s="216"/>
      <c r="AC16" s="217"/>
      <c r="AD16" s="267" t="s">
        <v>4</v>
      </c>
      <c r="AE16" s="268"/>
      <c r="AF16" s="268"/>
      <c r="AG16" s="5"/>
      <c r="AH16" s="164"/>
    </row>
    <row r="17" spans="1:34" ht="17.100000000000001" customHeight="1" x14ac:dyDescent="0.25">
      <c r="A17" s="201"/>
      <c r="B17" s="202"/>
      <c r="C17" s="203"/>
      <c r="D17" s="204"/>
      <c r="E17" s="363"/>
      <c r="F17" s="205"/>
      <c r="G17" s="206"/>
      <c r="H17" s="218"/>
      <c r="I17" s="177"/>
      <c r="J17" s="176"/>
      <c r="K17" s="207"/>
      <c r="L17" s="208"/>
      <c r="M17" s="208"/>
      <c r="N17" s="209"/>
      <c r="O17" s="210"/>
      <c r="P17" s="210">
        <v>1290156573</v>
      </c>
      <c r="Q17" s="220"/>
      <c r="R17" s="205"/>
      <c r="S17" s="205"/>
      <c r="T17" s="205"/>
      <c r="U17" s="205"/>
      <c r="V17" s="205"/>
      <c r="W17" s="205"/>
      <c r="X17" s="205"/>
      <c r="Y17" s="219"/>
      <c r="Z17" s="214"/>
      <c r="AA17" s="215"/>
      <c r="AB17" s="216"/>
      <c r="AC17" s="217"/>
      <c r="AD17" s="267" t="s">
        <v>4</v>
      </c>
      <c r="AE17" s="268"/>
      <c r="AF17" s="268"/>
      <c r="AG17" s="5"/>
      <c r="AH17" s="164"/>
    </row>
    <row r="18" spans="1:34" ht="17.100000000000001" customHeight="1" x14ac:dyDescent="0.25">
      <c r="A18" s="201"/>
      <c r="B18" s="202"/>
      <c r="C18" s="203"/>
      <c r="D18" s="204"/>
      <c r="E18" s="363"/>
      <c r="F18" s="205"/>
      <c r="G18" s="206"/>
      <c r="H18" s="218"/>
      <c r="I18" s="177"/>
      <c r="J18" s="176"/>
      <c r="K18" s="207"/>
      <c r="L18" s="208"/>
      <c r="M18" s="208"/>
      <c r="N18" s="209"/>
      <c r="O18" s="210"/>
      <c r="P18" s="210"/>
      <c r="Q18" s="395" t="s">
        <v>493</v>
      </c>
      <c r="R18" s="205"/>
      <c r="S18" s="205"/>
      <c r="T18" s="205"/>
      <c r="U18" s="205"/>
      <c r="V18" s="205"/>
      <c r="W18" s="205"/>
      <c r="X18" s="205"/>
      <c r="Y18" s="219"/>
      <c r="Z18" s="214"/>
      <c r="AA18" s="215"/>
      <c r="AB18" s="216"/>
      <c r="AC18" s="217"/>
      <c r="AD18" s="267" t="s">
        <v>4</v>
      </c>
      <c r="AE18" s="268"/>
      <c r="AF18" s="268"/>
      <c r="AG18" s="5"/>
      <c r="AH18" s="164"/>
    </row>
    <row r="19" spans="1:34" ht="17.100000000000001" customHeight="1" x14ac:dyDescent="0.25">
      <c r="A19" s="201"/>
      <c r="B19" s="202"/>
      <c r="C19" s="203"/>
      <c r="D19" s="204"/>
      <c r="E19" s="363"/>
      <c r="F19" s="205"/>
      <c r="G19" s="206"/>
      <c r="H19" s="218"/>
      <c r="I19" s="177"/>
      <c r="J19" s="176"/>
      <c r="K19" s="207"/>
      <c r="L19" s="208"/>
      <c r="M19" s="208"/>
      <c r="N19" s="209"/>
      <c r="O19" s="210"/>
      <c r="P19" s="210"/>
      <c r="Q19" s="395" t="s">
        <v>494</v>
      </c>
      <c r="R19" s="205"/>
      <c r="S19" s="205"/>
      <c r="T19" s="205"/>
      <c r="U19" s="205"/>
      <c r="V19" s="205"/>
      <c r="W19" s="205"/>
      <c r="X19" s="205"/>
      <c r="Y19" s="219"/>
      <c r="Z19" s="214"/>
      <c r="AA19" s="215"/>
      <c r="AB19" s="216"/>
      <c r="AC19" s="217"/>
      <c r="AD19" s="267" t="s">
        <v>4</v>
      </c>
      <c r="AE19" s="268"/>
      <c r="AF19" s="268"/>
      <c r="AG19" s="5"/>
      <c r="AH19" s="164"/>
    </row>
    <row r="20" spans="1:34" ht="17.100000000000001" customHeight="1" x14ac:dyDescent="0.25">
      <c r="A20" s="201"/>
      <c r="B20" s="202"/>
      <c r="C20" s="203"/>
      <c r="D20" s="204"/>
      <c r="E20" s="363"/>
      <c r="F20" s="205"/>
      <c r="G20" s="206"/>
      <c r="H20" s="218"/>
      <c r="I20" s="177"/>
      <c r="J20" s="176"/>
      <c r="K20" s="207"/>
      <c r="L20" s="208"/>
      <c r="M20" s="208"/>
      <c r="N20" s="209"/>
      <c r="O20" s="210"/>
      <c r="P20" s="210"/>
      <c r="Q20" s="395" t="s">
        <v>495</v>
      </c>
      <c r="R20" s="205"/>
      <c r="S20" s="205"/>
      <c r="T20" s="205"/>
      <c r="U20" s="205"/>
      <c r="V20" s="205"/>
      <c r="W20" s="205"/>
      <c r="X20" s="205"/>
      <c r="Y20" s="219"/>
      <c r="Z20" s="214"/>
      <c r="AA20" s="215"/>
      <c r="AB20" s="216"/>
      <c r="AC20" s="217"/>
      <c r="AD20" s="267" t="s">
        <v>4</v>
      </c>
      <c r="AE20" s="268"/>
      <c r="AF20" s="268"/>
      <c r="AG20" s="5"/>
      <c r="AH20" s="164"/>
    </row>
    <row r="21" spans="1:34" ht="17.100000000000001" customHeight="1" x14ac:dyDescent="0.25">
      <c r="A21" s="201"/>
      <c r="B21" s="202"/>
      <c r="C21" s="203"/>
      <c r="D21" s="204"/>
      <c r="E21" s="363"/>
      <c r="F21" s="205"/>
      <c r="G21" s="206"/>
      <c r="H21" s="218"/>
      <c r="I21" s="177"/>
      <c r="J21" s="176"/>
      <c r="K21" s="207"/>
      <c r="L21" s="208"/>
      <c r="M21" s="208"/>
      <c r="N21" s="209"/>
      <c r="O21" s="210"/>
      <c r="P21" s="211"/>
      <c r="Q21" s="395" t="s">
        <v>496</v>
      </c>
      <c r="R21" s="205"/>
      <c r="S21" s="205"/>
      <c r="T21" s="205"/>
      <c r="U21" s="205"/>
      <c r="V21" s="205"/>
      <c r="W21" s="205"/>
      <c r="X21" s="205"/>
      <c r="Y21" s="213"/>
      <c r="Z21" s="214"/>
      <c r="AA21" s="215"/>
      <c r="AB21" s="216"/>
      <c r="AC21" s="217"/>
      <c r="AD21" s="267" t="s">
        <v>4</v>
      </c>
      <c r="AE21" s="268"/>
      <c r="AF21" s="268"/>
      <c r="AG21" s="5"/>
      <c r="AH21" s="164"/>
    </row>
    <row r="22" spans="1:34" ht="17.100000000000001" customHeight="1" x14ac:dyDescent="0.25">
      <c r="A22" s="201"/>
      <c r="B22" s="202"/>
      <c r="C22" s="203"/>
      <c r="D22" s="204"/>
      <c r="E22" s="363"/>
      <c r="F22" s="205"/>
      <c r="G22" s="206"/>
      <c r="H22" s="218"/>
      <c r="I22" s="177"/>
      <c r="J22" s="176"/>
      <c r="K22" s="207"/>
      <c r="L22" s="208"/>
      <c r="M22" s="208"/>
      <c r="N22" s="209"/>
      <c r="O22" s="210"/>
      <c r="P22" s="211"/>
      <c r="Q22" s="220"/>
      <c r="R22" s="205" t="s">
        <v>497</v>
      </c>
      <c r="S22" s="205"/>
      <c r="T22" s="205"/>
      <c r="U22" s="205"/>
      <c r="V22" s="205"/>
      <c r="W22" s="205"/>
      <c r="X22" s="205"/>
      <c r="Y22" s="213"/>
      <c r="Z22" s="214"/>
      <c r="AA22" s="215"/>
      <c r="AB22" s="216"/>
      <c r="AC22" s="217"/>
      <c r="AD22" s="267" t="s">
        <v>4</v>
      </c>
      <c r="AE22" s="268"/>
      <c r="AF22" s="268"/>
      <c r="AG22" s="5"/>
      <c r="AH22" s="164"/>
    </row>
    <row r="23" spans="1:34" ht="17.100000000000001" customHeight="1" x14ac:dyDescent="0.25">
      <c r="A23" s="201"/>
      <c r="B23" s="202"/>
      <c r="C23" s="221"/>
      <c r="D23" s="222"/>
      <c r="E23" s="363"/>
      <c r="G23" s="206"/>
      <c r="H23" s="218"/>
      <c r="I23" s="177"/>
      <c r="J23" s="176"/>
      <c r="K23" s="207"/>
      <c r="L23" s="208"/>
      <c r="M23" s="208"/>
      <c r="N23" s="224"/>
      <c r="O23" s="225"/>
      <c r="P23" s="226"/>
      <c r="Q23" s="169"/>
      <c r="R23" s="227" t="s">
        <v>498</v>
      </c>
      <c r="Y23" s="95"/>
      <c r="Z23" s="228"/>
      <c r="AA23" s="215"/>
      <c r="AB23" s="229"/>
      <c r="AC23" s="230"/>
      <c r="AD23" s="267" t="s">
        <v>4</v>
      </c>
      <c r="AE23" s="268"/>
      <c r="AF23" s="274"/>
      <c r="AG23" s="5"/>
      <c r="AH23" s="164"/>
    </row>
    <row r="24" spans="1:34" ht="17.100000000000001" customHeight="1" x14ac:dyDescent="0.25">
      <c r="A24" s="201"/>
      <c r="B24" s="202"/>
      <c r="C24" s="221"/>
      <c r="D24" s="222"/>
      <c r="E24" s="363"/>
      <c r="G24" s="206"/>
      <c r="H24" s="218"/>
      <c r="I24" s="177"/>
      <c r="J24" s="176"/>
      <c r="K24" s="207"/>
      <c r="L24" s="208"/>
      <c r="M24" s="208"/>
      <c r="N24" s="224"/>
      <c r="O24" s="225"/>
      <c r="P24" s="226"/>
      <c r="Q24" s="169"/>
      <c r="R24" s="227" t="s">
        <v>499</v>
      </c>
      <c r="Y24" s="95"/>
      <c r="Z24" s="228"/>
      <c r="AA24" s="215"/>
      <c r="AB24" s="229"/>
      <c r="AC24" s="230"/>
      <c r="AD24" s="267" t="s">
        <v>4</v>
      </c>
      <c r="AE24" s="268"/>
      <c r="AF24" s="268"/>
      <c r="AG24" s="5"/>
      <c r="AH24" s="164"/>
    </row>
    <row r="25" spans="1:34" ht="17.100000000000001" customHeight="1" x14ac:dyDescent="0.25">
      <c r="A25" s="201"/>
      <c r="B25" s="202"/>
      <c r="C25" s="203"/>
      <c r="D25" s="204"/>
      <c r="E25" s="363"/>
      <c r="F25" s="205"/>
      <c r="G25" s="206"/>
      <c r="H25" s="218"/>
      <c r="I25" s="177"/>
      <c r="J25" s="176"/>
      <c r="K25" s="207"/>
      <c r="L25" s="208"/>
      <c r="M25" s="208"/>
      <c r="N25" s="209"/>
      <c r="O25" s="210"/>
      <c r="P25" s="210"/>
      <c r="Q25" s="220"/>
      <c r="R25" s="205" t="s">
        <v>500</v>
      </c>
      <c r="S25" s="205"/>
      <c r="T25" s="205"/>
      <c r="U25" s="205"/>
      <c r="V25" s="205"/>
      <c r="W25" s="205"/>
      <c r="X25" s="205"/>
      <c r="Y25" s="219"/>
      <c r="Z25" s="214"/>
      <c r="AA25" s="215"/>
      <c r="AB25" s="216"/>
      <c r="AC25" s="217"/>
      <c r="AD25" s="267" t="s">
        <v>4</v>
      </c>
      <c r="AE25" s="268"/>
      <c r="AF25" s="268"/>
      <c r="AG25" s="5"/>
      <c r="AH25" s="164"/>
    </row>
    <row r="26" spans="1:34" ht="17.100000000000001" customHeight="1" x14ac:dyDescent="0.25">
      <c r="A26" s="201"/>
      <c r="B26" s="202"/>
      <c r="C26" s="203"/>
      <c r="D26" s="204"/>
      <c r="E26" s="363"/>
      <c r="F26" s="205"/>
      <c r="G26" s="206"/>
      <c r="H26" s="218"/>
      <c r="I26" s="177"/>
      <c r="J26" s="176"/>
      <c r="K26" s="207"/>
      <c r="L26" s="208"/>
      <c r="M26" s="208"/>
      <c r="N26" s="209"/>
      <c r="O26" s="210"/>
      <c r="P26" s="210"/>
      <c r="Q26" s="220"/>
      <c r="R26" s="396" t="s">
        <v>501</v>
      </c>
      <c r="S26" s="205"/>
      <c r="T26" s="205"/>
      <c r="U26" s="205"/>
      <c r="V26" s="205"/>
      <c r="W26" s="205"/>
      <c r="X26" s="205"/>
      <c r="Y26" s="219"/>
      <c r="Z26" s="214"/>
      <c r="AA26" s="215"/>
      <c r="AB26" s="216"/>
      <c r="AC26" s="217"/>
      <c r="AD26" s="267" t="s">
        <v>4</v>
      </c>
      <c r="AE26" s="268"/>
      <c r="AF26" s="268"/>
      <c r="AG26" s="5"/>
      <c r="AH26" s="164"/>
    </row>
    <row r="27" spans="1:34" ht="17.100000000000001" customHeight="1" x14ac:dyDescent="0.25">
      <c r="A27" s="201"/>
      <c r="B27" s="202"/>
      <c r="C27" s="203"/>
      <c r="D27" s="204"/>
      <c r="E27" s="363"/>
      <c r="F27" s="205"/>
      <c r="G27" s="206"/>
      <c r="H27" s="218"/>
      <c r="I27" s="177"/>
      <c r="J27" s="176"/>
      <c r="K27" s="207"/>
      <c r="L27" s="208"/>
      <c r="M27" s="208"/>
      <c r="N27" s="209"/>
      <c r="O27" s="210"/>
      <c r="P27" s="210"/>
      <c r="Q27" s="220"/>
      <c r="R27" s="396" t="s">
        <v>502</v>
      </c>
      <c r="S27" s="205"/>
      <c r="T27" s="205"/>
      <c r="U27" s="205"/>
      <c r="V27" s="205"/>
      <c r="W27" s="205"/>
      <c r="X27" s="205"/>
      <c r="Y27" s="219"/>
      <c r="Z27" s="214"/>
      <c r="AA27" s="215"/>
      <c r="AB27" s="216"/>
      <c r="AC27" s="217"/>
      <c r="AD27" s="267" t="s">
        <v>4</v>
      </c>
      <c r="AE27" s="268"/>
      <c r="AF27" s="268"/>
      <c r="AG27" s="5"/>
      <c r="AH27" s="164"/>
    </row>
    <row r="28" spans="1:34" ht="17.100000000000001" customHeight="1" x14ac:dyDescent="0.25">
      <c r="A28" s="201"/>
      <c r="B28" s="202"/>
      <c r="C28" s="203"/>
      <c r="D28" s="204"/>
      <c r="E28" s="363"/>
      <c r="F28" s="205"/>
      <c r="G28" s="206"/>
      <c r="H28" s="218"/>
      <c r="I28" s="177"/>
      <c r="J28" s="176"/>
      <c r="K28" s="207"/>
      <c r="L28" s="208"/>
      <c r="M28" s="208"/>
      <c r="N28" s="209"/>
      <c r="O28" s="210"/>
      <c r="P28" s="210"/>
      <c r="Q28" s="220"/>
      <c r="R28" s="396" t="s">
        <v>503</v>
      </c>
      <c r="S28" s="205"/>
      <c r="T28" s="205"/>
      <c r="U28" s="205"/>
      <c r="V28" s="205"/>
      <c r="W28" s="205"/>
      <c r="X28" s="205"/>
      <c r="Y28" s="219"/>
      <c r="Z28" s="214"/>
      <c r="AA28" s="215"/>
      <c r="AB28" s="216"/>
      <c r="AC28" s="217"/>
      <c r="AD28" s="267" t="s">
        <v>4</v>
      </c>
      <c r="AE28" s="268"/>
      <c r="AF28" s="268"/>
      <c r="AG28" s="5"/>
      <c r="AH28" s="164"/>
    </row>
    <row r="29" spans="1:34" ht="17.100000000000001" customHeight="1" x14ac:dyDescent="0.25">
      <c r="A29" s="201"/>
      <c r="B29" s="202"/>
      <c r="C29" s="203"/>
      <c r="D29" s="204"/>
      <c r="E29" s="363"/>
      <c r="F29" s="205"/>
      <c r="G29" s="206"/>
      <c r="H29" s="218"/>
      <c r="I29" s="177"/>
      <c r="J29" s="176"/>
      <c r="K29" s="207"/>
      <c r="L29" s="208"/>
      <c r="M29" s="208"/>
      <c r="N29" s="209"/>
      <c r="O29" s="210"/>
      <c r="P29" s="211"/>
      <c r="Q29" s="220"/>
      <c r="R29" s="396" t="s">
        <v>504</v>
      </c>
      <c r="S29" s="205"/>
      <c r="T29" s="205"/>
      <c r="U29" s="205"/>
      <c r="V29" s="205"/>
      <c r="W29" s="205"/>
      <c r="X29" s="205"/>
      <c r="Y29" s="213"/>
      <c r="Z29" s="214"/>
      <c r="AA29" s="215"/>
      <c r="AB29" s="216"/>
      <c r="AC29" s="217"/>
      <c r="AD29" s="267" t="s">
        <v>4</v>
      </c>
      <c r="AE29" s="268"/>
      <c r="AF29" s="268"/>
      <c r="AG29" s="5"/>
      <c r="AH29" s="164"/>
    </row>
    <row r="30" spans="1:34" ht="17.100000000000001" customHeight="1" x14ac:dyDescent="0.25">
      <c r="A30" s="201"/>
      <c r="B30" s="202"/>
      <c r="C30" s="221"/>
      <c r="D30" s="222"/>
      <c r="E30" s="363"/>
      <c r="G30" s="206"/>
      <c r="H30" s="218"/>
      <c r="I30" s="177"/>
      <c r="J30" s="176"/>
      <c r="K30" s="207"/>
      <c r="L30" s="208"/>
      <c r="M30" s="208"/>
      <c r="N30" s="224"/>
      <c r="O30" s="225"/>
      <c r="P30" s="226"/>
      <c r="Q30" s="169"/>
      <c r="Y30" s="95"/>
      <c r="Z30" s="228"/>
      <c r="AA30" s="215"/>
      <c r="AB30" s="229"/>
      <c r="AC30" s="230"/>
      <c r="AD30" s="267" t="s">
        <v>4</v>
      </c>
      <c r="AE30" s="268"/>
      <c r="AF30" s="268"/>
      <c r="AG30" s="5"/>
      <c r="AH30" s="164"/>
    </row>
    <row r="31" spans="1:34" ht="17.100000000000001" customHeight="1" x14ac:dyDescent="0.25">
      <c r="A31" s="201"/>
      <c r="B31" s="202"/>
      <c r="C31" s="231"/>
      <c r="D31" s="222"/>
      <c r="E31" s="363"/>
      <c r="F31" s="232"/>
      <c r="G31" s="206"/>
      <c r="H31" s="218"/>
      <c r="I31" s="177"/>
      <c r="J31" s="176"/>
      <c r="K31" s="207"/>
      <c r="L31" s="208"/>
      <c r="M31" s="208"/>
      <c r="N31" s="224"/>
      <c r="O31" s="226"/>
      <c r="P31" s="226"/>
      <c r="Q31" s="169"/>
      <c r="R31" s="233"/>
      <c r="S31" s="233"/>
      <c r="T31" s="233"/>
      <c r="U31" s="233"/>
      <c r="V31" s="233"/>
      <c r="W31" s="233"/>
      <c r="X31" s="233"/>
      <c r="Y31" s="95"/>
      <c r="Z31" s="228"/>
      <c r="AA31" s="215"/>
      <c r="AB31" s="229"/>
      <c r="AC31" s="230"/>
      <c r="AD31" s="267" t="s">
        <v>4</v>
      </c>
      <c r="AE31" s="268"/>
      <c r="AF31" s="268"/>
      <c r="AG31" s="5"/>
      <c r="AH31" s="164"/>
    </row>
    <row r="32" spans="1:34" ht="17.100000000000001" customHeight="1" x14ac:dyDescent="0.25">
      <c r="A32" s="201"/>
      <c r="B32" s="202"/>
      <c r="C32" s="221"/>
      <c r="D32" s="222"/>
      <c r="E32" s="363"/>
      <c r="G32" s="206"/>
      <c r="H32" s="218"/>
      <c r="I32" s="177"/>
      <c r="J32" s="176"/>
      <c r="K32" s="207"/>
      <c r="L32" s="208"/>
      <c r="M32" s="208"/>
      <c r="N32" s="224"/>
      <c r="O32" s="225"/>
      <c r="P32" s="226"/>
      <c r="Q32" s="169"/>
      <c r="Y32" s="95"/>
      <c r="Z32" s="228"/>
      <c r="AA32" s="215"/>
      <c r="AB32" s="229"/>
      <c r="AC32" s="230"/>
      <c r="AD32" s="267" t="s">
        <v>4</v>
      </c>
      <c r="AE32" s="268"/>
      <c r="AF32" s="268"/>
      <c r="AG32" s="5"/>
      <c r="AH32" s="164"/>
    </row>
    <row r="33" spans="1:34" ht="17.100000000000001" customHeight="1" x14ac:dyDescent="0.25">
      <c r="A33" s="201"/>
      <c r="B33" s="202"/>
      <c r="C33" s="221"/>
      <c r="D33" s="222"/>
      <c r="E33" s="363"/>
      <c r="G33" s="206"/>
      <c r="H33" s="218"/>
      <c r="I33" s="177"/>
      <c r="J33" s="176"/>
      <c r="K33" s="207"/>
      <c r="L33" s="208"/>
      <c r="M33" s="208"/>
      <c r="N33" s="224"/>
      <c r="O33" s="225"/>
      <c r="P33" s="226"/>
      <c r="Q33" s="169"/>
      <c r="Y33" s="95"/>
      <c r="Z33" s="228"/>
      <c r="AA33" s="215"/>
      <c r="AB33" s="229"/>
      <c r="AC33" s="230"/>
      <c r="AD33" s="267" t="s">
        <v>4</v>
      </c>
      <c r="AE33" s="268"/>
      <c r="AF33" s="268"/>
      <c r="AG33" s="5"/>
      <c r="AH33" s="164"/>
    </row>
    <row r="34" spans="1:34" ht="17.100000000000001" customHeight="1" x14ac:dyDescent="0.25">
      <c r="A34" s="201"/>
      <c r="B34" s="202"/>
      <c r="C34" s="221"/>
      <c r="D34" s="222"/>
      <c r="E34" s="363"/>
      <c r="G34" s="206"/>
      <c r="H34" s="218"/>
      <c r="I34" s="177"/>
      <c r="J34" s="176"/>
      <c r="K34" s="207"/>
      <c r="L34" s="208"/>
      <c r="M34" s="208"/>
      <c r="N34" s="224"/>
      <c r="O34" s="225"/>
      <c r="P34" s="226"/>
      <c r="Q34" s="220"/>
      <c r="Y34" s="95"/>
      <c r="Z34" s="228"/>
      <c r="AA34" s="215"/>
      <c r="AB34" s="229"/>
      <c r="AC34" s="230"/>
      <c r="AD34" s="267" t="s">
        <v>4</v>
      </c>
      <c r="AE34" s="268"/>
      <c r="AF34" s="268"/>
      <c r="AG34" s="5"/>
      <c r="AH34" s="164"/>
    </row>
    <row r="35" spans="1:34" ht="17.100000000000001" customHeight="1" x14ac:dyDescent="0.25">
      <c r="A35" s="201"/>
      <c r="B35" s="202"/>
      <c r="C35" s="234"/>
      <c r="D35" s="204"/>
      <c r="E35" s="363"/>
      <c r="F35" s="205"/>
      <c r="G35" s="206"/>
      <c r="H35" s="218"/>
      <c r="I35" s="177"/>
      <c r="J35" s="176"/>
      <c r="K35" s="207"/>
      <c r="L35" s="208"/>
      <c r="M35" s="208"/>
      <c r="N35" s="209"/>
      <c r="O35" s="211"/>
      <c r="P35" s="211"/>
      <c r="Q35" s="220"/>
      <c r="R35" s="212"/>
      <c r="S35" s="212"/>
      <c r="T35" s="205"/>
      <c r="U35" s="205"/>
      <c r="V35" s="205"/>
      <c r="W35" s="205"/>
      <c r="X35" s="212"/>
      <c r="Y35" s="213"/>
      <c r="Z35" s="214"/>
      <c r="AA35" s="215"/>
      <c r="AB35" s="216"/>
      <c r="AC35" s="217"/>
      <c r="AD35" s="267" t="s">
        <v>4</v>
      </c>
      <c r="AE35" s="268"/>
      <c r="AF35" s="268"/>
      <c r="AG35" s="5"/>
      <c r="AH35" s="164"/>
    </row>
    <row r="36" spans="1:34" ht="17.100000000000001" customHeight="1" x14ac:dyDescent="0.25">
      <c r="A36" s="201"/>
      <c r="B36" s="202"/>
      <c r="C36" s="203"/>
      <c r="D36" s="204"/>
      <c r="E36" s="363"/>
      <c r="F36" s="205"/>
      <c r="G36" s="206"/>
      <c r="H36" s="218"/>
      <c r="I36" s="177"/>
      <c r="J36" s="176"/>
      <c r="K36" s="207"/>
      <c r="L36" s="208"/>
      <c r="M36" s="208"/>
      <c r="N36" s="209"/>
      <c r="O36" s="210"/>
      <c r="P36" s="211"/>
      <c r="Q36" s="220"/>
      <c r="R36" s="205"/>
      <c r="S36" s="205"/>
      <c r="T36" s="205"/>
      <c r="U36" s="205"/>
      <c r="V36" s="205"/>
      <c r="W36" s="205"/>
      <c r="X36" s="205"/>
      <c r="Y36" s="213"/>
      <c r="Z36" s="214"/>
      <c r="AA36" s="215"/>
      <c r="AB36" s="216"/>
      <c r="AC36" s="217"/>
      <c r="AD36" s="267" t="s">
        <v>4</v>
      </c>
      <c r="AE36" s="268"/>
      <c r="AF36" s="268"/>
      <c r="AG36" s="5"/>
      <c r="AH36" s="164"/>
    </row>
    <row r="37" spans="1:34" ht="17.100000000000001" customHeight="1" x14ac:dyDescent="0.25">
      <c r="A37" s="201"/>
      <c r="B37" s="202"/>
      <c r="C37" s="203"/>
      <c r="D37" s="204"/>
      <c r="E37" s="363"/>
      <c r="F37" s="205"/>
      <c r="G37" s="206"/>
      <c r="H37" s="218"/>
      <c r="I37" s="177"/>
      <c r="J37" s="176"/>
      <c r="K37" s="207"/>
      <c r="L37" s="208"/>
      <c r="M37" s="208"/>
      <c r="N37" s="209"/>
      <c r="O37" s="210"/>
      <c r="P37" s="210"/>
      <c r="Q37" s="220"/>
      <c r="R37" s="205"/>
      <c r="S37" s="205"/>
      <c r="T37" s="205"/>
      <c r="U37" s="205"/>
      <c r="V37" s="205"/>
      <c r="W37" s="205"/>
      <c r="X37" s="205"/>
      <c r="Y37" s="219"/>
      <c r="Z37" s="214"/>
      <c r="AA37" s="215"/>
      <c r="AB37" s="216"/>
      <c r="AC37" s="217"/>
      <c r="AD37" s="267" t="s">
        <v>4</v>
      </c>
      <c r="AE37" s="268"/>
      <c r="AF37" s="268"/>
      <c r="AG37" s="5"/>
      <c r="AH37" s="164"/>
    </row>
    <row r="38" spans="1:34" ht="17.100000000000001" customHeight="1" x14ac:dyDescent="0.25">
      <c r="A38" s="201"/>
      <c r="B38" s="202"/>
      <c r="C38" s="203"/>
      <c r="D38" s="204"/>
      <c r="E38" s="363"/>
      <c r="F38" s="205"/>
      <c r="G38" s="206"/>
      <c r="H38" s="218"/>
      <c r="I38" s="177"/>
      <c r="J38" s="176"/>
      <c r="K38" s="207"/>
      <c r="L38" s="208"/>
      <c r="M38" s="208"/>
      <c r="N38" s="209"/>
      <c r="O38" s="210"/>
      <c r="P38" s="210"/>
      <c r="Q38" s="220"/>
      <c r="R38" s="205"/>
      <c r="S38" s="205"/>
      <c r="T38" s="205"/>
      <c r="U38" s="205"/>
      <c r="V38" s="205"/>
      <c r="W38" s="205"/>
      <c r="X38" s="205"/>
      <c r="Y38" s="219"/>
      <c r="Z38" s="214"/>
      <c r="AA38" s="215"/>
      <c r="AB38" s="216"/>
      <c r="AC38" s="217"/>
      <c r="AD38" s="267" t="s">
        <v>4</v>
      </c>
      <c r="AE38" s="268"/>
      <c r="AF38" s="268"/>
      <c r="AG38" s="5"/>
      <c r="AH38" s="164"/>
    </row>
    <row r="39" spans="1:34" ht="17.100000000000001" customHeight="1" x14ac:dyDescent="0.25">
      <c r="A39" s="201"/>
      <c r="B39" s="202"/>
      <c r="C39" s="221"/>
      <c r="D39" s="222"/>
      <c r="E39" s="363"/>
      <c r="G39" s="206"/>
      <c r="H39" s="218"/>
      <c r="I39" s="177"/>
      <c r="J39" s="176"/>
      <c r="K39" s="207"/>
      <c r="L39" s="208"/>
      <c r="M39" s="208"/>
      <c r="N39" s="224"/>
      <c r="O39" s="225"/>
      <c r="P39" s="226"/>
      <c r="Q39" s="169"/>
      <c r="Y39" s="95"/>
      <c r="Z39" s="228"/>
      <c r="AA39" s="215"/>
      <c r="AB39" s="229"/>
      <c r="AC39" s="230"/>
      <c r="AD39" s="267" t="s">
        <v>4</v>
      </c>
      <c r="AE39" s="268"/>
      <c r="AF39" s="268"/>
      <c r="AG39" s="5"/>
      <c r="AH39" s="164"/>
    </row>
    <row r="40" spans="1:34" ht="17.100000000000001" customHeight="1" x14ac:dyDescent="0.25">
      <c r="A40" s="201"/>
      <c r="B40" s="202"/>
      <c r="C40" s="221"/>
      <c r="D40" s="222"/>
      <c r="E40" s="363"/>
      <c r="G40" s="206"/>
      <c r="H40" s="218"/>
      <c r="I40" s="177"/>
      <c r="J40" s="176"/>
      <c r="K40" s="207"/>
      <c r="L40" s="208"/>
      <c r="M40" s="208"/>
      <c r="N40" s="224"/>
      <c r="O40" s="225"/>
      <c r="P40" s="226"/>
      <c r="Q40" s="169"/>
      <c r="Y40" s="95"/>
      <c r="Z40" s="228"/>
      <c r="AA40" s="215"/>
      <c r="AB40" s="229"/>
      <c r="AC40" s="230"/>
      <c r="AD40" s="267" t="s">
        <v>4</v>
      </c>
      <c r="AE40" s="268"/>
      <c r="AF40" s="268"/>
      <c r="AG40" s="5"/>
      <c r="AH40" s="164"/>
    </row>
    <row r="41" spans="1:34" ht="17.100000000000001" customHeight="1" x14ac:dyDescent="0.25">
      <c r="A41" s="201"/>
      <c r="B41" s="202"/>
      <c r="C41" s="221"/>
      <c r="D41" s="222"/>
      <c r="E41" s="363"/>
      <c r="G41" s="206"/>
      <c r="H41" s="218"/>
      <c r="I41" s="177"/>
      <c r="J41" s="176"/>
      <c r="K41" s="207"/>
      <c r="L41" s="208"/>
      <c r="M41" s="208"/>
      <c r="N41" s="224"/>
      <c r="O41" s="225"/>
      <c r="P41" s="226"/>
      <c r="Q41" s="169"/>
      <c r="Y41" s="95"/>
      <c r="Z41" s="228"/>
      <c r="AA41" s="215"/>
      <c r="AB41" s="229"/>
      <c r="AC41" s="230"/>
      <c r="AD41" s="267" t="s">
        <v>4</v>
      </c>
      <c r="AE41" s="268"/>
      <c r="AF41" s="268"/>
      <c r="AG41" s="5"/>
      <c r="AH41" s="164"/>
    </row>
    <row r="42" spans="1:34" ht="17.100000000000001" customHeight="1" x14ac:dyDescent="0.25">
      <c r="A42" s="201"/>
      <c r="B42" s="202"/>
      <c r="C42" s="221"/>
      <c r="D42" s="222"/>
      <c r="E42" s="363"/>
      <c r="G42" s="206"/>
      <c r="H42" s="218"/>
      <c r="I42" s="177"/>
      <c r="J42" s="176"/>
      <c r="K42" s="207"/>
      <c r="L42" s="208"/>
      <c r="M42" s="208"/>
      <c r="N42" s="224"/>
      <c r="O42" s="225"/>
      <c r="P42" s="226"/>
      <c r="Q42" s="169"/>
      <c r="Y42" s="95"/>
      <c r="Z42" s="228"/>
      <c r="AA42" s="215"/>
      <c r="AB42" s="229"/>
      <c r="AC42" s="230"/>
      <c r="AD42" s="267" t="s">
        <v>4</v>
      </c>
      <c r="AE42" s="268"/>
      <c r="AF42" s="268"/>
      <c r="AG42" s="5"/>
      <c r="AH42" s="164"/>
    </row>
    <row r="43" spans="1:34" ht="17.100000000000001" customHeight="1" x14ac:dyDescent="0.25">
      <c r="A43" s="201"/>
      <c r="B43" s="202"/>
      <c r="C43" s="221"/>
      <c r="D43" s="222"/>
      <c r="E43" s="363"/>
      <c r="G43" s="206"/>
      <c r="H43" s="218"/>
      <c r="I43" s="177"/>
      <c r="J43" s="176"/>
      <c r="K43" s="207"/>
      <c r="L43" s="208"/>
      <c r="M43" s="208"/>
      <c r="N43" s="224"/>
      <c r="O43" s="225"/>
      <c r="P43" s="226"/>
      <c r="Q43" s="169"/>
      <c r="Y43" s="95"/>
      <c r="Z43" s="228"/>
      <c r="AA43" s="215"/>
      <c r="AB43" s="229"/>
      <c r="AC43" s="230"/>
      <c r="AD43" s="267" t="s">
        <v>4</v>
      </c>
      <c r="AE43" s="268"/>
      <c r="AF43" s="268"/>
      <c r="AG43" s="5"/>
      <c r="AH43" s="164"/>
    </row>
    <row r="44" spans="1:34" ht="17.100000000000001" customHeight="1" x14ac:dyDescent="0.25">
      <c r="A44" s="201"/>
      <c r="B44" s="202"/>
      <c r="C44" s="221"/>
      <c r="D44" s="222"/>
      <c r="E44" s="363"/>
      <c r="G44" s="206"/>
      <c r="H44" s="218"/>
      <c r="I44" s="177"/>
      <c r="J44" s="176"/>
      <c r="K44" s="207"/>
      <c r="L44" s="208"/>
      <c r="M44" s="208"/>
      <c r="N44" s="224"/>
      <c r="O44" s="225"/>
      <c r="P44" s="226"/>
      <c r="Q44" s="169"/>
      <c r="Y44" s="95"/>
      <c r="Z44" s="228"/>
      <c r="AA44" s="215"/>
      <c r="AB44" s="229"/>
      <c r="AC44" s="230"/>
      <c r="AD44" s="267" t="s">
        <v>4</v>
      </c>
      <c r="AE44" s="268"/>
      <c r="AF44" s="268"/>
      <c r="AG44" s="5"/>
      <c r="AH44" s="164"/>
    </row>
    <row r="45" spans="1:34" ht="17.100000000000001" customHeight="1" x14ac:dyDescent="0.25">
      <c r="A45" s="201"/>
      <c r="B45" s="202"/>
      <c r="C45" s="221"/>
      <c r="D45" s="222"/>
      <c r="E45" s="363"/>
      <c r="G45" s="206"/>
      <c r="H45" s="218"/>
      <c r="I45" s="177"/>
      <c r="J45" s="176"/>
      <c r="K45" s="207"/>
      <c r="L45" s="208"/>
      <c r="M45" s="208"/>
      <c r="N45" s="224"/>
      <c r="O45" s="225"/>
      <c r="P45" s="226"/>
      <c r="Q45" s="169"/>
      <c r="Y45" s="95"/>
      <c r="Z45" s="228"/>
      <c r="AA45" s="215"/>
      <c r="AB45" s="229"/>
      <c r="AC45" s="230"/>
      <c r="AD45" s="267" t="s">
        <v>4</v>
      </c>
      <c r="AE45" s="268"/>
      <c r="AF45" s="268"/>
      <c r="AG45" s="5"/>
      <c r="AH45" s="164"/>
    </row>
    <row r="46" spans="1:34" ht="17.100000000000001" customHeight="1" x14ac:dyDescent="0.25">
      <c r="A46" s="201"/>
      <c r="B46" s="202"/>
      <c r="C46" s="221"/>
      <c r="D46" s="222"/>
      <c r="E46" s="363"/>
      <c r="G46" s="206"/>
      <c r="H46" s="218"/>
      <c r="I46" s="177"/>
      <c r="J46" s="176"/>
      <c r="K46" s="207"/>
      <c r="L46" s="208"/>
      <c r="M46" s="208"/>
      <c r="N46" s="224"/>
      <c r="O46" s="225"/>
      <c r="P46" s="226"/>
      <c r="Q46" s="169"/>
      <c r="Y46" s="95"/>
      <c r="Z46" s="228"/>
      <c r="AA46" s="215"/>
      <c r="AB46" s="229"/>
      <c r="AC46" s="230"/>
      <c r="AD46" s="267" t="s">
        <v>4</v>
      </c>
      <c r="AE46" s="268"/>
      <c r="AF46" s="268"/>
      <c r="AG46" s="5"/>
      <c r="AH46" s="164"/>
    </row>
    <row r="47" spans="1:34" ht="17.100000000000001" customHeight="1" x14ac:dyDescent="0.25">
      <c r="A47" s="201"/>
      <c r="B47" s="202"/>
      <c r="C47" s="221"/>
      <c r="D47" s="222"/>
      <c r="E47" s="363"/>
      <c r="G47" s="206"/>
      <c r="H47" s="218"/>
      <c r="I47" s="177"/>
      <c r="J47" s="176"/>
      <c r="K47" s="207"/>
      <c r="L47" s="208"/>
      <c r="M47" s="208"/>
      <c r="N47" s="224"/>
      <c r="O47" s="225"/>
      <c r="P47" s="226"/>
      <c r="Q47" s="169"/>
      <c r="Y47" s="95"/>
      <c r="Z47" s="228"/>
      <c r="AA47" s="215"/>
      <c r="AB47" s="229"/>
      <c r="AC47" s="230"/>
      <c r="AD47" s="267" t="s">
        <v>4</v>
      </c>
      <c r="AE47" s="268"/>
      <c r="AF47" s="268"/>
      <c r="AG47" s="5"/>
      <c r="AH47" s="164"/>
    </row>
    <row r="48" spans="1:34" ht="17.100000000000001" customHeight="1" x14ac:dyDescent="0.25">
      <c r="A48" s="201"/>
      <c r="B48" s="202"/>
      <c r="C48" s="221"/>
      <c r="D48" s="222"/>
      <c r="E48" s="363"/>
      <c r="G48" s="206"/>
      <c r="H48" s="218"/>
      <c r="I48" s="177"/>
      <c r="J48" s="176"/>
      <c r="K48" s="207"/>
      <c r="L48" s="208"/>
      <c r="M48" s="208"/>
      <c r="N48" s="224"/>
      <c r="O48" s="225"/>
      <c r="P48" s="226"/>
      <c r="Q48" s="169"/>
      <c r="Y48" s="95"/>
      <c r="Z48" s="228"/>
      <c r="AA48" s="215"/>
      <c r="AB48" s="229"/>
      <c r="AC48" s="230"/>
      <c r="AD48" s="267" t="s">
        <v>4</v>
      </c>
      <c r="AE48" s="268"/>
      <c r="AF48" s="268"/>
      <c r="AG48" s="5"/>
      <c r="AH48" s="164"/>
    </row>
    <row r="49" spans="1:34" ht="17.100000000000001" customHeight="1" x14ac:dyDescent="0.25">
      <c r="A49" s="201"/>
      <c r="B49" s="202"/>
      <c r="C49" s="221"/>
      <c r="D49" s="222"/>
      <c r="E49" s="363"/>
      <c r="G49" s="206"/>
      <c r="H49" s="218"/>
      <c r="I49" s="177"/>
      <c r="J49" s="176"/>
      <c r="K49" s="207"/>
      <c r="L49" s="208"/>
      <c r="M49" s="208"/>
      <c r="N49" s="224"/>
      <c r="O49" s="225"/>
      <c r="P49" s="226"/>
      <c r="Q49" s="169"/>
      <c r="Y49" s="95"/>
      <c r="Z49" s="228"/>
      <c r="AA49" s="215"/>
      <c r="AB49" s="229"/>
      <c r="AC49" s="230"/>
      <c r="AD49" s="267" t="s">
        <v>4</v>
      </c>
      <c r="AE49" s="268"/>
      <c r="AF49" s="268"/>
      <c r="AG49" s="5"/>
      <c r="AH49" s="164"/>
    </row>
    <row r="50" spans="1:34" ht="17.100000000000001" customHeight="1" x14ac:dyDescent="0.25">
      <c r="A50" s="201"/>
      <c r="B50" s="202"/>
      <c r="C50" s="221"/>
      <c r="D50" s="222"/>
      <c r="E50" s="363"/>
      <c r="G50" s="206"/>
      <c r="H50" s="218"/>
      <c r="I50" s="177"/>
      <c r="J50" s="176"/>
      <c r="K50" s="207"/>
      <c r="L50" s="208"/>
      <c r="M50" s="208"/>
      <c r="N50" s="224"/>
      <c r="O50" s="225"/>
      <c r="P50" s="226"/>
      <c r="Q50" s="169"/>
      <c r="R50" s="233"/>
      <c r="Y50" s="95"/>
      <c r="Z50" s="228"/>
      <c r="AA50" s="215"/>
      <c r="AB50" s="229"/>
      <c r="AC50" s="230"/>
      <c r="AD50" s="267" t="s">
        <v>4</v>
      </c>
      <c r="AE50" s="268"/>
      <c r="AF50" s="268"/>
      <c r="AG50" s="5"/>
      <c r="AH50" s="164"/>
    </row>
    <row r="51" spans="1:34" ht="17.100000000000001" customHeight="1" x14ac:dyDescent="0.25">
      <c r="A51" s="201"/>
      <c r="B51" s="202"/>
      <c r="C51" s="221"/>
      <c r="D51" s="222"/>
      <c r="E51" s="363"/>
      <c r="G51" s="206"/>
      <c r="H51" s="218"/>
      <c r="I51" s="177"/>
      <c r="J51" s="176"/>
      <c r="K51" s="207"/>
      <c r="L51" s="208"/>
      <c r="M51" s="208"/>
      <c r="N51" s="224"/>
      <c r="O51" s="225"/>
      <c r="P51" s="226"/>
      <c r="Q51" s="169"/>
      <c r="R51" s="233"/>
      <c r="Y51" s="95"/>
      <c r="Z51" s="228"/>
      <c r="AA51" s="215"/>
      <c r="AB51" s="229"/>
      <c r="AC51" s="230"/>
      <c r="AD51" s="267" t="s">
        <v>4</v>
      </c>
      <c r="AE51" s="268"/>
      <c r="AF51" s="268"/>
      <c r="AG51" s="5"/>
      <c r="AH51" s="164"/>
    </row>
    <row r="52" spans="1:34" ht="17.100000000000001" customHeight="1" x14ac:dyDescent="0.25">
      <c r="A52" s="201"/>
      <c r="B52" s="202"/>
      <c r="C52" s="221"/>
      <c r="D52" s="222"/>
      <c r="E52" s="363"/>
      <c r="G52" s="206"/>
      <c r="H52" s="218"/>
      <c r="I52" s="177"/>
      <c r="J52" s="176"/>
      <c r="K52" s="207"/>
      <c r="L52" s="208"/>
      <c r="M52" s="208"/>
      <c r="N52" s="224"/>
      <c r="O52" s="225"/>
      <c r="P52" s="226"/>
      <c r="Q52" s="169"/>
      <c r="Y52" s="95"/>
      <c r="Z52" s="228"/>
      <c r="AA52" s="215"/>
      <c r="AB52" s="229"/>
      <c r="AC52" s="230"/>
      <c r="AD52" s="267" t="s">
        <v>4</v>
      </c>
      <c r="AE52" s="268"/>
      <c r="AF52" s="268"/>
      <c r="AG52" s="5"/>
      <c r="AH52" s="164"/>
    </row>
    <row r="53" spans="1:34" ht="17.100000000000001" customHeight="1" x14ac:dyDescent="0.25">
      <c r="A53" s="201"/>
      <c r="B53" s="202"/>
      <c r="C53" s="221"/>
      <c r="D53" s="222"/>
      <c r="E53" s="363"/>
      <c r="G53" s="206"/>
      <c r="H53" s="218"/>
      <c r="I53" s="177"/>
      <c r="J53" s="176"/>
      <c r="K53" s="207"/>
      <c r="L53" s="208"/>
      <c r="M53" s="208"/>
      <c r="N53" s="224"/>
      <c r="O53" s="225"/>
      <c r="P53" s="226"/>
      <c r="Q53" s="220"/>
      <c r="R53" s="233"/>
      <c r="Y53" s="95"/>
      <c r="Z53" s="228"/>
      <c r="AA53" s="215"/>
      <c r="AB53" s="229"/>
      <c r="AC53" s="230"/>
      <c r="AD53" s="267" t="s">
        <v>4</v>
      </c>
      <c r="AE53" s="268"/>
      <c r="AF53" s="268"/>
      <c r="AG53" s="5"/>
      <c r="AH53" s="164"/>
    </row>
    <row r="54" spans="1:34" ht="17.100000000000001" customHeight="1" x14ac:dyDescent="0.25">
      <c r="A54" s="201"/>
      <c r="B54" s="202"/>
      <c r="C54" s="221"/>
      <c r="D54" s="222"/>
      <c r="E54" s="363"/>
      <c r="G54" s="206"/>
      <c r="H54" s="218"/>
      <c r="I54" s="177"/>
      <c r="J54" s="176"/>
      <c r="K54" s="207"/>
      <c r="L54" s="208"/>
      <c r="M54" s="208"/>
      <c r="N54" s="224"/>
      <c r="O54" s="225"/>
      <c r="P54" s="226"/>
      <c r="Q54" s="169"/>
      <c r="Y54" s="95"/>
      <c r="Z54" s="228"/>
      <c r="AA54" s="215"/>
      <c r="AB54" s="229"/>
      <c r="AC54" s="230"/>
      <c r="AD54" s="267" t="s">
        <v>4</v>
      </c>
      <c r="AE54" s="268"/>
      <c r="AF54" s="268"/>
      <c r="AG54" s="5"/>
      <c r="AH54" s="164"/>
    </row>
    <row r="55" spans="1:34" ht="17.100000000000001" customHeight="1" x14ac:dyDescent="0.25">
      <c r="A55" s="201"/>
      <c r="B55" s="202"/>
      <c r="C55" s="221"/>
      <c r="D55" s="222"/>
      <c r="E55" s="363"/>
      <c r="G55" s="206"/>
      <c r="H55" s="218"/>
      <c r="I55" s="177"/>
      <c r="J55" s="176"/>
      <c r="K55" s="207"/>
      <c r="L55" s="208"/>
      <c r="M55" s="208"/>
      <c r="N55" s="224"/>
      <c r="O55" s="225"/>
      <c r="P55" s="226"/>
      <c r="Q55" s="169"/>
      <c r="Y55" s="95"/>
      <c r="Z55" s="228"/>
      <c r="AA55" s="215"/>
      <c r="AB55" s="229"/>
      <c r="AC55" s="230"/>
      <c r="AD55" s="267" t="s">
        <v>4</v>
      </c>
      <c r="AE55" s="268"/>
      <c r="AF55" s="268"/>
      <c r="AG55" s="5"/>
      <c r="AH55" s="164"/>
    </row>
    <row r="56" spans="1:34" ht="17.100000000000001" customHeight="1" x14ac:dyDescent="0.25">
      <c r="A56" s="201"/>
      <c r="B56" s="202"/>
      <c r="C56" s="203"/>
      <c r="D56" s="204"/>
      <c r="E56" s="363"/>
      <c r="F56" s="205"/>
      <c r="G56" s="206"/>
      <c r="H56" s="218"/>
      <c r="I56" s="177"/>
      <c r="J56" s="176"/>
      <c r="K56" s="207"/>
      <c r="L56" s="208"/>
      <c r="M56" s="208"/>
      <c r="N56" s="209"/>
      <c r="O56" s="210"/>
      <c r="P56" s="211"/>
      <c r="Q56" s="220"/>
      <c r="R56" s="205"/>
      <c r="S56" s="205"/>
      <c r="T56" s="205"/>
      <c r="U56" s="205"/>
      <c r="V56" s="205"/>
      <c r="W56" s="205"/>
      <c r="X56" s="205"/>
      <c r="Y56" s="213"/>
      <c r="Z56" s="214"/>
      <c r="AA56" s="215"/>
      <c r="AB56" s="216"/>
      <c r="AC56" s="217"/>
      <c r="AD56" s="267" t="s">
        <v>4</v>
      </c>
      <c r="AE56" s="268"/>
      <c r="AF56" s="268"/>
      <c r="AG56" s="5"/>
      <c r="AH56" s="164"/>
    </row>
    <row r="57" spans="1:34" ht="17.100000000000001" customHeight="1" x14ac:dyDescent="0.25">
      <c r="A57" s="201"/>
      <c r="B57" s="202"/>
      <c r="C57" s="221"/>
      <c r="D57" s="222"/>
      <c r="E57" s="363"/>
      <c r="G57" s="206"/>
      <c r="H57" s="218"/>
      <c r="I57" s="177"/>
      <c r="J57" s="176"/>
      <c r="K57" s="207"/>
      <c r="L57" s="208"/>
      <c r="M57" s="208"/>
      <c r="N57" s="224"/>
      <c r="O57" s="225"/>
      <c r="P57" s="226"/>
      <c r="Q57" s="169"/>
      <c r="Y57" s="95"/>
      <c r="Z57" s="228"/>
      <c r="AA57" s="215"/>
      <c r="AB57" s="229"/>
      <c r="AC57" s="230"/>
      <c r="AD57" s="267" t="s">
        <v>4</v>
      </c>
      <c r="AE57" s="268"/>
      <c r="AF57" s="268"/>
      <c r="AG57" s="5"/>
      <c r="AH57" s="164"/>
    </row>
    <row r="58" spans="1:34" ht="17.100000000000001" customHeight="1" x14ac:dyDescent="0.25">
      <c r="A58" s="201"/>
      <c r="B58" s="202"/>
      <c r="C58" s="221"/>
      <c r="D58" s="222"/>
      <c r="E58" s="363"/>
      <c r="G58" s="206"/>
      <c r="H58" s="218"/>
      <c r="I58" s="177"/>
      <c r="J58" s="176"/>
      <c r="K58" s="207"/>
      <c r="L58" s="208"/>
      <c r="M58" s="208"/>
      <c r="N58" s="224"/>
      <c r="O58" s="225"/>
      <c r="P58" s="226"/>
      <c r="Q58" s="169"/>
      <c r="Y58" s="95"/>
      <c r="Z58" s="228"/>
      <c r="AA58" s="215"/>
      <c r="AB58" s="229"/>
      <c r="AC58" s="230"/>
      <c r="AD58" s="267" t="s">
        <v>4</v>
      </c>
      <c r="AE58" s="268"/>
      <c r="AF58" s="268"/>
      <c r="AG58" s="5"/>
      <c r="AH58" s="164"/>
    </row>
    <row r="59" spans="1:34" ht="17.100000000000001" customHeight="1" x14ac:dyDescent="0.25">
      <c r="A59" s="201"/>
      <c r="B59" s="202"/>
      <c r="C59" s="221"/>
      <c r="D59" s="222"/>
      <c r="E59" s="363"/>
      <c r="G59" s="206"/>
      <c r="H59" s="218"/>
      <c r="I59" s="177"/>
      <c r="J59" s="176"/>
      <c r="K59" s="207"/>
      <c r="L59" s="208"/>
      <c r="M59" s="208"/>
      <c r="N59" s="224"/>
      <c r="O59" s="225"/>
      <c r="P59" s="226"/>
      <c r="Q59" s="169"/>
      <c r="Y59" s="95"/>
      <c r="Z59" s="228"/>
      <c r="AA59" s="215"/>
      <c r="AB59" s="229"/>
      <c r="AC59" s="230"/>
      <c r="AD59" s="267" t="s">
        <v>4</v>
      </c>
      <c r="AE59" s="268"/>
      <c r="AF59" s="268"/>
      <c r="AG59" s="5"/>
      <c r="AH59" s="164"/>
    </row>
    <row r="60" spans="1:34" ht="17.100000000000001" customHeight="1" x14ac:dyDescent="0.25">
      <c r="A60" s="201"/>
      <c r="B60" s="202"/>
      <c r="C60" s="221"/>
      <c r="D60" s="222"/>
      <c r="E60" s="363"/>
      <c r="G60" s="206"/>
      <c r="H60" s="218"/>
      <c r="I60" s="177"/>
      <c r="J60" s="176"/>
      <c r="K60" s="207"/>
      <c r="L60" s="208"/>
      <c r="M60" s="208"/>
      <c r="N60" s="224"/>
      <c r="O60" s="225"/>
      <c r="P60" s="226"/>
      <c r="Q60" s="169"/>
      <c r="Y60" s="95"/>
      <c r="Z60" s="228"/>
      <c r="AA60" s="215"/>
      <c r="AB60" s="229"/>
      <c r="AC60" s="230"/>
      <c r="AD60" s="267" t="s">
        <v>4</v>
      </c>
      <c r="AE60" s="268"/>
      <c r="AF60" s="268"/>
      <c r="AG60" s="5"/>
      <c r="AH60" s="164"/>
    </row>
    <row r="61" spans="1:34" ht="17.100000000000001" customHeight="1" x14ac:dyDescent="0.25">
      <c r="A61" s="201"/>
      <c r="B61" s="202"/>
      <c r="C61" s="221"/>
      <c r="D61" s="222"/>
      <c r="E61" s="363"/>
      <c r="G61" s="206"/>
      <c r="H61" s="218"/>
      <c r="I61" s="177"/>
      <c r="J61" s="176"/>
      <c r="K61" s="207"/>
      <c r="L61" s="208"/>
      <c r="M61" s="208"/>
      <c r="N61" s="224"/>
      <c r="O61" s="225"/>
      <c r="P61" s="226"/>
      <c r="Q61" s="169"/>
      <c r="R61" s="233"/>
      <c r="Y61" s="95"/>
      <c r="Z61" s="228"/>
      <c r="AA61" s="215"/>
      <c r="AB61" s="229"/>
      <c r="AC61" s="230"/>
      <c r="AD61" s="267" t="s">
        <v>4</v>
      </c>
      <c r="AE61" s="268"/>
      <c r="AF61" s="268"/>
      <c r="AG61" s="5"/>
      <c r="AH61" s="164"/>
    </row>
    <row r="62" spans="1:34" ht="17.100000000000001" customHeight="1" x14ac:dyDescent="0.25">
      <c r="A62" s="201"/>
      <c r="B62" s="202"/>
      <c r="C62" s="221"/>
      <c r="D62" s="222"/>
      <c r="E62" s="363"/>
      <c r="G62" s="206"/>
      <c r="H62" s="218"/>
      <c r="I62" s="177"/>
      <c r="J62" s="176"/>
      <c r="K62" s="207"/>
      <c r="L62" s="208"/>
      <c r="M62" s="208"/>
      <c r="N62" s="224"/>
      <c r="O62" s="225"/>
      <c r="P62" s="226"/>
      <c r="Q62" s="169"/>
      <c r="Y62" s="95"/>
      <c r="Z62" s="228"/>
      <c r="AA62" s="215"/>
      <c r="AB62" s="229"/>
      <c r="AC62" s="230"/>
      <c r="AD62" s="267" t="s">
        <v>4</v>
      </c>
      <c r="AE62" s="268"/>
      <c r="AF62" s="268"/>
      <c r="AG62" s="5"/>
      <c r="AH62" s="164"/>
    </row>
    <row r="63" spans="1:34" ht="17.100000000000001" customHeight="1" x14ac:dyDescent="0.25">
      <c r="A63" s="201"/>
      <c r="B63" s="202"/>
      <c r="C63" s="221"/>
      <c r="D63" s="222"/>
      <c r="E63" s="363"/>
      <c r="G63" s="206"/>
      <c r="H63" s="218"/>
      <c r="I63" s="177"/>
      <c r="J63" s="176"/>
      <c r="K63" s="207"/>
      <c r="L63" s="208"/>
      <c r="M63" s="208"/>
      <c r="N63" s="224"/>
      <c r="O63" s="225"/>
      <c r="P63" s="226"/>
      <c r="Q63" s="169"/>
      <c r="Y63" s="95"/>
      <c r="Z63" s="228"/>
      <c r="AA63" s="215"/>
      <c r="AB63" s="229"/>
      <c r="AC63" s="230"/>
      <c r="AD63" s="267" t="s">
        <v>4</v>
      </c>
      <c r="AE63" s="268"/>
      <c r="AF63" s="268"/>
      <c r="AG63" s="5"/>
      <c r="AH63" s="164"/>
    </row>
    <row r="64" spans="1:34" ht="17.100000000000001" customHeight="1" x14ac:dyDescent="0.25">
      <c r="A64" s="201"/>
      <c r="B64" s="202"/>
      <c r="C64" s="221"/>
      <c r="D64" s="222"/>
      <c r="E64" s="363"/>
      <c r="G64" s="206"/>
      <c r="H64" s="218"/>
      <c r="I64" s="177"/>
      <c r="J64" s="176"/>
      <c r="K64" s="207"/>
      <c r="L64" s="208"/>
      <c r="M64" s="208"/>
      <c r="N64" s="224"/>
      <c r="O64" s="225"/>
      <c r="P64" s="226"/>
      <c r="Q64" s="169"/>
      <c r="Y64" s="95"/>
      <c r="Z64" s="228"/>
      <c r="AA64" s="215"/>
      <c r="AB64" s="229"/>
      <c r="AC64" s="230"/>
      <c r="AD64" s="267" t="s">
        <v>4</v>
      </c>
      <c r="AE64" s="268"/>
      <c r="AF64" s="268"/>
      <c r="AG64" s="5"/>
      <c r="AH64" s="164"/>
    </row>
    <row r="65" spans="1:34" ht="17.100000000000001" customHeight="1" x14ac:dyDescent="0.25">
      <c r="A65" s="201"/>
      <c r="B65" s="202"/>
      <c r="C65" s="221"/>
      <c r="D65" s="222"/>
      <c r="E65" s="363"/>
      <c r="G65" s="206"/>
      <c r="H65" s="218"/>
      <c r="I65" s="177"/>
      <c r="J65" s="176"/>
      <c r="K65" s="207"/>
      <c r="L65" s="208"/>
      <c r="M65" s="208"/>
      <c r="N65" s="224"/>
      <c r="O65" s="225"/>
      <c r="P65" s="226"/>
      <c r="Q65" s="169"/>
      <c r="Y65" s="95"/>
      <c r="Z65" s="228"/>
      <c r="AA65" s="215"/>
      <c r="AB65" s="229"/>
      <c r="AC65" s="230"/>
      <c r="AD65" s="267" t="s">
        <v>4</v>
      </c>
      <c r="AE65" s="268"/>
      <c r="AF65" s="268"/>
      <c r="AG65" s="5"/>
      <c r="AH65" s="164"/>
    </row>
    <row r="66" spans="1:34" ht="17.100000000000001" customHeight="1" x14ac:dyDescent="0.25">
      <c r="A66" s="201"/>
      <c r="B66" s="202"/>
      <c r="C66" s="221"/>
      <c r="D66" s="222"/>
      <c r="E66" s="363"/>
      <c r="G66" s="206"/>
      <c r="H66" s="218"/>
      <c r="I66" s="177"/>
      <c r="J66" s="176"/>
      <c r="K66" s="207"/>
      <c r="L66" s="208"/>
      <c r="M66" s="208"/>
      <c r="N66" s="224"/>
      <c r="O66" s="225"/>
      <c r="P66" s="226"/>
      <c r="Q66" s="169"/>
      <c r="Y66" s="95"/>
      <c r="Z66" s="228"/>
      <c r="AA66" s="215"/>
      <c r="AB66" s="229"/>
      <c r="AC66" s="230"/>
      <c r="AD66" s="267" t="s">
        <v>4</v>
      </c>
      <c r="AE66" s="268"/>
      <c r="AF66" s="268"/>
      <c r="AG66" s="5"/>
      <c r="AH66" s="164"/>
    </row>
    <row r="67" spans="1:34" ht="17.100000000000001" customHeight="1" x14ac:dyDescent="0.25">
      <c r="A67" s="201"/>
      <c r="B67" s="202"/>
      <c r="C67" s="221"/>
      <c r="D67" s="222"/>
      <c r="E67" s="363"/>
      <c r="G67" s="206"/>
      <c r="H67" s="218"/>
      <c r="I67" s="177"/>
      <c r="J67" s="176"/>
      <c r="K67" s="207"/>
      <c r="L67" s="208"/>
      <c r="M67" s="208"/>
      <c r="N67" s="224"/>
      <c r="O67" s="225"/>
      <c r="P67" s="226"/>
      <c r="Q67" s="169"/>
      <c r="Y67" s="95"/>
      <c r="Z67" s="228"/>
      <c r="AA67" s="215"/>
      <c r="AB67" s="229"/>
      <c r="AC67" s="230"/>
      <c r="AD67" s="267" t="s">
        <v>4</v>
      </c>
      <c r="AE67" s="268"/>
      <c r="AF67" s="268"/>
      <c r="AG67" s="5"/>
      <c r="AH67" s="164"/>
    </row>
    <row r="68" spans="1:34" ht="17.100000000000001" customHeight="1" x14ac:dyDescent="0.25">
      <c r="A68" s="201"/>
      <c r="B68" s="202"/>
      <c r="C68" s="221"/>
      <c r="D68" s="222"/>
      <c r="E68" s="363"/>
      <c r="G68" s="206"/>
      <c r="H68" s="218"/>
      <c r="I68" s="177"/>
      <c r="J68" s="176"/>
      <c r="K68" s="207"/>
      <c r="L68" s="208"/>
      <c r="M68" s="208"/>
      <c r="N68" s="224"/>
      <c r="O68" s="225"/>
      <c r="P68" s="226"/>
      <c r="Q68" s="169"/>
      <c r="Y68" s="95"/>
      <c r="Z68" s="228"/>
      <c r="AA68" s="215"/>
      <c r="AB68" s="229"/>
      <c r="AC68" s="230"/>
      <c r="AD68" s="267" t="s">
        <v>4</v>
      </c>
      <c r="AE68" s="268"/>
      <c r="AF68" s="268"/>
      <c r="AG68" s="5"/>
      <c r="AH68" s="164"/>
    </row>
    <row r="69" spans="1:34" ht="17.100000000000001" customHeight="1" x14ac:dyDescent="0.25">
      <c r="A69" s="201"/>
      <c r="B69" s="202"/>
      <c r="C69" s="221"/>
      <c r="D69" s="222"/>
      <c r="E69" s="363"/>
      <c r="G69" s="206"/>
      <c r="H69" s="218"/>
      <c r="I69" s="177"/>
      <c r="J69" s="176"/>
      <c r="K69" s="207"/>
      <c r="L69" s="208"/>
      <c r="M69" s="208"/>
      <c r="N69" s="224"/>
      <c r="O69" s="225"/>
      <c r="P69" s="226"/>
      <c r="Q69" s="169"/>
      <c r="Y69" s="95"/>
      <c r="Z69" s="228"/>
      <c r="AA69" s="215"/>
      <c r="AB69" s="229"/>
      <c r="AC69" s="230"/>
      <c r="AD69" s="267" t="s">
        <v>4</v>
      </c>
      <c r="AE69" s="268"/>
      <c r="AF69" s="268"/>
      <c r="AG69" s="5"/>
      <c r="AH69" s="164"/>
    </row>
    <row r="70" spans="1:34" ht="17.100000000000001" customHeight="1" x14ac:dyDescent="0.25">
      <c r="A70" s="201"/>
      <c r="B70" s="202"/>
      <c r="C70" s="221"/>
      <c r="D70" s="222"/>
      <c r="E70" s="363"/>
      <c r="G70" s="206"/>
      <c r="H70" s="218"/>
      <c r="I70" s="177"/>
      <c r="J70" s="176"/>
      <c r="K70" s="207"/>
      <c r="L70" s="208"/>
      <c r="M70" s="208"/>
      <c r="N70" s="224"/>
      <c r="O70" s="225"/>
      <c r="P70" s="226"/>
      <c r="Q70" s="169"/>
      <c r="Y70" s="95"/>
      <c r="Z70" s="228"/>
      <c r="AA70" s="215"/>
      <c r="AB70" s="229"/>
      <c r="AC70" s="230"/>
      <c r="AD70" s="267" t="s">
        <v>4</v>
      </c>
      <c r="AE70" s="268"/>
      <c r="AF70" s="268"/>
      <c r="AG70" s="5"/>
      <c r="AH70" s="164"/>
    </row>
    <row r="71" spans="1:34" ht="17.100000000000001" customHeight="1" x14ac:dyDescent="0.25">
      <c r="A71" s="201"/>
      <c r="B71" s="202"/>
      <c r="C71" s="221"/>
      <c r="D71" s="222"/>
      <c r="E71" s="363"/>
      <c r="G71" s="206"/>
      <c r="H71" s="218"/>
      <c r="I71" s="177"/>
      <c r="J71" s="176"/>
      <c r="K71" s="207"/>
      <c r="L71" s="208"/>
      <c r="M71" s="208"/>
      <c r="N71" s="224"/>
      <c r="O71" s="225"/>
      <c r="P71" s="226"/>
      <c r="Q71" s="169"/>
      <c r="Y71" s="95"/>
      <c r="Z71" s="228"/>
      <c r="AA71" s="215"/>
      <c r="AB71" s="229"/>
      <c r="AC71" s="230"/>
      <c r="AD71" s="267" t="s">
        <v>4</v>
      </c>
      <c r="AE71" s="268"/>
      <c r="AF71" s="268"/>
      <c r="AG71" s="5"/>
      <c r="AH71" s="164"/>
    </row>
    <row r="72" spans="1:34" ht="17.100000000000001" customHeight="1" x14ac:dyDescent="0.25">
      <c r="A72" s="201"/>
      <c r="B72" s="202"/>
      <c r="C72" s="221"/>
      <c r="D72" s="222"/>
      <c r="E72" s="363"/>
      <c r="G72" s="206"/>
      <c r="H72" s="218"/>
      <c r="I72" s="177"/>
      <c r="J72" s="176"/>
      <c r="K72" s="207"/>
      <c r="L72" s="208"/>
      <c r="M72" s="208"/>
      <c r="N72" s="224"/>
      <c r="O72" s="225"/>
      <c r="P72" s="226"/>
      <c r="Q72" s="169"/>
      <c r="Y72" s="95"/>
      <c r="Z72" s="228"/>
      <c r="AA72" s="215"/>
      <c r="AB72" s="229"/>
      <c r="AC72" s="230"/>
      <c r="AD72" s="267" t="s">
        <v>4</v>
      </c>
      <c r="AE72" s="268"/>
      <c r="AF72" s="268"/>
      <c r="AG72" s="5"/>
      <c r="AH72" s="164"/>
    </row>
    <row r="73" spans="1:34" ht="17.100000000000001" customHeight="1" x14ac:dyDescent="0.25">
      <c r="A73" s="201"/>
      <c r="B73" s="202"/>
      <c r="C73" s="221"/>
      <c r="D73" s="222"/>
      <c r="E73" s="363"/>
      <c r="G73" s="206"/>
      <c r="H73" s="218"/>
      <c r="I73" s="177"/>
      <c r="J73" s="176"/>
      <c r="K73" s="207"/>
      <c r="L73" s="208"/>
      <c r="M73" s="208"/>
      <c r="N73" s="224"/>
      <c r="O73" s="225"/>
      <c r="P73" s="226"/>
      <c r="Q73" s="169"/>
      <c r="Y73" s="95"/>
      <c r="Z73" s="228"/>
      <c r="AA73" s="215"/>
      <c r="AB73" s="229"/>
      <c r="AC73" s="230"/>
      <c r="AD73" s="267" t="s">
        <v>4</v>
      </c>
      <c r="AE73" s="268"/>
      <c r="AF73" s="268"/>
      <c r="AG73" s="5"/>
      <c r="AH73" s="164"/>
    </row>
    <row r="74" spans="1:34" ht="17.100000000000001" customHeight="1" x14ac:dyDescent="0.25">
      <c r="A74" s="201"/>
      <c r="B74" s="202"/>
      <c r="C74" s="221"/>
      <c r="D74" s="222"/>
      <c r="E74" s="363"/>
      <c r="G74" s="206"/>
      <c r="H74" s="218"/>
      <c r="I74" s="177"/>
      <c r="J74" s="176"/>
      <c r="K74" s="207"/>
      <c r="L74" s="208"/>
      <c r="M74" s="208"/>
      <c r="N74" s="224"/>
      <c r="O74" s="225"/>
      <c r="P74" s="226"/>
      <c r="Q74" s="169"/>
      <c r="Y74" s="95"/>
      <c r="Z74" s="228"/>
      <c r="AA74" s="215"/>
      <c r="AB74" s="229"/>
      <c r="AC74" s="230"/>
      <c r="AD74" s="267" t="s">
        <v>4</v>
      </c>
      <c r="AE74" s="268"/>
      <c r="AF74" s="268"/>
      <c r="AG74" s="5"/>
      <c r="AH74" s="164"/>
    </row>
    <row r="75" spans="1:34" ht="17.100000000000001" customHeight="1" x14ac:dyDescent="0.25">
      <c r="A75" s="201"/>
      <c r="B75" s="202"/>
      <c r="C75" s="221"/>
      <c r="D75" s="222"/>
      <c r="E75" s="363"/>
      <c r="G75" s="206"/>
      <c r="H75" s="218"/>
      <c r="I75" s="177"/>
      <c r="J75" s="176"/>
      <c r="K75" s="207"/>
      <c r="L75" s="208"/>
      <c r="M75" s="208"/>
      <c r="N75" s="224"/>
      <c r="O75" s="225"/>
      <c r="P75" s="226"/>
      <c r="Q75" s="169"/>
      <c r="Y75" s="95"/>
      <c r="Z75" s="228"/>
      <c r="AA75" s="215"/>
      <c r="AB75" s="229"/>
      <c r="AC75" s="230"/>
      <c r="AD75" s="267" t="s">
        <v>4</v>
      </c>
      <c r="AE75" s="268"/>
      <c r="AF75" s="268"/>
      <c r="AG75" s="5"/>
      <c r="AH75" s="164"/>
    </row>
    <row r="76" spans="1:34" ht="17.100000000000001" customHeight="1" x14ac:dyDescent="0.25">
      <c r="A76" s="201"/>
      <c r="B76" s="202"/>
      <c r="C76" s="221"/>
      <c r="D76" s="222"/>
      <c r="E76" s="363"/>
      <c r="G76" s="206"/>
      <c r="H76" s="218"/>
      <c r="I76" s="177"/>
      <c r="J76" s="176"/>
      <c r="K76" s="207"/>
      <c r="L76" s="208"/>
      <c r="M76" s="208"/>
      <c r="N76" s="224"/>
      <c r="O76" s="225"/>
      <c r="P76" s="226"/>
      <c r="Q76" s="169"/>
      <c r="R76" s="233"/>
      <c r="Y76" s="95"/>
      <c r="Z76" s="228"/>
      <c r="AA76" s="215"/>
      <c r="AB76" s="229"/>
      <c r="AC76" s="230"/>
      <c r="AD76" s="267" t="s">
        <v>4</v>
      </c>
      <c r="AE76" s="268"/>
      <c r="AF76" s="268"/>
      <c r="AG76" s="5"/>
      <c r="AH76" s="164"/>
    </row>
    <row r="77" spans="1:34" ht="17.100000000000001" customHeight="1" x14ac:dyDescent="0.25">
      <c r="A77" s="201"/>
      <c r="B77" s="202"/>
      <c r="C77" s="221"/>
      <c r="D77" s="222"/>
      <c r="E77" s="363"/>
      <c r="G77" s="206"/>
      <c r="H77" s="218"/>
      <c r="I77" s="177"/>
      <c r="J77" s="176"/>
      <c r="K77" s="207"/>
      <c r="L77" s="208"/>
      <c r="M77" s="208"/>
      <c r="N77" s="224"/>
      <c r="O77" s="225"/>
      <c r="P77" s="226"/>
      <c r="Q77" s="169"/>
      <c r="Y77" s="95"/>
      <c r="Z77" s="228"/>
      <c r="AA77" s="215"/>
      <c r="AB77" s="229"/>
      <c r="AC77" s="230"/>
      <c r="AD77" s="267" t="s">
        <v>4</v>
      </c>
      <c r="AE77" s="268"/>
      <c r="AF77" s="268"/>
      <c r="AG77" s="5"/>
      <c r="AH77" s="164"/>
    </row>
    <row r="78" spans="1:34" ht="17.100000000000001" customHeight="1" x14ac:dyDescent="0.25">
      <c r="A78" s="201"/>
      <c r="B78" s="202"/>
      <c r="C78" s="221"/>
      <c r="D78" s="222"/>
      <c r="E78" s="363"/>
      <c r="G78" s="206"/>
      <c r="H78" s="218"/>
      <c r="I78" s="177"/>
      <c r="J78" s="176"/>
      <c r="K78" s="207"/>
      <c r="L78" s="208"/>
      <c r="M78" s="208"/>
      <c r="N78" s="224"/>
      <c r="O78" s="225"/>
      <c r="P78" s="226"/>
      <c r="Q78" s="169"/>
      <c r="Y78" s="95"/>
      <c r="Z78" s="228"/>
      <c r="AA78" s="215"/>
      <c r="AB78" s="229"/>
      <c r="AC78" s="230"/>
      <c r="AD78" s="267" t="s">
        <v>4</v>
      </c>
      <c r="AE78" s="268"/>
      <c r="AF78" s="268"/>
      <c r="AG78" s="5"/>
      <c r="AH78" s="164"/>
    </row>
    <row r="79" spans="1:34" ht="17.100000000000001" customHeight="1" x14ac:dyDescent="0.25">
      <c r="A79" s="201"/>
      <c r="B79" s="202"/>
      <c r="C79" s="221"/>
      <c r="D79" s="222"/>
      <c r="E79" s="363"/>
      <c r="G79" s="206"/>
      <c r="H79" s="218"/>
      <c r="I79" s="177"/>
      <c r="J79" s="176"/>
      <c r="K79" s="207"/>
      <c r="L79" s="208"/>
      <c r="M79" s="208"/>
      <c r="N79" s="224"/>
      <c r="O79" s="225"/>
      <c r="P79" s="226"/>
      <c r="Q79" s="169"/>
      <c r="Y79" s="95"/>
      <c r="Z79" s="228"/>
      <c r="AA79" s="215"/>
      <c r="AB79" s="229"/>
      <c r="AC79" s="230"/>
      <c r="AD79" s="267" t="s">
        <v>4</v>
      </c>
      <c r="AE79" s="268"/>
      <c r="AF79" s="268"/>
      <c r="AG79" s="5"/>
      <c r="AH79" s="164"/>
    </row>
    <row r="80" spans="1:34" ht="17.100000000000001" customHeight="1" x14ac:dyDescent="0.25">
      <c r="A80" s="201"/>
      <c r="B80" s="202"/>
      <c r="C80" s="221"/>
      <c r="D80" s="222"/>
      <c r="E80" s="363"/>
      <c r="G80" s="206"/>
      <c r="H80" s="218"/>
      <c r="I80" s="177"/>
      <c r="J80" s="176"/>
      <c r="K80" s="207"/>
      <c r="L80" s="208"/>
      <c r="M80" s="208"/>
      <c r="N80" s="224"/>
      <c r="O80" s="225"/>
      <c r="P80" s="226"/>
      <c r="Q80" s="169"/>
      <c r="Y80" s="95"/>
      <c r="Z80" s="228"/>
      <c r="AA80" s="215"/>
      <c r="AB80" s="229"/>
      <c r="AC80" s="230"/>
      <c r="AD80" s="267" t="s">
        <v>4</v>
      </c>
      <c r="AE80" s="268"/>
      <c r="AF80" s="268"/>
      <c r="AG80" s="5"/>
      <c r="AH80" s="164"/>
    </row>
    <row r="81" spans="1:34" ht="17.100000000000001" customHeight="1" x14ac:dyDescent="0.25">
      <c r="A81" s="201"/>
      <c r="B81" s="202"/>
      <c r="C81" s="221"/>
      <c r="D81" s="222"/>
      <c r="E81" s="363"/>
      <c r="G81" s="206"/>
      <c r="H81" s="218"/>
      <c r="I81" s="177"/>
      <c r="J81" s="176"/>
      <c r="K81" s="207"/>
      <c r="L81" s="208"/>
      <c r="M81" s="208"/>
      <c r="N81" s="224"/>
      <c r="O81" s="225"/>
      <c r="P81" s="226"/>
      <c r="Q81" s="169"/>
      <c r="R81" s="233"/>
      <c r="Y81" s="95"/>
      <c r="Z81" s="228"/>
      <c r="AA81" s="215"/>
      <c r="AB81" s="229"/>
      <c r="AC81" s="230"/>
      <c r="AD81" s="267" t="s">
        <v>4</v>
      </c>
      <c r="AE81" s="268"/>
      <c r="AF81" s="268"/>
      <c r="AG81" s="5"/>
      <c r="AH81" s="164"/>
    </row>
    <row r="82" spans="1:34" ht="17.100000000000001" customHeight="1" x14ac:dyDescent="0.25">
      <c r="A82" s="201"/>
      <c r="B82" s="202"/>
      <c r="C82" s="221"/>
      <c r="D82" s="222"/>
      <c r="E82" s="363"/>
      <c r="G82" s="206"/>
      <c r="H82" s="218"/>
      <c r="I82" s="177"/>
      <c r="J82" s="176"/>
      <c r="K82" s="207"/>
      <c r="L82" s="208"/>
      <c r="M82" s="208"/>
      <c r="N82" s="224"/>
      <c r="O82" s="225"/>
      <c r="P82" s="226"/>
      <c r="Q82" s="169"/>
      <c r="Y82" s="95"/>
      <c r="Z82" s="228"/>
      <c r="AA82" s="215"/>
      <c r="AB82" s="229"/>
      <c r="AC82" s="230"/>
      <c r="AD82" s="267" t="s">
        <v>4</v>
      </c>
      <c r="AE82" s="268"/>
      <c r="AF82" s="268"/>
      <c r="AG82" s="5"/>
      <c r="AH82" s="164"/>
    </row>
    <row r="83" spans="1:34" ht="17.100000000000001" customHeight="1" x14ac:dyDescent="0.25">
      <c r="A83" s="201"/>
      <c r="B83" s="202"/>
      <c r="C83" s="221"/>
      <c r="D83" s="222"/>
      <c r="E83" s="363"/>
      <c r="G83" s="206"/>
      <c r="H83" s="218"/>
      <c r="I83" s="177"/>
      <c r="J83" s="176"/>
      <c r="K83" s="207"/>
      <c r="L83" s="208"/>
      <c r="M83" s="208"/>
      <c r="N83" s="224"/>
      <c r="O83" s="225"/>
      <c r="P83" s="226"/>
      <c r="Q83" s="169"/>
      <c r="Y83" s="95"/>
      <c r="Z83" s="228"/>
      <c r="AA83" s="215"/>
      <c r="AB83" s="229"/>
      <c r="AC83" s="230"/>
      <c r="AD83" s="267" t="s">
        <v>4</v>
      </c>
      <c r="AE83" s="268"/>
      <c r="AF83" s="268"/>
      <c r="AG83" s="5"/>
      <c r="AH83" s="164"/>
    </row>
    <row r="84" spans="1:34" ht="17.100000000000001" customHeight="1" x14ac:dyDescent="0.25">
      <c r="A84" s="201"/>
      <c r="B84" s="202"/>
      <c r="C84" s="221"/>
      <c r="D84" s="222"/>
      <c r="E84" s="363"/>
      <c r="G84" s="206"/>
      <c r="H84" s="218"/>
      <c r="I84" s="177"/>
      <c r="J84" s="176"/>
      <c r="K84" s="207"/>
      <c r="L84" s="208"/>
      <c r="M84" s="208"/>
      <c r="N84" s="224"/>
      <c r="O84" s="225"/>
      <c r="P84" s="226"/>
      <c r="Q84" s="169"/>
      <c r="Y84" s="95"/>
      <c r="Z84" s="228"/>
      <c r="AA84" s="215"/>
      <c r="AB84" s="229"/>
      <c r="AC84" s="230"/>
      <c r="AD84" s="267" t="s">
        <v>4</v>
      </c>
      <c r="AE84" s="268"/>
      <c r="AF84" s="268"/>
      <c r="AG84" s="5"/>
      <c r="AH84" s="164"/>
    </row>
    <row r="85" spans="1:34" ht="17.100000000000001" customHeight="1" x14ac:dyDescent="0.25">
      <c r="A85" s="201"/>
      <c r="B85" s="202"/>
      <c r="C85" s="221"/>
      <c r="D85" s="222"/>
      <c r="E85" s="363"/>
      <c r="G85" s="206"/>
      <c r="H85" s="218"/>
      <c r="I85" s="177"/>
      <c r="J85" s="176"/>
      <c r="K85" s="207"/>
      <c r="L85" s="208"/>
      <c r="M85" s="208"/>
      <c r="N85" s="224"/>
      <c r="O85" s="225"/>
      <c r="P85" s="226"/>
      <c r="Q85" s="169"/>
      <c r="Y85" s="95"/>
      <c r="Z85" s="228"/>
      <c r="AA85" s="215"/>
      <c r="AB85" s="229"/>
      <c r="AC85" s="230"/>
      <c r="AD85" s="267" t="s">
        <v>4</v>
      </c>
      <c r="AE85" s="268"/>
      <c r="AF85" s="268"/>
      <c r="AG85" s="5"/>
      <c r="AH85" s="164"/>
    </row>
    <row r="86" spans="1:34" ht="17.100000000000001" customHeight="1" x14ac:dyDescent="0.25">
      <c r="A86" s="201"/>
      <c r="B86" s="202"/>
      <c r="C86" s="221"/>
      <c r="D86" s="222"/>
      <c r="E86" s="363"/>
      <c r="G86" s="206"/>
      <c r="H86" s="218"/>
      <c r="I86" s="177"/>
      <c r="J86" s="176"/>
      <c r="K86" s="207"/>
      <c r="L86" s="208"/>
      <c r="M86" s="208"/>
      <c r="N86" s="224"/>
      <c r="O86" s="225"/>
      <c r="P86" s="226"/>
      <c r="Q86" s="169"/>
      <c r="Y86" s="95"/>
      <c r="Z86" s="228"/>
      <c r="AA86" s="215"/>
      <c r="AB86" s="229"/>
      <c r="AC86" s="230"/>
      <c r="AD86" s="267" t="s">
        <v>4</v>
      </c>
      <c r="AE86" s="268"/>
      <c r="AF86" s="268"/>
      <c r="AG86" s="5"/>
      <c r="AH86" s="164"/>
    </row>
    <row r="87" spans="1:34" ht="17.100000000000001" customHeight="1" x14ac:dyDescent="0.25">
      <c r="A87" s="201"/>
      <c r="B87" s="202"/>
      <c r="C87" s="221"/>
      <c r="D87" s="222"/>
      <c r="E87" s="363"/>
      <c r="G87" s="206"/>
      <c r="H87" s="218"/>
      <c r="I87" s="177"/>
      <c r="J87" s="176"/>
      <c r="K87" s="207"/>
      <c r="L87" s="208"/>
      <c r="M87" s="208"/>
      <c r="N87" s="224"/>
      <c r="O87" s="225"/>
      <c r="P87" s="226"/>
      <c r="Q87" s="169"/>
      <c r="Y87" s="95"/>
      <c r="Z87" s="228"/>
      <c r="AA87" s="215"/>
      <c r="AB87" s="229"/>
      <c r="AC87" s="230"/>
      <c r="AD87" s="267" t="s">
        <v>4</v>
      </c>
      <c r="AE87" s="268"/>
      <c r="AF87" s="268"/>
      <c r="AG87" s="5"/>
      <c r="AH87" s="164"/>
    </row>
    <row r="88" spans="1:34" ht="17.100000000000001" customHeight="1" x14ac:dyDescent="0.25">
      <c r="A88" s="201"/>
      <c r="B88" s="202"/>
      <c r="C88" s="203"/>
      <c r="D88" s="204"/>
      <c r="E88" s="363"/>
      <c r="F88" s="205"/>
      <c r="G88" s="206"/>
      <c r="H88" s="218"/>
      <c r="I88" s="177"/>
      <c r="J88" s="176"/>
      <c r="K88" s="207"/>
      <c r="L88" s="208"/>
      <c r="M88" s="208"/>
      <c r="N88" s="209"/>
      <c r="O88" s="210"/>
      <c r="P88" s="211"/>
      <c r="Q88" s="220"/>
      <c r="R88" s="205"/>
      <c r="S88" s="205"/>
      <c r="T88" s="205"/>
      <c r="U88" s="205"/>
      <c r="V88" s="205"/>
      <c r="W88" s="205"/>
      <c r="X88" s="205"/>
      <c r="Y88" s="213"/>
      <c r="Z88" s="214"/>
      <c r="AA88" s="215"/>
      <c r="AB88" s="216"/>
      <c r="AC88" s="217"/>
      <c r="AD88" s="267" t="s">
        <v>4</v>
      </c>
      <c r="AE88" s="268"/>
      <c r="AF88" s="268"/>
      <c r="AG88" s="5"/>
      <c r="AH88" s="164"/>
    </row>
    <row r="89" spans="1:34" ht="17.100000000000001" customHeight="1" x14ac:dyDescent="0.25">
      <c r="A89" s="201"/>
      <c r="B89" s="202"/>
      <c r="C89" s="221"/>
      <c r="D89" s="222"/>
      <c r="E89" s="363"/>
      <c r="G89" s="206"/>
      <c r="H89" s="218"/>
      <c r="I89" s="177"/>
      <c r="J89" s="176"/>
      <c r="K89" s="207"/>
      <c r="L89" s="208"/>
      <c r="M89" s="208"/>
      <c r="N89" s="224"/>
      <c r="O89" s="225"/>
      <c r="P89" s="226"/>
      <c r="Q89" s="169"/>
      <c r="Y89" s="95"/>
      <c r="Z89" s="228"/>
      <c r="AA89" s="215"/>
      <c r="AB89" s="229"/>
      <c r="AC89" s="230"/>
      <c r="AD89" s="267" t="s">
        <v>4</v>
      </c>
      <c r="AH89" s="164"/>
    </row>
    <row r="90" spans="1:34" ht="17.100000000000001" customHeight="1" x14ac:dyDescent="0.25">
      <c r="A90" s="201"/>
      <c r="B90" s="202"/>
      <c r="C90" s="221"/>
      <c r="D90" s="222"/>
      <c r="E90" s="363"/>
      <c r="G90" s="206"/>
      <c r="H90" s="218"/>
      <c r="I90" s="177"/>
      <c r="J90" s="176"/>
      <c r="K90" s="207"/>
      <c r="L90" s="208"/>
      <c r="M90" s="208"/>
      <c r="N90" s="224"/>
      <c r="O90" s="225"/>
      <c r="P90" s="226"/>
      <c r="Q90" s="169"/>
      <c r="Y90" s="95"/>
      <c r="Z90" s="228"/>
      <c r="AA90" s="215"/>
      <c r="AB90" s="229"/>
      <c r="AC90" s="230"/>
      <c r="AD90" s="267" t="s">
        <v>4</v>
      </c>
      <c r="AH90" s="164"/>
    </row>
    <row r="91" spans="1:34" ht="17.100000000000001" customHeight="1" x14ac:dyDescent="0.25">
      <c r="A91" s="201"/>
      <c r="B91" s="202"/>
      <c r="C91" s="221"/>
      <c r="D91" s="222"/>
      <c r="E91" s="363"/>
      <c r="G91" s="206"/>
      <c r="H91" s="218"/>
      <c r="I91" s="177"/>
      <c r="J91" s="176"/>
      <c r="K91" s="207"/>
      <c r="L91" s="208"/>
      <c r="M91" s="208"/>
      <c r="N91" s="224"/>
      <c r="O91" s="225"/>
      <c r="P91" s="226"/>
      <c r="Q91" s="169"/>
      <c r="Y91" s="95"/>
      <c r="Z91" s="228"/>
      <c r="AA91" s="215"/>
      <c r="AB91" s="229"/>
      <c r="AC91" s="230"/>
      <c r="AD91" s="267" t="s">
        <v>4</v>
      </c>
      <c r="AH91" s="164"/>
    </row>
    <row r="92" spans="1:34" ht="17.100000000000001" customHeight="1" x14ac:dyDescent="0.25">
      <c r="A92" s="201"/>
      <c r="B92" s="202"/>
      <c r="C92" s="221"/>
      <c r="D92" s="222"/>
      <c r="E92" s="363"/>
      <c r="G92" s="206"/>
      <c r="H92" s="218"/>
      <c r="I92" s="177"/>
      <c r="J92" s="176"/>
      <c r="K92" s="207"/>
      <c r="L92" s="208"/>
      <c r="M92" s="208"/>
      <c r="N92" s="224"/>
      <c r="O92" s="225"/>
      <c r="P92" s="226"/>
      <c r="Q92" s="169"/>
      <c r="Y92" s="95"/>
      <c r="Z92" s="228"/>
      <c r="AA92" s="215"/>
      <c r="AB92" s="229"/>
      <c r="AC92" s="230"/>
      <c r="AD92" s="267" t="s">
        <v>4</v>
      </c>
      <c r="AH92" s="164"/>
    </row>
    <row r="93" spans="1:34" ht="17.100000000000001" customHeight="1" x14ac:dyDescent="0.25">
      <c r="A93" s="201"/>
      <c r="B93" s="202"/>
      <c r="C93" s="221"/>
      <c r="D93" s="222"/>
      <c r="E93" s="363"/>
      <c r="G93" s="206"/>
      <c r="H93" s="218"/>
      <c r="I93" s="177"/>
      <c r="J93" s="176"/>
      <c r="K93" s="207"/>
      <c r="L93" s="208"/>
      <c r="M93" s="208"/>
      <c r="N93" s="224"/>
      <c r="O93" s="225"/>
      <c r="P93" s="226"/>
      <c r="Q93" s="169"/>
      <c r="Y93" s="95"/>
      <c r="Z93" s="228"/>
      <c r="AA93" s="215"/>
      <c r="AB93" s="229"/>
      <c r="AC93" s="230"/>
      <c r="AD93" s="267" t="s">
        <v>4</v>
      </c>
      <c r="AH93" s="164"/>
    </row>
    <row r="94" spans="1:34" ht="17.100000000000001" customHeight="1" x14ac:dyDescent="0.25">
      <c r="A94" s="201"/>
      <c r="B94" s="202"/>
      <c r="C94" s="221"/>
      <c r="D94" s="222"/>
      <c r="E94" s="363"/>
      <c r="G94" s="206"/>
      <c r="H94" s="218"/>
      <c r="I94" s="177"/>
      <c r="J94" s="176"/>
      <c r="K94" s="207"/>
      <c r="L94" s="208"/>
      <c r="M94" s="208"/>
      <c r="N94" s="224"/>
      <c r="O94" s="225"/>
      <c r="P94" s="226"/>
      <c r="Q94" s="169"/>
      <c r="Y94" s="95"/>
      <c r="Z94" s="228"/>
      <c r="AA94" s="215"/>
      <c r="AB94" s="229"/>
      <c r="AC94" s="230"/>
      <c r="AD94" s="267" t="s">
        <v>4</v>
      </c>
      <c r="AH94" s="164"/>
    </row>
    <row r="95" spans="1:34" ht="17.100000000000001" customHeight="1" x14ac:dyDescent="0.25">
      <c r="A95" s="201"/>
      <c r="B95" s="202"/>
      <c r="C95" s="221"/>
      <c r="D95" s="222"/>
      <c r="E95" s="363"/>
      <c r="G95" s="206"/>
      <c r="H95" s="218"/>
      <c r="I95" s="177"/>
      <c r="J95" s="176"/>
      <c r="K95" s="207"/>
      <c r="L95" s="208"/>
      <c r="M95" s="208"/>
      <c r="N95" s="235"/>
      <c r="O95" s="225"/>
      <c r="P95" s="226"/>
      <c r="Q95" s="169"/>
      <c r="Y95" s="95"/>
      <c r="Z95" s="228"/>
      <c r="AA95" s="215"/>
      <c r="AB95" s="229"/>
      <c r="AC95" s="230"/>
      <c r="AD95" s="267" t="s">
        <v>4</v>
      </c>
      <c r="AH95" s="164"/>
    </row>
    <row r="96" spans="1:34" ht="17.100000000000001" customHeight="1" x14ac:dyDescent="0.25">
      <c r="A96" s="201"/>
      <c r="B96" s="202"/>
      <c r="C96" s="221"/>
      <c r="D96" s="222"/>
      <c r="E96" s="363"/>
      <c r="G96" s="206"/>
      <c r="H96" s="218"/>
      <c r="I96" s="177"/>
      <c r="J96" s="176"/>
      <c r="K96" s="207"/>
      <c r="L96" s="208"/>
      <c r="M96" s="208"/>
      <c r="N96" s="224"/>
      <c r="O96" s="225"/>
      <c r="P96" s="226"/>
      <c r="Q96" s="169"/>
      <c r="Y96" s="95"/>
      <c r="Z96" s="228"/>
      <c r="AA96" s="215"/>
      <c r="AB96" s="229"/>
      <c r="AC96" s="230"/>
      <c r="AD96" s="267" t="s">
        <v>4</v>
      </c>
      <c r="AH96" s="164"/>
    </row>
    <row r="97" spans="1:34" ht="17.100000000000001" customHeight="1" x14ac:dyDescent="0.25">
      <c r="A97" s="201"/>
      <c r="B97" s="202"/>
      <c r="C97" s="221"/>
      <c r="D97" s="222"/>
      <c r="E97" s="363"/>
      <c r="G97" s="206"/>
      <c r="H97" s="218"/>
      <c r="I97" s="177"/>
      <c r="J97" s="176"/>
      <c r="K97" s="207"/>
      <c r="L97" s="208"/>
      <c r="M97" s="208"/>
      <c r="N97" s="224"/>
      <c r="O97" s="225"/>
      <c r="P97" s="226"/>
      <c r="Q97" s="169"/>
      <c r="Y97" s="95"/>
      <c r="Z97" s="228"/>
      <c r="AA97" s="215"/>
      <c r="AB97" s="229"/>
      <c r="AC97" s="230"/>
      <c r="AD97" s="267" t="s">
        <v>4</v>
      </c>
      <c r="AH97" s="164"/>
    </row>
    <row r="98" spans="1:34" ht="17.100000000000001" customHeight="1" x14ac:dyDescent="0.25">
      <c r="A98" s="201"/>
      <c r="B98" s="202"/>
      <c r="C98" s="221"/>
      <c r="D98" s="222"/>
      <c r="E98" s="363"/>
      <c r="G98" s="206"/>
      <c r="H98" s="218"/>
      <c r="I98" s="177"/>
      <c r="J98" s="176"/>
      <c r="K98" s="207"/>
      <c r="L98" s="208"/>
      <c r="M98" s="208"/>
      <c r="N98" s="224"/>
      <c r="O98" s="225"/>
      <c r="P98" s="226"/>
      <c r="Q98" s="169"/>
      <c r="Y98" s="95"/>
      <c r="Z98" s="228"/>
      <c r="AA98" s="215"/>
      <c r="AB98" s="229"/>
      <c r="AC98" s="230"/>
      <c r="AD98" s="267" t="s">
        <v>4</v>
      </c>
      <c r="AH98" s="164"/>
    </row>
    <row r="99" spans="1:34" ht="17.100000000000001" customHeight="1" x14ac:dyDescent="0.25">
      <c r="A99" s="201"/>
      <c r="B99" s="202"/>
      <c r="C99" s="221"/>
      <c r="D99" s="222"/>
      <c r="E99" s="363"/>
      <c r="G99" s="206"/>
      <c r="H99" s="218"/>
      <c r="I99" s="177"/>
      <c r="J99" s="176"/>
      <c r="K99" s="207"/>
      <c r="L99" s="208"/>
      <c r="M99" s="208"/>
      <c r="N99" s="224"/>
      <c r="O99" s="225"/>
      <c r="P99" s="226"/>
      <c r="Q99" s="169"/>
      <c r="Y99" s="95"/>
      <c r="Z99" s="228"/>
      <c r="AA99" s="215"/>
      <c r="AB99" s="229"/>
      <c r="AC99" s="230"/>
      <c r="AD99" s="267" t="s">
        <v>4</v>
      </c>
      <c r="AH99" s="164"/>
    </row>
    <row r="100" spans="1:34" ht="17.100000000000001" customHeight="1" x14ac:dyDescent="0.25">
      <c r="A100" s="201"/>
      <c r="B100" s="202"/>
      <c r="C100" s="221"/>
      <c r="D100" s="222"/>
      <c r="E100" s="363"/>
      <c r="G100" s="206"/>
      <c r="H100" s="218"/>
      <c r="I100" s="177"/>
      <c r="J100" s="176"/>
      <c r="K100" s="207"/>
      <c r="L100" s="208"/>
      <c r="M100" s="208"/>
      <c r="N100" s="224"/>
      <c r="O100" s="225"/>
      <c r="P100" s="226"/>
      <c r="Q100" s="169"/>
      <c r="Y100" s="95"/>
      <c r="Z100" s="228"/>
      <c r="AA100" s="215"/>
      <c r="AB100" s="229"/>
      <c r="AC100" s="230"/>
      <c r="AD100" s="267" t="s">
        <v>4</v>
      </c>
      <c r="AH100" s="164"/>
    </row>
    <row r="101" spans="1:34" ht="17.100000000000001" customHeight="1" x14ac:dyDescent="0.25">
      <c r="A101" s="201"/>
      <c r="B101" s="202"/>
      <c r="C101" s="221"/>
      <c r="D101" s="222"/>
      <c r="E101" s="363"/>
      <c r="G101" s="206"/>
      <c r="H101" s="218"/>
      <c r="I101" s="177"/>
      <c r="J101" s="176"/>
      <c r="K101" s="207"/>
      <c r="L101" s="208"/>
      <c r="M101" s="208"/>
      <c r="N101" s="224"/>
      <c r="O101" s="225"/>
      <c r="P101" s="226"/>
      <c r="Q101" s="169"/>
      <c r="Y101" s="95"/>
      <c r="Z101" s="228"/>
      <c r="AA101" s="215"/>
      <c r="AB101" s="229"/>
      <c r="AC101" s="230"/>
      <c r="AD101" s="267" t="s">
        <v>4</v>
      </c>
      <c r="AH101" s="164"/>
    </row>
    <row r="102" spans="1:34" ht="17.100000000000001" customHeight="1" x14ac:dyDescent="0.25">
      <c r="A102" s="201"/>
      <c r="B102" s="202"/>
      <c r="C102" s="221"/>
      <c r="D102" s="222"/>
      <c r="E102" s="363"/>
      <c r="G102" s="206"/>
      <c r="H102" s="218"/>
      <c r="I102" s="177"/>
      <c r="J102" s="176"/>
      <c r="K102" s="207"/>
      <c r="L102" s="208"/>
      <c r="M102" s="208"/>
      <c r="N102" s="224"/>
      <c r="O102" s="225"/>
      <c r="P102" s="226"/>
      <c r="Q102" s="169"/>
      <c r="Y102" s="95"/>
      <c r="Z102" s="228"/>
      <c r="AA102" s="215"/>
      <c r="AB102" s="229"/>
      <c r="AC102" s="230"/>
      <c r="AD102" s="267" t="s">
        <v>4</v>
      </c>
      <c r="AH102" s="164"/>
    </row>
    <row r="103" spans="1:34" ht="17.100000000000001" customHeight="1" x14ac:dyDescent="0.25">
      <c r="A103" s="201"/>
      <c r="B103" s="202"/>
      <c r="C103" s="203"/>
      <c r="D103" s="204"/>
      <c r="E103" s="363"/>
      <c r="F103" s="205"/>
      <c r="G103" s="206"/>
      <c r="H103" s="290"/>
      <c r="I103" s="177"/>
      <c r="J103" s="176"/>
      <c r="K103" s="207"/>
      <c r="L103" s="208"/>
      <c r="M103" s="208"/>
      <c r="N103" s="209"/>
      <c r="O103" s="210"/>
      <c r="P103" s="211"/>
      <c r="Q103" s="220"/>
      <c r="R103" s="205"/>
      <c r="S103" s="205"/>
      <c r="T103" s="205"/>
      <c r="U103" s="205"/>
      <c r="V103" s="205"/>
      <c r="W103" s="205"/>
      <c r="X103" s="205"/>
      <c r="Y103" s="213"/>
      <c r="Z103" s="214"/>
      <c r="AA103" s="215"/>
      <c r="AB103" s="216"/>
      <c r="AC103" s="217"/>
      <c r="AD103" s="267" t="s">
        <v>4</v>
      </c>
      <c r="AH103" s="164"/>
    </row>
    <row r="104" spans="1:34" ht="17.100000000000001" customHeight="1" x14ac:dyDescent="0.25">
      <c r="A104" s="201"/>
      <c r="B104" s="202"/>
      <c r="C104" s="221"/>
      <c r="D104" s="222"/>
      <c r="E104" s="363"/>
      <c r="G104" s="206"/>
      <c r="H104" s="218"/>
      <c r="I104" s="177"/>
      <c r="J104" s="176"/>
      <c r="K104" s="207"/>
      <c r="L104" s="208"/>
      <c r="M104" s="208"/>
      <c r="N104" s="224"/>
      <c r="O104" s="225"/>
      <c r="P104" s="226"/>
      <c r="Q104" s="169"/>
      <c r="Y104" s="95"/>
      <c r="Z104" s="228"/>
      <c r="AA104" s="215"/>
      <c r="AB104" s="229"/>
      <c r="AC104" s="230"/>
      <c r="AD104" s="267" t="s">
        <v>4</v>
      </c>
      <c r="AH104" s="164"/>
    </row>
    <row r="105" spans="1:34" ht="17.100000000000001" customHeight="1" x14ac:dyDescent="0.25">
      <c r="A105" s="201"/>
      <c r="B105" s="202"/>
      <c r="C105" s="221"/>
      <c r="D105" s="222"/>
      <c r="E105" s="363"/>
      <c r="G105" s="206"/>
      <c r="H105" s="218"/>
      <c r="I105" s="177"/>
      <c r="J105" s="176"/>
      <c r="K105" s="207"/>
      <c r="L105" s="208"/>
      <c r="M105" s="208"/>
      <c r="N105" s="224"/>
      <c r="O105" s="225"/>
      <c r="P105" s="226"/>
      <c r="Q105" s="169"/>
      <c r="Y105" s="95"/>
      <c r="Z105" s="228"/>
      <c r="AA105" s="215"/>
      <c r="AB105" s="229"/>
      <c r="AC105" s="230"/>
      <c r="AD105" s="267" t="s">
        <v>4</v>
      </c>
      <c r="AH105" s="164"/>
    </row>
    <row r="106" spans="1:34" ht="17.100000000000001" customHeight="1" x14ac:dyDescent="0.25">
      <c r="A106" s="201"/>
      <c r="B106" s="202"/>
      <c r="C106" s="221"/>
      <c r="D106" s="222"/>
      <c r="E106" s="363"/>
      <c r="G106" s="206"/>
      <c r="H106" s="218"/>
      <c r="I106" s="177"/>
      <c r="J106" s="176"/>
      <c r="K106" s="207"/>
      <c r="L106" s="208"/>
      <c r="M106" s="208"/>
      <c r="N106" s="224"/>
      <c r="O106" s="225"/>
      <c r="P106" s="226"/>
      <c r="Q106" s="169"/>
      <c r="Y106" s="95"/>
      <c r="Z106" s="228"/>
      <c r="AA106" s="215"/>
      <c r="AB106" s="229"/>
      <c r="AC106" s="230"/>
      <c r="AD106" s="267" t="s">
        <v>4</v>
      </c>
      <c r="AH106" s="164"/>
    </row>
    <row r="107" spans="1:34" ht="17.100000000000001" customHeight="1" x14ac:dyDescent="0.25">
      <c r="A107" s="201"/>
      <c r="B107" s="202"/>
      <c r="C107" s="221"/>
      <c r="D107" s="222"/>
      <c r="E107" s="363"/>
      <c r="G107" s="206"/>
      <c r="H107" s="218"/>
      <c r="I107" s="177"/>
      <c r="J107" s="176"/>
      <c r="K107" s="207"/>
      <c r="L107" s="208"/>
      <c r="M107" s="208"/>
      <c r="N107" s="224"/>
      <c r="O107" s="225"/>
      <c r="P107" s="226"/>
      <c r="Q107" s="169"/>
      <c r="Y107" s="95"/>
      <c r="Z107" s="228"/>
      <c r="AA107" s="215"/>
      <c r="AB107" s="229"/>
      <c r="AC107" s="230"/>
      <c r="AD107" s="267" t="s">
        <v>4</v>
      </c>
      <c r="AH107" s="164"/>
    </row>
    <row r="108" spans="1:34" ht="17.100000000000001" customHeight="1" x14ac:dyDescent="0.25">
      <c r="A108" s="201"/>
      <c r="B108" s="202"/>
      <c r="C108" s="221"/>
      <c r="D108" s="222"/>
      <c r="E108" s="363"/>
      <c r="G108" s="206"/>
      <c r="H108" s="218"/>
      <c r="I108" s="177"/>
      <c r="J108" s="176"/>
      <c r="K108" s="207"/>
      <c r="L108" s="208"/>
      <c r="M108" s="208"/>
      <c r="N108" s="224"/>
      <c r="O108" s="225"/>
      <c r="P108" s="226"/>
      <c r="Q108" s="169"/>
      <c r="Y108" s="95"/>
      <c r="Z108" s="228"/>
      <c r="AA108" s="215"/>
      <c r="AB108" s="229"/>
      <c r="AC108" s="230"/>
      <c r="AD108" s="267" t="s">
        <v>4</v>
      </c>
      <c r="AH108" s="164"/>
    </row>
    <row r="109" spans="1:34" ht="17.100000000000001" customHeight="1" x14ac:dyDescent="0.25">
      <c r="A109" s="201"/>
      <c r="B109" s="202"/>
      <c r="C109" s="221"/>
      <c r="D109" s="222"/>
      <c r="E109" s="363"/>
      <c r="G109" s="206"/>
      <c r="H109" s="218"/>
      <c r="I109" s="177"/>
      <c r="J109" s="176"/>
      <c r="K109" s="207"/>
      <c r="L109" s="208"/>
      <c r="M109" s="208"/>
      <c r="N109" s="224"/>
      <c r="O109" s="225"/>
      <c r="P109" s="226"/>
      <c r="Q109" s="169"/>
      <c r="Y109" s="95"/>
      <c r="Z109" s="228"/>
      <c r="AA109" s="215"/>
      <c r="AB109" s="229"/>
      <c r="AC109" s="230"/>
      <c r="AD109" s="267" t="s">
        <v>4</v>
      </c>
      <c r="AH109" s="164"/>
    </row>
    <row r="110" spans="1:34" ht="17.100000000000001" customHeight="1" x14ac:dyDescent="0.25">
      <c r="A110" s="201"/>
      <c r="B110" s="202"/>
      <c r="C110" s="221"/>
      <c r="D110" s="222"/>
      <c r="E110" s="363"/>
      <c r="G110" s="206"/>
      <c r="H110" s="218"/>
      <c r="I110" s="177"/>
      <c r="J110" s="176"/>
      <c r="K110" s="207"/>
      <c r="L110" s="208"/>
      <c r="M110" s="208"/>
      <c r="N110" s="224"/>
      <c r="O110" s="225"/>
      <c r="P110" s="226"/>
      <c r="Q110" s="169"/>
      <c r="Y110" s="95"/>
      <c r="Z110" s="228"/>
      <c r="AA110" s="215"/>
      <c r="AB110" s="229"/>
      <c r="AC110" s="230"/>
      <c r="AD110" s="267" t="s">
        <v>4</v>
      </c>
      <c r="AH110" s="164"/>
    </row>
    <row r="111" spans="1:34" ht="17.100000000000001" customHeight="1" x14ac:dyDescent="0.25">
      <c r="A111" s="201"/>
      <c r="B111" s="202"/>
      <c r="C111" s="221"/>
      <c r="D111" s="222"/>
      <c r="E111" s="363"/>
      <c r="G111" s="206"/>
      <c r="H111" s="218"/>
      <c r="I111" s="177"/>
      <c r="J111" s="176"/>
      <c r="K111" s="207"/>
      <c r="L111" s="208"/>
      <c r="M111" s="208"/>
      <c r="N111" s="224"/>
      <c r="O111" s="225"/>
      <c r="P111" s="226"/>
      <c r="Q111" s="169"/>
      <c r="Y111" s="95"/>
      <c r="Z111" s="228"/>
      <c r="AA111" s="215"/>
      <c r="AB111" s="229"/>
      <c r="AC111" s="230"/>
      <c r="AD111" s="267" t="s">
        <v>4</v>
      </c>
      <c r="AH111" s="164"/>
    </row>
    <row r="112" spans="1:34" ht="17.100000000000001" customHeight="1" x14ac:dyDescent="0.25">
      <c r="A112" s="201"/>
      <c r="B112" s="202"/>
      <c r="C112" s="221"/>
      <c r="D112" s="222"/>
      <c r="E112" s="363"/>
      <c r="G112" s="206"/>
      <c r="H112" s="218"/>
      <c r="I112" s="177"/>
      <c r="J112" s="176"/>
      <c r="K112" s="207"/>
      <c r="L112" s="208"/>
      <c r="M112" s="208"/>
      <c r="N112" s="224"/>
      <c r="O112" s="225"/>
      <c r="P112" s="226"/>
      <c r="Q112" s="169"/>
      <c r="Y112" s="95"/>
      <c r="Z112" s="228"/>
      <c r="AA112" s="215"/>
      <c r="AB112" s="229"/>
      <c r="AC112" s="230"/>
      <c r="AD112" s="267" t="s">
        <v>4</v>
      </c>
      <c r="AH112" s="164"/>
    </row>
    <row r="113" spans="1:34" ht="17.100000000000001" customHeight="1" x14ac:dyDescent="0.25">
      <c r="A113" s="201"/>
      <c r="B113" s="202"/>
      <c r="C113" s="221"/>
      <c r="D113" s="222"/>
      <c r="E113" s="363"/>
      <c r="G113" s="206"/>
      <c r="H113" s="218"/>
      <c r="I113" s="177"/>
      <c r="J113" s="176"/>
      <c r="K113" s="207"/>
      <c r="L113" s="208"/>
      <c r="M113" s="208"/>
      <c r="N113" s="224"/>
      <c r="O113" s="225"/>
      <c r="P113" s="226"/>
      <c r="Q113" s="169"/>
      <c r="Y113" s="95"/>
      <c r="Z113" s="228"/>
      <c r="AA113" s="215"/>
      <c r="AB113" s="229"/>
      <c r="AC113" s="230"/>
      <c r="AD113" s="267" t="s">
        <v>4</v>
      </c>
      <c r="AH113" s="164"/>
    </row>
    <row r="114" spans="1:34" ht="17.100000000000001" customHeight="1" x14ac:dyDescent="0.25">
      <c r="A114" s="201"/>
      <c r="B114" s="202"/>
      <c r="C114" s="221"/>
      <c r="D114" s="222"/>
      <c r="E114" s="363"/>
      <c r="G114" s="206"/>
      <c r="H114" s="218"/>
      <c r="I114" s="177"/>
      <c r="J114" s="176"/>
      <c r="K114" s="207"/>
      <c r="L114" s="208"/>
      <c r="M114" s="208"/>
      <c r="N114" s="224"/>
      <c r="O114" s="225"/>
      <c r="P114" s="226"/>
      <c r="Q114" s="169"/>
      <c r="Y114" s="95"/>
      <c r="Z114" s="228"/>
      <c r="AA114" s="215"/>
      <c r="AB114" s="229"/>
      <c r="AC114" s="230"/>
      <c r="AD114" s="267" t="s">
        <v>4</v>
      </c>
      <c r="AH114" s="164"/>
    </row>
    <row r="115" spans="1:34" ht="17.100000000000001" customHeight="1" x14ac:dyDescent="0.25">
      <c r="A115" s="201"/>
      <c r="B115" s="202"/>
      <c r="C115" s="221"/>
      <c r="D115" s="222"/>
      <c r="E115" s="363"/>
      <c r="G115" s="206"/>
      <c r="H115" s="218"/>
      <c r="I115" s="177"/>
      <c r="J115" s="176"/>
      <c r="K115" s="207"/>
      <c r="L115" s="208"/>
      <c r="M115" s="208"/>
      <c r="N115" s="224"/>
      <c r="O115" s="225"/>
      <c r="P115" s="226"/>
      <c r="Q115" s="169"/>
      <c r="Y115" s="95"/>
      <c r="Z115" s="228"/>
      <c r="AA115" s="215"/>
      <c r="AB115" s="229"/>
      <c r="AC115" s="230"/>
      <c r="AD115" s="267" t="s">
        <v>4</v>
      </c>
      <c r="AH115" s="164"/>
    </row>
    <row r="116" spans="1:34" ht="17.100000000000001" customHeight="1" x14ac:dyDescent="0.25">
      <c r="A116" s="201"/>
      <c r="B116" s="202"/>
      <c r="C116" s="221"/>
      <c r="D116" s="222"/>
      <c r="E116" s="363"/>
      <c r="G116" s="206"/>
      <c r="H116" s="218"/>
      <c r="I116" s="177"/>
      <c r="J116" s="176"/>
      <c r="K116" s="207"/>
      <c r="L116" s="208"/>
      <c r="M116" s="208"/>
      <c r="N116" s="224"/>
      <c r="O116" s="225"/>
      <c r="P116" s="226"/>
      <c r="Q116" s="169"/>
      <c r="Y116" s="95"/>
      <c r="Z116" s="228"/>
      <c r="AA116" s="215"/>
      <c r="AB116" s="229"/>
      <c r="AC116" s="230"/>
      <c r="AD116" s="267" t="s">
        <v>4</v>
      </c>
      <c r="AH116" s="164"/>
    </row>
    <row r="117" spans="1:34" ht="17.100000000000001" customHeight="1" x14ac:dyDescent="0.25">
      <c r="A117" s="201"/>
      <c r="B117" s="202"/>
      <c r="C117" s="221"/>
      <c r="D117" s="222"/>
      <c r="E117" s="363"/>
      <c r="G117" s="206"/>
      <c r="H117" s="218"/>
      <c r="I117" s="177"/>
      <c r="J117" s="176"/>
      <c r="K117" s="207"/>
      <c r="L117" s="208"/>
      <c r="M117" s="208"/>
      <c r="N117" s="224"/>
      <c r="O117" s="225"/>
      <c r="P117" s="226"/>
      <c r="Q117" s="169"/>
      <c r="Y117" s="95"/>
      <c r="Z117" s="228"/>
      <c r="AA117" s="215"/>
      <c r="AB117" s="229"/>
      <c r="AC117" s="230"/>
      <c r="AD117" s="267" t="s">
        <v>4</v>
      </c>
      <c r="AH117" s="164"/>
    </row>
    <row r="118" spans="1:34" ht="17.100000000000001" customHeight="1" x14ac:dyDescent="0.25">
      <c r="A118" s="201"/>
      <c r="B118" s="202"/>
      <c r="C118" s="203"/>
      <c r="D118" s="204"/>
      <c r="E118" s="363"/>
      <c r="F118" s="205"/>
      <c r="G118" s="206"/>
      <c r="H118" s="218"/>
      <c r="I118" s="177"/>
      <c r="J118" s="176"/>
      <c r="K118" s="207"/>
      <c r="L118" s="208"/>
      <c r="M118" s="208"/>
      <c r="N118" s="209"/>
      <c r="O118" s="210"/>
      <c r="P118" s="211"/>
      <c r="Q118" s="220"/>
      <c r="R118" s="205"/>
      <c r="S118" s="205"/>
      <c r="T118" s="205"/>
      <c r="U118" s="205"/>
      <c r="V118" s="205"/>
      <c r="W118" s="205"/>
      <c r="X118" s="205"/>
      <c r="Y118" s="213"/>
      <c r="Z118" s="214"/>
      <c r="AA118" s="215"/>
      <c r="AB118" s="216"/>
      <c r="AC118" s="217"/>
      <c r="AD118" s="267" t="s">
        <v>4</v>
      </c>
      <c r="AH118" s="164"/>
    </row>
    <row r="119" spans="1:34" ht="17.100000000000001" customHeight="1" x14ac:dyDescent="0.25">
      <c r="A119" s="201"/>
      <c r="B119" s="202"/>
      <c r="C119" s="221"/>
      <c r="D119" s="222"/>
      <c r="E119" s="363"/>
      <c r="G119" s="206"/>
      <c r="H119" s="218"/>
      <c r="I119" s="177"/>
      <c r="J119" s="176"/>
      <c r="K119" s="207"/>
      <c r="L119" s="208"/>
      <c r="M119" s="208"/>
      <c r="N119" s="224"/>
      <c r="O119" s="225"/>
      <c r="P119" s="226"/>
      <c r="Q119" s="169"/>
      <c r="R119" s="233"/>
      <c r="Y119" s="95"/>
      <c r="Z119" s="228"/>
      <c r="AA119" s="215"/>
      <c r="AB119" s="229"/>
      <c r="AC119" s="230"/>
      <c r="AD119" s="267" t="s">
        <v>4</v>
      </c>
      <c r="AH119" s="164"/>
    </row>
    <row r="120" spans="1:34" ht="17.100000000000001" customHeight="1" x14ac:dyDescent="0.25">
      <c r="A120" s="201"/>
      <c r="B120" s="202"/>
      <c r="C120" s="221"/>
      <c r="D120" s="222"/>
      <c r="E120" s="363"/>
      <c r="G120" s="206"/>
      <c r="H120" s="218"/>
      <c r="I120" s="177"/>
      <c r="J120" s="176"/>
      <c r="K120" s="207"/>
      <c r="L120" s="208"/>
      <c r="M120" s="208"/>
      <c r="N120" s="224"/>
      <c r="O120" s="225"/>
      <c r="P120" s="226"/>
      <c r="Q120" s="169"/>
      <c r="Y120" s="95"/>
      <c r="Z120" s="228"/>
      <c r="AA120" s="215"/>
      <c r="AB120" s="229"/>
      <c r="AC120" s="230"/>
      <c r="AD120" s="267" t="s">
        <v>4</v>
      </c>
      <c r="AH120" s="164"/>
    </row>
    <row r="121" spans="1:34" ht="17.100000000000001" customHeight="1" x14ac:dyDescent="0.25">
      <c r="A121" s="201"/>
      <c r="B121" s="202"/>
      <c r="C121" s="221"/>
      <c r="D121" s="222"/>
      <c r="E121" s="363"/>
      <c r="G121" s="206"/>
      <c r="H121" s="218"/>
      <c r="I121" s="177"/>
      <c r="J121" s="176"/>
      <c r="K121" s="207"/>
      <c r="L121" s="208"/>
      <c r="M121" s="208"/>
      <c r="N121" s="224"/>
      <c r="O121" s="225"/>
      <c r="P121" s="226"/>
      <c r="Q121" s="169"/>
      <c r="Y121" s="95"/>
      <c r="Z121" s="228"/>
      <c r="AA121" s="215"/>
      <c r="AB121" s="229"/>
      <c r="AC121" s="230"/>
      <c r="AD121" s="267" t="s">
        <v>4</v>
      </c>
      <c r="AH121" s="164"/>
    </row>
    <row r="122" spans="1:34" ht="17.100000000000001" customHeight="1" x14ac:dyDescent="0.25">
      <c r="A122" s="201"/>
      <c r="B122" s="202"/>
      <c r="C122" s="203"/>
      <c r="D122" s="204"/>
      <c r="E122" s="363"/>
      <c r="F122" s="205"/>
      <c r="G122" s="206"/>
      <c r="H122" s="218"/>
      <c r="I122" s="177"/>
      <c r="J122" s="176"/>
      <c r="K122" s="207"/>
      <c r="L122" s="208"/>
      <c r="M122" s="208"/>
      <c r="N122" s="209"/>
      <c r="O122" s="210"/>
      <c r="P122" s="211"/>
      <c r="Q122" s="220"/>
      <c r="R122" s="205"/>
      <c r="S122" s="205"/>
      <c r="T122" s="205"/>
      <c r="U122" s="205"/>
      <c r="V122" s="205"/>
      <c r="W122" s="205"/>
      <c r="X122" s="205"/>
      <c r="Y122" s="213"/>
      <c r="Z122" s="214"/>
      <c r="AA122" s="215"/>
      <c r="AB122" s="216"/>
      <c r="AC122" s="217"/>
      <c r="AD122" s="267" t="s">
        <v>4</v>
      </c>
      <c r="AH122" s="164"/>
    </row>
    <row r="123" spans="1:34" ht="17.100000000000001" customHeight="1" x14ac:dyDescent="0.25">
      <c r="A123" s="201"/>
      <c r="B123" s="202"/>
      <c r="C123" s="221"/>
      <c r="D123" s="222"/>
      <c r="E123" s="363"/>
      <c r="G123" s="206"/>
      <c r="H123" s="218"/>
      <c r="I123" s="177"/>
      <c r="J123" s="176"/>
      <c r="K123" s="207"/>
      <c r="L123" s="208"/>
      <c r="M123" s="208"/>
      <c r="N123" s="224"/>
      <c r="O123" s="225"/>
      <c r="P123" s="226"/>
      <c r="Q123" s="169"/>
      <c r="Y123" s="95"/>
      <c r="Z123" s="228"/>
      <c r="AA123" s="215"/>
      <c r="AB123" s="229"/>
      <c r="AC123" s="230"/>
      <c r="AD123" s="267" t="s">
        <v>4</v>
      </c>
      <c r="AH123" s="164"/>
    </row>
    <row r="124" spans="1:34" ht="17.100000000000001" customHeight="1" x14ac:dyDescent="0.25">
      <c r="A124" s="201"/>
      <c r="B124" s="202"/>
      <c r="C124" s="221"/>
      <c r="D124" s="222"/>
      <c r="E124" s="363"/>
      <c r="G124" s="206"/>
      <c r="H124" s="218"/>
      <c r="I124" s="177"/>
      <c r="J124" s="176"/>
      <c r="K124" s="207"/>
      <c r="L124" s="208"/>
      <c r="M124" s="208"/>
      <c r="N124" s="224"/>
      <c r="O124" s="225"/>
      <c r="P124" s="226"/>
      <c r="Q124" s="169"/>
      <c r="Y124" s="95"/>
      <c r="Z124" s="228"/>
      <c r="AA124" s="215"/>
      <c r="AB124" s="229"/>
      <c r="AC124" s="230"/>
      <c r="AD124" s="267" t="s">
        <v>4</v>
      </c>
      <c r="AH124" s="164"/>
    </row>
    <row r="125" spans="1:34" ht="17.100000000000001" customHeight="1" x14ac:dyDescent="0.25">
      <c r="A125" s="201"/>
      <c r="B125" s="202"/>
      <c r="C125" s="221"/>
      <c r="D125" s="222"/>
      <c r="E125" s="363"/>
      <c r="G125" s="206"/>
      <c r="H125" s="218"/>
      <c r="I125" s="177"/>
      <c r="J125" s="176"/>
      <c r="K125" s="207"/>
      <c r="L125" s="208"/>
      <c r="M125" s="208"/>
      <c r="N125" s="224"/>
      <c r="O125" s="225"/>
      <c r="P125" s="226"/>
      <c r="Q125" s="169"/>
      <c r="Y125" s="95"/>
      <c r="Z125" s="228"/>
      <c r="AA125" s="215"/>
      <c r="AB125" s="229"/>
      <c r="AC125" s="230"/>
      <c r="AD125" s="267" t="s">
        <v>4</v>
      </c>
      <c r="AH125" s="164"/>
    </row>
    <row r="126" spans="1:34" ht="17.100000000000001" customHeight="1" x14ac:dyDescent="0.25">
      <c r="A126" s="201"/>
      <c r="B126" s="202"/>
      <c r="C126" s="221"/>
      <c r="D126" s="222"/>
      <c r="E126" s="363"/>
      <c r="G126" s="206"/>
      <c r="H126" s="218"/>
      <c r="I126" s="177"/>
      <c r="J126" s="176"/>
      <c r="K126" s="207"/>
      <c r="L126" s="208"/>
      <c r="M126" s="208"/>
      <c r="N126" s="224"/>
      <c r="O126" s="225"/>
      <c r="P126" s="226"/>
      <c r="Q126" s="169"/>
      <c r="Y126" s="95"/>
      <c r="Z126" s="228"/>
      <c r="AA126" s="215"/>
      <c r="AB126" s="229"/>
      <c r="AC126" s="230"/>
      <c r="AD126" s="267" t="s">
        <v>4</v>
      </c>
      <c r="AH126" s="164"/>
    </row>
    <row r="127" spans="1:34" ht="17.100000000000001" customHeight="1" x14ac:dyDescent="0.25">
      <c r="A127" s="201"/>
      <c r="B127" s="202"/>
      <c r="C127" s="221"/>
      <c r="D127" s="222"/>
      <c r="E127" s="363"/>
      <c r="G127" s="206"/>
      <c r="H127" s="218"/>
      <c r="I127" s="177"/>
      <c r="J127" s="176"/>
      <c r="K127" s="207"/>
      <c r="L127" s="208"/>
      <c r="M127" s="208"/>
      <c r="N127" s="224"/>
      <c r="O127" s="225"/>
      <c r="P127" s="226"/>
      <c r="Q127" s="169"/>
      <c r="Y127" s="95"/>
      <c r="Z127" s="228"/>
      <c r="AA127" s="215"/>
      <c r="AB127" s="229"/>
      <c r="AC127" s="230"/>
      <c r="AD127" s="267" t="s">
        <v>4</v>
      </c>
      <c r="AH127" s="164"/>
    </row>
    <row r="128" spans="1:34" ht="17.100000000000001" customHeight="1" x14ac:dyDescent="0.25">
      <c r="A128" s="201"/>
      <c r="B128" s="202"/>
      <c r="C128" s="221"/>
      <c r="D128" s="222"/>
      <c r="E128" s="363"/>
      <c r="G128" s="206"/>
      <c r="H128" s="218"/>
      <c r="I128" s="177"/>
      <c r="J128" s="176"/>
      <c r="K128" s="207"/>
      <c r="L128" s="208"/>
      <c r="M128" s="208"/>
      <c r="N128" s="224"/>
      <c r="O128" s="225"/>
      <c r="P128" s="226"/>
      <c r="Q128" s="169"/>
      <c r="Y128" s="95"/>
      <c r="Z128" s="228"/>
      <c r="AA128" s="215"/>
      <c r="AB128" s="229"/>
      <c r="AC128" s="230"/>
      <c r="AD128" s="267" t="s">
        <v>4</v>
      </c>
      <c r="AH128" s="164"/>
    </row>
    <row r="129" spans="1:34" ht="17.100000000000001" customHeight="1" x14ac:dyDescent="0.25">
      <c r="A129" s="201"/>
      <c r="B129" s="202"/>
      <c r="C129" s="221"/>
      <c r="D129" s="222"/>
      <c r="E129" s="363"/>
      <c r="G129" s="206"/>
      <c r="H129" s="218"/>
      <c r="I129" s="177"/>
      <c r="J129" s="176"/>
      <c r="K129" s="207"/>
      <c r="L129" s="208"/>
      <c r="M129" s="208"/>
      <c r="N129" s="224"/>
      <c r="O129" s="225"/>
      <c r="P129" s="226"/>
      <c r="Q129" s="169"/>
      <c r="Y129" s="95"/>
      <c r="Z129" s="228"/>
      <c r="AA129" s="215"/>
      <c r="AB129" s="229"/>
      <c r="AC129" s="230"/>
      <c r="AD129" s="267" t="s">
        <v>4</v>
      </c>
      <c r="AH129" s="164"/>
    </row>
    <row r="130" spans="1:34" ht="17.100000000000001" customHeight="1" x14ac:dyDescent="0.25">
      <c r="A130" s="201"/>
      <c r="B130" s="202"/>
      <c r="C130" s="221"/>
      <c r="D130" s="222"/>
      <c r="E130" s="363"/>
      <c r="G130" s="206"/>
      <c r="H130" s="218"/>
      <c r="I130" s="177"/>
      <c r="J130" s="176"/>
      <c r="K130" s="207"/>
      <c r="L130" s="208"/>
      <c r="M130" s="208"/>
      <c r="N130" s="224"/>
      <c r="O130" s="225"/>
      <c r="P130" s="226"/>
      <c r="Q130" s="169"/>
      <c r="Y130" s="95"/>
      <c r="Z130" s="228"/>
      <c r="AA130" s="215"/>
      <c r="AB130" s="229"/>
      <c r="AC130" s="230"/>
      <c r="AD130" s="267" t="s">
        <v>4</v>
      </c>
      <c r="AH130" s="164"/>
    </row>
    <row r="131" spans="1:34" ht="17.100000000000001" customHeight="1" x14ac:dyDescent="0.25">
      <c r="A131" s="201"/>
      <c r="B131" s="202"/>
      <c r="C131" s="221"/>
      <c r="D131" s="222"/>
      <c r="E131" s="363"/>
      <c r="G131" s="206"/>
      <c r="H131" s="218"/>
      <c r="I131" s="177"/>
      <c r="J131" s="176"/>
      <c r="K131" s="207"/>
      <c r="L131" s="208"/>
      <c r="M131" s="208"/>
      <c r="N131" s="224"/>
      <c r="O131" s="225"/>
      <c r="P131" s="226"/>
      <c r="Q131" s="169"/>
      <c r="R131" s="233"/>
      <c r="Y131" s="95"/>
      <c r="Z131" s="228"/>
      <c r="AA131" s="215"/>
      <c r="AB131" s="229"/>
      <c r="AC131" s="230"/>
      <c r="AD131" s="267" t="s">
        <v>4</v>
      </c>
      <c r="AH131" s="164"/>
    </row>
    <row r="132" spans="1:34" ht="17.100000000000001" customHeight="1" x14ac:dyDescent="0.25">
      <c r="A132" s="201"/>
      <c r="B132" s="202"/>
      <c r="C132" s="221"/>
      <c r="D132" s="222"/>
      <c r="E132" s="363"/>
      <c r="G132" s="206"/>
      <c r="H132" s="218"/>
      <c r="I132" s="177"/>
      <c r="J132" s="176"/>
      <c r="K132" s="207"/>
      <c r="L132" s="208"/>
      <c r="M132" s="208"/>
      <c r="N132" s="224"/>
      <c r="O132" s="225"/>
      <c r="P132" s="226"/>
      <c r="Q132" s="169"/>
      <c r="R132" s="233"/>
      <c r="Y132" s="95"/>
      <c r="Z132" s="228"/>
      <c r="AA132" s="215"/>
      <c r="AB132" s="229"/>
      <c r="AC132" s="230"/>
      <c r="AD132" s="267" t="s">
        <v>4</v>
      </c>
      <c r="AH132" s="164"/>
    </row>
    <row r="133" spans="1:34" ht="17.100000000000001" customHeight="1" x14ac:dyDescent="0.25">
      <c r="A133" s="201"/>
      <c r="B133" s="202"/>
      <c r="C133" s="221"/>
      <c r="D133" s="222"/>
      <c r="E133" s="363"/>
      <c r="G133" s="206"/>
      <c r="H133" s="218"/>
      <c r="I133" s="177"/>
      <c r="J133" s="176"/>
      <c r="K133" s="207"/>
      <c r="L133" s="208"/>
      <c r="M133" s="208"/>
      <c r="N133" s="224"/>
      <c r="O133" s="225"/>
      <c r="P133" s="226"/>
      <c r="Q133" s="169"/>
      <c r="Y133" s="95"/>
      <c r="Z133" s="228"/>
      <c r="AA133" s="215"/>
      <c r="AB133" s="229"/>
      <c r="AC133" s="230"/>
      <c r="AD133" s="267" t="s">
        <v>4</v>
      </c>
      <c r="AH133" s="164"/>
    </row>
    <row r="134" spans="1:34" ht="17.100000000000001" customHeight="1" x14ac:dyDescent="0.25">
      <c r="A134" s="201"/>
      <c r="B134" s="202"/>
      <c r="C134" s="221"/>
      <c r="D134" s="222"/>
      <c r="E134" s="363"/>
      <c r="G134" s="206"/>
      <c r="H134" s="218"/>
      <c r="I134" s="177"/>
      <c r="J134" s="176"/>
      <c r="K134" s="207"/>
      <c r="L134" s="208"/>
      <c r="M134" s="208"/>
      <c r="N134" s="224"/>
      <c r="O134" s="225"/>
      <c r="P134" s="226"/>
      <c r="Q134" s="169"/>
      <c r="Y134" s="95"/>
      <c r="Z134" s="228"/>
      <c r="AA134" s="215"/>
      <c r="AB134" s="229"/>
      <c r="AC134" s="230"/>
      <c r="AD134" s="267" t="s">
        <v>4</v>
      </c>
      <c r="AH134" s="164"/>
    </row>
    <row r="135" spans="1:34" ht="17.100000000000001" customHeight="1" x14ac:dyDescent="0.25">
      <c r="A135" s="201"/>
      <c r="B135" s="202"/>
      <c r="C135" s="221"/>
      <c r="D135" s="222"/>
      <c r="E135" s="363"/>
      <c r="G135" s="206"/>
      <c r="H135" s="218"/>
      <c r="I135" s="177"/>
      <c r="J135" s="176"/>
      <c r="K135" s="207"/>
      <c r="L135" s="208"/>
      <c r="M135" s="208"/>
      <c r="N135" s="224"/>
      <c r="O135" s="225"/>
      <c r="P135" s="226"/>
      <c r="Q135" s="169"/>
      <c r="Y135" s="95"/>
      <c r="Z135" s="228"/>
      <c r="AA135" s="215"/>
      <c r="AB135" s="229"/>
      <c r="AC135" s="230"/>
      <c r="AD135" s="267" t="s">
        <v>4</v>
      </c>
      <c r="AH135" s="164"/>
    </row>
    <row r="136" spans="1:34" ht="17.100000000000001" customHeight="1" x14ac:dyDescent="0.25">
      <c r="A136" s="201"/>
      <c r="B136" s="202"/>
      <c r="C136" s="203"/>
      <c r="D136" s="204"/>
      <c r="E136" s="363"/>
      <c r="F136" s="205"/>
      <c r="G136" s="206"/>
      <c r="H136" s="218"/>
      <c r="I136" s="177"/>
      <c r="J136" s="176"/>
      <c r="K136" s="207"/>
      <c r="L136" s="208"/>
      <c r="M136" s="208"/>
      <c r="N136" s="209"/>
      <c r="O136" s="210"/>
      <c r="P136" s="211"/>
      <c r="Q136" s="220"/>
      <c r="R136" s="205"/>
      <c r="S136" s="205"/>
      <c r="T136" s="205"/>
      <c r="U136" s="205"/>
      <c r="V136" s="205"/>
      <c r="W136" s="205"/>
      <c r="X136" s="205"/>
      <c r="Y136" s="213"/>
      <c r="Z136" s="214"/>
      <c r="AA136" s="215"/>
      <c r="AB136" s="216"/>
      <c r="AC136" s="217"/>
      <c r="AD136" s="267" t="s">
        <v>4</v>
      </c>
      <c r="AH136" s="164"/>
    </row>
    <row r="137" spans="1:34" ht="17.100000000000001" customHeight="1" x14ac:dyDescent="0.25">
      <c r="A137" s="201"/>
      <c r="B137" s="202"/>
      <c r="C137" s="221"/>
      <c r="D137" s="222"/>
      <c r="E137" s="363"/>
      <c r="G137" s="206"/>
      <c r="H137" s="218"/>
      <c r="I137" s="177"/>
      <c r="J137" s="176"/>
      <c r="K137" s="207"/>
      <c r="L137" s="208"/>
      <c r="M137" s="208"/>
      <c r="N137" s="224"/>
      <c r="O137" s="225"/>
      <c r="P137" s="226"/>
      <c r="Q137" s="169"/>
      <c r="Y137" s="95"/>
      <c r="Z137" s="228"/>
      <c r="AA137" s="215"/>
      <c r="AB137" s="229"/>
      <c r="AC137" s="230"/>
      <c r="AD137" s="267" t="s">
        <v>4</v>
      </c>
      <c r="AH137" s="164"/>
    </row>
    <row r="138" spans="1:34" ht="17.100000000000001" customHeight="1" x14ac:dyDescent="0.25">
      <c r="A138" s="201"/>
      <c r="B138" s="202"/>
      <c r="C138" s="221"/>
      <c r="D138" s="222"/>
      <c r="E138" s="363"/>
      <c r="G138" s="206"/>
      <c r="H138" s="218"/>
      <c r="I138" s="177"/>
      <c r="J138" s="176"/>
      <c r="K138" s="207"/>
      <c r="L138" s="208"/>
      <c r="M138" s="208"/>
      <c r="N138" s="224"/>
      <c r="O138" s="225"/>
      <c r="P138" s="226"/>
      <c r="Q138" s="169"/>
      <c r="Y138" s="95"/>
      <c r="Z138" s="228"/>
      <c r="AA138" s="215"/>
      <c r="AB138" s="229"/>
      <c r="AC138" s="230"/>
      <c r="AD138" s="267" t="s">
        <v>4</v>
      </c>
      <c r="AH138" s="164"/>
    </row>
    <row r="139" spans="1:34" ht="17.100000000000001" customHeight="1" x14ac:dyDescent="0.25">
      <c r="A139" s="201"/>
      <c r="B139" s="202"/>
      <c r="C139" s="221"/>
      <c r="D139" s="222"/>
      <c r="E139" s="363"/>
      <c r="G139" s="206"/>
      <c r="H139" s="218"/>
      <c r="I139" s="177"/>
      <c r="J139" s="176"/>
      <c r="K139" s="207"/>
      <c r="L139" s="208"/>
      <c r="M139" s="208"/>
      <c r="N139" s="224"/>
      <c r="O139" s="225"/>
      <c r="P139" s="226"/>
      <c r="Q139" s="169"/>
      <c r="Y139" s="95"/>
      <c r="Z139" s="228"/>
      <c r="AA139" s="215"/>
      <c r="AB139" s="229"/>
      <c r="AC139" s="230"/>
      <c r="AD139" s="267" t="s">
        <v>4</v>
      </c>
      <c r="AH139" s="164"/>
    </row>
    <row r="140" spans="1:34" ht="17.100000000000001" customHeight="1" x14ac:dyDescent="0.25">
      <c r="A140" s="201"/>
      <c r="B140" s="202"/>
      <c r="C140" s="221"/>
      <c r="D140" s="222"/>
      <c r="E140" s="363"/>
      <c r="G140" s="206"/>
      <c r="H140" s="218"/>
      <c r="I140" s="177"/>
      <c r="J140" s="176"/>
      <c r="K140" s="207"/>
      <c r="L140" s="208"/>
      <c r="M140" s="208"/>
      <c r="N140" s="224"/>
      <c r="O140" s="225"/>
      <c r="P140" s="226"/>
      <c r="Q140" s="220"/>
      <c r="Y140" s="95"/>
      <c r="Z140" s="228"/>
      <c r="AA140" s="215"/>
      <c r="AB140" s="229"/>
      <c r="AC140" s="230"/>
      <c r="AD140" s="267" t="s">
        <v>4</v>
      </c>
      <c r="AH140" s="164"/>
    </row>
    <row r="141" spans="1:34" ht="17.100000000000001" customHeight="1" x14ac:dyDescent="0.25">
      <c r="A141" s="201"/>
      <c r="B141" s="202"/>
      <c r="C141" s="221"/>
      <c r="D141" s="222"/>
      <c r="E141" s="363"/>
      <c r="G141" s="206"/>
      <c r="H141" s="218"/>
      <c r="I141" s="177"/>
      <c r="J141" s="176"/>
      <c r="K141" s="207"/>
      <c r="L141" s="208"/>
      <c r="M141" s="208"/>
      <c r="N141" s="224"/>
      <c r="O141" s="225"/>
      <c r="P141" s="226"/>
      <c r="Q141" s="220"/>
      <c r="Y141" s="95"/>
      <c r="Z141" s="228"/>
      <c r="AA141" s="215"/>
      <c r="AB141" s="229"/>
      <c r="AC141" s="230"/>
      <c r="AD141" s="267" t="s">
        <v>4</v>
      </c>
      <c r="AH141" s="164"/>
    </row>
    <row r="142" spans="1:34" ht="17.100000000000001" customHeight="1" x14ac:dyDescent="0.25">
      <c r="A142" s="201"/>
      <c r="B142" s="202"/>
      <c r="C142" s="221"/>
      <c r="D142" s="222"/>
      <c r="E142" s="363"/>
      <c r="G142" s="206"/>
      <c r="H142" s="218"/>
      <c r="I142" s="177"/>
      <c r="J142" s="176"/>
      <c r="K142" s="207"/>
      <c r="L142" s="208"/>
      <c r="M142" s="208"/>
      <c r="N142" s="224"/>
      <c r="O142" s="225"/>
      <c r="P142" s="226"/>
      <c r="Q142" s="220"/>
      <c r="Y142" s="95"/>
      <c r="Z142" s="228"/>
      <c r="AA142" s="215"/>
      <c r="AB142" s="229"/>
      <c r="AC142" s="230"/>
      <c r="AD142" s="267" t="s">
        <v>4</v>
      </c>
      <c r="AH142" s="164"/>
    </row>
    <row r="143" spans="1:34" ht="17.100000000000001" customHeight="1" x14ac:dyDescent="0.25">
      <c r="A143" s="201"/>
      <c r="B143" s="202"/>
      <c r="C143" s="221"/>
      <c r="D143" s="222"/>
      <c r="E143" s="363"/>
      <c r="G143" s="206"/>
      <c r="H143" s="218"/>
      <c r="I143" s="177"/>
      <c r="J143" s="176"/>
      <c r="K143" s="207"/>
      <c r="L143" s="208"/>
      <c r="M143" s="208"/>
      <c r="N143" s="224"/>
      <c r="O143" s="225"/>
      <c r="P143" s="226"/>
      <c r="Q143" s="169"/>
      <c r="Y143" s="95"/>
      <c r="Z143" s="228"/>
      <c r="AA143" s="215"/>
      <c r="AB143" s="229"/>
      <c r="AC143" s="230"/>
      <c r="AD143" s="267" t="s">
        <v>4</v>
      </c>
      <c r="AH143" s="164"/>
    </row>
    <row r="144" spans="1:34" ht="17.100000000000001" customHeight="1" x14ac:dyDescent="0.25">
      <c r="A144" s="201"/>
      <c r="B144" s="202"/>
      <c r="C144" s="221"/>
      <c r="D144" s="222"/>
      <c r="E144" s="363"/>
      <c r="G144" s="206"/>
      <c r="H144" s="218"/>
      <c r="I144" s="177"/>
      <c r="J144" s="176"/>
      <c r="K144" s="207"/>
      <c r="L144" s="208"/>
      <c r="M144" s="208"/>
      <c r="N144" s="224"/>
      <c r="O144" s="225"/>
      <c r="P144" s="226"/>
      <c r="Q144" s="169"/>
      <c r="Y144" s="95"/>
      <c r="Z144" s="228"/>
      <c r="AA144" s="215"/>
      <c r="AB144" s="216"/>
      <c r="AC144" s="230"/>
      <c r="AD144" s="267" t="s">
        <v>4</v>
      </c>
      <c r="AH144" s="164"/>
    </row>
    <row r="145" spans="1:34" ht="17.100000000000001" customHeight="1" x14ac:dyDescent="0.25">
      <c r="A145" s="201"/>
      <c r="B145" s="202"/>
      <c r="C145" s="221"/>
      <c r="D145" s="222"/>
      <c r="E145" s="363"/>
      <c r="G145" s="206"/>
      <c r="H145" s="218"/>
      <c r="I145" s="177"/>
      <c r="J145" s="176"/>
      <c r="K145" s="207"/>
      <c r="L145" s="208"/>
      <c r="M145" s="208"/>
      <c r="N145" s="224"/>
      <c r="O145" s="225"/>
      <c r="P145" s="226"/>
      <c r="Q145" s="169"/>
      <c r="Y145" s="95"/>
      <c r="Z145" s="228"/>
      <c r="AA145" s="215"/>
      <c r="AB145" s="216"/>
      <c r="AC145" s="230"/>
      <c r="AD145" s="267" t="s">
        <v>4</v>
      </c>
      <c r="AH145" s="164"/>
    </row>
    <row r="146" spans="1:34" ht="17.100000000000001" customHeight="1" x14ac:dyDescent="0.25">
      <c r="A146" s="201"/>
      <c r="B146" s="202"/>
      <c r="C146" s="221"/>
      <c r="D146" s="222"/>
      <c r="E146" s="363"/>
      <c r="G146" s="206"/>
      <c r="H146" s="218"/>
      <c r="I146" s="177"/>
      <c r="J146" s="176"/>
      <c r="K146" s="207"/>
      <c r="L146" s="208"/>
      <c r="M146" s="208"/>
      <c r="N146" s="224"/>
      <c r="O146" s="225"/>
      <c r="P146" s="226"/>
      <c r="Q146" s="169"/>
      <c r="Y146" s="95"/>
      <c r="Z146" s="228"/>
      <c r="AA146" s="215"/>
      <c r="AB146" s="216"/>
      <c r="AC146" s="230"/>
      <c r="AD146" s="267" t="s">
        <v>4</v>
      </c>
      <c r="AH146" s="164"/>
    </row>
    <row r="147" spans="1:34" ht="17.100000000000001" customHeight="1" x14ac:dyDescent="0.25">
      <c r="A147" s="201"/>
      <c r="B147" s="202"/>
      <c r="C147" s="221"/>
      <c r="D147" s="222"/>
      <c r="E147" s="363"/>
      <c r="G147" s="206"/>
      <c r="H147" s="218"/>
      <c r="I147" s="177"/>
      <c r="J147" s="176"/>
      <c r="K147" s="207"/>
      <c r="L147" s="208"/>
      <c r="M147" s="208"/>
      <c r="N147" s="224"/>
      <c r="O147" s="225"/>
      <c r="P147" s="226"/>
      <c r="Q147" s="169"/>
      <c r="Y147" s="95"/>
      <c r="Z147" s="228"/>
      <c r="AA147" s="215"/>
      <c r="AB147" s="216"/>
      <c r="AC147" s="230"/>
      <c r="AD147" s="267" t="s">
        <v>4</v>
      </c>
      <c r="AH147" s="164"/>
    </row>
    <row r="148" spans="1:34" ht="17.100000000000001" customHeight="1" x14ac:dyDescent="0.25">
      <c r="A148" s="201"/>
      <c r="B148" s="202"/>
      <c r="C148" s="221"/>
      <c r="D148" s="222"/>
      <c r="E148" s="363"/>
      <c r="G148" s="206"/>
      <c r="H148" s="218"/>
      <c r="I148" s="177"/>
      <c r="J148" s="176"/>
      <c r="K148" s="207"/>
      <c r="L148" s="208"/>
      <c r="M148" s="208"/>
      <c r="N148" s="224"/>
      <c r="O148" s="225"/>
      <c r="P148" s="226"/>
      <c r="Q148" s="169"/>
      <c r="Y148" s="95"/>
      <c r="Z148" s="228"/>
      <c r="AA148" s="215"/>
      <c r="AB148" s="216"/>
      <c r="AC148" s="230"/>
      <c r="AD148" s="267" t="s">
        <v>4</v>
      </c>
      <c r="AH148" s="164"/>
    </row>
    <row r="149" spans="1:34" ht="17.100000000000001" customHeight="1" x14ac:dyDescent="0.25">
      <c r="A149" s="201"/>
      <c r="B149" s="202"/>
      <c r="C149" s="221"/>
      <c r="D149" s="222"/>
      <c r="E149" s="363"/>
      <c r="G149" s="206"/>
      <c r="H149" s="218"/>
      <c r="I149" s="177"/>
      <c r="J149" s="176"/>
      <c r="K149" s="207"/>
      <c r="L149" s="208"/>
      <c r="M149" s="208"/>
      <c r="N149" s="224"/>
      <c r="O149" s="225"/>
      <c r="P149" s="226"/>
      <c r="Q149" s="169"/>
      <c r="Y149" s="95"/>
      <c r="Z149" s="228"/>
      <c r="AA149" s="215"/>
      <c r="AB149" s="216"/>
      <c r="AC149" s="230"/>
      <c r="AD149" s="267" t="s">
        <v>4</v>
      </c>
      <c r="AH149" s="164"/>
    </row>
    <row r="150" spans="1:34" ht="17.100000000000001" customHeight="1" x14ac:dyDescent="0.25">
      <c r="A150" s="201"/>
      <c r="B150" s="202"/>
      <c r="C150" s="221"/>
      <c r="D150" s="222"/>
      <c r="E150" s="363"/>
      <c r="G150" s="206"/>
      <c r="H150" s="218"/>
      <c r="I150" s="177"/>
      <c r="J150" s="176"/>
      <c r="K150" s="207"/>
      <c r="L150" s="208"/>
      <c r="M150" s="208"/>
      <c r="N150" s="224"/>
      <c r="O150" s="225"/>
      <c r="P150" s="226"/>
      <c r="Q150" s="169"/>
      <c r="Y150" s="95"/>
      <c r="Z150" s="228"/>
      <c r="AA150" s="215"/>
      <c r="AB150" s="216"/>
      <c r="AC150" s="230"/>
      <c r="AD150" s="267" t="s">
        <v>4</v>
      </c>
      <c r="AH150" s="164"/>
    </row>
    <row r="151" spans="1:34" ht="17.100000000000001" customHeight="1" x14ac:dyDescent="0.25">
      <c r="A151" s="201"/>
      <c r="B151" s="202"/>
      <c r="C151" s="221"/>
      <c r="D151" s="222"/>
      <c r="E151" s="363"/>
      <c r="G151" s="206"/>
      <c r="H151" s="218"/>
      <c r="I151" s="177"/>
      <c r="J151" s="176"/>
      <c r="K151" s="207"/>
      <c r="L151" s="208"/>
      <c r="M151" s="208"/>
      <c r="N151" s="224"/>
      <c r="O151" s="225"/>
      <c r="P151" s="226"/>
      <c r="Q151" s="169"/>
      <c r="Y151" s="95"/>
      <c r="Z151" s="228"/>
      <c r="AA151" s="215"/>
      <c r="AB151" s="216"/>
      <c r="AC151" s="230"/>
      <c r="AD151" s="267" t="s">
        <v>4</v>
      </c>
      <c r="AH151" s="164"/>
    </row>
    <row r="152" spans="1:34" ht="17.100000000000001" customHeight="1" x14ac:dyDescent="0.25">
      <c r="A152" s="201"/>
      <c r="B152" s="202"/>
      <c r="C152" s="221"/>
      <c r="D152" s="222"/>
      <c r="E152" s="363"/>
      <c r="G152" s="206"/>
      <c r="H152" s="218"/>
      <c r="I152" s="177"/>
      <c r="J152" s="176"/>
      <c r="K152" s="207"/>
      <c r="L152" s="208"/>
      <c r="M152" s="208"/>
      <c r="N152" s="224"/>
      <c r="O152" s="225"/>
      <c r="P152" s="226"/>
      <c r="Q152" s="169"/>
      <c r="Y152" s="95"/>
      <c r="Z152" s="228"/>
      <c r="AA152" s="215"/>
      <c r="AB152" s="216"/>
      <c r="AC152" s="230"/>
      <c r="AD152" s="267" t="s">
        <v>4</v>
      </c>
      <c r="AH152" s="164"/>
    </row>
    <row r="153" spans="1:34" ht="17.100000000000001" customHeight="1" x14ac:dyDescent="0.25">
      <c r="A153" s="201"/>
      <c r="B153" s="202"/>
      <c r="C153" s="221"/>
      <c r="D153" s="222"/>
      <c r="E153" s="363"/>
      <c r="G153" s="206"/>
      <c r="H153" s="218"/>
      <c r="I153" s="177"/>
      <c r="J153" s="176"/>
      <c r="K153" s="207"/>
      <c r="L153" s="208"/>
      <c r="M153" s="208"/>
      <c r="N153" s="224"/>
      <c r="O153" s="225"/>
      <c r="P153" s="226"/>
      <c r="Q153" s="169"/>
      <c r="Y153" s="95"/>
      <c r="Z153" s="228"/>
      <c r="AA153" s="215"/>
      <c r="AB153" s="216"/>
      <c r="AC153" s="230"/>
      <c r="AD153" s="267" t="s">
        <v>4</v>
      </c>
      <c r="AH153" s="164"/>
    </row>
    <row r="154" spans="1:34" ht="17.100000000000001" customHeight="1" x14ac:dyDescent="0.25">
      <c r="A154" s="201"/>
      <c r="B154" s="202"/>
      <c r="C154" s="221"/>
      <c r="D154" s="222"/>
      <c r="E154" s="363"/>
      <c r="G154" s="206"/>
      <c r="H154" s="218"/>
      <c r="I154" s="177"/>
      <c r="J154" s="176"/>
      <c r="K154" s="207"/>
      <c r="L154" s="208"/>
      <c r="M154" s="208"/>
      <c r="N154" s="224"/>
      <c r="O154" s="225"/>
      <c r="P154" s="226"/>
      <c r="Q154" s="169"/>
      <c r="Y154" s="95"/>
      <c r="Z154" s="228"/>
      <c r="AA154" s="215"/>
      <c r="AB154" s="229"/>
      <c r="AC154" s="230"/>
      <c r="AD154" s="267" t="s">
        <v>4</v>
      </c>
      <c r="AH154" s="164"/>
    </row>
    <row r="155" spans="1:34" ht="17.100000000000001" customHeight="1" x14ac:dyDescent="0.25">
      <c r="A155" s="201"/>
      <c r="B155" s="202"/>
      <c r="C155" s="221"/>
      <c r="D155" s="222"/>
      <c r="E155" s="363"/>
      <c r="G155" s="206"/>
      <c r="H155" s="218"/>
      <c r="I155" s="177"/>
      <c r="J155" s="176"/>
      <c r="K155" s="207"/>
      <c r="L155" s="208"/>
      <c r="M155" s="208"/>
      <c r="N155" s="224"/>
      <c r="O155" s="225"/>
      <c r="P155" s="226"/>
      <c r="Q155" s="169"/>
      <c r="Y155" s="95"/>
      <c r="Z155" s="228"/>
      <c r="AA155" s="215"/>
      <c r="AB155" s="216"/>
      <c r="AC155" s="230"/>
      <c r="AD155" s="267" t="s">
        <v>4</v>
      </c>
      <c r="AH155" s="164"/>
    </row>
    <row r="156" spans="1:34" ht="17.100000000000001" customHeight="1" x14ac:dyDescent="0.25">
      <c r="A156" s="201"/>
      <c r="B156" s="202"/>
      <c r="C156" s="221"/>
      <c r="D156" s="222"/>
      <c r="E156" s="363"/>
      <c r="G156" s="206"/>
      <c r="H156" s="218"/>
      <c r="I156" s="177"/>
      <c r="J156" s="176"/>
      <c r="K156" s="207"/>
      <c r="L156" s="208"/>
      <c r="M156" s="208"/>
      <c r="N156" s="224"/>
      <c r="O156" s="225"/>
      <c r="P156" s="226"/>
      <c r="Q156" s="169"/>
      <c r="Y156" s="95"/>
      <c r="Z156" s="228"/>
      <c r="AA156" s="215"/>
      <c r="AB156" s="229"/>
      <c r="AC156" s="230"/>
      <c r="AD156" s="267" t="s">
        <v>4</v>
      </c>
      <c r="AH156" s="164"/>
    </row>
    <row r="157" spans="1:34" ht="17.100000000000001" customHeight="1" x14ac:dyDescent="0.25">
      <c r="A157" s="201"/>
      <c r="B157" s="202"/>
      <c r="C157" s="221"/>
      <c r="D157" s="222"/>
      <c r="E157" s="363"/>
      <c r="G157" s="206"/>
      <c r="H157" s="218"/>
      <c r="I157" s="177"/>
      <c r="J157" s="176"/>
      <c r="K157" s="207"/>
      <c r="L157" s="208"/>
      <c r="M157" s="208"/>
      <c r="N157" s="224"/>
      <c r="O157" s="225"/>
      <c r="P157" s="226"/>
      <c r="Q157" s="169"/>
      <c r="Y157" s="95"/>
      <c r="Z157" s="228"/>
      <c r="AA157" s="215"/>
      <c r="AB157" s="229"/>
      <c r="AC157" s="230"/>
      <c r="AD157" s="267" t="s">
        <v>4</v>
      </c>
      <c r="AH157" s="164"/>
    </row>
    <row r="158" spans="1:34" ht="17.100000000000001" customHeight="1" x14ac:dyDescent="0.25">
      <c r="A158" s="201"/>
      <c r="B158" s="202"/>
      <c r="C158" s="221"/>
      <c r="D158" s="222"/>
      <c r="E158" s="363"/>
      <c r="G158" s="206"/>
      <c r="H158" s="218"/>
      <c r="I158" s="177"/>
      <c r="J158" s="176"/>
      <c r="K158" s="207"/>
      <c r="L158" s="208"/>
      <c r="M158" s="208"/>
      <c r="N158" s="224"/>
      <c r="O158" s="225"/>
      <c r="P158" s="226"/>
      <c r="Q158" s="169"/>
      <c r="Y158" s="95"/>
      <c r="Z158" s="228"/>
      <c r="AA158" s="215"/>
      <c r="AB158" s="229"/>
      <c r="AC158" s="230"/>
      <c r="AD158" s="267" t="s">
        <v>4</v>
      </c>
      <c r="AH158" s="164"/>
    </row>
    <row r="159" spans="1:34" ht="17.100000000000001" customHeight="1" x14ac:dyDescent="0.25">
      <c r="A159" s="201"/>
      <c r="B159" s="202"/>
      <c r="C159" s="203"/>
      <c r="D159" s="204"/>
      <c r="E159" s="363"/>
      <c r="F159" s="205"/>
      <c r="G159" s="206"/>
      <c r="H159" s="218"/>
      <c r="I159" s="177"/>
      <c r="J159" s="176"/>
      <c r="K159" s="207"/>
      <c r="L159" s="208"/>
      <c r="M159" s="208"/>
      <c r="N159" s="209"/>
      <c r="O159" s="210"/>
      <c r="P159" s="211"/>
      <c r="Q159" s="220"/>
      <c r="R159" s="205"/>
      <c r="S159" s="205"/>
      <c r="T159" s="205"/>
      <c r="U159" s="205"/>
      <c r="V159" s="205"/>
      <c r="W159" s="205"/>
      <c r="X159" s="205"/>
      <c r="Y159" s="213"/>
      <c r="Z159" s="214"/>
      <c r="AA159" s="215"/>
      <c r="AB159" s="216"/>
      <c r="AC159" s="217"/>
      <c r="AD159" s="267" t="s">
        <v>4</v>
      </c>
      <c r="AH159" s="164"/>
    </row>
    <row r="160" spans="1:34" ht="17.100000000000001" customHeight="1" x14ac:dyDescent="0.25">
      <c r="A160" s="201"/>
      <c r="B160" s="202"/>
      <c r="C160" s="221"/>
      <c r="D160" s="222"/>
      <c r="E160" s="363"/>
      <c r="G160" s="206"/>
      <c r="H160" s="218"/>
      <c r="I160" s="177"/>
      <c r="J160" s="176"/>
      <c r="K160" s="207"/>
      <c r="L160" s="208"/>
      <c r="M160" s="208"/>
      <c r="N160" s="224"/>
      <c r="O160" s="225"/>
      <c r="P160" s="226"/>
      <c r="Q160" s="169"/>
      <c r="Y160" s="95"/>
      <c r="Z160" s="228"/>
      <c r="AA160" s="215"/>
      <c r="AB160" s="229"/>
      <c r="AC160" s="230"/>
      <c r="AD160" s="267" t="s">
        <v>4</v>
      </c>
      <c r="AH160" s="164"/>
    </row>
    <row r="161" spans="1:34" ht="17.100000000000001" customHeight="1" x14ac:dyDescent="0.25">
      <c r="A161" s="201"/>
      <c r="B161" s="202"/>
      <c r="C161" s="221"/>
      <c r="D161" s="222"/>
      <c r="E161" s="363"/>
      <c r="G161" s="206"/>
      <c r="H161" s="218"/>
      <c r="I161" s="177"/>
      <c r="J161" s="176"/>
      <c r="K161" s="207"/>
      <c r="L161" s="208"/>
      <c r="M161" s="208"/>
      <c r="N161" s="224"/>
      <c r="O161" s="225"/>
      <c r="P161" s="226"/>
      <c r="Q161" s="169"/>
      <c r="R161" s="233"/>
      <c r="Y161" s="95"/>
      <c r="Z161" s="228"/>
      <c r="AA161" s="215"/>
      <c r="AB161" s="229"/>
      <c r="AC161" s="230"/>
      <c r="AD161" s="267" t="s">
        <v>4</v>
      </c>
      <c r="AH161" s="164"/>
    </row>
    <row r="162" spans="1:34" ht="17.100000000000001" customHeight="1" x14ac:dyDescent="0.25">
      <c r="A162" s="201"/>
      <c r="B162" s="202"/>
      <c r="C162" s="221"/>
      <c r="D162" s="222"/>
      <c r="E162" s="363"/>
      <c r="G162" s="206"/>
      <c r="H162" s="218"/>
      <c r="I162" s="177"/>
      <c r="J162" s="176"/>
      <c r="K162" s="207"/>
      <c r="L162" s="208"/>
      <c r="M162" s="208"/>
      <c r="N162" s="224"/>
      <c r="O162" s="225"/>
      <c r="P162" s="226"/>
      <c r="Q162" s="220"/>
      <c r="R162" s="233"/>
      <c r="Y162" s="95"/>
      <c r="Z162" s="228"/>
      <c r="AA162" s="215"/>
      <c r="AB162" s="229"/>
      <c r="AC162" s="230"/>
      <c r="AD162" s="267" t="s">
        <v>4</v>
      </c>
      <c r="AH162" s="164"/>
    </row>
    <row r="163" spans="1:34" ht="17.100000000000001" customHeight="1" x14ac:dyDescent="0.25">
      <c r="A163" s="201"/>
      <c r="B163" s="202"/>
      <c r="C163" s="221"/>
      <c r="D163" s="222"/>
      <c r="E163" s="363"/>
      <c r="G163" s="206"/>
      <c r="H163" s="218"/>
      <c r="I163" s="177"/>
      <c r="J163" s="176"/>
      <c r="K163" s="207"/>
      <c r="L163" s="208"/>
      <c r="M163" s="208"/>
      <c r="N163" s="224"/>
      <c r="O163" s="225"/>
      <c r="P163" s="226"/>
      <c r="Q163" s="169"/>
      <c r="Y163" s="95"/>
      <c r="Z163" s="228"/>
      <c r="AA163" s="215"/>
      <c r="AB163" s="229"/>
      <c r="AC163" s="230"/>
      <c r="AD163" s="267" t="s">
        <v>4</v>
      </c>
      <c r="AH163" s="164"/>
    </row>
    <row r="164" spans="1:34" ht="17.100000000000001" customHeight="1" x14ac:dyDescent="0.25">
      <c r="A164" s="201"/>
      <c r="B164" s="202"/>
      <c r="C164" s="221"/>
      <c r="D164" s="222"/>
      <c r="E164" s="363"/>
      <c r="G164" s="206"/>
      <c r="H164" s="218"/>
      <c r="I164" s="177"/>
      <c r="J164" s="176"/>
      <c r="K164" s="207"/>
      <c r="L164" s="208"/>
      <c r="M164" s="208"/>
      <c r="N164" s="224"/>
      <c r="O164" s="225"/>
      <c r="P164" s="226"/>
      <c r="Q164" s="169"/>
      <c r="Y164" s="95"/>
      <c r="Z164" s="228"/>
      <c r="AA164" s="215"/>
      <c r="AB164" s="229"/>
      <c r="AC164" s="230"/>
      <c r="AD164" s="267" t="s">
        <v>4</v>
      </c>
      <c r="AH164" s="164"/>
    </row>
    <row r="165" spans="1:34" ht="17.100000000000001" customHeight="1" x14ac:dyDescent="0.25">
      <c r="A165" s="201"/>
      <c r="B165" s="202"/>
      <c r="C165" s="221"/>
      <c r="D165" s="222"/>
      <c r="E165" s="363"/>
      <c r="G165" s="206"/>
      <c r="H165" s="218"/>
      <c r="I165" s="177"/>
      <c r="J165" s="176"/>
      <c r="K165" s="207"/>
      <c r="L165" s="208"/>
      <c r="M165" s="208"/>
      <c r="N165" s="224"/>
      <c r="O165" s="225"/>
      <c r="P165" s="226"/>
      <c r="Q165" s="169"/>
      <c r="Y165" s="95"/>
      <c r="Z165" s="228"/>
      <c r="AA165" s="215"/>
      <c r="AB165" s="229"/>
      <c r="AC165" s="230"/>
      <c r="AD165" s="267" t="s">
        <v>4</v>
      </c>
      <c r="AH165" s="164"/>
    </row>
    <row r="166" spans="1:34" ht="17.100000000000001" customHeight="1" x14ac:dyDescent="0.25">
      <c r="A166" s="201"/>
      <c r="B166" s="202"/>
      <c r="C166" s="221"/>
      <c r="D166" s="222"/>
      <c r="E166" s="363"/>
      <c r="G166" s="206"/>
      <c r="H166" s="218"/>
      <c r="I166" s="177"/>
      <c r="J166" s="176"/>
      <c r="K166" s="207"/>
      <c r="L166" s="208"/>
      <c r="M166" s="208"/>
      <c r="N166" s="224"/>
      <c r="O166" s="225"/>
      <c r="P166" s="226"/>
      <c r="Q166" s="169"/>
      <c r="Y166" s="95"/>
      <c r="Z166" s="228"/>
      <c r="AA166" s="215"/>
      <c r="AB166" s="229"/>
      <c r="AC166" s="230"/>
      <c r="AD166" s="267" t="s">
        <v>4</v>
      </c>
      <c r="AH166" s="164"/>
    </row>
    <row r="167" spans="1:34" ht="17.100000000000001" customHeight="1" x14ac:dyDescent="0.25">
      <c r="A167" s="201"/>
      <c r="B167" s="202"/>
      <c r="C167" s="203"/>
      <c r="D167" s="204"/>
      <c r="E167" s="363"/>
      <c r="F167" s="205"/>
      <c r="G167" s="206"/>
      <c r="H167" s="218"/>
      <c r="I167" s="177"/>
      <c r="J167" s="176"/>
      <c r="K167" s="207"/>
      <c r="L167" s="208"/>
      <c r="M167" s="208"/>
      <c r="N167" s="209"/>
      <c r="O167" s="210"/>
      <c r="P167" s="211"/>
      <c r="Q167" s="220"/>
      <c r="R167" s="205"/>
      <c r="S167" s="205"/>
      <c r="T167" s="205"/>
      <c r="U167" s="205"/>
      <c r="V167" s="205"/>
      <c r="W167" s="205"/>
      <c r="X167" s="205"/>
      <c r="Y167" s="213"/>
      <c r="Z167" s="214"/>
      <c r="AA167" s="215"/>
      <c r="AB167" s="216"/>
      <c r="AC167" s="217"/>
      <c r="AD167" s="267" t="s">
        <v>4</v>
      </c>
      <c r="AH167" s="164"/>
    </row>
    <row r="168" spans="1:34" ht="17.100000000000001" customHeight="1" x14ac:dyDescent="0.25">
      <c r="A168" s="201"/>
      <c r="B168" s="202"/>
      <c r="C168" s="221"/>
      <c r="D168" s="222"/>
      <c r="E168" s="363"/>
      <c r="G168" s="206"/>
      <c r="H168" s="218"/>
      <c r="I168" s="177"/>
      <c r="J168" s="176"/>
      <c r="K168" s="207"/>
      <c r="L168" s="208"/>
      <c r="M168" s="208"/>
      <c r="N168" s="224"/>
      <c r="O168" s="225"/>
      <c r="P168" s="226"/>
      <c r="Q168" s="169"/>
      <c r="Y168" s="95"/>
      <c r="Z168" s="228"/>
      <c r="AA168" s="215"/>
      <c r="AB168" s="229"/>
      <c r="AC168" s="230"/>
      <c r="AD168" s="267" t="s">
        <v>4</v>
      </c>
      <c r="AH168" s="164"/>
    </row>
    <row r="169" spans="1:34" ht="17.100000000000001" customHeight="1" x14ac:dyDescent="0.25">
      <c r="A169" s="201"/>
      <c r="B169" s="202"/>
      <c r="C169" s="221"/>
      <c r="D169" s="222"/>
      <c r="E169" s="363"/>
      <c r="G169" s="206"/>
      <c r="H169" s="218"/>
      <c r="I169" s="177"/>
      <c r="J169" s="176"/>
      <c r="K169" s="207"/>
      <c r="L169" s="208"/>
      <c r="M169" s="208"/>
      <c r="N169" s="224"/>
      <c r="O169" s="225"/>
      <c r="P169" s="226"/>
      <c r="Q169" s="169"/>
      <c r="Y169" s="95"/>
      <c r="Z169" s="228"/>
      <c r="AA169" s="215"/>
      <c r="AB169" s="229"/>
      <c r="AC169" s="230"/>
      <c r="AD169" s="267" t="s">
        <v>4</v>
      </c>
      <c r="AH169" s="164"/>
    </row>
    <row r="170" spans="1:34" ht="17.100000000000001" customHeight="1" x14ac:dyDescent="0.25">
      <c r="A170" s="201"/>
      <c r="B170" s="202"/>
      <c r="C170" s="221"/>
      <c r="D170" s="222"/>
      <c r="E170" s="363"/>
      <c r="G170" s="206"/>
      <c r="H170" s="218"/>
      <c r="I170" s="177"/>
      <c r="J170" s="176"/>
      <c r="K170" s="207"/>
      <c r="L170" s="208"/>
      <c r="M170" s="208"/>
      <c r="N170" s="224"/>
      <c r="O170" s="225"/>
      <c r="P170" s="226"/>
      <c r="Q170" s="169"/>
      <c r="Y170" s="95"/>
      <c r="Z170" s="228"/>
      <c r="AA170" s="215"/>
      <c r="AB170" s="229"/>
      <c r="AC170" s="230"/>
      <c r="AD170" s="267" t="s">
        <v>4</v>
      </c>
      <c r="AH170" s="164"/>
    </row>
    <row r="171" spans="1:34" ht="17.100000000000001" customHeight="1" x14ac:dyDescent="0.25">
      <c r="A171" s="201"/>
      <c r="B171" s="202"/>
      <c r="C171" s="221"/>
      <c r="D171" s="222"/>
      <c r="E171" s="363"/>
      <c r="G171" s="206"/>
      <c r="H171" s="218"/>
      <c r="I171" s="177"/>
      <c r="J171" s="176"/>
      <c r="K171" s="207"/>
      <c r="L171" s="208"/>
      <c r="M171" s="208"/>
      <c r="N171" s="224"/>
      <c r="O171" s="225"/>
      <c r="P171" s="226"/>
      <c r="Q171" s="169"/>
      <c r="Y171" s="95"/>
      <c r="Z171" s="228"/>
      <c r="AA171" s="215"/>
      <c r="AB171" s="229"/>
      <c r="AC171" s="230"/>
      <c r="AD171" s="267" t="s">
        <v>4</v>
      </c>
      <c r="AH171" s="164"/>
    </row>
    <row r="172" spans="1:34" ht="17.100000000000001" customHeight="1" x14ac:dyDescent="0.25">
      <c r="A172" s="201"/>
      <c r="B172" s="202"/>
      <c r="C172" s="221"/>
      <c r="D172" s="222"/>
      <c r="E172" s="363"/>
      <c r="G172" s="206"/>
      <c r="H172" s="218"/>
      <c r="I172" s="177"/>
      <c r="J172" s="176"/>
      <c r="K172" s="207"/>
      <c r="L172" s="208"/>
      <c r="M172" s="208"/>
      <c r="N172" s="224"/>
      <c r="O172" s="225"/>
      <c r="P172" s="226"/>
      <c r="Q172" s="169"/>
      <c r="Y172" s="95"/>
      <c r="Z172" s="228"/>
      <c r="AA172" s="215"/>
      <c r="AB172" s="229"/>
      <c r="AC172" s="230"/>
      <c r="AD172" s="267" t="s">
        <v>4</v>
      </c>
      <c r="AH172" s="164"/>
    </row>
    <row r="173" spans="1:34" ht="17.100000000000001" customHeight="1" x14ac:dyDescent="0.25">
      <c r="A173" s="201"/>
      <c r="B173" s="202"/>
      <c r="C173" s="221"/>
      <c r="D173" s="222"/>
      <c r="E173" s="363"/>
      <c r="G173" s="206"/>
      <c r="H173" s="218"/>
      <c r="I173" s="177"/>
      <c r="J173" s="176"/>
      <c r="K173" s="207"/>
      <c r="L173" s="208"/>
      <c r="M173" s="208"/>
      <c r="N173" s="224"/>
      <c r="O173" s="225"/>
      <c r="P173" s="226"/>
      <c r="Q173" s="169"/>
      <c r="Y173" s="95"/>
      <c r="Z173" s="228"/>
      <c r="AA173" s="215"/>
      <c r="AB173" s="229"/>
      <c r="AC173" s="230"/>
      <c r="AD173" s="267" t="s">
        <v>4</v>
      </c>
      <c r="AH173" s="164"/>
    </row>
    <row r="174" spans="1:34" ht="17.100000000000001" customHeight="1" x14ac:dyDescent="0.25">
      <c r="A174" s="201"/>
      <c r="B174" s="202"/>
      <c r="C174" s="221"/>
      <c r="D174" s="222"/>
      <c r="E174" s="363"/>
      <c r="G174" s="206"/>
      <c r="H174" s="218"/>
      <c r="I174" s="177"/>
      <c r="J174" s="176"/>
      <c r="K174" s="207"/>
      <c r="L174" s="208"/>
      <c r="M174" s="208"/>
      <c r="N174" s="224"/>
      <c r="O174" s="225"/>
      <c r="P174" s="226"/>
      <c r="Q174" s="169"/>
      <c r="Y174" s="95"/>
      <c r="Z174" s="228"/>
      <c r="AA174" s="215"/>
      <c r="AB174" s="229"/>
      <c r="AC174" s="230"/>
      <c r="AD174" s="267" t="s">
        <v>4</v>
      </c>
      <c r="AH174" s="164"/>
    </row>
    <row r="175" spans="1:34" ht="17.100000000000001" customHeight="1" x14ac:dyDescent="0.25">
      <c r="A175" s="201"/>
      <c r="B175" s="202"/>
      <c r="C175" s="221"/>
      <c r="D175" s="222"/>
      <c r="E175" s="363"/>
      <c r="G175" s="206"/>
      <c r="H175" s="218"/>
      <c r="I175" s="177"/>
      <c r="J175" s="176"/>
      <c r="K175" s="207"/>
      <c r="L175" s="208"/>
      <c r="M175" s="208"/>
      <c r="N175" s="224"/>
      <c r="O175" s="225"/>
      <c r="P175" s="226"/>
      <c r="Q175" s="169"/>
      <c r="Y175" s="95"/>
      <c r="Z175" s="228"/>
      <c r="AA175" s="215"/>
      <c r="AB175" s="229"/>
      <c r="AC175" s="230"/>
      <c r="AD175" s="267" t="s">
        <v>4</v>
      </c>
      <c r="AH175" s="164"/>
    </row>
    <row r="176" spans="1:34" ht="17.100000000000001" customHeight="1" x14ac:dyDescent="0.25">
      <c r="A176" s="201"/>
      <c r="B176" s="202"/>
      <c r="C176" s="221"/>
      <c r="D176" s="222"/>
      <c r="E176" s="363"/>
      <c r="G176" s="206"/>
      <c r="H176" s="218"/>
      <c r="I176" s="177"/>
      <c r="J176" s="176"/>
      <c r="K176" s="207"/>
      <c r="L176" s="208"/>
      <c r="M176" s="208"/>
      <c r="N176" s="224"/>
      <c r="O176" s="225"/>
      <c r="P176" s="226"/>
      <c r="Q176" s="169"/>
      <c r="Y176" s="95"/>
      <c r="Z176" s="228"/>
      <c r="AA176" s="215"/>
      <c r="AB176" s="229"/>
      <c r="AC176" s="230"/>
      <c r="AD176" s="267" t="s">
        <v>4</v>
      </c>
      <c r="AH176" s="164"/>
    </row>
    <row r="177" spans="1:34" ht="17.100000000000001" customHeight="1" x14ac:dyDescent="0.25">
      <c r="A177" s="201"/>
      <c r="B177" s="202"/>
      <c r="C177" s="221"/>
      <c r="D177" s="222"/>
      <c r="E177" s="363"/>
      <c r="G177" s="206"/>
      <c r="H177" s="218"/>
      <c r="I177" s="177"/>
      <c r="J177" s="176"/>
      <c r="K177" s="207"/>
      <c r="L177" s="208"/>
      <c r="M177" s="208"/>
      <c r="N177" s="224"/>
      <c r="O177" s="225"/>
      <c r="P177" s="226"/>
      <c r="Q177" s="169"/>
      <c r="Y177" s="95"/>
      <c r="Z177" s="228"/>
      <c r="AA177" s="215"/>
      <c r="AB177" s="229"/>
      <c r="AC177" s="230"/>
      <c r="AD177" s="267" t="s">
        <v>4</v>
      </c>
      <c r="AH177" s="164"/>
    </row>
    <row r="178" spans="1:34" ht="17.100000000000001" customHeight="1" x14ac:dyDescent="0.25">
      <c r="A178" s="201"/>
      <c r="B178" s="202"/>
      <c r="C178" s="221"/>
      <c r="D178" s="222"/>
      <c r="E178" s="363"/>
      <c r="G178" s="206"/>
      <c r="H178" s="218"/>
      <c r="I178" s="177"/>
      <c r="J178" s="176"/>
      <c r="K178" s="207"/>
      <c r="L178" s="208"/>
      <c r="M178" s="208"/>
      <c r="N178" s="224"/>
      <c r="O178" s="225"/>
      <c r="P178" s="226"/>
      <c r="Q178" s="169"/>
      <c r="Y178" s="95"/>
      <c r="Z178" s="228"/>
      <c r="AA178" s="215"/>
      <c r="AB178" s="229"/>
      <c r="AC178" s="230"/>
      <c r="AD178" s="267" t="s">
        <v>4</v>
      </c>
      <c r="AH178" s="164"/>
    </row>
    <row r="179" spans="1:34" ht="17.100000000000001" customHeight="1" x14ac:dyDescent="0.25">
      <c r="A179" s="201"/>
      <c r="B179" s="202"/>
      <c r="C179" s="203"/>
      <c r="D179" s="204"/>
      <c r="E179" s="363"/>
      <c r="F179" s="205"/>
      <c r="G179" s="206"/>
      <c r="H179" s="218"/>
      <c r="I179" s="177"/>
      <c r="J179" s="176"/>
      <c r="K179" s="207"/>
      <c r="L179" s="208"/>
      <c r="M179" s="208"/>
      <c r="N179" s="209"/>
      <c r="O179" s="210"/>
      <c r="P179" s="211"/>
      <c r="Q179" s="220"/>
      <c r="R179" s="212"/>
      <c r="S179" s="205"/>
      <c r="T179" s="205"/>
      <c r="U179" s="205"/>
      <c r="V179" s="205"/>
      <c r="W179" s="205"/>
      <c r="X179" s="205"/>
      <c r="Y179" s="213"/>
      <c r="Z179" s="214"/>
      <c r="AA179" s="215"/>
      <c r="AB179" s="216"/>
      <c r="AC179" s="217"/>
      <c r="AD179" s="267" t="s">
        <v>4</v>
      </c>
      <c r="AH179" s="164"/>
    </row>
    <row r="180" spans="1:34" ht="17.100000000000001" customHeight="1" x14ac:dyDescent="0.25">
      <c r="A180" s="201"/>
      <c r="B180" s="202"/>
      <c r="C180" s="221"/>
      <c r="D180" s="222"/>
      <c r="E180" s="363"/>
      <c r="G180" s="206"/>
      <c r="H180" s="218"/>
      <c r="I180" s="177"/>
      <c r="J180" s="176"/>
      <c r="K180" s="207"/>
      <c r="L180" s="208"/>
      <c r="M180" s="208"/>
      <c r="N180" s="224"/>
      <c r="O180" s="225"/>
      <c r="P180" s="226"/>
      <c r="Q180" s="169"/>
      <c r="R180" s="233"/>
      <c r="Y180" s="95"/>
      <c r="Z180" s="228"/>
      <c r="AA180" s="215"/>
      <c r="AB180" s="229"/>
      <c r="AC180" s="230"/>
      <c r="AD180" s="267" t="s">
        <v>4</v>
      </c>
      <c r="AH180" s="164"/>
    </row>
    <row r="181" spans="1:34" ht="17.100000000000001" customHeight="1" x14ac:dyDescent="0.25">
      <c r="A181" s="201"/>
      <c r="B181" s="202"/>
      <c r="C181" s="221"/>
      <c r="D181" s="222"/>
      <c r="E181" s="363"/>
      <c r="G181" s="206"/>
      <c r="H181" s="218"/>
      <c r="I181" s="177"/>
      <c r="J181" s="176"/>
      <c r="K181" s="207"/>
      <c r="L181" s="208"/>
      <c r="M181" s="208"/>
      <c r="N181" s="224"/>
      <c r="O181" s="225"/>
      <c r="P181" s="226"/>
      <c r="Q181" s="169"/>
      <c r="Y181" s="95"/>
      <c r="Z181" s="228"/>
      <c r="AA181" s="215"/>
      <c r="AB181" s="229"/>
      <c r="AC181" s="230"/>
      <c r="AD181" s="267" t="s">
        <v>4</v>
      </c>
      <c r="AH181" s="164"/>
    </row>
    <row r="182" spans="1:34" ht="17.100000000000001" customHeight="1" x14ac:dyDescent="0.25">
      <c r="A182" s="201"/>
      <c r="B182" s="202"/>
      <c r="C182" s="221"/>
      <c r="D182" s="222"/>
      <c r="E182" s="363"/>
      <c r="G182" s="206"/>
      <c r="H182" s="218"/>
      <c r="I182" s="177"/>
      <c r="J182" s="176"/>
      <c r="K182" s="207"/>
      <c r="L182" s="208"/>
      <c r="M182" s="208"/>
      <c r="N182" s="224"/>
      <c r="O182" s="225"/>
      <c r="P182" s="226"/>
      <c r="Q182" s="169"/>
      <c r="Y182" s="95"/>
      <c r="Z182" s="228"/>
      <c r="AA182" s="215"/>
      <c r="AB182" s="229"/>
      <c r="AC182" s="230"/>
      <c r="AD182" s="267" t="s">
        <v>4</v>
      </c>
      <c r="AH182" s="164"/>
    </row>
    <row r="183" spans="1:34" ht="17.100000000000001" customHeight="1" x14ac:dyDescent="0.25">
      <c r="A183" s="201"/>
      <c r="B183" s="202"/>
      <c r="C183" s="221"/>
      <c r="D183" s="222"/>
      <c r="E183" s="363"/>
      <c r="G183" s="206"/>
      <c r="H183" s="218"/>
      <c r="I183" s="177"/>
      <c r="J183" s="176"/>
      <c r="K183" s="207"/>
      <c r="L183" s="208"/>
      <c r="M183" s="208"/>
      <c r="N183" s="224"/>
      <c r="O183" s="225"/>
      <c r="P183" s="226"/>
      <c r="Q183" s="169"/>
      <c r="Y183" s="95"/>
      <c r="Z183" s="228"/>
      <c r="AA183" s="215"/>
      <c r="AB183" s="229"/>
      <c r="AC183" s="230"/>
      <c r="AD183" s="267" t="s">
        <v>4</v>
      </c>
      <c r="AH183" s="164"/>
    </row>
    <row r="184" spans="1:34" ht="17.100000000000001" customHeight="1" x14ac:dyDescent="0.25">
      <c r="A184" s="201"/>
      <c r="B184" s="202"/>
      <c r="C184" s="221"/>
      <c r="D184" s="222"/>
      <c r="E184" s="363"/>
      <c r="G184" s="206"/>
      <c r="H184" s="218"/>
      <c r="I184" s="177"/>
      <c r="J184" s="176"/>
      <c r="K184" s="207"/>
      <c r="L184" s="208"/>
      <c r="M184" s="208"/>
      <c r="N184" s="224"/>
      <c r="O184" s="225"/>
      <c r="P184" s="226"/>
      <c r="Q184" s="169"/>
      <c r="Y184" s="95"/>
      <c r="Z184" s="228"/>
      <c r="AA184" s="215"/>
      <c r="AB184" s="229"/>
      <c r="AC184" s="230"/>
      <c r="AD184" s="267" t="s">
        <v>4</v>
      </c>
      <c r="AH184" s="164"/>
    </row>
    <row r="185" spans="1:34" ht="17.100000000000001" customHeight="1" x14ac:dyDescent="0.25">
      <c r="A185" s="201"/>
      <c r="B185" s="202"/>
      <c r="C185" s="221"/>
      <c r="D185" s="222"/>
      <c r="E185" s="363"/>
      <c r="G185" s="206"/>
      <c r="H185" s="218"/>
      <c r="I185" s="177"/>
      <c r="J185" s="176"/>
      <c r="K185" s="207"/>
      <c r="L185" s="208"/>
      <c r="M185" s="208"/>
      <c r="N185" s="224"/>
      <c r="O185" s="225"/>
      <c r="P185" s="226"/>
      <c r="Q185" s="169"/>
      <c r="Y185" s="95"/>
      <c r="Z185" s="228"/>
      <c r="AA185" s="215"/>
      <c r="AB185" s="229"/>
      <c r="AC185" s="230"/>
      <c r="AD185" s="267" t="s">
        <v>4</v>
      </c>
      <c r="AH185" s="164"/>
    </row>
    <row r="186" spans="1:34" ht="17.100000000000001" customHeight="1" x14ac:dyDescent="0.25">
      <c r="A186" s="201"/>
      <c r="B186" s="202"/>
      <c r="C186" s="221"/>
      <c r="D186" s="222"/>
      <c r="E186" s="363"/>
      <c r="G186" s="206"/>
      <c r="H186" s="218"/>
      <c r="I186" s="177"/>
      <c r="J186" s="176"/>
      <c r="K186" s="207"/>
      <c r="L186" s="208"/>
      <c r="M186" s="208"/>
      <c r="N186" s="224"/>
      <c r="O186" s="225"/>
      <c r="P186" s="226"/>
      <c r="Q186" s="169"/>
      <c r="Y186" s="95"/>
      <c r="Z186" s="228"/>
      <c r="AA186" s="215"/>
      <c r="AB186" s="229"/>
      <c r="AC186" s="230"/>
      <c r="AD186" s="267" t="s">
        <v>4</v>
      </c>
      <c r="AH186" s="164"/>
    </row>
    <row r="187" spans="1:34" ht="17.100000000000001" customHeight="1" x14ac:dyDescent="0.25">
      <c r="A187" s="201"/>
      <c r="B187" s="202"/>
      <c r="C187" s="221"/>
      <c r="D187" s="222"/>
      <c r="E187" s="363"/>
      <c r="G187" s="206"/>
      <c r="H187" s="218"/>
      <c r="I187" s="177"/>
      <c r="J187" s="176"/>
      <c r="K187" s="207"/>
      <c r="L187" s="208"/>
      <c r="M187" s="208"/>
      <c r="N187" s="224"/>
      <c r="O187" s="225"/>
      <c r="P187" s="226"/>
      <c r="Q187" s="220"/>
      <c r="R187" s="233"/>
      <c r="Y187" s="95"/>
      <c r="Z187" s="228"/>
      <c r="AA187" s="215"/>
      <c r="AB187" s="229"/>
      <c r="AC187" s="230"/>
      <c r="AD187" s="267" t="s">
        <v>4</v>
      </c>
      <c r="AH187" s="164"/>
    </row>
    <row r="188" spans="1:34" ht="17.100000000000001" customHeight="1" x14ac:dyDescent="0.25">
      <c r="A188" s="201"/>
      <c r="B188" s="202"/>
      <c r="C188" s="221"/>
      <c r="D188" s="222"/>
      <c r="E188" s="363"/>
      <c r="G188" s="206"/>
      <c r="H188" s="218"/>
      <c r="I188" s="177"/>
      <c r="J188" s="176"/>
      <c r="K188" s="207"/>
      <c r="L188" s="208"/>
      <c r="M188" s="208"/>
      <c r="N188" s="224"/>
      <c r="O188" s="225"/>
      <c r="P188" s="226"/>
      <c r="Q188" s="169"/>
      <c r="Y188" s="95"/>
      <c r="Z188" s="228"/>
      <c r="AA188" s="215"/>
      <c r="AB188" s="229"/>
      <c r="AC188" s="230"/>
      <c r="AD188" s="267" t="s">
        <v>4</v>
      </c>
      <c r="AH188" s="164"/>
    </row>
    <row r="189" spans="1:34" ht="17.100000000000001" customHeight="1" x14ac:dyDescent="0.25">
      <c r="A189" s="201"/>
      <c r="B189" s="202"/>
      <c r="C189" s="221"/>
      <c r="D189" s="222"/>
      <c r="E189" s="363"/>
      <c r="G189" s="206"/>
      <c r="H189" s="218"/>
      <c r="I189" s="177"/>
      <c r="J189" s="176"/>
      <c r="K189" s="207"/>
      <c r="L189" s="208"/>
      <c r="M189" s="208"/>
      <c r="N189" s="224"/>
      <c r="O189" s="225"/>
      <c r="P189" s="226"/>
      <c r="Q189" s="169"/>
      <c r="Y189" s="95"/>
      <c r="Z189" s="228"/>
      <c r="AA189" s="215"/>
      <c r="AB189" s="229"/>
      <c r="AC189" s="230"/>
      <c r="AD189" s="267" t="s">
        <v>4</v>
      </c>
      <c r="AH189" s="164"/>
    </row>
    <row r="190" spans="1:34" ht="17.100000000000001" customHeight="1" x14ac:dyDescent="0.25">
      <c r="A190" s="201"/>
      <c r="B190" s="202"/>
      <c r="C190" s="221"/>
      <c r="D190" s="222"/>
      <c r="E190" s="363"/>
      <c r="G190" s="206"/>
      <c r="H190" s="218"/>
      <c r="I190" s="177"/>
      <c r="J190" s="176"/>
      <c r="K190" s="207"/>
      <c r="L190" s="208"/>
      <c r="M190" s="208"/>
      <c r="N190" s="224"/>
      <c r="O190" s="225"/>
      <c r="P190" s="226"/>
      <c r="Q190" s="169"/>
      <c r="Y190" s="95"/>
      <c r="Z190" s="228"/>
      <c r="AA190" s="215"/>
      <c r="AB190" s="229"/>
      <c r="AC190" s="230"/>
      <c r="AD190" s="267" t="s">
        <v>4</v>
      </c>
      <c r="AH190" s="164"/>
    </row>
    <row r="191" spans="1:34" ht="17.100000000000001" customHeight="1" x14ac:dyDescent="0.25">
      <c r="A191" s="201"/>
      <c r="B191" s="202"/>
      <c r="C191" s="234"/>
      <c r="D191" s="204"/>
      <c r="E191" s="363"/>
      <c r="F191" s="205"/>
      <c r="G191" s="206"/>
      <c r="H191" s="218"/>
      <c r="I191" s="177"/>
      <c r="J191" s="176"/>
      <c r="K191" s="207"/>
      <c r="L191" s="208"/>
      <c r="M191" s="208"/>
      <c r="N191" s="209"/>
      <c r="O191" s="211"/>
      <c r="P191" s="211"/>
      <c r="Q191" s="220"/>
      <c r="R191" s="212"/>
      <c r="S191" s="212"/>
      <c r="T191" s="205"/>
      <c r="U191" s="205"/>
      <c r="V191" s="205"/>
      <c r="W191" s="205"/>
      <c r="X191" s="212"/>
      <c r="Y191" s="213"/>
      <c r="Z191" s="214"/>
      <c r="AA191" s="215"/>
      <c r="AB191" s="216"/>
      <c r="AC191" s="217"/>
      <c r="AD191" s="267" t="s">
        <v>4</v>
      </c>
      <c r="AH191" s="164"/>
    </row>
    <row r="192" spans="1:34" ht="17.100000000000001" customHeight="1" x14ac:dyDescent="0.25">
      <c r="A192" s="201"/>
      <c r="B192" s="202"/>
      <c r="C192" s="221"/>
      <c r="D192" s="222"/>
      <c r="E192" s="363"/>
      <c r="G192" s="206"/>
      <c r="H192" s="218"/>
      <c r="I192" s="177"/>
      <c r="J192" s="176"/>
      <c r="K192" s="207"/>
      <c r="L192" s="208"/>
      <c r="M192" s="208"/>
      <c r="N192" s="224"/>
      <c r="O192" s="225"/>
      <c r="P192" s="226"/>
      <c r="Q192" s="169"/>
      <c r="Y192" s="95"/>
      <c r="Z192" s="228"/>
      <c r="AA192" s="215"/>
      <c r="AB192" s="229"/>
      <c r="AC192" s="230"/>
      <c r="AD192" s="267" t="s">
        <v>4</v>
      </c>
      <c r="AH192" s="164"/>
    </row>
    <row r="193" spans="1:34" ht="17.100000000000001" customHeight="1" x14ac:dyDescent="0.25">
      <c r="A193" s="201"/>
      <c r="B193" s="202"/>
      <c r="C193" s="203"/>
      <c r="D193" s="204"/>
      <c r="E193" s="363"/>
      <c r="F193" s="205"/>
      <c r="G193" s="206"/>
      <c r="H193" s="218"/>
      <c r="I193" s="177"/>
      <c r="J193" s="176"/>
      <c r="K193" s="207"/>
      <c r="L193" s="208"/>
      <c r="M193" s="208"/>
      <c r="N193" s="209"/>
      <c r="O193" s="210"/>
      <c r="P193" s="211"/>
      <c r="Q193" s="220"/>
      <c r="R193" s="205"/>
      <c r="S193" s="205"/>
      <c r="T193" s="205"/>
      <c r="U193" s="205"/>
      <c r="V193" s="205"/>
      <c r="W193" s="205"/>
      <c r="X193" s="205"/>
      <c r="Y193" s="213"/>
      <c r="Z193" s="214"/>
      <c r="AA193" s="215"/>
      <c r="AB193" s="216"/>
      <c r="AC193" s="217"/>
      <c r="AD193" s="267" t="s">
        <v>4</v>
      </c>
      <c r="AH193" s="164"/>
    </row>
    <row r="194" spans="1:34" ht="17.100000000000001" customHeight="1" x14ac:dyDescent="0.25">
      <c r="A194" s="201"/>
      <c r="B194" s="202"/>
      <c r="C194" s="221"/>
      <c r="D194" s="222"/>
      <c r="E194" s="363"/>
      <c r="G194" s="206"/>
      <c r="H194" s="218"/>
      <c r="I194" s="177"/>
      <c r="J194" s="176"/>
      <c r="K194" s="207"/>
      <c r="L194" s="208"/>
      <c r="M194" s="208"/>
      <c r="N194" s="224"/>
      <c r="O194" s="225"/>
      <c r="P194" s="226"/>
      <c r="Q194" s="169"/>
      <c r="Y194" s="95"/>
      <c r="Z194" s="228"/>
      <c r="AA194" s="215"/>
      <c r="AB194" s="229"/>
      <c r="AC194" s="230"/>
      <c r="AD194" s="267" t="s">
        <v>4</v>
      </c>
      <c r="AH194" s="164"/>
    </row>
    <row r="195" spans="1:34" ht="17.100000000000001" customHeight="1" x14ac:dyDescent="0.25">
      <c r="A195" s="201"/>
      <c r="B195" s="202"/>
      <c r="C195" s="203"/>
      <c r="D195" s="204"/>
      <c r="E195" s="363"/>
      <c r="F195" s="205"/>
      <c r="G195" s="206"/>
      <c r="H195" s="218"/>
      <c r="I195" s="177"/>
      <c r="J195" s="176"/>
      <c r="K195" s="207"/>
      <c r="L195" s="208"/>
      <c r="M195" s="208"/>
      <c r="N195" s="209"/>
      <c r="O195" s="210"/>
      <c r="P195" s="211"/>
      <c r="Q195" s="220"/>
      <c r="R195" s="205"/>
      <c r="S195" s="205"/>
      <c r="T195" s="205"/>
      <c r="U195" s="205"/>
      <c r="V195" s="205"/>
      <c r="W195" s="205"/>
      <c r="X195" s="205"/>
      <c r="Y195" s="213"/>
      <c r="Z195" s="214"/>
      <c r="AA195" s="215"/>
      <c r="AB195" s="216"/>
      <c r="AC195" s="217"/>
      <c r="AD195" s="267" t="s">
        <v>4</v>
      </c>
      <c r="AH195" s="164"/>
    </row>
    <row r="196" spans="1:34" ht="17.100000000000001" customHeight="1" x14ac:dyDescent="0.25">
      <c r="A196" s="201"/>
      <c r="B196" s="202"/>
      <c r="C196" s="221"/>
      <c r="D196" s="222"/>
      <c r="E196" s="363"/>
      <c r="G196" s="206"/>
      <c r="H196" s="218"/>
      <c r="I196" s="177"/>
      <c r="J196" s="176"/>
      <c r="K196" s="207"/>
      <c r="L196" s="208"/>
      <c r="M196" s="208"/>
      <c r="N196" s="224"/>
      <c r="O196" s="225"/>
      <c r="P196" s="226"/>
      <c r="Q196" s="169"/>
      <c r="Y196" s="95"/>
      <c r="Z196" s="228"/>
      <c r="AA196" s="215"/>
      <c r="AB196" s="229"/>
      <c r="AC196" s="230"/>
      <c r="AD196" s="267" t="s">
        <v>4</v>
      </c>
      <c r="AH196" s="164"/>
    </row>
    <row r="197" spans="1:34" ht="17.100000000000001" customHeight="1" x14ac:dyDescent="0.25">
      <c r="A197" s="201"/>
      <c r="B197" s="202"/>
      <c r="C197" s="221"/>
      <c r="D197" s="222"/>
      <c r="E197" s="363"/>
      <c r="G197" s="206"/>
      <c r="H197" s="218"/>
      <c r="I197" s="177"/>
      <c r="J197" s="176"/>
      <c r="K197" s="207"/>
      <c r="L197" s="208"/>
      <c r="M197" s="208"/>
      <c r="N197" s="224"/>
      <c r="O197" s="225"/>
      <c r="P197" s="226"/>
      <c r="Q197" s="169"/>
      <c r="Y197" s="95"/>
      <c r="Z197" s="228"/>
      <c r="AA197" s="215"/>
      <c r="AB197" s="229"/>
      <c r="AC197" s="230"/>
      <c r="AD197" s="267" t="s">
        <v>4</v>
      </c>
      <c r="AH197" s="164"/>
    </row>
    <row r="198" spans="1:34" ht="17.100000000000001" customHeight="1" x14ac:dyDescent="0.25">
      <c r="A198" s="201"/>
      <c r="B198" s="202"/>
      <c r="C198" s="221"/>
      <c r="D198" s="222"/>
      <c r="E198" s="363"/>
      <c r="G198" s="206"/>
      <c r="H198" s="218"/>
      <c r="I198" s="177"/>
      <c r="J198" s="176"/>
      <c r="K198" s="207"/>
      <c r="L198" s="208"/>
      <c r="M198" s="208"/>
      <c r="N198" s="224"/>
      <c r="O198" s="225"/>
      <c r="P198" s="226"/>
      <c r="Q198" s="169"/>
      <c r="Y198" s="95"/>
      <c r="Z198" s="228"/>
      <c r="AA198" s="215"/>
      <c r="AB198" s="229"/>
      <c r="AC198" s="230"/>
      <c r="AD198" s="267" t="s">
        <v>4</v>
      </c>
      <c r="AH198" s="164"/>
    </row>
    <row r="199" spans="1:34" ht="17.100000000000001" customHeight="1" x14ac:dyDescent="0.25">
      <c r="A199" s="201"/>
      <c r="B199" s="202"/>
      <c r="C199" s="221"/>
      <c r="D199" s="222"/>
      <c r="E199" s="363"/>
      <c r="G199" s="206"/>
      <c r="H199" s="218"/>
      <c r="I199" s="177"/>
      <c r="J199" s="176"/>
      <c r="K199" s="207"/>
      <c r="L199" s="208"/>
      <c r="M199" s="208"/>
      <c r="N199" s="224"/>
      <c r="O199" s="225"/>
      <c r="P199" s="226"/>
      <c r="Q199" s="169"/>
      <c r="Y199" s="95"/>
      <c r="Z199" s="228"/>
      <c r="AA199" s="215"/>
      <c r="AB199" s="229"/>
      <c r="AC199" s="230"/>
      <c r="AD199" s="267" t="s">
        <v>4</v>
      </c>
      <c r="AH199" s="164"/>
    </row>
    <row r="200" spans="1:34" ht="17.100000000000001" customHeight="1" x14ac:dyDescent="0.25">
      <c r="A200" s="201"/>
      <c r="B200" s="202"/>
      <c r="C200" s="203"/>
      <c r="D200" s="204"/>
      <c r="E200" s="363"/>
      <c r="F200" s="205"/>
      <c r="G200" s="206"/>
      <c r="H200" s="218"/>
      <c r="I200" s="177"/>
      <c r="J200" s="176"/>
      <c r="K200" s="207"/>
      <c r="L200" s="208"/>
      <c r="M200" s="208"/>
      <c r="N200" s="209"/>
      <c r="O200" s="210"/>
      <c r="P200" s="211"/>
      <c r="Q200" s="220"/>
      <c r="R200" s="205"/>
      <c r="S200" s="205"/>
      <c r="T200" s="205"/>
      <c r="U200" s="205"/>
      <c r="V200" s="205"/>
      <c r="W200" s="205"/>
      <c r="X200" s="205"/>
      <c r="Y200" s="213"/>
      <c r="Z200" s="214"/>
      <c r="AA200" s="215"/>
      <c r="AB200" s="216"/>
      <c r="AC200" s="217"/>
      <c r="AD200" s="267" t="s">
        <v>4</v>
      </c>
      <c r="AH200" s="164"/>
    </row>
    <row r="201" spans="1:34" ht="17.100000000000001" customHeight="1" x14ac:dyDescent="0.25">
      <c r="A201" s="201"/>
      <c r="B201" s="202"/>
      <c r="C201" s="221"/>
      <c r="D201" s="222"/>
      <c r="E201" s="363"/>
      <c r="G201" s="206"/>
      <c r="H201" s="218"/>
      <c r="I201" s="177"/>
      <c r="J201" s="176"/>
      <c r="K201" s="207"/>
      <c r="L201" s="208"/>
      <c r="M201" s="208"/>
      <c r="N201" s="224"/>
      <c r="O201" s="225"/>
      <c r="P201" s="226"/>
      <c r="Q201" s="169"/>
      <c r="R201" s="233"/>
      <c r="Y201" s="95"/>
      <c r="Z201" s="228"/>
      <c r="AA201" s="215"/>
      <c r="AB201" s="229"/>
      <c r="AC201" s="230"/>
      <c r="AD201" s="267" t="s">
        <v>4</v>
      </c>
    </row>
    <row r="202" spans="1:34" ht="17.100000000000001" customHeight="1" x14ac:dyDescent="0.25">
      <c r="A202" s="201"/>
      <c r="B202" s="202"/>
      <c r="C202" s="221"/>
      <c r="D202" s="222"/>
      <c r="E202" s="363"/>
      <c r="G202" s="206"/>
      <c r="H202" s="218"/>
      <c r="I202" s="177"/>
      <c r="J202" s="176"/>
      <c r="K202" s="207"/>
      <c r="L202" s="208"/>
      <c r="M202" s="208"/>
      <c r="N202" s="224"/>
      <c r="O202" s="225"/>
      <c r="P202" s="226"/>
      <c r="Q202" s="169"/>
      <c r="Y202" s="95"/>
      <c r="Z202" s="228"/>
      <c r="AA202" s="215"/>
      <c r="AB202" s="229"/>
      <c r="AC202" s="230"/>
      <c r="AD202" s="267" t="s">
        <v>4</v>
      </c>
    </row>
    <row r="203" spans="1:34" ht="17.100000000000001" customHeight="1" x14ac:dyDescent="0.25">
      <c r="A203" s="201"/>
      <c r="B203" s="202"/>
      <c r="C203" s="221"/>
      <c r="D203" s="222"/>
      <c r="E203" s="363"/>
      <c r="G203" s="206"/>
      <c r="H203" s="218"/>
      <c r="I203" s="177"/>
      <c r="J203" s="176"/>
      <c r="K203" s="207"/>
      <c r="L203" s="208"/>
      <c r="M203" s="208"/>
      <c r="N203" s="224"/>
      <c r="O203" s="225"/>
      <c r="P203" s="226"/>
      <c r="Q203" s="220"/>
      <c r="Y203" s="95"/>
      <c r="Z203" s="228"/>
      <c r="AA203" s="215"/>
      <c r="AB203" s="229"/>
      <c r="AC203" s="230"/>
      <c r="AD203" s="267" t="s">
        <v>4</v>
      </c>
    </row>
    <row r="204" spans="1:34" ht="17.100000000000001" customHeight="1" x14ac:dyDescent="0.25">
      <c r="A204" s="201"/>
      <c r="B204" s="202"/>
      <c r="C204" s="221"/>
      <c r="D204" s="222"/>
      <c r="E204" s="363"/>
      <c r="G204" s="206"/>
      <c r="H204" s="218"/>
      <c r="I204" s="177"/>
      <c r="J204" s="176"/>
      <c r="K204" s="207"/>
      <c r="L204" s="208"/>
      <c r="M204" s="208"/>
      <c r="N204" s="224"/>
      <c r="O204" s="225"/>
      <c r="P204" s="226"/>
      <c r="Q204" s="169"/>
      <c r="Y204" s="95"/>
      <c r="Z204" s="228"/>
      <c r="AA204" s="215"/>
      <c r="AB204" s="229"/>
      <c r="AC204" s="230"/>
      <c r="AD204" s="267" t="s">
        <v>4</v>
      </c>
    </row>
    <row r="205" spans="1:34" ht="17.100000000000001" customHeight="1" x14ac:dyDescent="0.25">
      <c r="A205" s="201"/>
      <c r="B205" s="202"/>
      <c r="C205" s="221"/>
      <c r="D205" s="222"/>
      <c r="E205" s="363"/>
      <c r="G205" s="206"/>
      <c r="H205" s="218"/>
      <c r="I205" s="177"/>
      <c r="J205" s="176"/>
      <c r="K205" s="207"/>
      <c r="L205" s="208"/>
      <c r="M205" s="208"/>
      <c r="N205" s="224"/>
      <c r="O205" s="225"/>
      <c r="P205" s="226"/>
      <c r="Q205" s="169"/>
      <c r="Y205" s="95"/>
      <c r="Z205" s="228"/>
      <c r="AA205" s="215"/>
      <c r="AB205" s="229"/>
      <c r="AC205" s="230"/>
      <c r="AD205" s="267" t="s">
        <v>4</v>
      </c>
    </row>
    <row r="206" spans="1:34" ht="17.100000000000001" customHeight="1" x14ac:dyDescent="0.25">
      <c r="A206" s="201"/>
      <c r="B206" s="202"/>
      <c r="C206" s="221"/>
      <c r="D206" s="222"/>
      <c r="E206" s="363"/>
      <c r="G206" s="206"/>
      <c r="H206" s="218"/>
      <c r="I206" s="177"/>
      <c r="J206" s="176"/>
      <c r="K206" s="207"/>
      <c r="L206" s="208"/>
      <c r="M206" s="208"/>
      <c r="N206" s="224"/>
      <c r="O206" s="225"/>
      <c r="P206" s="226"/>
      <c r="Q206" s="169"/>
      <c r="Y206" s="95"/>
      <c r="Z206" s="228"/>
      <c r="AA206" s="215"/>
      <c r="AB206" s="229"/>
      <c r="AC206" s="230"/>
      <c r="AD206" s="267" t="s">
        <v>4</v>
      </c>
    </row>
    <row r="207" spans="1:34" ht="17.100000000000001" customHeight="1" x14ac:dyDescent="0.25">
      <c r="A207" s="201"/>
      <c r="B207" s="202"/>
      <c r="C207" s="221"/>
      <c r="D207" s="222"/>
      <c r="E207" s="363"/>
      <c r="G207" s="206"/>
      <c r="H207" s="218"/>
      <c r="I207" s="177"/>
      <c r="J207" s="176"/>
      <c r="K207" s="207"/>
      <c r="L207" s="208"/>
      <c r="M207" s="208"/>
      <c r="N207" s="224"/>
      <c r="O207" s="225"/>
      <c r="P207" s="226"/>
      <c r="Q207" s="169"/>
      <c r="Y207" s="95"/>
      <c r="Z207" s="228"/>
      <c r="AA207" s="215"/>
      <c r="AB207" s="229"/>
      <c r="AC207" s="230"/>
      <c r="AD207" s="267" t="s">
        <v>4</v>
      </c>
    </row>
    <row r="208" spans="1:34" ht="17.100000000000001" customHeight="1" x14ac:dyDescent="0.25">
      <c r="A208" s="201"/>
      <c r="B208" s="202"/>
      <c r="C208" s="221"/>
      <c r="D208" s="222"/>
      <c r="E208" s="363"/>
      <c r="G208" s="206"/>
      <c r="H208" s="218"/>
      <c r="I208" s="177"/>
      <c r="J208" s="176"/>
      <c r="K208" s="207"/>
      <c r="L208" s="208"/>
      <c r="M208" s="208"/>
      <c r="N208" s="224"/>
      <c r="O208" s="225"/>
      <c r="P208" s="226"/>
      <c r="Q208" s="169"/>
      <c r="Y208" s="95"/>
      <c r="Z208" s="228"/>
      <c r="AA208" s="215"/>
      <c r="AB208" s="229"/>
      <c r="AC208" s="230"/>
      <c r="AD208" s="267" t="s">
        <v>4</v>
      </c>
    </row>
    <row r="209" spans="1:30" ht="17.100000000000001" customHeight="1" x14ac:dyDescent="0.25">
      <c r="A209" s="201"/>
      <c r="B209" s="202"/>
      <c r="C209" s="221"/>
      <c r="D209" s="222"/>
      <c r="E209" s="363"/>
      <c r="G209" s="206"/>
      <c r="H209" s="218"/>
      <c r="I209" s="177"/>
      <c r="J209" s="176"/>
      <c r="K209" s="207"/>
      <c r="L209" s="208"/>
      <c r="M209" s="208"/>
      <c r="N209" s="224"/>
      <c r="O209" s="225"/>
      <c r="P209" s="226"/>
      <c r="Q209" s="169"/>
      <c r="Y209" s="95"/>
      <c r="Z209" s="228"/>
      <c r="AA209" s="215"/>
      <c r="AB209" s="229"/>
      <c r="AC209" s="230"/>
      <c r="AD209" s="267" t="s">
        <v>4</v>
      </c>
    </row>
    <row r="210" spans="1:30" ht="17.100000000000001" customHeight="1" x14ac:dyDescent="0.25">
      <c r="A210" s="201"/>
      <c r="B210" s="202"/>
      <c r="C210" s="221"/>
      <c r="D210" s="222"/>
      <c r="E210" s="363"/>
      <c r="G210" s="206"/>
      <c r="H210" s="218"/>
      <c r="I210" s="177"/>
      <c r="J210" s="176"/>
      <c r="K210" s="207"/>
      <c r="L210" s="208"/>
      <c r="M210" s="208"/>
      <c r="N210" s="224"/>
      <c r="O210" s="225"/>
      <c r="P210" s="226"/>
      <c r="Q210" s="169"/>
      <c r="Y210" s="95"/>
      <c r="Z210" s="228"/>
      <c r="AA210" s="215"/>
      <c r="AB210" s="229"/>
      <c r="AC210" s="230"/>
      <c r="AD210" s="267" t="s">
        <v>4</v>
      </c>
    </row>
    <row r="211" spans="1:30" ht="17.100000000000001" customHeight="1" x14ac:dyDescent="0.25">
      <c r="A211" s="201"/>
      <c r="B211" s="202"/>
      <c r="C211" s="221"/>
      <c r="D211" s="222"/>
      <c r="E211" s="363"/>
      <c r="G211" s="206"/>
      <c r="H211" s="218"/>
      <c r="I211" s="177"/>
      <c r="J211" s="176"/>
      <c r="K211" s="207"/>
      <c r="L211" s="208"/>
      <c r="M211" s="208"/>
      <c r="N211" s="224"/>
      <c r="O211" s="225"/>
      <c r="P211" s="226"/>
      <c r="Q211" s="169"/>
      <c r="Y211" s="95"/>
      <c r="Z211" s="228"/>
      <c r="AA211" s="215"/>
      <c r="AB211" s="229"/>
      <c r="AC211" s="230"/>
      <c r="AD211" s="267" t="s">
        <v>4</v>
      </c>
    </row>
    <row r="212" spans="1:30" ht="17.100000000000001" customHeight="1" x14ac:dyDescent="0.25">
      <c r="A212" s="201"/>
      <c r="B212" s="202"/>
      <c r="C212" s="221"/>
      <c r="D212" s="222"/>
      <c r="E212" s="363"/>
      <c r="G212" s="206"/>
      <c r="H212" s="218"/>
      <c r="I212" s="177"/>
      <c r="J212" s="176"/>
      <c r="K212" s="207"/>
      <c r="L212" s="208"/>
      <c r="M212" s="208"/>
      <c r="N212" s="224"/>
      <c r="O212" s="225"/>
      <c r="P212" s="226"/>
      <c r="Q212" s="169"/>
      <c r="Y212" s="95"/>
      <c r="Z212" s="228"/>
      <c r="AA212" s="215"/>
      <c r="AB212" s="229"/>
      <c r="AC212" s="230"/>
      <c r="AD212" s="267" t="s">
        <v>4</v>
      </c>
    </row>
    <row r="213" spans="1:30" ht="17.100000000000001" customHeight="1" x14ac:dyDescent="0.25">
      <c r="A213" s="201"/>
      <c r="B213" s="202"/>
      <c r="C213" s="221"/>
      <c r="D213" s="222"/>
      <c r="E213" s="363"/>
      <c r="G213" s="206"/>
      <c r="H213" s="218"/>
      <c r="I213" s="177"/>
      <c r="J213" s="176"/>
      <c r="K213" s="207"/>
      <c r="L213" s="208"/>
      <c r="M213" s="208"/>
      <c r="N213" s="224"/>
      <c r="O213" s="225"/>
      <c r="P213" s="226"/>
      <c r="Q213" s="169"/>
      <c r="Y213" s="95"/>
      <c r="Z213" s="228"/>
      <c r="AA213" s="215"/>
      <c r="AB213" s="229"/>
      <c r="AC213" s="230"/>
      <c r="AD213" s="267" t="s">
        <v>4</v>
      </c>
    </row>
    <row r="214" spans="1:30" ht="17.100000000000001" customHeight="1" x14ac:dyDescent="0.25">
      <c r="A214" s="201"/>
      <c r="B214" s="202"/>
      <c r="C214" s="221"/>
      <c r="D214" s="222"/>
      <c r="E214" s="363"/>
      <c r="G214" s="206"/>
      <c r="H214" s="218"/>
      <c r="I214" s="177"/>
      <c r="J214" s="176"/>
      <c r="K214" s="207"/>
      <c r="L214" s="208"/>
      <c r="M214" s="208"/>
      <c r="N214" s="224"/>
      <c r="O214" s="225"/>
      <c r="P214" s="226"/>
      <c r="Q214" s="169"/>
      <c r="Y214" s="95"/>
      <c r="Z214" s="228"/>
      <c r="AA214" s="215"/>
      <c r="AB214" s="229"/>
      <c r="AC214" s="230"/>
      <c r="AD214" s="267" t="s">
        <v>4</v>
      </c>
    </row>
    <row r="215" spans="1:30" ht="17.100000000000001" customHeight="1" x14ac:dyDescent="0.25">
      <c r="A215" s="201"/>
      <c r="B215" s="202"/>
      <c r="C215" s="221"/>
      <c r="D215" s="222"/>
      <c r="E215" s="363"/>
      <c r="G215" s="206"/>
      <c r="H215" s="218"/>
      <c r="I215" s="177"/>
      <c r="J215" s="176"/>
      <c r="K215" s="207"/>
      <c r="L215" s="208"/>
      <c r="M215" s="208"/>
      <c r="N215" s="224"/>
      <c r="O215" s="225"/>
      <c r="P215" s="226"/>
      <c r="Q215" s="169"/>
      <c r="Y215" s="95"/>
      <c r="Z215" s="228"/>
      <c r="AA215" s="215"/>
      <c r="AB215" s="229"/>
      <c r="AC215" s="230"/>
      <c r="AD215" s="267" t="s">
        <v>4</v>
      </c>
    </row>
    <row r="216" spans="1:30" ht="17.100000000000001" customHeight="1" x14ac:dyDescent="0.25">
      <c r="A216" s="201"/>
      <c r="B216" s="202"/>
      <c r="C216" s="221"/>
      <c r="D216" s="222"/>
      <c r="E216" s="363"/>
      <c r="G216" s="206"/>
      <c r="H216" s="218"/>
      <c r="I216" s="177"/>
      <c r="J216" s="176"/>
      <c r="K216" s="207"/>
      <c r="L216" s="208"/>
      <c r="M216" s="208"/>
      <c r="N216" s="224"/>
      <c r="O216" s="225"/>
      <c r="P216" s="226"/>
      <c r="Q216" s="169"/>
      <c r="Y216" s="95"/>
      <c r="Z216" s="228"/>
      <c r="AA216" s="215"/>
      <c r="AB216" s="229"/>
      <c r="AC216" s="230"/>
      <c r="AD216" s="267" t="s">
        <v>4</v>
      </c>
    </row>
    <row r="217" spans="1:30" ht="17.100000000000001" customHeight="1" x14ac:dyDescent="0.25">
      <c r="A217" s="201"/>
      <c r="B217" s="202"/>
      <c r="C217" s="221"/>
      <c r="D217" s="222"/>
      <c r="E217" s="363"/>
      <c r="G217" s="206"/>
      <c r="H217" s="218"/>
      <c r="I217" s="177"/>
      <c r="J217" s="176"/>
      <c r="K217" s="207"/>
      <c r="L217" s="208"/>
      <c r="M217" s="208"/>
      <c r="N217" s="224"/>
      <c r="O217" s="225"/>
      <c r="P217" s="226"/>
      <c r="Q217" s="169"/>
      <c r="Y217" s="95"/>
      <c r="Z217" s="228"/>
      <c r="AA217" s="215"/>
      <c r="AB217" s="229"/>
      <c r="AC217" s="230"/>
      <c r="AD217" s="267" t="s">
        <v>4</v>
      </c>
    </row>
    <row r="218" spans="1:30" ht="17.100000000000001" customHeight="1" x14ac:dyDescent="0.25">
      <c r="A218" s="201"/>
      <c r="B218" s="202"/>
      <c r="C218" s="221"/>
      <c r="D218" s="222"/>
      <c r="E218" s="363"/>
      <c r="G218" s="206"/>
      <c r="H218" s="218"/>
      <c r="I218" s="177"/>
      <c r="J218" s="176"/>
      <c r="K218" s="207"/>
      <c r="L218" s="208"/>
      <c r="M218" s="208"/>
      <c r="N218" s="224"/>
      <c r="O218" s="225"/>
      <c r="P218" s="226"/>
      <c r="Q218" s="169"/>
      <c r="Y218" s="95"/>
      <c r="Z218" s="228"/>
      <c r="AA218" s="215"/>
      <c r="AB218" s="229"/>
      <c r="AC218" s="230"/>
      <c r="AD218" s="267" t="s">
        <v>4</v>
      </c>
    </row>
    <row r="219" spans="1:30" ht="17.100000000000001" customHeight="1" x14ac:dyDescent="0.25">
      <c r="A219" s="201"/>
      <c r="B219" s="202"/>
      <c r="C219" s="221"/>
      <c r="D219" s="222"/>
      <c r="E219" s="363"/>
      <c r="G219" s="206"/>
      <c r="H219" s="218"/>
      <c r="I219" s="177"/>
      <c r="J219" s="176"/>
      <c r="K219" s="207"/>
      <c r="L219" s="208"/>
      <c r="M219" s="208"/>
      <c r="N219" s="224"/>
      <c r="O219" s="225"/>
      <c r="P219" s="226"/>
      <c r="Q219" s="169"/>
      <c r="Y219" s="95"/>
      <c r="Z219" s="228"/>
      <c r="AA219" s="215"/>
      <c r="AB219" s="229"/>
      <c r="AC219" s="230"/>
      <c r="AD219" s="267" t="s">
        <v>4</v>
      </c>
    </row>
    <row r="220" spans="1:30" ht="17.100000000000001" customHeight="1" x14ac:dyDescent="0.25">
      <c r="A220" s="201"/>
      <c r="B220" s="202"/>
      <c r="C220" s="221"/>
      <c r="D220" s="222"/>
      <c r="E220" s="363"/>
      <c r="G220" s="206"/>
      <c r="H220" s="218"/>
      <c r="I220" s="177"/>
      <c r="J220" s="176"/>
      <c r="K220" s="207"/>
      <c r="L220" s="208"/>
      <c r="M220" s="208"/>
      <c r="N220" s="224"/>
      <c r="O220" s="225"/>
      <c r="P220" s="226"/>
      <c r="Q220" s="169"/>
      <c r="Y220" s="95"/>
      <c r="Z220" s="228"/>
      <c r="AA220" s="215"/>
      <c r="AB220" s="229"/>
      <c r="AC220" s="230"/>
      <c r="AD220" s="267" t="s">
        <v>4</v>
      </c>
    </row>
    <row r="221" spans="1:30" ht="17.100000000000001" customHeight="1" x14ac:dyDescent="0.25">
      <c r="A221" s="201"/>
      <c r="B221" s="202"/>
      <c r="C221" s="203"/>
      <c r="D221" s="204"/>
      <c r="E221" s="363"/>
      <c r="F221" s="205"/>
      <c r="G221" s="206"/>
      <c r="H221" s="218"/>
      <c r="I221" s="177"/>
      <c r="J221" s="176"/>
      <c r="K221" s="207"/>
      <c r="L221" s="208"/>
      <c r="M221" s="208"/>
      <c r="N221" s="209"/>
      <c r="O221" s="210"/>
      <c r="P221" s="211"/>
      <c r="Q221" s="220"/>
      <c r="R221" s="205"/>
      <c r="S221" s="205"/>
      <c r="T221" s="205"/>
      <c r="U221" s="205"/>
      <c r="V221" s="205"/>
      <c r="W221" s="205"/>
      <c r="X221" s="205"/>
      <c r="Y221" s="213"/>
      <c r="Z221" s="214"/>
      <c r="AA221" s="215"/>
      <c r="AB221" s="216"/>
      <c r="AC221" s="217"/>
      <c r="AD221" s="267" t="s">
        <v>4</v>
      </c>
    </row>
    <row r="222" spans="1:30" ht="17.100000000000001" customHeight="1" x14ac:dyDescent="0.25">
      <c r="A222" s="201"/>
      <c r="B222" s="202"/>
      <c r="C222" s="221"/>
      <c r="D222" s="222"/>
      <c r="E222" s="363"/>
      <c r="G222" s="206"/>
      <c r="H222" s="218"/>
      <c r="I222" s="177"/>
      <c r="J222" s="176"/>
      <c r="K222" s="207"/>
      <c r="L222" s="208"/>
      <c r="M222" s="208"/>
      <c r="N222" s="224"/>
      <c r="O222" s="225"/>
      <c r="P222" s="226"/>
      <c r="Q222" s="220"/>
      <c r="Y222" s="95"/>
      <c r="Z222" s="228"/>
      <c r="AA222" s="215"/>
      <c r="AB222" s="229"/>
      <c r="AC222" s="230"/>
      <c r="AD222" s="267" t="s">
        <v>4</v>
      </c>
    </row>
    <row r="223" spans="1:30" ht="17.100000000000001" customHeight="1" x14ac:dyDescent="0.25">
      <c r="A223" s="201"/>
      <c r="B223" s="202"/>
      <c r="C223" s="221"/>
      <c r="D223" s="222"/>
      <c r="E223" s="363"/>
      <c r="G223" s="206"/>
      <c r="H223" s="218"/>
      <c r="I223" s="177"/>
      <c r="J223" s="176"/>
      <c r="K223" s="207"/>
      <c r="L223" s="208"/>
      <c r="M223" s="208"/>
      <c r="N223" s="224"/>
      <c r="O223" s="225"/>
      <c r="P223" s="226"/>
      <c r="Q223" s="220"/>
      <c r="Y223" s="95"/>
      <c r="Z223" s="228"/>
      <c r="AA223" s="215"/>
      <c r="AB223" s="229"/>
      <c r="AC223" s="230"/>
      <c r="AD223" s="267" t="s">
        <v>4</v>
      </c>
    </row>
    <row r="224" spans="1:30" ht="17.100000000000001" customHeight="1" x14ac:dyDescent="0.25">
      <c r="A224" s="201"/>
      <c r="B224" s="202"/>
      <c r="C224" s="221"/>
      <c r="D224" s="222"/>
      <c r="E224" s="363"/>
      <c r="G224" s="206"/>
      <c r="H224" s="218"/>
      <c r="I224" s="177"/>
      <c r="J224" s="176"/>
      <c r="K224" s="207"/>
      <c r="L224" s="208"/>
      <c r="M224" s="208"/>
      <c r="N224" s="224"/>
      <c r="O224" s="225"/>
      <c r="P224" s="226"/>
      <c r="Q224" s="169"/>
      <c r="Y224" s="95"/>
      <c r="Z224" s="228"/>
      <c r="AA224" s="215"/>
      <c r="AB224" s="229"/>
      <c r="AC224" s="230"/>
      <c r="AD224" s="267" t="s">
        <v>4</v>
      </c>
    </row>
    <row r="225" spans="1:30" ht="17.100000000000001" customHeight="1" x14ac:dyDescent="0.25">
      <c r="A225" s="201"/>
      <c r="B225" s="202"/>
      <c r="C225" s="221"/>
      <c r="D225" s="222"/>
      <c r="E225" s="363"/>
      <c r="G225" s="206"/>
      <c r="H225" s="218"/>
      <c r="I225" s="177"/>
      <c r="J225" s="176"/>
      <c r="K225" s="207"/>
      <c r="L225" s="208"/>
      <c r="M225" s="208"/>
      <c r="N225" s="224"/>
      <c r="O225" s="225"/>
      <c r="P225" s="226"/>
      <c r="Q225" s="169"/>
      <c r="R225" s="233"/>
      <c r="Y225" s="95"/>
      <c r="Z225" s="228"/>
      <c r="AA225" s="215"/>
      <c r="AB225" s="229"/>
      <c r="AC225" s="230"/>
      <c r="AD225" s="267" t="s">
        <v>4</v>
      </c>
    </row>
    <row r="226" spans="1:30" ht="17.100000000000001" customHeight="1" x14ac:dyDescent="0.25">
      <c r="A226" s="201"/>
      <c r="B226" s="202"/>
      <c r="C226" s="221"/>
      <c r="D226" s="222"/>
      <c r="E226" s="363"/>
      <c r="G226" s="206"/>
      <c r="H226" s="218"/>
      <c r="I226" s="177"/>
      <c r="J226" s="176"/>
      <c r="K226" s="207"/>
      <c r="L226" s="208"/>
      <c r="M226" s="208"/>
      <c r="N226" s="224"/>
      <c r="O226" s="225"/>
      <c r="P226" s="226"/>
      <c r="Q226" s="169"/>
      <c r="Y226" s="95"/>
      <c r="Z226" s="228"/>
      <c r="AA226" s="215"/>
      <c r="AB226" s="229"/>
      <c r="AC226" s="230"/>
      <c r="AD226" s="267" t="s">
        <v>4</v>
      </c>
    </row>
    <row r="227" spans="1:30" ht="17.100000000000001" customHeight="1" x14ac:dyDescent="0.25">
      <c r="A227" s="201"/>
      <c r="B227" s="202"/>
      <c r="C227" s="221"/>
      <c r="D227" s="222"/>
      <c r="E227" s="363"/>
      <c r="G227" s="206"/>
      <c r="H227" s="218"/>
      <c r="I227" s="177"/>
      <c r="J227" s="176"/>
      <c r="K227" s="207"/>
      <c r="L227" s="208"/>
      <c r="M227" s="208"/>
      <c r="N227" s="224"/>
      <c r="O227" s="225"/>
      <c r="P227" s="226"/>
      <c r="Q227" s="169"/>
      <c r="Y227" s="95"/>
      <c r="Z227" s="228"/>
      <c r="AA227" s="215"/>
      <c r="AB227" s="229"/>
      <c r="AC227" s="230"/>
      <c r="AD227" s="267" t="s">
        <v>4</v>
      </c>
    </row>
    <row r="228" spans="1:30" ht="17.100000000000001" customHeight="1" x14ac:dyDescent="0.25">
      <c r="A228" s="201"/>
      <c r="B228" s="202"/>
      <c r="C228" s="221"/>
      <c r="D228" s="222"/>
      <c r="E228" s="363"/>
      <c r="G228" s="206"/>
      <c r="H228" s="218"/>
      <c r="I228" s="177"/>
      <c r="J228" s="176"/>
      <c r="K228" s="207"/>
      <c r="L228" s="208"/>
      <c r="M228" s="208"/>
      <c r="N228" s="224"/>
      <c r="O228" s="225"/>
      <c r="P228" s="226"/>
      <c r="Q228" s="169"/>
      <c r="Y228" s="95"/>
      <c r="Z228" s="228"/>
      <c r="AA228" s="215"/>
      <c r="AB228" s="229"/>
      <c r="AC228" s="230"/>
      <c r="AD228" s="267" t="s">
        <v>4</v>
      </c>
    </row>
    <row r="229" spans="1:30" ht="17.100000000000001" customHeight="1" x14ac:dyDescent="0.25">
      <c r="A229" s="201"/>
      <c r="B229" s="202"/>
      <c r="C229" s="221"/>
      <c r="D229" s="222"/>
      <c r="E229" s="363"/>
      <c r="G229" s="206"/>
      <c r="H229" s="218"/>
      <c r="I229" s="177"/>
      <c r="J229" s="176"/>
      <c r="K229" s="207"/>
      <c r="L229" s="208"/>
      <c r="M229" s="208"/>
      <c r="N229" s="224"/>
      <c r="O229" s="225"/>
      <c r="P229" s="226"/>
      <c r="Q229" s="169"/>
      <c r="Y229" s="95"/>
      <c r="Z229" s="228"/>
      <c r="AA229" s="215"/>
      <c r="AB229" s="229"/>
      <c r="AC229" s="230"/>
      <c r="AD229" s="267" t="s">
        <v>4</v>
      </c>
    </row>
    <row r="230" spans="1:30" ht="17.100000000000001" customHeight="1" x14ac:dyDescent="0.25">
      <c r="A230" s="201"/>
      <c r="B230" s="202"/>
      <c r="C230" s="221"/>
      <c r="D230" s="222"/>
      <c r="E230" s="363"/>
      <c r="G230" s="206"/>
      <c r="H230" s="218"/>
      <c r="I230" s="177"/>
      <c r="J230" s="176"/>
      <c r="K230" s="207"/>
      <c r="L230" s="208"/>
      <c r="M230" s="208"/>
      <c r="N230" s="224"/>
      <c r="O230" s="225"/>
      <c r="P230" s="226"/>
      <c r="Q230" s="169"/>
      <c r="Y230" s="95"/>
      <c r="Z230" s="228"/>
      <c r="AA230" s="215"/>
      <c r="AB230" s="229"/>
      <c r="AC230" s="230"/>
      <c r="AD230" s="267" t="s">
        <v>4</v>
      </c>
    </row>
    <row r="231" spans="1:30" ht="17.100000000000001" customHeight="1" x14ac:dyDescent="0.25">
      <c r="A231" s="201"/>
      <c r="B231" s="202"/>
      <c r="C231" s="221"/>
      <c r="D231" s="222"/>
      <c r="E231" s="363"/>
      <c r="G231" s="206"/>
      <c r="H231" s="218"/>
      <c r="I231" s="177"/>
      <c r="J231" s="176"/>
      <c r="K231" s="207"/>
      <c r="L231" s="208"/>
      <c r="M231" s="208"/>
      <c r="N231" s="224"/>
      <c r="O231" s="225"/>
      <c r="P231" s="226"/>
      <c r="Q231" s="169"/>
      <c r="Y231" s="95"/>
      <c r="Z231" s="228"/>
      <c r="AA231" s="215"/>
      <c r="AB231" s="229"/>
      <c r="AC231" s="230"/>
      <c r="AD231" s="267" t="s">
        <v>4</v>
      </c>
    </row>
    <row r="232" spans="1:30" ht="17.100000000000001" customHeight="1" x14ac:dyDescent="0.25">
      <c r="A232" s="201"/>
      <c r="B232" s="202"/>
      <c r="C232" s="221"/>
      <c r="D232" s="222"/>
      <c r="E232" s="363"/>
      <c r="G232" s="206"/>
      <c r="H232" s="218"/>
      <c r="I232" s="177"/>
      <c r="J232" s="176"/>
      <c r="K232" s="207"/>
      <c r="L232" s="208"/>
      <c r="M232" s="208"/>
      <c r="N232" s="224"/>
      <c r="O232" s="225"/>
      <c r="P232" s="226"/>
      <c r="Q232" s="169"/>
      <c r="Y232" s="95"/>
      <c r="Z232" s="228"/>
      <c r="AA232" s="215"/>
      <c r="AB232" s="229"/>
      <c r="AC232" s="230"/>
      <c r="AD232" s="267" t="s">
        <v>4</v>
      </c>
    </row>
    <row r="233" spans="1:30" ht="17.100000000000001" customHeight="1" x14ac:dyDescent="0.25">
      <c r="A233" s="201"/>
      <c r="B233" s="202"/>
      <c r="C233" s="203"/>
      <c r="D233" s="204"/>
      <c r="E233" s="363"/>
      <c r="F233" s="205"/>
      <c r="G233" s="206"/>
      <c r="H233" s="218"/>
      <c r="I233" s="177"/>
      <c r="J233" s="176"/>
      <c r="K233" s="207"/>
      <c r="L233" s="208"/>
      <c r="M233" s="208"/>
      <c r="N233" s="209"/>
      <c r="O233" s="210"/>
      <c r="P233" s="211"/>
      <c r="Q233" s="220"/>
      <c r="R233" s="205"/>
      <c r="S233" s="205"/>
      <c r="T233" s="205"/>
      <c r="U233" s="205"/>
      <c r="V233" s="205"/>
      <c r="W233" s="205"/>
      <c r="X233" s="205"/>
      <c r="Y233" s="213"/>
      <c r="Z233" s="214"/>
      <c r="AA233" s="215"/>
      <c r="AB233" s="216"/>
      <c r="AC233" s="217"/>
      <c r="AD233" s="267" t="s">
        <v>4</v>
      </c>
    </row>
    <row r="234" spans="1:30" ht="17.100000000000001" customHeight="1" x14ac:dyDescent="0.25">
      <c r="A234" s="201"/>
      <c r="B234" s="202"/>
      <c r="C234" s="221"/>
      <c r="D234" s="222"/>
      <c r="E234" s="363"/>
      <c r="G234" s="206"/>
      <c r="H234" s="218"/>
      <c r="I234" s="177"/>
      <c r="J234" s="176"/>
      <c r="K234" s="207"/>
      <c r="L234" s="208"/>
      <c r="M234" s="208"/>
      <c r="N234" s="224"/>
      <c r="O234" s="225"/>
      <c r="P234" s="226"/>
      <c r="Q234" s="220"/>
      <c r="R234" s="233"/>
      <c r="Y234" s="95"/>
      <c r="Z234" s="228"/>
      <c r="AA234" s="215"/>
      <c r="AB234" s="229"/>
      <c r="AC234" s="230"/>
      <c r="AD234" s="267" t="s">
        <v>4</v>
      </c>
    </row>
    <row r="235" spans="1:30" ht="17.100000000000001" customHeight="1" x14ac:dyDescent="0.25">
      <c r="A235" s="201"/>
      <c r="B235" s="202"/>
      <c r="C235" s="203"/>
      <c r="D235" s="204"/>
      <c r="E235" s="363"/>
      <c r="F235" s="205"/>
      <c r="G235" s="206"/>
      <c r="H235" s="218"/>
      <c r="I235" s="177"/>
      <c r="J235" s="176"/>
      <c r="K235" s="207"/>
      <c r="L235" s="208"/>
      <c r="M235" s="208"/>
      <c r="N235" s="209"/>
      <c r="O235" s="210"/>
      <c r="P235" s="211"/>
      <c r="Q235" s="220"/>
      <c r="R235" s="205"/>
      <c r="S235" s="205"/>
      <c r="T235" s="205"/>
      <c r="U235" s="205"/>
      <c r="V235" s="205"/>
      <c r="W235" s="205"/>
      <c r="X235" s="205"/>
      <c r="Y235" s="213"/>
      <c r="Z235" s="214"/>
      <c r="AA235" s="215"/>
      <c r="AB235" s="216"/>
      <c r="AC235" s="217"/>
      <c r="AD235" s="267" t="s">
        <v>4</v>
      </c>
    </row>
    <row r="236" spans="1:30" ht="17.100000000000001" customHeight="1" x14ac:dyDescent="0.25">
      <c r="A236" s="201"/>
      <c r="B236" s="202"/>
      <c r="C236" s="221"/>
      <c r="D236" s="222"/>
      <c r="E236" s="363"/>
      <c r="G236" s="206"/>
      <c r="H236" s="218"/>
      <c r="I236" s="177"/>
      <c r="J236" s="176"/>
      <c r="K236" s="207"/>
      <c r="L236" s="208"/>
      <c r="M236" s="208"/>
      <c r="N236" s="224"/>
      <c r="O236" s="225"/>
      <c r="P236" s="226"/>
      <c r="Q236" s="169"/>
      <c r="R236" s="233"/>
      <c r="Y236" s="95"/>
      <c r="Z236" s="228"/>
      <c r="AA236" s="215"/>
      <c r="AB236" s="229"/>
      <c r="AC236" s="230"/>
      <c r="AD236" s="267" t="s">
        <v>4</v>
      </c>
    </row>
    <row r="237" spans="1:30" ht="17.100000000000001" customHeight="1" x14ac:dyDescent="0.25">
      <c r="A237" s="201"/>
      <c r="B237" s="202"/>
      <c r="C237" s="221"/>
      <c r="D237" s="222"/>
      <c r="E237" s="363"/>
      <c r="G237" s="206"/>
      <c r="H237" s="218"/>
      <c r="I237" s="177"/>
      <c r="J237" s="176"/>
      <c r="K237" s="207"/>
      <c r="L237" s="208"/>
      <c r="M237" s="208"/>
      <c r="N237" s="224"/>
      <c r="O237" s="225"/>
      <c r="P237" s="226"/>
      <c r="Q237" s="169"/>
      <c r="Y237" s="95"/>
      <c r="Z237" s="228"/>
      <c r="AA237" s="215"/>
      <c r="AB237" s="229"/>
      <c r="AC237" s="230"/>
      <c r="AD237" s="267" t="s">
        <v>4</v>
      </c>
    </row>
    <row r="238" spans="1:30" ht="17.100000000000001" customHeight="1" x14ac:dyDescent="0.25">
      <c r="A238" s="201"/>
      <c r="B238" s="202"/>
      <c r="C238" s="221"/>
      <c r="D238" s="222"/>
      <c r="E238" s="363"/>
      <c r="G238" s="206"/>
      <c r="H238" s="218"/>
      <c r="I238" s="177"/>
      <c r="J238" s="176"/>
      <c r="K238" s="207"/>
      <c r="L238" s="208"/>
      <c r="M238" s="208"/>
      <c r="N238" s="224"/>
      <c r="O238" s="225"/>
      <c r="P238" s="226"/>
      <c r="Q238" s="169"/>
      <c r="Y238" s="95"/>
      <c r="Z238" s="228"/>
      <c r="AA238" s="215"/>
      <c r="AB238" s="229"/>
      <c r="AC238" s="230"/>
      <c r="AD238" s="267" t="s">
        <v>4</v>
      </c>
    </row>
    <row r="239" spans="1:30" ht="17.100000000000001" customHeight="1" x14ac:dyDescent="0.25">
      <c r="A239" s="201"/>
      <c r="B239" s="202"/>
      <c r="C239" s="221"/>
      <c r="D239" s="222"/>
      <c r="E239" s="363"/>
      <c r="G239" s="206"/>
      <c r="H239" s="218"/>
      <c r="I239" s="177"/>
      <c r="J239" s="176"/>
      <c r="K239" s="207"/>
      <c r="L239" s="208"/>
      <c r="M239" s="208"/>
      <c r="N239" s="224"/>
      <c r="O239" s="225"/>
      <c r="P239" s="226"/>
      <c r="Q239" s="220"/>
      <c r="Y239" s="95"/>
      <c r="Z239" s="228"/>
      <c r="AA239" s="215"/>
      <c r="AB239" s="229"/>
      <c r="AC239" s="230"/>
      <c r="AD239" s="267" t="s">
        <v>4</v>
      </c>
    </row>
    <row r="240" spans="1:30" ht="17.100000000000001" customHeight="1" x14ac:dyDescent="0.25">
      <c r="A240" s="201"/>
      <c r="B240" s="202"/>
      <c r="C240" s="221"/>
      <c r="D240" s="222"/>
      <c r="E240" s="363"/>
      <c r="G240" s="206"/>
      <c r="H240" s="218"/>
      <c r="I240" s="177"/>
      <c r="J240" s="176"/>
      <c r="K240" s="207"/>
      <c r="L240" s="208"/>
      <c r="M240" s="208"/>
      <c r="N240" s="224"/>
      <c r="O240" s="225"/>
      <c r="P240" s="226"/>
      <c r="Q240" s="169"/>
      <c r="Y240" s="95"/>
      <c r="Z240" s="228"/>
      <c r="AA240" s="215"/>
      <c r="AB240" s="229"/>
      <c r="AC240" s="230"/>
      <c r="AD240" s="267" t="s">
        <v>4</v>
      </c>
    </row>
    <row r="241" spans="1:30" ht="17.100000000000001" customHeight="1" x14ac:dyDescent="0.25">
      <c r="A241" s="201"/>
      <c r="B241" s="202"/>
      <c r="C241" s="221"/>
      <c r="D241" s="222"/>
      <c r="E241" s="363"/>
      <c r="G241" s="206"/>
      <c r="H241" s="218"/>
      <c r="I241" s="177"/>
      <c r="J241" s="176"/>
      <c r="K241" s="207"/>
      <c r="L241" s="208"/>
      <c r="M241" s="208"/>
      <c r="N241" s="224"/>
      <c r="O241" s="225"/>
      <c r="P241" s="226"/>
      <c r="Q241" s="169"/>
      <c r="R241" s="233"/>
      <c r="Y241" s="95"/>
      <c r="Z241" s="228"/>
      <c r="AA241" s="215"/>
      <c r="AB241" s="229"/>
      <c r="AC241" s="230"/>
      <c r="AD241" s="267" t="s">
        <v>4</v>
      </c>
    </row>
    <row r="242" spans="1:30" ht="17.100000000000001" customHeight="1" x14ac:dyDescent="0.25">
      <c r="A242" s="201"/>
      <c r="B242" s="202"/>
      <c r="C242" s="203"/>
      <c r="D242" s="204"/>
      <c r="E242" s="363"/>
      <c r="F242" s="205"/>
      <c r="G242" s="206"/>
      <c r="H242" s="218"/>
      <c r="I242" s="177"/>
      <c r="J242" s="176"/>
      <c r="K242" s="207"/>
      <c r="L242" s="208"/>
      <c r="M242" s="208"/>
      <c r="N242" s="209"/>
      <c r="O242" s="210"/>
      <c r="P242" s="211"/>
      <c r="Q242" s="220"/>
      <c r="R242" s="205"/>
      <c r="S242" s="205"/>
      <c r="T242" s="205"/>
      <c r="U242" s="205"/>
      <c r="V242" s="205"/>
      <c r="W242" s="205"/>
      <c r="X242" s="205"/>
      <c r="Y242" s="213"/>
      <c r="Z242" s="214"/>
      <c r="AA242" s="215"/>
      <c r="AB242" s="216"/>
      <c r="AC242" s="217"/>
      <c r="AD242" s="267" t="s">
        <v>4</v>
      </c>
    </row>
    <row r="243" spans="1:30" ht="17.100000000000001" customHeight="1" x14ac:dyDescent="0.25">
      <c r="A243" s="201"/>
      <c r="B243" s="202"/>
      <c r="C243" s="221"/>
      <c r="D243" s="222"/>
      <c r="E243" s="363"/>
      <c r="G243" s="206"/>
      <c r="H243" s="218"/>
      <c r="I243" s="177"/>
      <c r="J243" s="176"/>
      <c r="K243" s="207"/>
      <c r="L243" s="208"/>
      <c r="M243" s="208"/>
      <c r="N243" s="224"/>
      <c r="O243" s="225"/>
      <c r="P243" s="226"/>
      <c r="Q243" s="169"/>
      <c r="Y243" s="95"/>
      <c r="Z243" s="228"/>
      <c r="AA243" s="215"/>
      <c r="AB243" s="229"/>
      <c r="AC243" s="230"/>
      <c r="AD243" s="267" t="s">
        <v>4</v>
      </c>
    </row>
    <row r="244" spans="1:30" ht="17.100000000000001" customHeight="1" x14ac:dyDescent="0.25">
      <c r="A244" s="201"/>
      <c r="B244" s="202"/>
      <c r="C244" s="221"/>
      <c r="D244" s="222"/>
      <c r="E244" s="363"/>
      <c r="G244" s="206"/>
      <c r="H244" s="218"/>
      <c r="I244" s="177"/>
      <c r="J244" s="176"/>
      <c r="K244" s="207"/>
      <c r="L244" s="208"/>
      <c r="M244" s="208"/>
      <c r="N244" s="224"/>
      <c r="O244" s="225"/>
      <c r="P244" s="226"/>
      <c r="Q244" s="169"/>
      <c r="R244" s="233"/>
      <c r="Y244" s="95"/>
      <c r="Z244" s="228"/>
      <c r="AA244" s="215"/>
      <c r="AB244" s="229"/>
      <c r="AC244" s="230"/>
      <c r="AD244" s="267" t="s">
        <v>4</v>
      </c>
    </row>
    <row r="245" spans="1:30" ht="17.100000000000001" customHeight="1" x14ac:dyDescent="0.25">
      <c r="A245" s="201"/>
      <c r="B245" s="202"/>
      <c r="C245" s="221"/>
      <c r="D245" s="222"/>
      <c r="E245" s="363"/>
      <c r="G245" s="206"/>
      <c r="H245" s="218"/>
      <c r="I245" s="177"/>
      <c r="J245" s="176"/>
      <c r="K245" s="207"/>
      <c r="L245" s="208"/>
      <c r="M245" s="208"/>
      <c r="N245" s="224"/>
      <c r="O245" s="225"/>
      <c r="P245" s="226"/>
      <c r="Q245" s="169"/>
      <c r="Y245" s="95"/>
      <c r="Z245" s="228"/>
      <c r="AA245" s="215"/>
      <c r="AB245" s="229"/>
      <c r="AC245" s="230"/>
      <c r="AD245" s="267" t="s">
        <v>4</v>
      </c>
    </row>
    <row r="246" spans="1:30" ht="17.100000000000001" customHeight="1" x14ac:dyDescent="0.25">
      <c r="A246" s="201"/>
      <c r="B246" s="202"/>
      <c r="C246" s="221"/>
      <c r="D246" s="222"/>
      <c r="E246" s="363"/>
      <c r="G246" s="206"/>
      <c r="H246" s="218"/>
      <c r="I246" s="177"/>
      <c r="J246" s="176"/>
      <c r="K246" s="207"/>
      <c r="L246" s="208"/>
      <c r="M246" s="208"/>
      <c r="N246" s="224"/>
      <c r="O246" s="225"/>
      <c r="P246" s="226"/>
      <c r="Q246" s="169"/>
      <c r="Y246" s="95"/>
      <c r="Z246" s="228"/>
      <c r="AA246" s="215"/>
      <c r="AB246" s="229"/>
      <c r="AC246" s="230"/>
      <c r="AD246" s="267" t="s">
        <v>4</v>
      </c>
    </row>
    <row r="247" spans="1:30" ht="17.100000000000001" customHeight="1" x14ac:dyDescent="0.25">
      <c r="A247" s="201"/>
      <c r="B247" s="202"/>
      <c r="C247" s="221"/>
      <c r="D247" s="222"/>
      <c r="E247" s="363"/>
      <c r="G247" s="206"/>
      <c r="H247" s="218"/>
      <c r="I247" s="177"/>
      <c r="J247" s="176"/>
      <c r="K247" s="207"/>
      <c r="L247" s="208"/>
      <c r="M247" s="208"/>
      <c r="N247" s="224"/>
      <c r="O247" s="225"/>
      <c r="P247" s="226"/>
      <c r="Q247" s="169"/>
      <c r="Y247" s="95"/>
      <c r="Z247" s="228"/>
      <c r="AA247" s="215"/>
      <c r="AB247" s="229"/>
      <c r="AC247" s="230"/>
      <c r="AD247" s="267" t="s">
        <v>4</v>
      </c>
    </row>
    <row r="248" spans="1:30" ht="17.100000000000001" customHeight="1" x14ac:dyDescent="0.25">
      <c r="A248" s="201"/>
      <c r="B248" s="202"/>
      <c r="C248" s="221"/>
      <c r="D248" s="222"/>
      <c r="E248" s="363"/>
      <c r="G248" s="206"/>
      <c r="H248" s="218"/>
      <c r="I248" s="177"/>
      <c r="J248" s="176"/>
      <c r="K248" s="207"/>
      <c r="L248" s="208"/>
      <c r="M248" s="208"/>
      <c r="N248" s="224"/>
      <c r="O248" s="225"/>
      <c r="P248" s="226"/>
      <c r="Q248" s="220"/>
      <c r="Y248" s="95"/>
      <c r="Z248" s="228"/>
      <c r="AA248" s="215"/>
      <c r="AB248" s="229"/>
      <c r="AC248" s="230"/>
      <c r="AD248" s="267" t="s">
        <v>4</v>
      </c>
    </row>
    <row r="249" spans="1:30" ht="17.100000000000001" customHeight="1" x14ac:dyDescent="0.25">
      <c r="A249" s="201"/>
      <c r="B249" s="202"/>
      <c r="C249" s="221"/>
      <c r="D249" s="222"/>
      <c r="E249" s="363"/>
      <c r="G249" s="206"/>
      <c r="H249" s="218"/>
      <c r="I249" s="177"/>
      <c r="J249" s="176"/>
      <c r="K249" s="207"/>
      <c r="L249" s="208"/>
      <c r="M249" s="208"/>
      <c r="N249" s="224"/>
      <c r="O249" s="225"/>
      <c r="P249" s="226"/>
      <c r="Q249" s="169"/>
      <c r="Y249" s="95"/>
      <c r="Z249" s="228"/>
      <c r="AA249" s="215"/>
      <c r="AB249" s="229"/>
      <c r="AC249" s="230"/>
      <c r="AD249" s="267" t="s">
        <v>4</v>
      </c>
    </row>
    <row r="250" spans="1:30" ht="17.100000000000001" customHeight="1" x14ac:dyDescent="0.25">
      <c r="A250" s="201"/>
      <c r="B250" s="202"/>
      <c r="C250" s="221"/>
      <c r="D250" s="222"/>
      <c r="E250" s="363"/>
      <c r="G250" s="206"/>
      <c r="H250" s="218"/>
      <c r="I250" s="177"/>
      <c r="J250" s="176"/>
      <c r="K250" s="207"/>
      <c r="L250" s="208"/>
      <c r="M250" s="208"/>
      <c r="N250" s="224"/>
      <c r="O250" s="225"/>
      <c r="P250" s="226"/>
      <c r="Q250" s="169"/>
      <c r="Y250" s="95"/>
      <c r="Z250" s="228"/>
      <c r="AA250" s="215"/>
      <c r="AB250" s="229"/>
      <c r="AC250" s="230"/>
      <c r="AD250" s="267" t="s">
        <v>4</v>
      </c>
    </row>
    <row r="251" spans="1:30" ht="17.100000000000001" customHeight="1" x14ac:dyDescent="0.25">
      <c r="A251" s="201"/>
      <c r="B251" s="202"/>
      <c r="C251" s="221"/>
      <c r="D251" s="222"/>
      <c r="E251" s="363"/>
      <c r="G251" s="206"/>
      <c r="H251" s="218"/>
      <c r="I251" s="177"/>
      <c r="J251" s="176"/>
      <c r="K251" s="207"/>
      <c r="L251" s="208"/>
      <c r="M251" s="208"/>
      <c r="N251" s="224"/>
      <c r="O251" s="225"/>
      <c r="P251" s="226"/>
      <c r="Q251" s="169"/>
      <c r="Y251" s="95"/>
      <c r="Z251" s="228"/>
      <c r="AA251" s="215"/>
      <c r="AB251" s="229"/>
      <c r="AC251" s="230"/>
      <c r="AD251" s="267" t="s">
        <v>4</v>
      </c>
    </row>
    <row r="252" spans="1:30" ht="17.100000000000001" customHeight="1" x14ac:dyDescent="0.25">
      <c r="A252" s="201"/>
      <c r="B252" s="202"/>
      <c r="C252" s="221"/>
      <c r="D252" s="222"/>
      <c r="E252" s="363"/>
      <c r="G252" s="206"/>
      <c r="H252" s="218"/>
      <c r="I252" s="177"/>
      <c r="J252" s="176"/>
      <c r="K252" s="207"/>
      <c r="L252" s="208"/>
      <c r="M252" s="208"/>
      <c r="N252" s="224"/>
      <c r="O252" s="225"/>
      <c r="P252" s="226"/>
      <c r="Q252" s="169"/>
      <c r="Y252" s="95"/>
      <c r="Z252" s="228"/>
      <c r="AA252" s="215"/>
      <c r="AB252" s="229"/>
      <c r="AC252" s="230"/>
      <c r="AD252" s="267" t="s">
        <v>4</v>
      </c>
    </row>
    <row r="253" spans="1:30" ht="17.100000000000001" customHeight="1" x14ac:dyDescent="0.25">
      <c r="A253" s="201"/>
      <c r="B253" s="202"/>
      <c r="C253" s="221"/>
      <c r="D253" s="222"/>
      <c r="E253" s="363"/>
      <c r="G253" s="206"/>
      <c r="H253" s="218"/>
      <c r="I253" s="177"/>
      <c r="J253" s="176"/>
      <c r="K253" s="207"/>
      <c r="L253" s="208"/>
      <c r="M253" s="208"/>
      <c r="N253" s="224"/>
      <c r="O253" s="225"/>
      <c r="P253" s="226"/>
      <c r="Q253" s="169"/>
      <c r="Y253" s="95"/>
      <c r="Z253" s="228"/>
      <c r="AA253" s="215"/>
      <c r="AB253" s="229"/>
      <c r="AC253" s="230"/>
      <c r="AD253" s="267" t="s">
        <v>4</v>
      </c>
    </row>
    <row r="254" spans="1:30" ht="17.100000000000001" customHeight="1" x14ac:dyDescent="0.25">
      <c r="A254" s="201"/>
      <c r="B254" s="202"/>
      <c r="C254" s="221"/>
      <c r="D254" s="222"/>
      <c r="E254" s="363"/>
      <c r="G254" s="206"/>
      <c r="H254" s="218"/>
      <c r="I254" s="177"/>
      <c r="J254" s="176"/>
      <c r="K254" s="207"/>
      <c r="L254" s="208"/>
      <c r="M254" s="208"/>
      <c r="N254" s="224"/>
      <c r="O254" s="225"/>
      <c r="P254" s="226"/>
      <c r="Q254" s="169"/>
      <c r="Y254" s="95"/>
      <c r="Z254" s="228"/>
      <c r="AA254" s="215"/>
      <c r="AB254" s="229"/>
      <c r="AC254" s="230"/>
      <c r="AD254" s="267" t="s">
        <v>4</v>
      </c>
    </row>
    <row r="255" spans="1:30" ht="17.100000000000001" customHeight="1" x14ac:dyDescent="0.25">
      <c r="A255" s="201"/>
      <c r="B255" s="202"/>
      <c r="C255" s="221"/>
      <c r="D255" s="222"/>
      <c r="E255" s="363"/>
      <c r="G255" s="206"/>
      <c r="H255" s="218"/>
      <c r="I255" s="177"/>
      <c r="J255" s="176"/>
      <c r="K255" s="207"/>
      <c r="L255" s="208"/>
      <c r="M255" s="208"/>
      <c r="N255" s="224"/>
      <c r="O255" s="225"/>
      <c r="P255" s="226"/>
      <c r="Q255" s="169"/>
      <c r="Y255" s="95"/>
      <c r="Z255" s="228"/>
      <c r="AA255" s="215"/>
      <c r="AB255" s="229"/>
      <c r="AC255" s="230"/>
      <c r="AD255" s="267" t="s">
        <v>4</v>
      </c>
    </row>
    <row r="256" spans="1:30" ht="17.100000000000001" customHeight="1" x14ac:dyDescent="0.25">
      <c r="A256" s="201"/>
      <c r="B256" s="202"/>
      <c r="C256" s="221"/>
      <c r="D256" s="222"/>
      <c r="E256" s="363"/>
      <c r="G256" s="206"/>
      <c r="H256" s="218"/>
      <c r="I256" s="177"/>
      <c r="J256" s="176"/>
      <c r="K256" s="207"/>
      <c r="L256" s="208"/>
      <c r="M256" s="208"/>
      <c r="N256" s="224"/>
      <c r="O256" s="225"/>
      <c r="P256" s="226"/>
      <c r="Q256" s="169"/>
      <c r="Y256" s="95"/>
      <c r="Z256" s="228"/>
      <c r="AA256" s="215"/>
      <c r="AB256" s="229"/>
      <c r="AC256" s="230"/>
      <c r="AD256" s="267" t="s">
        <v>4</v>
      </c>
    </row>
    <row r="257" spans="1:30" ht="17.100000000000001" customHeight="1" x14ac:dyDescent="0.25">
      <c r="A257" s="201"/>
      <c r="B257" s="202"/>
      <c r="C257" s="221"/>
      <c r="D257" s="222"/>
      <c r="E257" s="363"/>
      <c r="G257" s="206"/>
      <c r="H257" s="218"/>
      <c r="I257" s="177"/>
      <c r="J257" s="176"/>
      <c r="K257" s="207"/>
      <c r="L257" s="208"/>
      <c r="M257" s="208"/>
      <c r="N257" s="224"/>
      <c r="O257" s="225"/>
      <c r="P257" s="226"/>
      <c r="Q257" s="169"/>
      <c r="Y257" s="95"/>
      <c r="Z257" s="228"/>
      <c r="AA257" s="215"/>
      <c r="AB257" s="229"/>
      <c r="AC257" s="230"/>
      <c r="AD257" s="267" t="s">
        <v>4</v>
      </c>
    </row>
    <row r="258" spans="1:30" ht="17.100000000000001" customHeight="1" x14ac:dyDescent="0.25">
      <c r="A258" s="201"/>
      <c r="B258" s="202"/>
      <c r="C258" s="221"/>
      <c r="D258" s="222"/>
      <c r="E258" s="363"/>
      <c r="G258" s="206"/>
      <c r="H258" s="218"/>
      <c r="I258" s="177"/>
      <c r="J258" s="176"/>
      <c r="K258" s="207"/>
      <c r="L258" s="208"/>
      <c r="M258" s="208"/>
      <c r="N258" s="224"/>
      <c r="O258" s="225"/>
      <c r="P258" s="226"/>
      <c r="Q258" s="169"/>
      <c r="Y258" s="95"/>
      <c r="Z258" s="228"/>
      <c r="AA258" s="215"/>
      <c r="AB258" s="229"/>
      <c r="AC258" s="230"/>
      <c r="AD258" s="267" t="s">
        <v>4</v>
      </c>
    </row>
    <row r="259" spans="1:30" ht="17.100000000000001" customHeight="1" x14ac:dyDescent="0.25">
      <c r="A259" s="201"/>
      <c r="B259" s="202"/>
      <c r="C259" s="221"/>
      <c r="D259" s="222"/>
      <c r="E259" s="363"/>
      <c r="G259" s="206"/>
      <c r="H259" s="218"/>
      <c r="I259" s="177"/>
      <c r="J259" s="176"/>
      <c r="K259" s="207"/>
      <c r="L259" s="208"/>
      <c r="M259" s="208"/>
      <c r="N259" s="224"/>
      <c r="O259" s="225"/>
      <c r="P259" s="226"/>
      <c r="Q259" s="169"/>
      <c r="Y259" s="95"/>
      <c r="Z259" s="228"/>
      <c r="AA259" s="215"/>
      <c r="AB259" s="229"/>
      <c r="AC259" s="230"/>
      <c r="AD259" s="267" t="s">
        <v>4</v>
      </c>
    </row>
    <row r="260" spans="1:30" ht="17.100000000000001" customHeight="1" x14ac:dyDescent="0.25">
      <c r="A260" s="201"/>
      <c r="B260" s="202"/>
      <c r="C260" s="221"/>
      <c r="D260" s="222"/>
      <c r="E260" s="363"/>
      <c r="G260" s="206"/>
      <c r="H260" s="218"/>
      <c r="I260" s="177"/>
      <c r="J260" s="176"/>
      <c r="K260" s="207"/>
      <c r="L260" s="208"/>
      <c r="M260" s="208"/>
      <c r="N260" s="224"/>
      <c r="O260" s="225"/>
      <c r="P260" s="226"/>
      <c r="Q260" s="220"/>
      <c r="R260" s="233"/>
      <c r="Y260" s="95"/>
      <c r="Z260" s="228"/>
      <c r="AA260" s="215"/>
      <c r="AB260" s="229"/>
      <c r="AC260" s="230"/>
      <c r="AD260" s="267" t="s">
        <v>4</v>
      </c>
    </row>
    <row r="261" spans="1:30" ht="17.100000000000001" customHeight="1" x14ac:dyDescent="0.25">
      <c r="A261" s="201"/>
      <c r="B261" s="202"/>
      <c r="C261" s="221"/>
      <c r="D261" s="222"/>
      <c r="E261" s="363"/>
      <c r="G261" s="206"/>
      <c r="H261" s="218"/>
      <c r="I261" s="177"/>
      <c r="J261" s="176"/>
      <c r="K261" s="207"/>
      <c r="L261" s="208"/>
      <c r="M261" s="208"/>
      <c r="N261" s="224"/>
      <c r="O261" s="225"/>
      <c r="P261" s="226"/>
      <c r="Q261" s="169"/>
      <c r="R261" s="233"/>
      <c r="Y261" s="95"/>
      <c r="Z261" s="228"/>
      <c r="AA261" s="215"/>
      <c r="AB261" s="229"/>
      <c r="AC261" s="230"/>
      <c r="AD261" s="267" t="s">
        <v>4</v>
      </c>
    </row>
    <row r="262" spans="1:30" ht="17.100000000000001" customHeight="1" x14ac:dyDescent="0.25">
      <c r="A262" s="201"/>
      <c r="B262" s="202"/>
      <c r="C262" s="221"/>
      <c r="D262" s="222"/>
      <c r="E262" s="363"/>
      <c r="G262" s="206"/>
      <c r="H262" s="218"/>
      <c r="I262" s="177"/>
      <c r="J262" s="176"/>
      <c r="K262" s="207"/>
      <c r="L262" s="208"/>
      <c r="M262" s="208"/>
      <c r="N262" s="224"/>
      <c r="O262" s="225"/>
      <c r="P262" s="226"/>
      <c r="Q262" s="169"/>
      <c r="R262" s="233"/>
      <c r="Y262" s="95"/>
      <c r="Z262" s="228"/>
      <c r="AA262" s="215"/>
      <c r="AB262" s="229"/>
      <c r="AC262" s="230"/>
      <c r="AD262" s="267" t="s">
        <v>4</v>
      </c>
    </row>
    <row r="263" spans="1:30" ht="17.100000000000001" customHeight="1" x14ac:dyDescent="0.25">
      <c r="A263" s="201"/>
      <c r="B263" s="202"/>
      <c r="C263" s="221"/>
      <c r="D263" s="222"/>
      <c r="E263" s="363"/>
      <c r="G263" s="206"/>
      <c r="H263" s="218"/>
      <c r="I263" s="177"/>
      <c r="J263" s="176"/>
      <c r="K263" s="207"/>
      <c r="L263" s="208"/>
      <c r="M263" s="208"/>
      <c r="N263" s="224"/>
      <c r="O263" s="225"/>
      <c r="P263" s="226"/>
      <c r="Q263" s="169"/>
      <c r="Y263" s="95"/>
      <c r="Z263" s="228"/>
      <c r="AA263" s="215"/>
      <c r="AB263" s="229"/>
      <c r="AC263" s="230"/>
      <c r="AD263" s="267" t="s">
        <v>4</v>
      </c>
    </row>
    <row r="264" spans="1:30" ht="17.100000000000001" customHeight="1" x14ac:dyDescent="0.25">
      <c r="A264" s="201"/>
      <c r="B264" s="202"/>
      <c r="C264" s="221"/>
      <c r="D264" s="222"/>
      <c r="E264" s="363"/>
      <c r="G264" s="206"/>
      <c r="H264" s="218"/>
      <c r="I264" s="177"/>
      <c r="J264" s="176"/>
      <c r="K264" s="207"/>
      <c r="L264" s="208"/>
      <c r="M264" s="208"/>
      <c r="N264" s="224"/>
      <c r="O264" s="225"/>
      <c r="P264" s="226"/>
      <c r="Q264" s="169"/>
      <c r="Y264" s="95"/>
      <c r="Z264" s="228"/>
      <c r="AA264" s="215"/>
      <c r="AB264" s="229"/>
      <c r="AC264" s="230"/>
      <c r="AD264" s="267" t="s">
        <v>4</v>
      </c>
    </row>
    <row r="265" spans="1:30" ht="17.100000000000001" customHeight="1" x14ac:dyDescent="0.25">
      <c r="A265" s="201"/>
      <c r="B265" s="202"/>
      <c r="C265" s="221"/>
      <c r="D265" s="222"/>
      <c r="E265" s="363"/>
      <c r="G265" s="206"/>
      <c r="H265" s="218"/>
      <c r="I265" s="177"/>
      <c r="J265" s="176"/>
      <c r="K265" s="207"/>
      <c r="L265" s="208"/>
      <c r="M265" s="208"/>
      <c r="N265" s="224"/>
      <c r="O265" s="225"/>
      <c r="P265" s="226"/>
      <c r="Q265" s="169"/>
      <c r="Y265" s="95"/>
      <c r="Z265" s="228"/>
      <c r="AA265" s="215"/>
      <c r="AB265" s="229"/>
      <c r="AC265" s="230"/>
      <c r="AD265" s="267" t="s">
        <v>4</v>
      </c>
    </row>
    <row r="266" spans="1:30" ht="17.100000000000001" customHeight="1" x14ac:dyDescent="0.25">
      <c r="A266" s="201"/>
      <c r="B266" s="202"/>
      <c r="C266" s="221"/>
      <c r="D266" s="222"/>
      <c r="E266" s="363"/>
      <c r="G266" s="206"/>
      <c r="H266" s="218"/>
      <c r="I266" s="177"/>
      <c r="J266" s="176"/>
      <c r="K266" s="207"/>
      <c r="L266" s="208"/>
      <c r="M266" s="208"/>
      <c r="N266" s="224"/>
      <c r="O266" s="225"/>
      <c r="P266" s="226"/>
      <c r="Q266" s="169"/>
      <c r="Y266" s="95"/>
      <c r="Z266" s="228"/>
      <c r="AA266" s="215"/>
      <c r="AB266" s="229"/>
      <c r="AC266" s="230"/>
      <c r="AD266" s="267" t="s">
        <v>4</v>
      </c>
    </row>
    <row r="267" spans="1:30" ht="17.100000000000001" customHeight="1" x14ac:dyDescent="0.25">
      <c r="A267" s="201"/>
      <c r="B267" s="202"/>
      <c r="C267" s="221"/>
      <c r="D267" s="222"/>
      <c r="E267" s="363"/>
      <c r="G267" s="206"/>
      <c r="H267" s="218"/>
      <c r="I267" s="177"/>
      <c r="J267" s="176"/>
      <c r="K267" s="207"/>
      <c r="L267" s="208"/>
      <c r="M267" s="208"/>
      <c r="N267" s="224"/>
      <c r="O267" s="225"/>
      <c r="P267" s="226"/>
      <c r="Q267" s="169"/>
      <c r="R267" s="233"/>
      <c r="Y267" s="95"/>
      <c r="Z267" s="228"/>
      <c r="AA267" s="215"/>
      <c r="AB267" s="229"/>
      <c r="AC267" s="230"/>
      <c r="AD267" s="267" t="s">
        <v>4</v>
      </c>
    </row>
    <row r="268" spans="1:30" ht="17.100000000000001" customHeight="1" x14ac:dyDescent="0.25">
      <c r="A268" s="201"/>
      <c r="B268" s="202"/>
      <c r="C268" s="221"/>
      <c r="D268" s="222"/>
      <c r="E268" s="363"/>
      <c r="G268" s="206"/>
      <c r="H268" s="218"/>
      <c r="I268" s="177"/>
      <c r="J268" s="176"/>
      <c r="K268" s="207"/>
      <c r="L268" s="208"/>
      <c r="M268" s="208"/>
      <c r="N268" s="224"/>
      <c r="O268" s="225"/>
      <c r="P268" s="226"/>
      <c r="Q268" s="169"/>
      <c r="R268" s="233"/>
      <c r="Y268" s="95"/>
      <c r="Z268" s="228"/>
      <c r="AA268" s="215"/>
      <c r="AB268" s="229"/>
      <c r="AC268" s="230"/>
      <c r="AD268" s="267" t="s">
        <v>4</v>
      </c>
    </row>
    <row r="269" spans="1:30" ht="17.100000000000001" customHeight="1" x14ac:dyDescent="0.25">
      <c r="A269" s="201"/>
      <c r="B269" s="202"/>
      <c r="C269" s="221"/>
      <c r="D269" s="222"/>
      <c r="E269" s="363"/>
      <c r="G269" s="206"/>
      <c r="H269" s="218"/>
      <c r="I269" s="177"/>
      <c r="J269" s="176"/>
      <c r="K269" s="207"/>
      <c r="L269" s="208"/>
      <c r="M269" s="208"/>
      <c r="N269" s="224"/>
      <c r="O269" s="225"/>
      <c r="P269" s="226"/>
      <c r="Q269" s="220"/>
      <c r="Y269" s="95"/>
      <c r="Z269" s="228"/>
      <c r="AA269" s="215"/>
      <c r="AB269" s="229"/>
      <c r="AC269" s="230"/>
      <c r="AD269" s="267" t="s">
        <v>4</v>
      </c>
    </row>
    <row r="270" spans="1:30" ht="17.100000000000001" customHeight="1" x14ac:dyDescent="0.25">
      <c r="A270" s="201"/>
      <c r="B270" s="202"/>
      <c r="C270" s="221"/>
      <c r="D270" s="222"/>
      <c r="E270" s="363"/>
      <c r="G270" s="206"/>
      <c r="H270" s="218"/>
      <c r="I270" s="177"/>
      <c r="J270" s="176"/>
      <c r="K270" s="207"/>
      <c r="L270" s="208"/>
      <c r="M270" s="208"/>
      <c r="N270" s="224"/>
      <c r="O270" s="225"/>
      <c r="P270" s="226"/>
      <c r="Q270" s="220"/>
      <c r="Y270" s="95"/>
      <c r="Z270" s="228"/>
      <c r="AA270" s="215"/>
      <c r="AB270" s="229"/>
      <c r="AC270" s="230"/>
      <c r="AD270" s="267" t="s">
        <v>4</v>
      </c>
    </row>
    <row r="271" spans="1:30" ht="17.100000000000001" customHeight="1" x14ac:dyDescent="0.25">
      <c r="A271" s="201"/>
      <c r="B271" s="202"/>
      <c r="C271" s="221"/>
      <c r="D271" s="222"/>
      <c r="E271" s="363"/>
      <c r="G271" s="206"/>
      <c r="H271" s="218"/>
      <c r="I271" s="177"/>
      <c r="J271" s="176"/>
      <c r="K271" s="207"/>
      <c r="L271" s="208"/>
      <c r="M271" s="208"/>
      <c r="N271" s="224"/>
      <c r="O271" s="225"/>
      <c r="P271" s="226"/>
      <c r="Q271" s="169"/>
      <c r="Y271" s="95"/>
      <c r="Z271" s="228"/>
      <c r="AA271" s="215"/>
      <c r="AB271" s="229"/>
      <c r="AC271" s="230"/>
      <c r="AD271" s="267" t="s">
        <v>4</v>
      </c>
    </row>
    <row r="272" spans="1:30" ht="17.100000000000001" customHeight="1" x14ac:dyDescent="0.25">
      <c r="A272" s="201"/>
      <c r="B272" s="202"/>
      <c r="C272" s="221"/>
      <c r="D272" s="222"/>
      <c r="E272" s="363"/>
      <c r="G272" s="206"/>
      <c r="H272" s="218"/>
      <c r="I272" s="177"/>
      <c r="J272" s="176"/>
      <c r="K272" s="207"/>
      <c r="L272" s="208"/>
      <c r="M272" s="208"/>
      <c r="N272" s="224"/>
      <c r="O272" s="225"/>
      <c r="P272" s="226"/>
      <c r="Q272" s="169"/>
      <c r="Y272" s="95"/>
      <c r="Z272" s="228"/>
      <c r="AA272" s="215"/>
      <c r="AB272" s="229"/>
      <c r="AC272" s="230"/>
      <c r="AD272" s="267" t="s">
        <v>4</v>
      </c>
    </row>
    <row r="273" spans="1:30" ht="17.100000000000001" customHeight="1" x14ac:dyDescent="0.25">
      <c r="A273" s="201"/>
      <c r="B273" s="202"/>
      <c r="C273" s="221"/>
      <c r="D273" s="222"/>
      <c r="E273" s="363"/>
      <c r="G273" s="206"/>
      <c r="H273" s="218"/>
      <c r="I273" s="177"/>
      <c r="J273" s="176"/>
      <c r="K273" s="207"/>
      <c r="L273" s="208"/>
      <c r="M273" s="208"/>
      <c r="N273" s="224"/>
      <c r="O273" s="225"/>
      <c r="P273" s="226"/>
      <c r="Q273" s="169"/>
      <c r="Y273" s="95"/>
      <c r="Z273" s="228"/>
      <c r="AA273" s="215"/>
      <c r="AB273" s="229"/>
      <c r="AC273" s="230"/>
      <c r="AD273" s="267" t="s">
        <v>4</v>
      </c>
    </row>
    <row r="274" spans="1:30" ht="17.100000000000001" customHeight="1" x14ac:dyDescent="0.25">
      <c r="A274" s="201"/>
      <c r="B274" s="202"/>
      <c r="C274" s="221"/>
      <c r="D274" s="222"/>
      <c r="E274" s="363"/>
      <c r="G274" s="206"/>
      <c r="H274" s="218"/>
      <c r="I274" s="177"/>
      <c r="J274" s="176"/>
      <c r="K274" s="207"/>
      <c r="L274" s="208"/>
      <c r="M274" s="208"/>
      <c r="N274" s="224"/>
      <c r="O274" s="225"/>
      <c r="P274" s="226"/>
      <c r="Q274" s="220"/>
      <c r="Y274" s="95"/>
      <c r="Z274" s="228"/>
      <c r="AA274" s="215"/>
      <c r="AB274" s="229"/>
      <c r="AC274" s="230"/>
      <c r="AD274" s="267" t="s">
        <v>4</v>
      </c>
    </row>
    <row r="275" spans="1:30" ht="17.100000000000001" customHeight="1" x14ac:dyDescent="0.25">
      <c r="A275" s="201"/>
      <c r="B275" s="202"/>
      <c r="C275" s="203"/>
      <c r="D275" s="204"/>
      <c r="E275" s="363"/>
      <c r="F275" s="205"/>
      <c r="G275" s="206"/>
      <c r="H275" s="218"/>
      <c r="I275" s="177"/>
      <c r="J275" s="176"/>
      <c r="K275" s="207"/>
      <c r="L275" s="208"/>
      <c r="M275" s="208"/>
      <c r="N275" s="209"/>
      <c r="O275" s="210"/>
      <c r="P275" s="211"/>
      <c r="Q275" s="220"/>
      <c r="R275" s="205"/>
      <c r="S275" s="205"/>
      <c r="T275" s="205"/>
      <c r="U275" s="205"/>
      <c r="V275" s="205"/>
      <c r="W275" s="205"/>
      <c r="X275" s="205"/>
      <c r="Y275" s="213"/>
      <c r="Z275" s="214"/>
      <c r="AA275" s="215"/>
      <c r="AB275" s="216"/>
      <c r="AC275" s="217"/>
      <c r="AD275" s="267" t="s">
        <v>4</v>
      </c>
    </row>
    <row r="276" spans="1:30" ht="17.100000000000001" customHeight="1" x14ac:dyDescent="0.25">
      <c r="A276" s="201"/>
      <c r="B276" s="202"/>
      <c r="C276" s="203"/>
      <c r="D276" s="204"/>
      <c r="E276" s="363"/>
      <c r="F276" s="205"/>
      <c r="G276" s="206"/>
      <c r="H276" s="218"/>
      <c r="I276" s="177"/>
      <c r="J276" s="176"/>
      <c r="K276" s="207"/>
      <c r="L276" s="208"/>
      <c r="M276" s="208"/>
      <c r="N276" s="209"/>
      <c r="O276" s="210"/>
      <c r="P276" s="211"/>
      <c r="Q276" s="220"/>
      <c r="R276" s="205"/>
      <c r="S276" s="205"/>
      <c r="T276" s="205"/>
      <c r="U276" s="205"/>
      <c r="V276" s="205"/>
      <c r="W276" s="205"/>
      <c r="X276" s="205"/>
      <c r="Y276" s="213"/>
      <c r="Z276" s="214"/>
      <c r="AA276" s="215"/>
      <c r="AB276" s="216"/>
      <c r="AC276" s="217"/>
      <c r="AD276" s="267" t="s">
        <v>4</v>
      </c>
    </row>
    <row r="277" spans="1:30" ht="17.100000000000001" customHeight="1" x14ac:dyDescent="0.25">
      <c r="A277" s="201"/>
      <c r="B277" s="202"/>
      <c r="C277" s="221"/>
      <c r="D277" s="222"/>
      <c r="E277" s="363"/>
      <c r="G277" s="206"/>
      <c r="H277" s="218"/>
      <c r="I277" s="177"/>
      <c r="J277" s="176"/>
      <c r="K277" s="207"/>
      <c r="L277" s="208"/>
      <c r="M277" s="208"/>
      <c r="N277" s="224"/>
      <c r="O277" s="225"/>
      <c r="P277" s="226"/>
      <c r="Q277" s="169"/>
      <c r="Y277" s="95"/>
      <c r="Z277" s="228"/>
      <c r="AA277" s="215"/>
      <c r="AB277" s="229"/>
      <c r="AC277" s="230"/>
      <c r="AD277" s="267" t="s">
        <v>4</v>
      </c>
    </row>
    <row r="278" spans="1:30" ht="17.100000000000001" customHeight="1" x14ac:dyDescent="0.25">
      <c r="A278" s="201"/>
      <c r="B278" s="202"/>
      <c r="C278" s="221"/>
      <c r="D278" s="222"/>
      <c r="E278" s="363"/>
      <c r="G278" s="206"/>
      <c r="H278" s="218"/>
      <c r="I278" s="177"/>
      <c r="J278" s="176"/>
      <c r="K278" s="207"/>
      <c r="L278" s="208"/>
      <c r="M278" s="208"/>
      <c r="N278" s="224"/>
      <c r="O278" s="225"/>
      <c r="P278" s="226"/>
      <c r="Q278" s="169"/>
      <c r="Y278" s="95"/>
      <c r="Z278" s="228"/>
      <c r="AA278" s="215"/>
      <c r="AB278" s="229"/>
      <c r="AC278" s="230"/>
      <c r="AD278" s="267" t="s">
        <v>4</v>
      </c>
    </row>
    <row r="279" spans="1:30" ht="17.100000000000001" customHeight="1" x14ac:dyDescent="0.25">
      <c r="A279" s="201"/>
      <c r="B279" s="202"/>
      <c r="C279" s="221"/>
      <c r="D279" s="222"/>
      <c r="E279" s="363"/>
      <c r="G279" s="206"/>
      <c r="H279" s="218"/>
      <c r="I279" s="177"/>
      <c r="J279" s="176"/>
      <c r="K279" s="207"/>
      <c r="L279" s="208"/>
      <c r="M279" s="208"/>
      <c r="N279" s="224"/>
      <c r="O279" s="225"/>
      <c r="P279" s="226"/>
      <c r="Q279" s="169"/>
      <c r="Y279" s="95"/>
      <c r="Z279" s="228"/>
      <c r="AA279" s="215"/>
      <c r="AB279" s="229"/>
      <c r="AC279" s="230"/>
      <c r="AD279" s="267" t="s">
        <v>4</v>
      </c>
    </row>
    <row r="280" spans="1:30" ht="17.100000000000001" customHeight="1" x14ac:dyDescent="0.25">
      <c r="A280" s="201"/>
      <c r="B280" s="202"/>
      <c r="C280" s="221"/>
      <c r="D280" s="222"/>
      <c r="E280" s="363"/>
      <c r="G280" s="206"/>
      <c r="H280" s="218"/>
      <c r="I280" s="177"/>
      <c r="J280" s="176"/>
      <c r="K280" s="207"/>
      <c r="L280" s="208"/>
      <c r="M280" s="208"/>
      <c r="N280" s="224"/>
      <c r="O280" s="225"/>
      <c r="P280" s="226"/>
      <c r="Q280" s="169"/>
      <c r="Y280" s="95"/>
      <c r="Z280" s="228"/>
      <c r="AA280" s="215"/>
      <c r="AB280" s="229"/>
      <c r="AC280" s="230"/>
      <c r="AD280" s="267" t="s">
        <v>4</v>
      </c>
    </row>
    <row r="281" spans="1:30" ht="17.100000000000001" customHeight="1" x14ac:dyDescent="0.25">
      <c r="A281" s="201"/>
      <c r="B281" s="202"/>
      <c r="C281" s="221"/>
      <c r="D281" s="222"/>
      <c r="E281" s="363"/>
      <c r="G281" s="206"/>
      <c r="H281" s="218"/>
      <c r="I281" s="177"/>
      <c r="J281" s="176"/>
      <c r="K281" s="207"/>
      <c r="L281" s="208"/>
      <c r="M281" s="208"/>
      <c r="N281" s="224"/>
      <c r="O281" s="225"/>
      <c r="P281" s="226"/>
      <c r="Q281" s="169"/>
      <c r="R281" s="233"/>
      <c r="Y281" s="95"/>
      <c r="Z281" s="228"/>
      <c r="AA281" s="215"/>
      <c r="AB281" s="229"/>
      <c r="AC281" s="230"/>
      <c r="AD281" s="267" t="s">
        <v>4</v>
      </c>
    </row>
    <row r="282" spans="1:30" ht="17.100000000000001" customHeight="1" x14ac:dyDescent="0.25">
      <c r="A282" s="201"/>
      <c r="B282" s="202"/>
      <c r="C282" s="221"/>
      <c r="D282" s="222"/>
      <c r="E282" s="363"/>
      <c r="G282" s="206"/>
      <c r="H282" s="218"/>
      <c r="I282" s="177"/>
      <c r="J282" s="176"/>
      <c r="K282" s="207"/>
      <c r="L282" s="208"/>
      <c r="M282" s="208"/>
      <c r="N282" s="224"/>
      <c r="O282" s="225"/>
      <c r="P282" s="226"/>
      <c r="Q282" s="220"/>
      <c r="R282" s="233"/>
      <c r="Y282" s="95"/>
      <c r="Z282" s="228"/>
      <c r="AA282" s="215"/>
      <c r="AB282" s="229"/>
      <c r="AC282" s="230"/>
      <c r="AD282" s="267" t="s">
        <v>4</v>
      </c>
    </row>
    <row r="283" spans="1:30" ht="17.100000000000001" customHeight="1" x14ac:dyDescent="0.25">
      <c r="A283" s="201"/>
      <c r="B283" s="202"/>
      <c r="C283" s="203"/>
      <c r="D283" s="204"/>
      <c r="E283" s="363"/>
      <c r="F283" s="205"/>
      <c r="G283" s="206"/>
      <c r="H283" s="218"/>
      <c r="I283" s="177"/>
      <c r="J283" s="176"/>
      <c r="K283" s="207"/>
      <c r="L283" s="208"/>
      <c r="M283" s="208"/>
      <c r="N283" s="209"/>
      <c r="O283" s="210"/>
      <c r="P283" s="211"/>
      <c r="Q283" s="220"/>
      <c r="R283" s="205"/>
      <c r="S283" s="205"/>
      <c r="T283" s="205"/>
      <c r="U283" s="205"/>
      <c r="V283" s="205"/>
      <c r="W283" s="205"/>
      <c r="X283" s="205"/>
      <c r="Y283" s="213"/>
      <c r="Z283" s="214"/>
      <c r="AA283" s="215"/>
      <c r="AB283" s="216"/>
      <c r="AC283" s="217"/>
      <c r="AD283" s="267" t="s">
        <v>4</v>
      </c>
    </row>
    <row r="284" spans="1:30" ht="17.100000000000001" customHeight="1" x14ac:dyDescent="0.25">
      <c r="A284" s="201"/>
      <c r="B284" s="202"/>
      <c r="C284" s="221"/>
      <c r="D284" s="222"/>
      <c r="E284" s="363"/>
      <c r="G284" s="206"/>
      <c r="H284" s="218"/>
      <c r="I284" s="177"/>
      <c r="J284" s="176"/>
      <c r="K284" s="207"/>
      <c r="L284" s="208"/>
      <c r="M284" s="208"/>
      <c r="N284" s="224"/>
      <c r="O284" s="225"/>
      <c r="P284" s="226"/>
      <c r="Q284" s="169"/>
      <c r="Y284" s="95"/>
      <c r="Z284" s="228"/>
      <c r="AA284" s="215"/>
      <c r="AB284" s="229"/>
      <c r="AC284" s="230"/>
      <c r="AD284" s="267" t="s">
        <v>4</v>
      </c>
    </row>
    <row r="285" spans="1:30" ht="17.100000000000001" customHeight="1" x14ac:dyDescent="0.25">
      <c r="A285" s="201"/>
      <c r="B285" s="202"/>
      <c r="C285" s="221"/>
      <c r="D285" s="222"/>
      <c r="E285" s="363"/>
      <c r="G285" s="206"/>
      <c r="H285" s="218"/>
      <c r="I285" s="177"/>
      <c r="J285" s="176"/>
      <c r="K285" s="207"/>
      <c r="L285" s="208"/>
      <c r="M285" s="208"/>
      <c r="N285" s="224"/>
      <c r="O285" s="225"/>
      <c r="P285" s="226"/>
      <c r="Q285" s="169"/>
      <c r="Y285" s="95"/>
      <c r="Z285" s="228"/>
      <c r="AA285" s="215"/>
      <c r="AB285" s="229"/>
      <c r="AC285" s="230"/>
      <c r="AD285" s="267" t="s">
        <v>4</v>
      </c>
    </row>
    <row r="286" spans="1:30" ht="17.100000000000001" customHeight="1" x14ac:dyDescent="0.25">
      <c r="A286" s="201"/>
      <c r="B286" s="202"/>
      <c r="C286" s="221"/>
      <c r="D286" s="222"/>
      <c r="E286" s="363"/>
      <c r="G286" s="206"/>
      <c r="H286" s="218"/>
      <c r="I286" s="177"/>
      <c r="J286" s="176"/>
      <c r="K286" s="207"/>
      <c r="L286" s="208"/>
      <c r="M286" s="208"/>
      <c r="N286" s="224"/>
      <c r="O286" s="225"/>
      <c r="P286" s="226"/>
      <c r="Q286" s="169"/>
      <c r="Y286" s="95"/>
      <c r="Z286" s="228"/>
      <c r="AA286" s="215"/>
      <c r="AB286" s="229"/>
      <c r="AC286" s="230"/>
      <c r="AD286" s="267" t="s">
        <v>4</v>
      </c>
    </row>
    <row r="287" spans="1:30" ht="17.100000000000001" customHeight="1" x14ac:dyDescent="0.25">
      <c r="A287" s="201"/>
      <c r="B287" s="202"/>
      <c r="C287" s="221"/>
      <c r="D287" s="222"/>
      <c r="E287" s="363"/>
      <c r="G287" s="206"/>
      <c r="H287" s="218"/>
      <c r="I287" s="177"/>
      <c r="J287" s="176"/>
      <c r="K287" s="207"/>
      <c r="L287" s="208"/>
      <c r="M287" s="208"/>
      <c r="N287" s="224"/>
      <c r="O287" s="225"/>
      <c r="P287" s="226"/>
      <c r="Q287" s="169"/>
      <c r="Y287" s="95"/>
      <c r="Z287" s="228"/>
      <c r="AA287" s="215"/>
      <c r="AB287" s="229"/>
      <c r="AC287" s="230"/>
      <c r="AD287" s="267" t="s">
        <v>4</v>
      </c>
    </row>
    <row r="288" spans="1:30" ht="17.100000000000001" customHeight="1" x14ac:dyDescent="0.25">
      <c r="A288" s="201"/>
      <c r="B288" s="202"/>
      <c r="C288" s="221"/>
      <c r="D288" s="222"/>
      <c r="E288" s="363"/>
      <c r="G288" s="206"/>
      <c r="H288" s="218"/>
      <c r="I288" s="177"/>
      <c r="J288" s="176"/>
      <c r="K288" s="207"/>
      <c r="L288" s="208"/>
      <c r="M288" s="208"/>
      <c r="N288" s="224"/>
      <c r="O288" s="225"/>
      <c r="P288" s="226"/>
      <c r="Q288" s="169"/>
      <c r="Y288" s="95"/>
      <c r="Z288" s="228"/>
      <c r="AA288" s="215"/>
      <c r="AB288" s="229"/>
      <c r="AC288" s="230"/>
      <c r="AD288" s="267" t="s">
        <v>4</v>
      </c>
    </row>
    <row r="289" spans="1:30" ht="17.100000000000001" customHeight="1" x14ac:dyDescent="0.25">
      <c r="A289" s="201"/>
      <c r="B289" s="202"/>
      <c r="C289" s="221"/>
      <c r="D289" s="222"/>
      <c r="E289" s="363"/>
      <c r="G289" s="206"/>
      <c r="H289" s="218"/>
      <c r="I289" s="177"/>
      <c r="J289" s="176"/>
      <c r="K289" s="207"/>
      <c r="L289" s="208"/>
      <c r="M289" s="208"/>
      <c r="N289" s="224"/>
      <c r="O289" s="225"/>
      <c r="P289" s="226"/>
      <c r="Q289" s="169"/>
      <c r="Y289" s="95"/>
      <c r="Z289" s="228"/>
      <c r="AA289" s="215"/>
      <c r="AB289" s="229"/>
      <c r="AC289" s="230"/>
      <c r="AD289" s="267" t="s">
        <v>4</v>
      </c>
    </row>
    <row r="290" spans="1:30" ht="17.100000000000001" customHeight="1" x14ac:dyDescent="0.25">
      <c r="A290" s="201"/>
      <c r="B290" s="202"/>
      <c r="C290" s="221"/>
      <c r="D290" s="222"/>
      <c r="E290" s="363"/>
      <c r="G290" s="206"/>
      <c r="H290" s="218"/>
      <c r="I290" s="177"/>
      <c r="J290" s="176"/>
      <c r="K290" s="207"/>
      <c r="L290" s="208"/>
      <c r="M290" s="208"/>
      <c r="N290" s="224"/>
      <c r="O290" s="225"/>
      <c r="P290" s="226"/>
      <c r="Q290" s="220"/>
      <c r="Y290" s="95"/>
      <c r="Z290" s="228"/>
      <c r="AA290" s="215"/>
      <c r="AB290" s="229"/>
      <c r="AC290" s="230"/>
      <c r="AD290" s="267" t="s">
        <v>4</v>
      </c>
    </row>
    <row r="291" spans="1:30" ht="17.100000000000001" customHeight="1" x14ac:dyDescent="0.25">
      <c r="A291" s="201"/>
      <c r="B291" s="202"/>
      <c r="C291" s="203"/>
      <c r="D291" s="204"/>
      <c r="E291" s="363"/>
      <c r="F291" s="205"/>
      <c r="G291" s="206"/>
      <c r="H291" s="218"/>
      <c r="I291" s="177"/>
      <c r="J291" s="176"/>
      <c r="K291" s="207"/>
      <c r="L291" s="208"/>
      <c r="M291" s="208"/>
      <c r="N291" s="209"/>
      <c r="O291" s="210"/>
      <c r="P291" s="211"/>
      <c r="Q291" s="220"/>
      <c r="R291" s="205"/>
      <c r="S291" s="205"/>
      <c r="T291" s="205"/>
      <c r="U291" s="205"/>
      <c r="V291" s="205"/>
      <c r="W291" s="205"/>
      <c r="X291" s="205"/>
      <c r="Y291" s="213"/>
      <c r="Z291" s="214"/>
      <c r="AA291" s="215"/>
      <c r="AB291" s="216"/>
      <c r="AC291" s="217"/>
      <c r="AD291" s="267" t="s">
        <v>4</v>
      </c>
    </row>
    <row r="292" spans="1:30" ht="17.100000000000001" customHeight="1" x14ac:dyDescent="0.25">
      <c r="A292" s="201"/>
      <c r="B292" s="202"/>
      <c r="C292" s="221"/>
      <c r="D292" s="222"/>
      <c r="E292" s="363"/>
      <c r="G292" s="206"/>
      <c r="H292" s="218"/>
      <c r="I292" s="177"/>
      <c r="J292" s="176"/>
      <c r="K292" s="207"/>
      <c r="L292" s="208"/>
      <c r="M292" s="208"/>
      <c r="N292" s="224"/>
      <c r="O292" s="225"/>
      <c r="P292" s="226"/>
      <c r="Q292" s="169"/>
      <c r="Y292" s="95"/>
      <c r="Z292" s="228"/>
      <c r="AA292" s="215"/>
      <c r="AB292" s="229"/>
      <c r="AC292" s="230"/>
      <c r="AD292" s="267" t="s">
        <v>4</v>
      </c>
    </row>
    <row r="293" spans="1:30" ht="17.100000000000001" customHeight="1" x14ac:dyDescent="0.25">
      <c r="A293" s="201"/>
      <c r="B293" s="202"/>
      <c r="C293" s="221"/>
      <c r="D293" s="222"/>
      <c r="E293" s="363"/>
      <c r="G293" s="206"/>
      <c r="H293" s="218"/>
      <c r="I293" s="177"/>
      <c r="J293" s="176"/>
      <c r="K293" s="207"/>
      <c r="L293" s="208"/>
      <c r="M293" s="208"/>
      <c r="N293" s="224"/>
      <c r="O293" s="225"/>
      <c r="P293" s="226"/>
      <c r="Q293" s="169"/>
      <c r="Y293" s="95"/>
      <c r="Z293" s="228"/>
      <c r="AA293" s="215"/>
      <c r="AB293" s="229"/>
      <c r="AC293" s="230"/>
      <c r="AD293" s="267" t="s">
        <v>4</v>
      </c>
    </row>
    <row r="294" spans="1:30" ht="17.100000000000001" customHeight="1" x14ac:dyDescent="0.25">
      <c r="A294" s="201"/>
      <c r="B294" s="202"/>
      <c r="C294" s="221"/>
      <c r="D294" s="222"/>
      <c r="E294" s="363"/>
      <c r="G294" s="206"/>
      <c r="H294" s="218"/>
      <c r="I294" s="177"/>
      <c r="J294" s="176"/>
      <c r="K294" s="207"/>
      <c r="L294" s="208"/>
      <c r="M294" s="208"/>
      <c r="N294" s="224"/>
      <c r="O294" s="225"/>
      <c r="P294" s="226"/>
      <c r="Q294" s="220"/>
      <c r="Y294" s="95"/>
      <c r="Z294" s="228"/>
      <c r="AA294" s="215"/>
      <c r="AB294" s="229"/>
      <c r="AC294" s="230"/>
      <c r="AD294" s="267" t="s">
        <v>4</v>
      </c>
    </row>
    <row r="295" spans="1:30" ht="17.100000000000001" customHeight="1" x14ac:dyDescent="0.25">
      <c r="A295" s="201"/>
      <c r="B295" s="202"/>
      <c r="C295" s="221"/>
      <c r="D295" s="222"/>
      <c r="E295" s="363"/>
      <c r="G295" s="206"/>
      <c r="H295" s="218"/>
      <c r="I295" s="177"/>
      <c r="J295" s="176"/>
      <c r="K295" s="207"/>
      <c r="L295" s="208"/>
      <c r="M295" s="208"/>
      <c r="N295" s="224"/>
      <c r="O295" s="225"/>
      <c r="P295" s="226"/>
      <c r="Q295" s="169"/>
      <c r="Y295" s="95"/>
      <c r="Z295" s="228"/>
      <c r="AA295" s="215"/>
      <c r="AB295" s="229"/>
      <c r="AC295" s="230"/>
      <c r="AD295" s="267" t="s">
        <v>4</v>
      </c>
    </row>
    <row r="296" spans="1:30" ht="17.100000000000001" customHeight="1" x14ac:dyDescent="0.25">
      <c r="A296" s="201"/>
      <c r="B296" s="202"/>
      <c r="C296" s="221"/>
      <c r="D296" s="222"/>
      <c r="E296" s="363"/>
      <c r="G296" s="206"/>
      <c r="H296" s="218"/>
      <c r="I296" s="177"/>
      <c r="J296" s="176"/>
      <c r="K296" s="207"/>
      <c r="L296" s="208"/>
      <c r="M296" s="208"/>
      <c r="N296" s="224"/>
      <c r="O296" s="225"/>
      <c r="P296" s="226"/>
      <c r="Q296" s="169"/>
      <c r="R296" s="233"/>
      <c r="Y296" s="95"/>
      <c r="Z296" s="228"/>
      <c r="AA296" s="215"/>
      <c r="AB296" s="229"/>
      <c r="AC296" s="230"/>
      <c r="AD296" s="267" t="s">
        <v>4</v>
      </c>
    </row>
    <row r="297" spans="1:30" ht="17.100000000000001" customHeight="1" x14ac:dyDescent="0.25">
      <c r="A297" s="201"/>
      <c r="B297" s="202"/>
      <c r="C297" s="221"/>
      <c r="D297" s="222"/>
      <c r="E297" s="363"/>
      <c r="G297" s="206"/>
      <c r="H297" s="218"/>
      <c r="I297" s="177"/>
      <c r="J297" s="176"/>
      <c r="K297" s="207"/>
      <c r="L297" s="208"/>
      <c r="M297" s="208"/>
      <c r="N297" s="224"/>
      <c r="O297" s="225"/>
      <c r="P297" s="226"/>
      <c r="Q297" s="169"/>
      <c r="Y297" s="95"/>
      <c r="Z297" s="228"/>
      <c r="AA297" s="215"/>
      <c r="AB297" s="229"/>
      <c r="AC297" s="230"/>
      <c r="AD297" s="267" t="s">
        <v>4</v>
      </c>
    </row>
    <row r="298" spans="1:30" ht="17.100000000000001" customHeight="1" x14ac:dyDescent="0.25">
      <c r="A298" s="201"/>
      <c r="B298" s="202"/>
      <c r="C298" s="221"/>
      <c r="D298" s="222"/>
      <c r="E298" s="363"/>
      <c r="G298" s="206"/>
      <c r="H298" s="218"/>
      <c r="I298" s="177"/>
      <c r="J298" s="176"/>
      <c r="K298" s="207"/>
      <c r="L298" s="208"/>
      <c r="M298" s="208"/>
      <c r="N298" s="224"/>
      <c r="O298" s="225"/>
      <c r="P298" s="226"/>
      <c r="Q298" s="169"/>
      <c r="Y298" s="95"/>
      <c r="Z298" s="228"/>
      <c r="AA298" s="215"/>
      <c r="AB298" s="229"/>
      <c r="AC298" s="230"/>
      <c r="AD298" s="267" t="s">
        <v>4</v>
      </c>
    </row>
    <row r="299" spans="1:30" ht="17.100000000000001" customHeight="1" x14ac:dyDescent="0.25">
      <c r="A299" s="201"/>
      <c r="B299" s="202"/>
      <c r="C299" s="221"/>
      <c r="D299" s="222"/>
      <c r="E299" s="363"/>
      <c r="G299" s="206"/>
      <c r="H299" s="218"/>
      <c r="I299" s="177"/>
      <c r="J299" s="176"/>
      <c r="K299" s="207"/>
      <c r="L299" s="208"/>
      <c r="M299" s="208"/>
      <c r="N299" s="224"/>
      <c r="O299" s="225"/>
      <c r="P299" s="226"/>
      <c r="Q299" s="169"/>
      <c r="Y299" s="95"/>
      <c r="Z299" s="228"/>
      <c r="AA299" s="215"/>
      <c r="AB299" s="229"/>
      <c r="AC299" s="230"/>
      <c r="AD299" s="267" t="s">
        <v>4</v>
      </c>
    </row>
    <row r="300" spans="1:30" ht="17.100000000000001" customHeight="1" x14ac:dyDescent="0.25">
      <c r="A300" s="201"/>
      <c r="B300" s="202"/>
      <c r="C300" s="221"/>
      <c r="D300" s="222"/>
      <c r="E300" s="363"/>
      <c r="G300" s="206"/>
      <c r="H300" s="218"/>
      <c r="I300" s="177"/>
      <c r="J300" s="176"/>
      <c r="K300" s="207"/>
      <c r="L300" s="208"/>
      <c r="M300" s="208"/>
      <c r="N300" s="224"/>
      <c r="O300" s="225"/>
      <c r="P300" s="226"/>
      <c r="Q300" s="169"/>
      <c r="R300" s="233"/>
      <c r="Y300" s="95"/>
      <c r="Z300" s="228"/>
      <c r="AA300" s="215"/>
      <c r="AB300" s="229"/>
      <c r="AC300" s="230"/>
      <c r="AD300" s="267" t="s">
        <v>4</v>
      </c>
    </row>
    <row r="301" spans="1:30" ht="17.100000000000001" customHeight="1" x14ac:dyDescent="0.25">
      <c r="A301" s="201"/>
      <c r="B301" s="202"/>
      <c r="C301" s="221"/>
      <c r="D301" s="222"/>
      <c r="E301" s="363"/>
      <c r="G301" s="206"/>
      <c r="H301" s="218"/>
      <c r="I301" s="177"/>
      <c r="J301" s="176"/>
      <c r="K301" s="207"/>
      <c r="L301" s="208"/>
      <c r="M301" s="208"/>
      <c r="N301" s="224"/>
      <c r="O301" s="225"/>
      <c r="P301" s="226"/>
      <c r="Q301" s="169"/>
      <c r="Y301" s="95"/>
      <c r="Z301" s="228"/>
      <c r="AA301" s="215"/>
      <c r="AB301" s="229"/>
      <c r="AC301" s="230"/>
      <c r="AD301" s="267" t="s">
        <v>4</v>
      </c>
    </row>
    <row r="302" spans="1:30" ht="17.100000000000001" customHeight="1" x14ac:dyDescent="0.25">
      <c r="A302" s="201"/>
      <c r="B302" s="202"/>
      <c r="C302" s="221"/>
      <c r="D302" s="222"/>
      <c r="E302" s="363"/>
      <c r="G302" s="206"/>
      <c r="H302" s="218"/>
      <c r="I302" s="177"/>
      <c r="J302" s="176"/>
      <c r="K302" s="207"/>
      <c r="L302" s="208"/>
      <c r="M302" s="208"/>
      <c r="N302" s="224"/>
      <c r="O302" s="225"/>
      <c r="P302" s="226"/>
      <c r="Q302" s="169"/>
      <c r="Y302" s="95"/>
      <c r="Z302" s="228"/>
      <c r="AA302" s="215"/>
      <c r="AB302" s="229"/>
      <c r="AC302" s="230"/>
      <c r="AD302" s="267" t="s">
        <v>4</v>
      </c>
    </row>
    <row r="303" spans="1:30" ht="17.100000000000001" customHeight="1" x14ac:dyDescent="0.25">
      <c r="A303" s="201"/>
      <c r="B303" s="202"/>
      <c r="C303" s="221"/>
      <c r="D303" s="222"/>
      <c r="E303" s="363"/>
      <c r="G303" s="206"/>
      <c r="H303" s="218"/>
      <c r="I303" s="177"/>
      <c r="J303" s="176"/>
      <c r="K303" s="207"/>
      <c r="L303" s="208"/>
      <c r="M303" s="208"/>
      <c r="N303" s="224"/>
      <c r="O303" s="225"/>
      <c r="P303" s="226"/>
      <c r="Q303" s="169"/>
      <c r="Y303" s="95"/>
      <c r="Z303" s="228"/>
      <c r="AA303" s="215"/>
      <c r="AB303" s="229"/>
      <c r="AC303" s="230"/>
      <c r="AD303" s="267" t="s">
        <v>4</v>
      </c>
    </row>
    <row r="304" spans="1:30" ht="17.100000000000001" customHeight="1" x14ac:dyDescent="0.25">
      <c r="A304" s="201"/>
      <c r="B304" s="202"/>
      <c r="C304" s="221"/>
      <c r="D304" s="222"/>
      <c r="E304" s="363"/>
      <c r="G304" s="206"/>
      <c r="H304" s="218"/>
      <c r="I304" s="177"/>
      <c r="J304" s="176"/>
      <c r="K304" s="207"/>
      <c r="L304" s="208"/>
      <c r="M304" s="208"/>
      <c r="N304" s="224"/>
      <c r="O304" s="225"/>
      <c r="P304" s="226"/>
      <c r="Q304" s="169"/>
      <c r="Y304" s="95"/>
      <c r="Z304" s="228"/>
      <c r="AA304" s="215"/>
      <c r="AB304" s="229"/>
      <c r="AC304" s="230"/>
      <c r="AD304" s="267" t="s">
        <v>4</v>
      </c>
    </row>
    <row r="305" spans="1:30" ht="17.100000000000001" customHeight="1" x14ac:dyDescent="0.25">
      <c r="A305" s="201"/>
      <c r="B305" s="202"/>
      <c r="C305" s="221"/>
      <c r="D305" s="222"/>
      <c r="E305" s="363"/>
      <c r="G305" s="206"/>
      <c r="H305" s="218"/>
      <c r="I305" s="177"/>
      <c r="J305" s="176"/>
      <c r="K305" s="207"/>
      <c r="L305" s="208"/>
      <c r="M305" s="208"/>
      <c r="N305" s="224"/>
      <c r="O305" s="225"/>
      <c r="P305" s="226"/>
      <c r="Q305" s="169"/>
      <c r="Y305" s="95"/>
      <c r="Z305" s="228"/>
      <c r="AA305" s="215"/>
      <c r="AB305" s="229"/>
      <c r="AC305" s="230"/>
      <c r="AD305" s="267" t="s">
        <v>4</v>
      </c>
    </row>
    <row r="306" spans="1:30" ht="17.100000000000001" customHeight="1" x14ac:dyDescent="0.25">
      <c r="A306" s="201"/>
      <c r="B306" s="202"/>
      <c r="C306" s="203"/>
      <c r="D306" s="204"/>
      <c r="E306" s="363"/>
      <c r="F306" s="205"/>
      <c r="G306" s="206"/>
      <c r="H306" s="218"/>
      <c r="I306" s="177"/>
      <c r="J306" s="176"/>
      <c r="K306" s="207"/>
      <c r="L306" s="208"/>
      <c r="M306" s="208"/>
      <c r="N306" s="209"/>
      <c r="O306" s="210"/>
      <c r="P306" s="211"/>
      <c r="Q306" s="220"/>
      <c r="R306" s="205"/>
      <c r="S306" s="205"/>
      <c r="T306" s="205"/>
      <c r="U306" s="205"/>
      <c r="V306" s="205"/>
      <c r="X306" s="205"/>
      <c r="Y306" s="213"/>
      <c r="Z306" s="214"/>
      <c r="AA306" s="215"/>
      <c r="AB306" s="216"/>
      <c r="AC306" s="217"/>
      <c r="AD306" s="267" t="s">
        <v>4</v>
      </c>
    </row>
    <row r="307" spans="1:30" ht="17.100000000000001" customHeight="1" x14ac:dyDescent="0.25">
      <c r="A307" s="201"/>
      <c r="B307" s="202"/>
      <c r="C307" s="221"/>
      <c r="D307" s="222"/>
      <c r="E307" s="363"/>
      <c r="G307" s="206"/>
      <c r="H307" s="218"/>
      <c r="I307" s="177"/>
      <c r="J307" s="176"/>
      <c r="K307" s="207"/>
      <c r="L307" s="208"/>
      <c r="M307" s="208"/>
      <c r="N307" s="224"/>
      <c r="O307" s="225"/>
      <c r="P307" s="226"/>
      <c r="Q307" s="169"/>
      <c r="Y307" s="95"/>
      <c r="Z307" s="228"/>
      <c r="AA307" s="215"/>
      <c r="AB307" s="229"/>
      <c r="AC307" s="230"/>
      <c r="AD307" s="267" t="s">
        <v>4</v>
      </c>
    </row>
    <row r="308" spans="1:30" ht="17.100000000000001" customHeight="1" x14ac:dyDescent="0.25">
      <c r="A308" s="201"/>
      <c r="B308" s="202"/>
      <c r="C308" s="221"/>
      <c r="D308" s="222"/>
      <c r="E308" s="363"/>
      <c r="G308" s="206"/>
      <c r="H308" s="218"/>
      <c r="I308" s="177"/>
      <c r="J308" s="176"/>
      <c r="K308" s="207"/>
      <c r="L308" s="208"/>
      <c r="M308" s="208"/>
      <c r="N308" s="224"/>
      <c r="O308" s="225"/>
      <c r="P308" s="226"/>
      <c r="Q308" s="169"/>
      <c r="R308" s="233"/>
      <c r="Y308" s="95"/>
      <c r="Z308" s="228"/>
      <c r="AA308" s="215"/>
      <c r="AB308" s="229"/>
      <c r="AC308" s="230"/>
      <c r="AD308" s="267" t="s">
        <v>4</v>
      </c>
    </row>
    <row r="309" spans="1:30" ht="17.100000000000001" customHeight="1" x14ac:dyDescent="0.25">
      <c r="A309" s="201"/>
      <c r="B309" s="202"/>
      <c r="C309" s="221"/>
      <c r="D309" s="222"/>
      <c r="E309" s="363"/>
      <c r="G309" s="206"/>
      <c r="H309" s="218"/>
      <c r="I309" s="177"/>
      <c r="J309" s="176"/>
      <c r="K309" s="207"/>
      <c r="L309" s="208"/>
      <c r="M309" s="208"/>
      <c r="N309" s="224"/>
      <c r="O309" s="225"/>
      <c r="P309" s="226"/>
      <c r="Q309" s="169"/>
      <c r="Y309" s="95"/>
      <c r="Z309" s="228"/>
      <c r="AA309" s="215"/>
      <c r="AB309" s="229"/>
      <c r="AC309" s="230"/>
      <c r="AD309" s="267" t="s">
        <v>4</v>
      </c>
    </row>
    <row r="310" spans="1:30" ht="17.100000000000001" customHeight="1" x14ac:dyDescent="0.25">
      <c r="A310" s="201"/>
      <c r="B310" s="202"/>
      <c r="C310" s="221"/>
      <c r="D310" s="222"/>
      <c r="E310" s="363"/>
      <c r="G310" s="206"/>
      <c r="H310" s="218"/>
      <c r="I310" s="177"/>
      <c r="J310" s="176"/>
      <c r="K310" s="207"/>
      <c r="L310" s="208"/>
      <c r="M310" s="208"/>
      <c r="N310" s="224"/>
      <c r="O310" s="225"/>
      <c r="P310" s="226"/>
      <c r="Q310" s="169"/>
      <c r="Y310" s="95"/>
      <c r="Z310" s="228"/>
      <c r="AA310" s="215"/>
      <c r="AB310" s="229"/>
      <c r="AC310" s="230"/>
      <c r="AD310" s="267" t="s">
        <v>4</v>
      </c>
    </row>
    <row r="311" spans="1:30" ht="17.100000000000001" customHeight="1" x14ac:dyDescent="0.25">
      <c r="A311" s="201"/>
      <c r="B311" s="202"/>
      <c r="C311" s="221"/>
      <c r="D311" s="222"/>
      <c r="E311" s="363"/>
      <c r="G311" s="206"/>
      <c r="H311" s="218"/>
      <c r="I311" s="177"/>
      <c r="J311" s="176"/>
      <c r="K311" s="207"/>
      <c r="L311" s="208"/>
      <c r="M311" s="208"/>
      <c r="N311" s="224"/>
      <c r="O311" s="225"/>
      <c r="P311" s="226"/>
      <c r="Q311" s="169"/>
      <c r="Y311" s="95"/>
      <c r="Z311" s="228"/>
      <c r="AA311" s="215"/>
      <c r="AB311" s="229"/>
      <c r="AC311" s="230"/>
      <c r="AD311" s="267" t="s">
        <v>4</v>
      </c>
    </row>
    <row r="312" spans="1:30" ht="17.100000000000001" customHeight="1" x14ac:dyDescent="0.25">
      <c r="A312" s="201"/>
      <c r="B312" s="202"/>
      <c r="C312" s="203"/>
      <c r="D312" s="204"/>
      <c r="E312" s="363"/>
      <c r="F312" s="205"/>
      <c r="G312" s="206"/>
      <c r="H312" s="218"/>
      <c r="I312" s="177"/>
      <c r="J312" s="176"/>
      <c r="K312" s="207"/>
      <c r="L312" s="208"/>
      <c r="M312" s="208"/>
      <c r="N312" s="209"/>
      <c r="O312" s="210"/>
      <c r="P312" s="211"/>
      <c r="Q312" s="220"/>
      <c r="R312" s="205"/>
      <c r="S312" s="205"/>
      <c r="T312" s="205"/>
      <c r="U312" s="205"/>
      <c r="V312" s="205"/>
      <c r="W312" s="205"/>
      <c r="X312" s="205"/>
      <c r="Y312" s="213"/>
      <c r="Z312" s="214"/>
      <c r="AA312" s="215"/>
      <c r="AB312" s="216"/>
      <c r="AC312" s="217"/>
      <c r="AD312" s="267" t="s">
        <v>4</v>
      </c>
    </row>
    <row r="313" spans="1:30" ht="17.100000000000001" customHeight="1" x14ac:dyDescent="0.25">
      <c r="A313" s="201"/>
      <c r="B313" s="202"/>
      <c r="C313" s="221"/>
      <c r="D313" s="222"/>
      <c r="E313" s="363"/>
      <c r="G313" s="206"/>
      <c r="H313" s="218"/>
      <c r="I313" s="177"/>
      <c r="J313" s="176"/>
      <c r="K313" s="207"/>
      <c r="L313" s="208"/>
      <c r="M313" s="208"/>
      <c r="N313" s="224"/>
      <c r="O313" s="225"/>
      <c r="P313" s="226"/>
      <c r="Q313" s="220"/>
      <c r="Y313" s="95"/>
      <c r="Z313" s="228"/>
      <c r="AA313" s="215"/>
      <c r="AB313" s="229"/>
      <c r="AC313" s="230"/>
      <c r="AD313" s="267" t="s">
        <v>4</v>
      </c>
    </row>
    <row r="314" spans="1:30" ht="17.100000000000001" customHeight="1" x14ac:dyDescent="0.25">
      <c r="A314" s="201"/>
      <c r="B314" s="202"/>
      <c r="C314" s="221"/>
      <c r="D314" s="222"/>
      <c r="E314" s="363"/>
      <c r="G314" s="206"/>
      <c r="H314" s="218"/>
      <c r="I314" s="177"/>
      <c r="J314" s="176"/>
      <c r="K314" s="207"/>
      <c r="L314" s="208"/>
      <c r="M314" s="208"/>
      <c r="N314" s="224"/>
      <c r="O314" s="225"/>
      <c r="P314" s="226"/>
      <c r="Q314" s="169"/>
      <c r="Y314" s="95"/>
      <c r="Z314" s="228"/>
      <c r="AA314" s="215"/>
      <c r="AB314" s="229"/>
      <c r="AC314" s="230"/>
      <c r="AD314" s="267" t="s">
        <v>4</v>
      </c>
    </row>
    <row r="315" spans="1:30" ht="17.100000000000001" customHeight="1" x14ac:dyDescent="0.25">
      <c r="A315" s="201"/>
      <c r="B315" s="202"/>
      <c r="C315" s="221"/>
      <c r="D315" s="222"/>
      <c r="E315" s="363"/>
      <c r="G315" s="206"/>
      <c r="H315" s="218"/>
      <c r="I315" s="177"/>
      <c r="J315" s="176"/>
      <c r="K315" s="207"/>
      <c r="L315" s="208"/>
      <c r="M315" s="208"/>
      <c r="N315" s="224"/>
      <c r="O315" s="225"/>
      <c r="P315" s="226"/>
      <c r="Q315" s="169"/>
      <c r="Y315" s="95"/>
      <c r="Z315" s="228"/>
      <c r="AA315" s="215"/>
      <c r="AB315" s="229"/>
      <c r="AC315" s="230"/>
      <c r="AD315" s="267" t="s">
        <v>4</v>
      </c>
    </row>
    <row r="316" spans="1:30" ht="17.100000000000001" customHeight="1" x14ac:dyDescent="0.25">
      <c r="A316" s="201"/>
      <c r="B316" s="202"/>
      <c r="C316" s="221"/>
      <c r="D316" s="222"/>
      <c r="E316" s="363"/>
      <c r="G316" s="206"/>
      <c r="H316" s="218"/>
      <c r="I316" s="177"/>
      <c r="J316" s="176"/>
      <c r="K316" s="207"/>
      <c r="L316" s="208"/>
      <c r="M316" s="208"/>
      <c r="N316" s="224"/>
      <c r="O316" s="225"/>
      <c r="P316" s="226"/>
      <c r="Q316" s="169"/>
      <c r="Y316" s="95"/>
      <c r="Z316" s="228"/>
      <c r="AA316" s="215"/>
      <c r="AB316" s="229"/>
      <c r="AC316" s="230"/>
      <c r="AD316" s="267" t="s">
        <v>4</v>
      </c>
    </row>
    <row r="317" spans="1:30" ht="17.100000000000001" customHeight="1" x14ac:dyDescent="0.25">
      <c r="A317" s="201"/>
      <c r="B317" s="202"/>
      <c r="C317" s="221"/>
      <c r="D317" s="222"/>
      <c r="E317" s="363"/>
      <c r="G317" s="206"/>
      <c r="H317" s="218"/>
      <c r="I317" s="177"/>
      <c r="J317" s="176"/>
      <c r="K317" s="207"/>
      <c r="L317" s="208"/>
      <c r="M317" s="208"/>
      <c r="N317" s="224"/>
      <c r="O317" s="225"/>
      <c r="P317" s="226"/>
      <c r="Q317" s="169"/>
      <c r="Y317" s="95"/>
      <c r="Z317" s="228"/>
      <c r="AA317" s="215"/>
      <c r="AB317" s="229"/>
      <c r="AC317" s="230"/>
      <c r="AD317" s="267" t="s">
        <v>4</v>
      </c>
    </row>
    <row r="318" spans="1:30" ht="17.100000000000001" customHeight="1" x14ac:dyDescent="0.25">
      <c r="A318" s="201"/>
      <c r="B318" s="202"/>
      <c r="C318" s="221"/>
      <c r="D318" s="222"/>
      <c r="E318" s="363"/>
      <c r="G318" s="206"/>
      <c r="H318" s="218"/>
      <c r="I318" s="177"/>
      <c r="J318" s="176"/>
      <c r="K318" s="207"/>
      <c r="L318" s="208"/>
      <c r="M318" s="208"/>
      <c r="N318" s="224"/>
      <c r="O318" s="225"/>
      <c r="P318" s="226"/>
      <c r="Q318" s="169"/>
      <c r="Y318" s="95"/>
      <c r="Z318" s="228"/>
      <c r="AA318" s="215"/>
      <c r="AB318" s="229"/>
      <c r="AC318" s="230"/>
      <c r="AD318" s="267" t="s">
        <v>4</v>
      </c>
    </row>
    <row r="319" spans="1:30" ht="17.100000000000001" customHeight="1" x14ac:dyDescent="0.25">
      <c r="A319" s="201"/>
      <c r="B319" s="202"/>
      <c r="C319" s="221"/>
      <c r="D319" s="222"/>
      <c r="E319" s="363"/>
      <c r="G319" s="206"/>
      <c r="H319" s="218"/>
      <c r="I319" s="177"/>
      <c r="J319" s="176"/>
      <c r="K319" s="207"/>
      <c r="L319" s="208"/>
      <c r="M319" s="208"/>
      <c r="N319" s="224"/>
      <c r="O319" s="225"/>
      <c r="P319" s="226"/>
      <c r="Q319" s="169"/>
      <c r="Y319" s="95"/>
      <c r="Z319" s="228"/>
      <c r="AA319" s="215"/>
      <c r="AB319" s="229"/>
      <c r="AC319" s="230"/>
      <c r="AD319" s="267" t="s">
        <v>4</v>
      </c>
    </row>
    <row r="320" spans="1:30" ht="17.100000000000001" customHeight="1" x14ac:dyDescent="0.25">
      <c r="A320" s="201"/>
      <c r="B320" s="202"/>
      <c r="C320" s="203"/>
      <c r="D320" s="204"/>
      <c r="E320" s="363"/>
      <c r="F320" s="205"/>
      <c r="G320" s="206"/>
      <c r="H320" s="218"/>
      <c r="I320" s="177"/>
      <c r="J320" s="176"/>
      <c r="K320" s="207"/>
      <c r="L320" s="208"/>
      <c r="M320" s="208"/>
      <c r="N320" s="209"/>
      <c r="O320" s="210"/>
      <c r="P320" s="211"/>
      <c r="Q320" s="220"/>
      <c r="R320" s="205"/>
      <c r="S320" s="205"/>
      <c r="T320" s="205"/>
      <c r="U320" s="205"/>
      <c r="V320" s="205"/>
      <c r="W320" s="205"/>
      <c r="X320" s="205"/>
      <c r="Y320" s="213"/>
      <c r="Z320" s="214"/>
      <c r="AA320" s="215"/>
      <c r="AB320" s="216"/>
      <c r="AC320" s="217"/>
      <c r="AD320" s="267" t="s">
        <v>4</v>
      </c>
    </row>
    <row r="321" spans="1:30" ht="17.100000000000001" customHeight="1" x14ac:dyDescent="0.25">
      <c r="A321" s="201"/>
      <c r="B321" s="202"/>
      <c r="C321" s="221"/>
      <c r="D321" s="222"/>
      <c r="E321" s="363"/>
      <c r="G321" s="206"/>
      <c r="H321" s="218"/>
      <c r="I321" s="177"/>
      <c r="J321" s="176"/>
      <c r="K321" s="207"/>
      <c r="L321" s="208"/>
      <c r="M321" s="208"/>
      <c r="N321" s="224"/>
      <c r="O321" s="225"/>
      <c r="P321" s="226"/>
      <c r="Q321" s="169"/>
      <c r="Y321" s="95"/>
      <c r="Z321" s="228"/>
      <c r="AA321" s="215"/>
      <c r="AB321" s="229"/>
      <c r="AC321" s="230"/>
      <c r="AD321" s="267" t="s">
        <v>4</v>
      </c>
    </row>
    <row r="322" spans="1:30" ht="17.100000000000001" customHeight="1" x14ac:dyDescent="0.25">
      <c r="A322" s="201"/>
      <c r="B322" s="202"/>
      <c r="C322" s="221"/>
      <c r="D322" s="222"/>
      <c r="E322" s="363"/>
      <c r="G322" s="206"/>
      <c r="H322" s="218"/>
      <c r="I322" s="177"/>
      <c r="J322" s="176"/>
      <c r="K322" s="207"/>
      <c r="L322" s="208"/>
      <c r="M322" s="208"/>
      <c r="N322" s="224"/>
      <c r="O322" s="225"/>
      <c r="P322" s="226"/>
      <c r="Q322" s="169"/>
      <c r="R322" s="233"/>
      <c r="Y322" s="95"/>
      <c r="Z322" s="228"/>
      <c r="AA322" s="215"/>
      <c r="AB322" s="229"/>
      <c r="AC322" s="230"/>
      <c r="AD322" s="267" t="s">
        <v>4</v>
      </c>
    </row>
    <row r="323" spans="1:30" ht="17.100000000000001" customHeight="1" x14ac:dyDescent="0.25">
      <c r="A323" s="201"/>
      <c r="B323" s="202"/>
      <c r="C323" s="221"/>
      <c r="D323" s="222"/>
      <c r="E323" s="363"/>
      <c r="G323" s="206"/>
      <c r="H323" s="218"/>
      <c r="I323" s="177"/>
      <c r="J323" s="176"/>
      <c r="K323" s="207"/>
      <c r="L323" s="208"/>
      <c r="M323" s="208"/>
      <c r="N323" s="224"/>
      <c r="O323" s="225"/>
      <c r="P323" s="226"/>
      <c r="Q323" s="169"/>
      <c r="Y323" s="95"/>
      <c r="Z323" s="228"/>
      <c r="AA323" s="215"/>
      <c r="AB323" s="229"/>
      <c r="AC323" s="230"/>
      <c r="AD323" s="267" t="s">
        <v>4</v>
      </c>
    </row>
    <row r="324" spans="1:30" ht="17.100000000000001" customHeight="1" x14ac:dyDescent="0.25">
      <c r="A324" s="201"/>
      <c r="B324" s="202"/>
      <c r="C324" s="221"/>
      <c r="D324" s="222"/>
      <c r="E324" s="363"/>
      <c r="G324" s="206"/>
      <c r="H324" s="218"/>
      <c r="I324" s="177"/>
      <c r="J324" s="176"/>
      <c r="K324" s="207"/>
      <c r="L324" s="208"/>
      <c r="M324" s="208"/>
      <c r="N324" s="224"/>
      <c r="O324" s="225"/>
      <c r="P324" s="226"/>
      <c r="Q324" s="169"/>
      <c r="Y324" s="95"/>
      <c r="Z324" s="228"/>
      <c r="AA324" s="215"/>
      <c r="AB324" s="229"/>
      <c r="AC324" s="230"/>
      <c r="AD324" s="267" t="s">
        <v>4</v>
      </c>
    </row>
    <row r="325" spans="1:30" ht="17.100000000000001" customHeight="1" x14ac:dyDescent="0.25">
      <c r="A325" s="201"/>
      <c r="B325" s="202"/>
      <c r="C325" s="221"/>
      <c r="D325" s="222"/>
      <c r="E325" s="363"/>
      <c r="G325" s="206"/>
      <c r="H325" s="218"/>
      <c r="I325" s="177"/>
      <c r="J325" s="176"/>
      <c r="K325" s="207"/>
      <c r="L325" s="208"/>
      <c r="M325" s="208"/>
      <c r="N325" s="224"/>
      <c r="O325" s="225"/>
      <c r="P325" s="226"/>
      <c r="Q325" s="169"/>
      <c r="Y325" s="95"/>
      <c r="Z325" s="228"/>
      <c r="AA325" s="215"/>
      <c r="AB325" s="229"/>
      <c r="AC325" s="230"/>
      <c r="AD325" s="267" t="s">
        <v>4</v>
      </c>
    </row>
    <row r="326" spans="1:30" ht="17.100000000000001" customHeight="1" x14ac:dyDescent="0.25">
      <c r="A326" s="201"/>
      <c r="B326" s="202"/>
      <c r="C326" s="221"/>
      <c r="D326" s="222"/>
      <c r="E326" s="363"/>
      <c r="G326" s="206"/>
      <c r="H326" s="218"/>
      <c r="I326" s="177"/>
      <c r="J326" s="176"/>
      <c r="K326" s="207"/>
      <c r="L326" s="208"/>
      <c r="M326" s="208"/>
      <c r="N326" s="224"/>
      <c r="O326" s="225"/>
      <c r="P326" s="226"/>
      <c r="Q326" s="169"/>
      <c r="Y326" s="95"/>
      <c r="Z326" s="228"/>
      <c r="AA326" s="215"/>
      <c r="AB326" s="229"/>
      <c r="AC326" s="230"/>
      <c r="AD326" s="267" t="s">
        <v>4</v>
      </c>
    </row>
    <row r="327" spans="1:30" ht="17.100000000000001" customHeight="1" x14ac:dyDescent="0.25">
      <c r="A327" s="201"/>
      <c r="B327" s="202"/>
      <c r="C327" s="221"/>
      <c r="D327" s="222"/>
      <c r="E327" s="363"/>
      <c r="G327" s="206"/>
      <c r="H327" s="218"/>
      <c r="I327" s="177"/>
      <c r="J327" s="176"/>
      <c r="K327" s="207"/>
      <c r="L327" s="208"/>
      <c r="M327" s="208"/>
      <c r="N327" s="224"/>
      <c r="O327" s="225"/>
      <c r="P327" s="226"/>
      <c r="Q327" s="169"/>
      <c r="Y327" s="95"/>
      <c r="Z327" s="228"/>
      <c r="AA327" s="215"/>
      <c r="AB327" s="229"/>
      <c r="AC327" s="230"/>
      <c r="AD327" s="267" t="s">
        <v>4</v>
      </c>
    </row>
    <row r="328" spans="1:30" ht="17.100000000000001" customHeight="1" x14ac:dyDescent="0.25">
      <c r="A328" s="201"/>
      <c r="B328" s="202"/>
      <c r="C328" s="221"/>
      <c r="D328" s="222"/>
      <c r="E328" s="363"/>
      <c r="G328" s="206"/>
      <c r="H328" s="218"/>
      <c r="I328" s="177"/>
      <c r="J328" s="176"/>
      <c r="K328" s="207"/>
      <c r="L328" s="208"/>
      <c r="M328" s="208"/>
      <c r="N328" s="224"/>
      <c r="O328" s="225"/>
      <c r="P328" s="226"/>
      <c r="Q328" s="169"/>
      <c r="Y328" s="95"/>
      <c r="Z328" s="228"/>
      <c r="AA328" s="215"/>
      <c r="AB328" s="229"/>
      <c r="AC328" s="230"/>
      <c r="AD328" s="267" t="s">
        <v>4</v>
      </c>
    </row>
    <row r="329" spans="1:30" ht="17.100000000000001" customHeight="1" x14ac:dyDescent="0.25">
      <c r="A329" s="201"/>
      <c r="B329" s="202"/>
      <c r="C329" s="221"/>
      <c r="D329" s="222"/>
      <c r="E329" s="363"/>
      <c r="G329" s="206"/>
      <c r="H329" s="218"/>
      <c r="I329" s="177"/>
      <c r="J329" s="176"/>
      <c r="K329" s="207"/>
      <c r="L329" s="208"/>
      <c r="M329" s="208"/>
      <c r="N329" s="224"/>
      <c r="O329" s="225"/>
      <c r="P329" s="226"/>
      <c r="Q329" s="169"/>
      <c r="Y329" s="95"/>
      <c r="Z329" s="228"/>
      <c r="AA329" s="215"/>
      <c r="AB329" s="229"/>
      <c r="AC329" s="230"/>
      <c r="AD329" s="267" t="s">
        <v>4</v>
      </c>
    </row>
    <row r="330" spans="1:30" ht="17.100000000000001" customHeight="1" x14ac:dyDescent="0.25">
      <c r="A330" s="201"/>
      <c r="B330" s="202"/>
      <c r="C330" s="221"/>
      <c r="D330" s="222"/>
      <c r="E330" s="363"/>
      <c r="G330" s="206"/>
      <c r="H330" s="218"/>
      <c r="I330" s="177"/>
      <c r="J330" s="176"/>
      <c r="K330" s="207"/>
      <c r="L330" s="208"/>
      <c r="M330" s="208"/>
      <c r="N330" s="224"/>
      <c r="O330" s="225"/>
      <c r="P330" s="226"/>
      <c r="Q330" s="169"/>
      <c r="Y330" s="95"/>
      <c r="Z330" s="228"/>
      <c r="AA330" s="215"/>
      <c r="AB330" s="229"/>
      <c r="AC330" s="230"/>
      <c r="AD330" s="267" t="s">
        <v>4</v>
      </c>
    </row>
    <row r="331" spans="1:30" ht="17.100000000000001" customHeight="1" x14ac:dyDescent="0.25">
      <c r="A331" s="201"/>
      <c r="B331" s="202"/>
      <c r="C331" s="221"/>
      <c r="D331" s="222"/>
      <c r="E331" s="363"/>
      <c r="G331" s="206"/>
      <c r="H331" s="218"/>
      <c r="I331" s="177"/>
      <c r="J331" s="176"/>
      <c r="K331" s="207"/>
      <c r="L331" s="208"/>
      <c r="M331" s="208"/>
      <c r="N331" s="224"/>
      <c r="O331" s="225"/>
      <c r="P331" s="226"/>
      <c r="Q331" s="169"/>
      <c r="Y331" s="95"/>
      <c r="Z331" s="228"/>
      <c r="AA331" s="215"/>
      <c r="AB331" s="229"/>
      <c r="AC331" s="230"/>
      <c r="AD331" s="267" t="s">
        <v>4</v>
      </c>
    </row>
    <row r="332" spans="1:30" ht="17.100000000000001" customHeight="1" x14ac:dyDescent="0.25">
      <c r="A332" s="201"/>
      <c r="B332" s="202"/>
      <c r="C332" s="221"/>
      <c r="D332" s="222"/>
      <c r="E332" s="363"/>
      <c r="G332" s="206"/>
      <c r="H332" s="218"/>
      <c r="I332" s="177"/>
      <c r="J332" s="176"/>
      <c r="K332" s="207"/>
      <c r="L332" s="208"/>
      <c r="M332" s="208"/>
      <c r="N332" s="224"/>
      <c r="O332" s="225"/>
      <c r="P332" s="226"/>
      <c r="Q332" s="169"/>
      <c r="Y332" s="95"/>
      <c r="Z332" s="228"/>
      <c r="AA332" s="215"/>
      <c r="AB332" s="229"/>
      <c r="AC332" s="230"/>
      <c r="AD332" s="267" t="s">
        <v>4</v>
      </c>
    </row>
    <row r="333" spans="1:30" ht="17.100000000000001" customHeight="1" x14ac:dyDescent="0.25">
      <c r="A333" s="201"/>
      <c r="B333" s="202"/>
      <c r="C333" s="221"/>
      <c r="D333" s="222"/>
      <c r="E333" s="363"/>
      <c r="G333" s="206"/>
      <c r="H333" s="218"/>
      <c r="I333" s="177"/>
      <c r="J333" s="176"/>
      <c r="K333" s="207"/>
      <c r="L333" s="208"/>
      <c r="M333" s="208"/>
      <c r="N333" s="224"/>
      <c r="O333" s="225"/>
      <c r="P333" s="226"/>
      <c r="Q333" s="169"/>
      <c r="Y333" s="95"/>
      <c r="Z333" s="228"/>
      <c r="AA333" s="215"/>
      <c r="AB333" s="229"/>
      <c r="AC333" s="230"/>
      <c r="AD333" s="267" t="s">
        <v>4</v>
      </c>
    </row>
    <row r="334" spans="1:30" ht="17.100000000000001" customHeight="1" x14ac:dyDescent="0.25">
      <c r="A334" s="201"/>
      <c r="B334" s="202"/>
      <c r="C334" s="221"/>
      <c r="D334" s="222"/>
      <c r="E334" s="363"/>
      <c r="G334" s="206"/>
      <c r="H334" s="218"/>
      <c r="I334" s="177"/>
      <c r="J334" s="176"/>
      <c r="K334" s="207"/>
      <c r="L334" s="208"/>
      <c r="M334" s="208"/>
      <c r="N334" s="224"/>
      <c r="O334" s="225"/>
      <c r="P334" s="226"/>
      <c r="Q334" s="169"/>
      <c r="Y334" s="95"/>
      <c r="Z334" s="228"/>
      <c r="AA334" s="215"/>
      <c r="AB334" s="229"/>
      <c r="AC334" s="230"/>
      <c r="AD334" s="267" t="s">
        <v>4</v>
      </c>
    </row>
    <row r="335" spans="1:30" ht="17.100000000000001" customHeight="1" x14ac:dyDescent="0.25">
      <c r="A335" s="201"/>
      <c r="B335" s="202"/>
      <c r="C335" s="221"/>
      <c r="D335" s="222"/>
      <c r="E335" s="363"/>
      <c r="G335" s="206"/>
      <c r="H335" s="218"/>
      <c r="I335" s="177"/>
      <c r="J335" s="176"/>
      <c r="K335" s="207"/>
      <c r="L335" s="208"/>
      <c r="M335" s="208"/>
      <c r="N335" s="224"/>
      <c r="O335" s="225"/>
      <c r="P335" s="226"/>
      <c r="Q335" s="169"/>
      <c r="Y335" s="95"/>
      <c r="Z335" s="228"/>
      <c r="AA335" s="215"/>
      <c r="AB335" s="229"/>
      <c r="AC335" s="230"/>
      <c r="AD335" s="267" t="s">
        <v>4</v>
      </c>
    </row>
    <row r="336" spans="1:30" ht="17.100000000000001" customHeight="1" x14ac:dyDescent="0.25">
      <c r="A336" s="201"/>
      <c r="B336" s="202"/>
      <c r="C336" s="221"/>
      <c r="D336" s="222"/>
      <c r="E336" s="363"/>
      <c r="G336" s="206"/>
      <c r="H336" s="218"/>
      <c r="I336" s="177"/>
      <c r="J336" s="176"/>
      <c r="K336" s="207"/>
      <c r="L336" s="208"/>
      <c r="M336" s="208"/>
      <c r="N336" s="224"/>
      <c r="O336" s="225"/>
      <c r="P336" s="226"/>
      <c r="Q336" s="169"/>
      <c r="Y336" s="95"/>
      <c r="Z336" s="228"/>
      <c r="AA336" s="215"/>
      <c r="AB336" s="229"/>
      <c r="AC336" s="230"/>
      <c r="AD336" s="267" t="s">
        <v>4</v>
      </c>
    </row>
    <row r="337" spans="1:30" ht="17.100000000000001" customHeight="1" x14ac:dyDescent="0.25">
      <c r="A337" s="201"/>
      <c r="B337" s="202"/>
      <c r="C337" s="221"/>
      <c r="D337" s="222"/>
      <c r="E337" s="363"/>
      <c r="G337" s="206"/>
      <c r="H337" s="218"/>
      <c r="I337" s="177"/>
      <c r="J337" s="176"/>
      <c r="K337" s="207"/>
      <c r="L337" s="208"/>
      <c r="M337" s="208"/>
      <c r="N337" s="224"/>
      <c r="O337" s="225"/>
      <c r="P337" s="226"/>
      <c r="Q337" s="169"/>
      <c r="Y337" s="95"/>
      <c r="Z337" s="228"/>
      <c r="AA337" s="215"/>
      <c r="AB337" s="229"/>
      <c r="AC337" s="230"/>
      <c r="AD337" s="267" t="s">
        <v>4</v>
      </c>
    </row>
    <row r="338" spans="1:30" ht="17.100000000000001" customHeight="1" x14ac:dyDescent="0.25">
      <c r="A338" s="201"/>
      <c r="B338" s="202"/>
      <c r="C338" s="221"/>
      <c r="D338" s="222"/>
      <c r="E338" s="363"/>
      <c r="G338" s="206"/>
      <c r="H338" s="218"/>
      <c r="I338" s="177"/>
      <c r="J338" s="176"/>
      <c r="K338" s="207"/>
      <c r="L338" s="208"/>
      <c r="M338" s="208"/>
      <c r="N338" s="224"/>
      <c r="O338" s="225"/>
      <c r="P338" s="226"/>
      <c r="Q338" s="169"/>
      <c r="Y338" s="95"/>
      <c r="Z338" s="228"/>
      <c r="AA338" s="215"/>
      <c r="AB338" s="229"/>
      <c r="AC338" s="230"/>
      <c r="AD338" s="267" t="s">
        <v>4</v>
      </c>
    </row>
    <row r="339" spans="1:30" ht="17.100000000000001" customHeight="1" x14ac:dyDescent="0.25">
      <c r="A339" s="201"/>
      <c r="B339" s="202"/>
      <c r="C339" s="221"/>
      <c r="D339" s="222"/>
      <c r="E339" s="363"/>
      <c r="G339" s="206"/>
      <c r="H339" s="218"/>
      <c r="I339" s="177"/>
      <c r="J339" s="176"/>
      <c r="K339" s="207"/>
      <c r="L339" s="208"/>
      <c r="M339" s="208"/>
      <c r="N339" s="224"/>
      <c r="O339" s="225"/>
      <c r="P339" s="226"/>
      <c r="Q339" s="169"/>
      <c r="Y339" s="95"/>
      <c r="Z339" s="228"/>
      <c r="AA339" s="215"/>
      <c r="AB339" s="229"/>
      <c r="AC339" s="230"/>
      <c r="AD339" s="267" t="s">
        <v>4</v>
      </c>
    </row>
    <row r="340" spans="1:30" ht="17.100000000000001" customHeight="1" x14ac:dyDescent="0.25">
      <c r="A340" s="201"/>
      <c r="B340" s="202"/>
      <c r="C340" s="221"/>
      <c r="D340" s="222"/>
      <c r="E340" s="363"/>
      <c r="G340" s="206"/>
      <c r="H340" s="218"/>
      <c r="I340" s="177"/>
      <c r="J340" s="176"/>
      <c r="K340" s="207"/>
      <c r="L340" s="208"/>
      <c r="M340" s="208"/>
      <c r="N340" s="224"/>
      <c r="O340" s="225"/>
      <c r="P340" s="226"/>
      <c r="Q340" s="169"/>
      <c r="R340" s="233"/>
      <c r="Y340" s="95"/>
      <c r="Z340" s="228"/>
      <c r="AA340" s="215"/>
      <c r="AB340" s="229"/>
      <c r="AC340" s="230"/>
      <c r="AD340" s="267" t="s">
        <v>4</v>
      </c>
    </row>
    <row r="341" spans="1:30" ht="17.100000000000001" customHeight="1" x14ac:dyDescent="0.25">
      <c r="A341" s="201"/>
      <c r="B341" s="202"/>
      <c r="C341" s="221"/>
      <c r="D341" s="222"/>
      <c r="E341" s="363"/>
      <c r="G341" s="206"/>
      <c r="H341" s="218"/>
      <c r="I341" s="177"/>
      <c r="J341" s="176"/>
      <c r="K341" s="207"/>
      <c r="L341" s="208"/>
      <c r="M341" s="208"/>
      <c r="N341" s="224"/>
      <c r="O341" s="225"/>
      <c r="P341" s="226"/>
      <c r="Q341" s="169"/>
      <c r="R341" s="233"/>
      <c r="Y341" s="95"/>
      <c r="Z341" s="228"/>
      <c r="AA341" s="215"/>
      <c r="AB341" s="229"/>
      <c r="AC341" s="230"/>
      <c r="AD341" s="267" t="s">
        <v>4</v>
      </c>
    </row>
    <row r="342" spans="1:30" ht="17.100000000000001" customHeight="1" x14ac:dyDescent="0.25">
      <c r="A342" s="201"/>
      <c r="B342" s="202"/>
      <c r="C342" s="221"/>
      <c r="D342" s="222"/>
      <c r="E342" s="363"/>
      <c r="G342" s="206"/>
      <c r="H342" s="218"/>
      <c r="I342" s="177"/>
      <c r="J342" s="176"/>
      <c r="K342" s="207"/>
      <c r="L342" s="208"/>
      <c r="M342" s="208"/>
      <c r="N342" s="224"/>
      <c r="O342" s="225"/>
      <c r="P342" s="226"/>
      <c r="Q342" s="169"/>
      <c r="Y342" s="95"/>
      <c r="Z342" s="228"/>
      <c r="AA342" s="215"/>
      <c r="AB342" s="229"/>
      <c r="AC342" s="230"/>
      <c r="AD342" s="267" t="s">
        <v>4</v>
      </c>
    </row>
    <row r="343" spans="1:30" ht="17.100000000000001" customHeight="1" x14ac:dyDescent="0.25">
      <c r="A343" s="201"/>
      <c r="B343" s="202"/>
      <c r="C343" s="221"/>
      <c r="D343" s="222"/>
      <c r="E343" s="363"/>
      <c r="G343" s="206"/>
      <c r="H343" s="218"/>
      <c r="I343" s="177"/>
      <c r="J343" s="176"/>
      <c r="K343" s="207"/>
      <c r="L343" s="208"/>
      <c r="M343" s="208"/>
      <c r="N343" s="224"/>
      <c r="O343" s="225"/>
      <c r="P343" s="226"/>
      <c r="Q343" s="169"/>
      <c r="Y343" s="95"/>
      <c r="Z343" s="228"/>
      <c r="AA343" s="215"/>
      <c r="AB343" s="229"/>
      <c r="AC343" s="230"/>
      <c r="AD343" s="267" t="s">
        <v>4</v>
      </c>
    </row>
    <row r="344" spans="1:30" ht="17.100000000000001" customHeight="1" x14ac:dyDescent="0.25">
      <c r="A344" s="201"/>
      <c r="B344" s="202"/>
      <c r="C344" s="221"/>
      <c r="D344" s="222"/>
      <c r="E344" s="363"/>
      <c r="G344" s="206"/>
      <c r="H344" s="218"/>
      <c r="I344" s="177"/>
      <c r="J344" s="176"/>
      <c r="K344" s="207"/>
      <c r="L344" s="208"/>
      <c r="M344" s="208"/>
      <c r="N344" s="224"/>
      <c r="O344" s="225"/>
      <c r="P344" s="226"/>
      <c r="Q344" s="169"/>
      <c r="R344" s="233"/>
      <c r="Y344" s="95"/>
      <c r="Z344" s="228"/>
      <c r="AA344" s="215"/>
      <c r="AB344" s="229"/>
      <c r="AC344" s="230"/>
      <c r="AD344" s="267" t="s">
        <v>4</v>
      </c>
    </row>
    <row r="345" spans="1:30" ht="17.100000000000001" customHeight="1" x14ac:dyDescent="0.25">
      <c r="A345" s="201"/>
      <c r="B345" s="202"/>
      <c r="C345" s="221"/>
      <c r="D345" s="222"/>
      <c r="E345" s="363"/>
      <c r="G345" s="206"/>
      <c r="H345" s="218"/>
      <c r="I345" s="177"/>
      <c r="J345" s="176"/>
      <c r="K345" s="207"/>
      <c r="L345" s="208"/>
      <c r="M345" s="208"/>
      <c r="N345" s="224"/>
      <c r="O345" s="225"/>
      <c r="P345" s="226"/>
      <c r="Q345" s="169"/>
      <c r="R345" s="233"/>
      <c r="Y345" s="95"/>
      <c r="Z345" s="228"/>
      <c r="AA345" s="215"/>
      <c r="AB345" s="229"/>
      <c r="AC345" s="230"/>
      <c r="AD345" s="267" t="s">
        <v>4</v>
      </c>
    </row>
    <row r="346" spans="1:30" ht="17.100000000000001" customHeight="1" x14ac:dyDescent="0.25">
      <c r="A346" s="201"/>
      <c r="B346" s="202"/>
      <c r="C346" s="221"/>
      <c r="D346" s="222"/>
      <c r="E346" s="363"/>
      <c r="G346" s="206"/>
      <c r="H346" s="218"/>
      <c r="I346" s="177"/>
      <c r="J346" s="176"/>
      <c r="K346" s="207"/>
      <c r="L346" s="208"/>
      <c r="M346" s="208"/>
      <c r="N346" s="224"/>
      <c r="O346" s="225"/>
      <c r="P346" s="226"/>
      <c r="Q346" s="169"/>
      <c r="Y346" s="95"/>
      <c r="Z346" s="228"/>
      <c r="AA346" s="215"/>
      <c r="AB346" s="229"/>
      <c r="AC346" s="230"/>
      <c r="AD346" s="267" t="s">
        <v>4</v>
      </c>
    </row>
    <row r="347" spans="1:30" ht="17.100000000000001" customHeight="1" x14ac:dyDescent="0.25">
      <c r="A347" s="201"/>
      <c r="B347" s="202"/>
      <c r="C347" s="221"/>
      <c r="D347" s="222"/>
      <c r="E347" s="363"/>
      <c r="G347" s="206"/>
      <c r="H347" s="218"/>
      <c r="I347" s="177"/>
      <c r="J347" s="176"/>
      <c r="K347" s="207"/>
      <c r="L347" s="208"/>
      <c r="M347" s="208"/>
      <c r="N347" s="224"/>
      <c r="O347" s="225"/>
      <c r="P347" s="226"/>
      <c r="Q347" s="169"/>
      <c r="Y347" s="95"/>
      <c r="Z347" s="228"/>
      <c r="AA347" s="215"/>
      <c r="AB347" s="229"/>
      <c r="AC347" s="230"/>
      <c r="AD347" s="267" t="s">
        <v>4</v>
      </c>
    </row>
    <row r="348" spans="1:30" ht="17.100000000000001" customHeight="1" x14ac:dyDescent="0.25">
      <c r="A348" s="201"/>
      <c r="B348" s="202"/>
      <c r="C348" s="221"/>
      <c r="D348" s="222"/>
      <c r="E348" s="363"/>
      <c r="G348" s="206"/>
      <c r="H348" s="218"/>
      <c r="I348" s="177"/>
      <c r="J348" s="176"/>
      <c r="K348" s="207"/>
      <c r="L348" s="208"/>
      <c r="M348" s="208"/>
      <c r="N348" s="224"/>
      <c r="O348" s="225"/>
      <c r="P348" s="226"/>
      <c r="Q348" s="169"/>
      <c r="Y348" s="95"/>
      <c r="Z348" s="228"/>
      <c r="AA348" s="215"/>
      <c r="AB348" s="229"/>
      <c r="AC348" s="230"/>
      <c r="AD348" s="267" t="s">
        <v>4</v>
      </c>
    </row>
    <row r="349" spans="1:30" ht="17.100000000000001" customHeight="1" x14ac:dyDescent="0.25">
      <c r="A349" s="201"/>
      <c r="B349" s="202"/>
      <c r="C349" s="221"/>
      <c r="D349" s="222"/>
      <c r="E349" s="363"/>
      <c r="G349" s="206"/>
      <c r="H349" s="218"/>
      <c r="I349" s="177"/>
      <c r="J349" s="176"/>
      <c r="K349" s="207"/>
      <c r="L349" s="208"/>
      <c r="M349" s="208"/>
      <c r="N349" s="224"/>
      <c r="O349" s="225"/>
      <c r="P349" s="226"/>
      <c r="Q349" s="220"/>
      <c r="R349" s="233"/>
      <c r="Y349" s="95"/>
      <c r="Z349" s="228"/>
      <c r="AA349" s="215"/>
      <c r="AB349" s="229"/>
      <c r="AC349" s="230"/>
      <c r="AD349" s="267" t="s">
        <v>4</v>
      </c>
    </row>
    <row r="350" spans="1:30" ht="17.100000000000001" customHeight="1" x14ac:dyDescent="0.25">
      <c r="A350" s="201"/>
      <c r="B350" s="202"/>
      <c r="C350" s="221"/>
      <c r="D350" s="222"/>
      <c r="E350" s="363"/>
      <c r="G350" s="206"/>
      <c r="H350" s="218"/>
      <c r="I350" s="177"/>
      <c r="J350" s="176"/>
      <c r="K350" s="207"/>
      <c r="L350" s="208"/>
      <c r="M350" s="208"/>
      <c r="N350" s="224"/>
      <c r="O350" s="225"/>
      <c r="P350" s="226"/>
      <c r="Q350" s="169"/>
      <c r="Y350" s="95"/>
      <c r="Z350" s="228"/>
      <c r="AA350" s="215"/>
      <c r="AB350" s="229"/>
      <c r="AC350" s="230"/>
      <c r="AD350" s="267" t="s">
        <v>4</v>
      </c>
    </row>
    <row r="351" spans="1:30" ht="17.100000000000001" customHeight="1" x14ac:dyDescent="0.25">
      <c r="A351" s="201"/>
      <c r="B351" s="202"/>
      <c r="C351" s="221"/>
      <c r="D351" s="222"/>
      <c r="E351" s="363"/>
      <c r="G351" s="206"/>
      <c r="H351" s="218"/>
      <c r="I351" s="177"/>
      <c r="J351" s="176"/>
      <c r="K351" s="207"/>
      <c r="L351" s="208"/>
      <c r="M351" s="208"/>
      <c r="N351" s="224"/>
      <c r="O351" s="225"/>
      <c r="P351" s="226"/>
      <c r="Q351" s="169"/>
      <c r="R351" s="233"/>
      <c r="Y351" s="95"/>
      <c r="Z351" s="228"/>
      <c r="AA351" s="215"/>
      <c r="AB351" s="229"/>
      <c r="AC351" s="230"/>
      <c r="AD351" s="267" t="s">
        <v>4</v>
      </c>
    </row>
    <row r="352" spans="1:30" ht="17.100000000000001" customHeight="1" x14ac:dyDescent="0.25">
      <c r="A352" s="201"/>
      <c r="B352" s="202"/>
      <c r="C352" s="221"/>
      <c r="D352" s="222"/>
      <c r="E352" s="363"/>
      <c r="G352" s="206"/>
      <c r="H352" s="218"/>
      <c r="I352" s="177"/>
      <c r="J352" s="176"/>
      <c r="K352" s="207"/>
      <c r="L352" s="208"/>
      <c r="M352" s="208"/>
      <c r="N352" s="224"/>
      <c r="O352" s="225"/>
      <c r="P352" s="226"/>
      <c r="Q352" s="169"/>
      <c r="Y352" s="95"/>
      <c r="Z352" s="228"/>
      <c r="AA352" s="215"/>
      <c r="AB352" s="229"/>
      <c r="AC352" s="230"/>
      <c r="AD352" s="267" t="s">
        <v>4</v>
      </c>
    </row>
    <row r="353" spans="1:30" ht="17.100000000000001" customHeight="1" x14ac:dyDescent="0.25">
      <c r="A353" s="201"/>
      <c r="B353" s="202"/>
      <c r="C353" s="221"/>
      <c r="D353" s="222"/>
      <c r="E353" s="363"/>
      <c r="G353" s="206"/>
      <c r="H353" s="218"/>
      <c r="I353" s="177"/>
      <c r="J353" s="176"/>
      <c r="K353" s="207"/>
      <c r="L353" s="208"/>
      <c r="M353" s="208"/>
      <c r="N353" s="224"/>
      <c r="O353" s="225"/>
      <c r="P353" s="226"/>
      <c r="Q353" s="169"/>
      <c r="Y353" s="95"/>
      <c r="Z353" s="228"/>
      <c r="AA353" s="215"/>
      <c r="AB353" s="229"/>
      <c r="AC353" s="230"/>
      <c r="AD353" s="267" t="s">
        <v>4</v>
      </c>
    </row>
    <row r="354" spans="1:30" ht="17.100000000000001" customHeight="1" x14ac:dyDescent="0.25">
      <c r="A354" s="201"/>
      <c r="B354" s="202"/>
      <c r="C354" s="221"/>
      <c r="D354" s="222"/>
      <c r="E354" s="363"/>
      <c r="G354" s="206"/>
      <c r="H354" s="218"/>
      <c r="I354" s="177"/>
      <c r="J354" s="176"/>
      <c r="K354" s="207"/>
      <c r="L354" s="208"/>
      <c r="M354" s="208"/>
      <c r="N354" s="224"/>
      <c r="O354" s="225"/>
      <c r="P354" s="226"/>
      <c r="Q354" s="169"/>
      <c r="Y354" s="95"/>
      <c r="Z354" s="228"/>
      <c r="AA354" s="215"/>
      <c r="AB354" s="229"/>
      <c r="AC354" s="230"/>
      <c r="AD354" s="267" t="s">
        <v>4</v>
      </c>
    </row>
    <row r="355" spans="1:30" ht="17.100000000000001" customHeight="1" x14ac:dyDescent="0.25">
      <c r="A355" s="201"/>
      <c r="B355" s="202"/>
      <c r="C355" s="221"/>
      <c r="D355" s="222"/>
      <c r="E355" s="363"/>
      <c r="G355" s="206"/>
      <c r="H355" s="218"/>
      <c r="I355" s="177"/>
      <c r="J355" s="176"/>
      <c r="K355" s="207"/>
      <c r="L355" s="208"/>
      <c r="M355" s="208"/>
      <c r="N355" s="224"/>
      <c r="O355" s="225"/>
      <c r="P355" s="226"/>
      <c r="Q355" s="169"/>
      <c r="Y355" s="95"/>
      <c r="Z355" s="228"/>
      <c r="AA355" s="215"/>
      <c r="AB355" s="229"/>
      <c r="AC355" s="230"/>
      <c r="AD355" s="267" t="s">
        <v>4</v>
      </c>
    </row>
    <row r="356" spans="1:30" ht="17.100000000000001" customHeight="1" x14ac:dyDescent="0.25">
      <c r="A356" s="201"/>
      <c r="B356" s="202"/>
      <c r="C356" s="221"/>
      <c r="D356" s="222"/>
      <c r="E356" s="363"/>
      <c r="G356" s="206"/>
      <c r="H356" s="218"/>
      <c r="I356" s="177"/>
      <c r="J356" s="176"/>
      <c r="K356" s="207"/>
      <c r="L356" s="208"/>
      <c r="M356" s="208"/>
      <c r="N356" s="224"/>
      <c r="O356" s="225"/>
      <c r="P356" s="226"/>
      <c r="Q356" s="169"/>
      <c r="Y356" s="95"/>
      <c r="Z356" s="228"/>
      <c r="AA356" s="215"/>
      <c r="AB356" s="229"/>
      <c r="AC356" s="230"/>
      <c r="AD356" s="267" t="s">
        <v>4</v>
      </c>
    </row>
    <row r="357" spans="1:30" ht="17.100000000000001" customHeight="1" x14ac:dyDescent="0.25">
      <c r="A357" s="201"/>
      <c r="B357" s="202"/>
      <c r="C357" s="221"/>
      <c r="D357" s="222"/>
      <c r="E357" s="363"/>
      <c r="G357" s="206"/>
      <c r="H357" s="218"/>
      <c r="I357" s="177"/>
      <c r="J357" s="176"/>
      <c r="K357" s="207"/>
      <c r="L357" s="208"/>
      <c r="M357" s="208"/>
      <c r="N357" s="224"/>
      <c r="O357" s="225"/>
      <c r="P357" s="226"/>
      <c r="Q357" s="169"/>
      <c r="Y357" s="95"/>
      <c r="Z357" s="228"/>
      <c r="AA357" s="215"/>
      <c r="AB357" s="229"/>
      <c r="AC357" s="230"/>
      <c r="AD357" s="267" t="s">
        <v>4</v>
      </c>
    </row>
    <row r="358" spans="1:30" ht="17.100000000000001" customHeight="1" x14ac:dyDescent="0.25">
      <c r="A358" s="201"/>
      <c r="B358" s="202"/>
      <c r="C358" s="221"/>
      <c r="D358" s="222"/>
      <c r="E358" s="363"/>
      <c r="G358" s="206"/>
      <c r="H358" s="218"/>
      <c r="I358" s="177"/>
      <c r="J358" s="176"/>
      <c r="K358" s="207"/>
      <c r="L358" s="208"/>
      <c r="M358" s="208"/>
      <c r="N358" s="224"/>
      <c r="O358" s="225"/>
      <c r="P358" s="226"/>
      <c r="Q358" s="169"/>
      <c r="Y358" s="95"/>
      <c r="Z358" s="228"/>
      <c r="AA358" s="215"/>
      <c r="AB358" s="229"/>
      <c r="AC358" s="230"/>
      <c r="AD358" s="267" t="s">
        <v>4</v>
      </c>
    </row>
    <row r="359" spans="1:30" ht="17.100000000000001" customHeight="1" x14ac:dyDescent="0.25">
      <c r="A359" s="201"/>
      <c r="B359" s="202"/>
      <c r="C359" s="221"/>
      <c r="D359" s="222"/>
      <c r="E359" s="363"/>
      <c r="G359" s="206"/>
      <c r="H359" s="218"/>
      <c r="I359" s="177"/>
      <c r="J359" s="176"/>
      <c r="K359" s="207"/>
      <c r="L359" s="208"/>
      <c r="M359" s="208"/>
      <c r="N359" s="224"/>
      <c r="O359" s="225"/>
      <c r="P359" s="226"/>
      <c r="Q359" s="169"/>
      <c r="Y359" s="95"/>
      <c r="Z359" s="228"/>
      <c r="AA359" s="215"/>
      <c r="AB359" s="229"/>
      <c r="AC359" s="230"/>
      <c r="AD359" s="267" t="s">
        <v>4</v>
      </c>
    </row>
    <row r="360" spans="1:30" ht="17.100000000000001" customHeight="1" x14ac:dyDescent="0.25">
      <c r="A360" s="201"/>
      <c r="B360" s="202"/>
      <c r="C360" s="221"/>
      <c r="D360" s="222"/>
      <c r="E360" s="363"/>
      <c r="G360" s="206"/>
      <c r="H360" s="218"/>
      <c r="I360" s="177"/>
      <c r="J360" s="176"/>
      <c r="K360" s="207"/>
      <c r="L360" s="208"/>
      <c r="M360" s="208"/>
      <c r="N360" s="224"/>
      <c r="O360" s="225"/>
      <c r="P360" s="226"/>
      <c r="Q360" s="169"/>
      <c r="Y360" s="95"/>
      <c r="Z360" s="228"/>
      <c r="AA360" s="215"/>
      <c r="AB360" s="229"/>
      <c r="AC360" s="230"/>
      <c r="AD360" s="267" t="s">
        <v>4</v>
      </c>
    </row>
    <row r="361" spans="1:30" ht="17.100000000000001" customHeight="1" x14ac:dyDescent="0.25">
      <c r="A361" s="201"/>
      <c r="B361" s="202"/>
      <c r="C361" s="203"/>
      <c r="D361" s="204"/>
      <c r="E361" s="363"/>
      <c r="F361" s="205"/>
      <c r="G361" s="206"/>
      <c r="H361" s="218"/>
      <c r="I361" s="177"/>
      <c r="J361" s="176"/>
      <c r="K361" s="207"/>
      <c r="L361" s="208"/>
      <c r="M361" s="208"/>
      <c r="N361" s="209"/>
      <c r="O361" s="210"/>
      <c r="P361" s="211"/>
      <c r="Q361" s="220"/>
      <c r="R361" s="205"/>
      <c r="S361" s="205"/>
      <c r="T361" s="205"/>
      <c r="U361" s="205"/>
      <c r="V361" s="205"/>
      <c r="X361" s="205"/>
      <c r="Y361" s="213"/>
      <c r="Z361" s="214"/>
      <c r="AA361" s="215"/>
      <c r="AB361" s="216"/>
      <c r="AC361" s="217"/>
      <c r="AD361" s="267" t="s">
        <v>4</v>
      </c>
    </row>
    <row r="362" spans="1:30" ht="17.100000000000001" customHeight="1" x14ac:dyDescent="0.25">
      <c r="A362" s="201"/>
      <c r="B362" s="202"/>
      <c r="C362" s="221"/>
      <c r="D362" s="222"/>
      <c r="E362" s="363"/>
      <c r="G362" s="206"/>
      <c r="H362" s="218"/>
      <c r="I362" s="177"/>
      <c r="J362" s="176"/>
      <c r="K362" s="207"/>
      <c r="L362" s="208"/>
      <c r="M362" s="208"/>
      <c r="N362" s="224"/>
      <c r="O362" s="225"/>
      <c r="P362" s="226"/>
      <c r="Q362" s="220"/>
      <c r="R362" s="233"/>
      <c r="Y362" s="95"/>
      <c r="Z362" s="228"/>
      <c r="AA362" s="215"/>
      <c r="AB362" s="229"/>
      <c r="AC362" s="230"/>
      <c r="AD362" s="267" t="s">
        <v>4</v>
      </c>
    </row>
    <row r="363" spans="1:30" ht="17.100000000000001" customHeight="1" x14ac:dyDescent="0.25">
      <c r="A363" s="201"/>
      <c r="B363" s="202"/>
      <c r="C363" s="221"/>
      <c r="D363" s="222"/>
      <c r="E363" s="363"/>
      <c r="G363" s="206"/>
      <c r="H363" s="218"/>
      <c r="I363" s="177"/>
      <c r="J363" s="176"/>
      <c r="K363" s="207"/>
      <c r="L363" s="208"/>
      <c r="M363" s="208"/>
      <c r="N363" s="224"/>
      <c r="O363" s="225"/>
      <c r="P363" s="226"/>
      <c r="Q363" s="169"/>
      <c r="Y363" s="95"/>
      <c r="Z363" s="228"/>
      <c r="AA363" s="215"/>
      <c r="AB363" s="229"/>
      <c r="AC363" s="230"/>
      <c r="AD363" s="267" t="s">
        <v>4</v>
      </c>
    </row>
    <row r="364" spans="1:30" ht="17.100000000000001" customHeight="1" x14ac:dyDescent="0.25">
      <c r="A364" s="201"/>
      <c r="B364" s="202"/>
      <c r="C364" s="203"/>
      <c r="D364" s="204"/>
      <c r="E364" s="363"/>
      <c r="F364" s="205"/>
      <c r="G364" s="206"/>
      <c r="H364" s="290"/>
      <c r="I364" s="177"/>
      <c r="J364" s="176"/>
      <c r="K364" s="207"/>
      <c r="L364" s="208"/>
      <c r="M364" s="208"/>
      <c r="N364" s="209"/>
      <c r="O364" s="210"/>
      <c r="P364" s="211"/>
      <c r="Q364" s="220"/>
      <c r="R364" s="212"/>
      <c r="S364" s="205"/>
      <c r="T364" s="205"/>
      <c r="U364" s="205"/>
      <c r="V364" s="205"/>
      <c r="W364" s="205"/>
      <c r="X364" s="205"/>
      <c r="Y364" s="213"/>
      <c r="Z364" s="214"/>
      <c r="AA364" s="215"/>
      <c r="AB364" s="216"/>
      <c r="AC364" s="217"/>
      <c r="AD364" s="267" t="s">
        <v>4</v>
      </c>
    </row>
    <row r="365" spans="1:30" ht="17.100000000000001" customHeight="1" x14ac:dyDescent="0.25">
      <c r="A365" s="201"/>
      <c r="B365" s="202"/>
      <c r="C365" s="221"/>
      <c r="D365" s="222"/>
      <c r="E365" s="363"/>
      <c r="G365" s="206"/>
      <c r="H365" s="218"/>
      <c r="I365" s="177"/>
      <c r="J365" s="176"/>
      <c r="K365" s="207"/>
      <c r="L365" s="208"/>
      <c r="M365" s="208"/>
      <c r="N365" s="224"/>
      <c r="O365" s="225"/>
      <c r="P365" s="226"/>
      <c r="Q365" s="220"/>
      <c r="Y365" s="95"/>
      <c r="Z365" s="228"/>
      <c r="AA365" s="215"/>
      <c r="AB365" s="229"/>
      <c r="AC365" s="230"/>
      <c r="AD365" s="267" t="s">
        <v>4</v>
      </c>
    </row>
    <row r="366" spans="1:30" ht="17.100000000000001" customHeight="1" x14ac:dyDescent="0.25">
      <c r="A366" s="201"/>
      <c r="B366" s="202"/>
      <c r="C366" s="221"/>
      <c r="D366" s="222"/>
      <c r="E366" s="363"/>
      <c r="G366" s="206"/>
      <c r="H366" s="218"/>
      <c r="I366" s="177"/>
      <c r="J366" s="176"/>
      <c r="K366" s="207"/>
      <c r="L366" s="208"/>
      <c r="M366" s="208"/>
      <c r="N366" s="224"/>
      <c r="O366" s="225"/>
      <c r="P366" s="226"/>
      <c r="Q366" s="169"/>
      <c r="Y366" s="95"/>
      <c r="Z366" s="228"/>
      <c r="AA366" s="215"/>
      <c r="AB366" s="229"/>
      <c r="AC366" s="230"/>
      <c r="AD366" s="267" t="s">
        <v>4</v>
      </c>
    </row>
    <row r="367" spans="1:30" ht="17.100000000000001" customHeight="1" x14ac:dyDescent="0.25">
      <c r="A367" s="201"/>
      <c r="B367" s="202"/>
      <c r="C367" s="221"/>
      <c r="D367" s="222"/>
      <c r="E367" s="363"/>
      <c r="G367" s="206"/>
      <c r="H367" s="218"/>
      <c r="I367" s="177"/>
      <c r="J367" s="176"/>
      <c r="K367" s="207"/>
      <c r="L367" s="208"/>
      <c r="M367" s="208"/>
      <c r="N367" s="224"/>
      <c r="O367" s="225"/>
      <c r="P367" s="226"/>
      <c r="Q367" s="169"/>
      <c r="Y367" s="95"/>
      <c r="Z367" s="228"/>
      <c r="AA367" s="215"/>
      <c r="AB367" s="229"/>
      <c r="AC367" s="230"/>
      <c r="AD367" s="267" t="s">
        <v>4</v>
      </c>
    </row>
    <row r="368" spans="1:30" ht="17.100000000000001" customHeight="1" x14ac:dyDescent="0.25">
      <c r="A368" s="201"/>
      <c r="B368" s="202"/>
      <c r="C368" s="221"/>
      <c r="D368" s="222"/>
      <c r="E368" s="363"/>
      <c r="G368" s="206"/>
      <c r="H368" s="218"/>
      <c r="I368" s="177"/>
      <c r="J368" s="176"/>
      <c r="K368" s="207"/>
      <c r="L368" s="208"/>
      <c r="M368" s="208"/>
      <c r="N368" s="224"/>
      <c r="O368" s="225"/>
      <c r="P368" s="226"/>
      <c r="Q368" s="169"/>
      <c r="Y368" s="95"/>
      <c r="Z368" s="228"/>
      <c r="AA368" s="215"/>
      <c r="AB368" s="229"/>
      <c r="AC368" s="230"/>
      <c r="AD368" s="267" t="s">
        <v>4</v>
      </c>
    </row>
    <row r="369" spans="1:30" ht="17.100000000000001" customHeight="1" x14ac:dyDescent="0.25">
      <c r="A369" s="201"/>
      <c r="B369" s="202"/>
      <c r="C369" s="221"/>
      <c r="D369" s="222"/>
      <c r="E369" s="363"/>
      <c r="G369" s="206"/>
      <c r="H369" s="218"/>
      <c r="I369" s="177"/>
      <c r="J369" s="176"/>
      <c r="K369" s="207"/>
      <c r="L369" s="208"/>
      <c r="M369" s="208"/>
      <c r="N369" s="224"/>
      <c r="O369" s="225"/>
      <c r="P369" s="226"/>
      <c r="Q369" s="169"/>
      <c r="Y369" s="95"/>
      <c r="Z369" s="228"/>
      <c r="AA369" s="215"/>
      <c r="AB369" s="229"/>
      <c r="AC369" s="230"/>
      <c r="AD369" s="267" t="s">
        <v>4</v>
      </c>
    </row>
    <row r="370" spans="1:30" ht="17.100000000000001" customHeight="1" x14ac:dyDescent="0.25">
      <c r="A370" s="201"/>
      <c r="B370" s="202"/>
      <c r="C370" s="221"/>
      <c r="D370" s="222"/>
      <c r="E370" s="363"/>
      <c r="G370" s="206"/>
      <c r="H370" s="218"/>
      <c r="I370" s="177"/>
      <c r="J370" s="176"/>
      <c r="K370" s="207"/>
      <c r="L370" s="208"/>
      <c r="M370" s="208"/>
      <c r="N370" s="224"/>
      <c r="O370" s="225"/>
      <c r="P370" s="226"/>
      <c r="Q370" s="169"/>
      <c r="R370" s="233"/>
      <c r="Y370" s="95"/>
      <c r="Z370" s="228"/>
      <c r="AA370" s="215"/>
      <c r="AB370" s="229"/>
      <c r="AC370" s="230"/>
      <c r="AD370" s="267" t="s">
        <v>4</v>
      </c>
    </row>
    <row r="371" spans="1:30" ht="17.100000000000001" customHeight="1" x14ac:dyDescent="0.25">
      <c r="A371" s="201"/>
      <c r="B371" s="202"/>
      <c r="C371" s="221"/>
      <c r="D371" s="222"/>
      <c r="E371" s="363"/>
      <c r="G371" s="206"/>
      <c r="H371" s="218"/>
      <c r="I371" s="177"/>
      <c r="J371" s="176"/>
      <c r="K371" s="207"/>
      <c r="L371" s="208"/>
      <c r="M371" s="208"/>
      <c r="N371" s="224"/>
      <c r="O371" s="225"/>
      <c r="P371" s="226"/>
      <c r="Q371" s="169"/>
      <c r="Y371" s="95"/>
      <c r="Z371" s="228"/>
      <c r="AA371" s="215"/>
      <c r="AB371" s="229"/>
      <c r="AC371" s="230"/>
      <c r="AD371" s="267" t="s">
        <v>4</v>
      </c>
    </row>
    <row r="372" spans="1:30" ht="17.100000000000001" customHeight="1" x14ac:dyDescent="0.25">
      <c r="A372" s="201"/>
      <c r="B372" s="202"/>
      <c r="C372" s="221"/>
      <c r="D372" s="222"/>
      <c r="E372" s="363"/>
      <c r="G372" s="206"/>
      <c r="H372" s="218"/>
      <c r="I372" s="177"/>
      <c r="J372" s="176"/>
      <c r="K372" s="207"/>
      <c r="L372" s="208"/>
      <c r="M372" s="208"/>
      <c r="N372" s="224"/>
      <c r="O372" s="225"/>
      <c r="P372" s="226"/>
      <c r="Q372" s="169"/>
      <c r="Y372" s="95"/>
      <c r="Z372" s="228"/>
      <c r="AA372" s="215"/>
      <c r="AB372" s="229"/>
      <c r="AC372" s="230"/>
      <c r="AD372" s="267" t="s">
        <v>4</v>
      </c>
    </row>
    <row r="373" spans="1:30" ht="17.100000000000001" customHeight="1" x14ac:dyDescent="0.25">
      <c r="A373" s="201"/>
      <c r="B373" s="202"/>
      <c r="C373" s="221"/>
      <c r="D373" s="222"/>
      <c r="E373" s="363"/>
      <c r="G373" s="206"/>
      <c r="H373" s="218"/>
      <c r="I373" s="177"/>
      <c r="J373" s="176"/>
      <c r="K373" s="207"/>
      <c r="L373" s="208"/>
      <c r="M373" s="208"/>
      <c r="N373" s="224"/>
      <c r="O373" s="225"/>
      <c r="P373" s="226"/>
      <c r="Q373" s="169"/>
      <c r="Y373" s="95"/>
      <c r="Z373" s="228"/>
      <c r="AA373" s="215"/>
      <c r="AB373" s="229"/>
      <c r="AC373" s="230"/>
      <c r="AD373" s="267" t="s">
        <v>4</v>
      </c>
    </row>
    <row r="374" spans="1:30" ht="17.100000000000001" customHeight="1" x14ac:dyDescent="0.25">
      <c r="A374" s="201"/>
      <c r="B374" s="202"/>
      <c r="C374" s="221"/>
      <c r="D374" s="222"/>
      <c r="E374" s="363"/>
      <c r="G374" s="206"/>
      <c r="H374" s="218"/>
      <c r="I374" s="177"/>
      <c r="J374" s="176"/>
      <c r="K374" s="207"/>
      <c r="L374" s="208"/>
      <c r="M374" s="208"/>
      <c r="N374" s="224"/>
      <c r="O374" s="225"/>
      <c r="P374" s="226"/>
      <c r="Q374" s="169"/>
      <c r="R374" s="233"/>
      <c r="Y374" s="95"/>
      <c r="Z374" s="228"/>
      <c r="AA374" s="215"/>
      <c r="AB374" s="229"/>
      <c r="AC374" s="230"/>
      <c r="AD374" s="267" t="s">
        <v>4</v>
      </c>
    </row>
    <row r="375" spans="1:30" ht="17.100000000000001" customHeight="1" x14ac:dyDescent="0.25">
      <c r="A375" s="201"/>
      <c r="B375" s="202"/>
      <c r="C375" s="221"/>
      <c r="D375" s="222"/>
      <c r="E375" s="363"/>
      <c r="G375" s="206"/>
      <c r="H375" s="218"/>
      <c r="I375" s="177"/>
      <c r="J375" s="176"/>
      <c r="K375" s="207"/>
      <c r="L375" s="208"/>
      <c r="M375" s="208"/>
      <c r="N375" s="224"/>
      <c r="O375" s="225"/>
      <c r="P375" s="226"/>
      <c r="Q375" s="169"/>
      <c r="Y375" s="95"/>
      <c r="Z375" s="228"/>
      <c r="AA375" s="215"/>
      <c r="AB375" s="229"/>
      <c r="AC375" s="230"/>
      <c r="AD375" s="267" t="s">
        <v>4</v>
      </c>
    </row>
    <row r="376" spans="1:30" ht="17.100000000000001" customHeight="1" x14ac:dyDescent="0.25">
      <c r="A376" s="201"/>
      <c r="B376" s="202"/>
      <c r="C376" s="221"/>
      <c r="D376" s="222"/>
      <c r="E376" s="363"/>
      <c r="G376" s="206"/>
      <c r="H376" s="218"/>
      <c r="I376" s="177"/>
      <c r="J376" s="176"/>
      <c r="K376" s="207"/>
      <c r="L376" s="208"/>
      <c r="M376" s="208"/>
      <c r="N376" s="224"/>
      <c r="O376" s="225"/>
      <c r="P376" s="226"/>
      <c r="Q376" s="169"/>
      <c r="Y376" s="95"/>
      <c r="Z376" s="228"/>
      <c r="AA376" s="215"/>
      <c r="AB376" s="229"/>
      <c r="AC376" s="230"/>
      <c r="AD376" s="267" t="s">
        <v>4</v>
      </c>
    </row>
    <row r="377" spans="1:30" ht="17.100000000000001" customHeight="1" x14ac:dyDescent="0.25">
      <c r="A377" s="201"/>
      <c r="B377" s="202"/>
      <c r="C377" s="221"/>
      <c r="D377" s="222"/>
      <c r="E377" s="363"/>
      <c r="G377" s="206"/>
      <c r="H377" s="218"/>
      <c r="I377" s="177"/>
      <c r="J377" s="176"/>
      <c r="K377" s="207"/>
      <c r="L377" s="208"/>
      <c r="M377" s="208"/>
      <c r="N377" s="224"/>
      <c r="O377" s="225"/>
      <c r="P377" s="226"/>
      <c r="Q377" s="169"/>
      <c r="Y377" s="95"/>
      <c r="Z377" s="228"/>
      <c r="AA377" s="215"/>
      <c r="AB377" s="229"/>
      <c r="AC377" s="230"/>
      <c r="AD377" s="267" t="s">
        <v>4</v>
      </c>
    </row>
    <row r="378" spans="1:30" ht="17.100000000000001" customHeight="1" x14ac:dyDescent="0.25">
      <c r="A378" s="201"/>
      <c r="B378" s="202"/>
      <c r="C378" s="221"/>
      <c r="D378" s="222"/>
      <c r="E378" s="363"/>
      <c r="G378" s="206"/>
      <c r="H378" s="218"/>
      <c r="I378" s="177"/>
      <c r="J378" s="176"/>
      <c r="K378" s="207"/>
      <c r="L378" s="208"/>
      <c r="M378" s="208"/>
      <c r="N378" s="224"/>
      <c r="O378" s="225"/>
      <c r="P378" s="226"/>
      <c r="Q378" s="169"/>
      <c r="Y378" s="95"/>
      <c r="Z378" s="228"/>
      <c r="AA378" s="215"/>
      <c r="AB378" s="229"/>
      <c r="AC378" s="230"/>
      <c r="AD378" s="267" t="s">
        <v>4</v>
      </c>
    </row>
    <row r="379" spans="1:30" ht="17.100000000000001" customHeight="1" x14ac:dyDescent="0.25">
      <c r="A379" s="201"/>
      <c r="B379" s="202"/>
      <c r="C379" s="221"/>
      <c r="D379" s="222"/>
      <c r="E379" s="363"/>
      <c r="G379" s="206"/>
      <c r="H379" s="218"/>
      <c r="I379" s="177"/>
      <c r="J379" s="176"/>
      <c r="K379" s="207"/>
      <c r="L379" s="208"/>
      <c r="M379" s="208"/>
      <c r="N379" s="224"/>
      <c r="O379" s="225"/>
      <c r="P379" s="226"/>
      <c r="Q379" s="169"/>
      <c r="Y379" s="95"/>
      <c r="Z379" s="228"/>
      <c r="AA379" s="215"/>
      <c r="AB379" s="229"/>
      <c r="AC379" s="230"/>
      <c r="AD379" s="267" t="s">
        <v>4</v>
      </c>
    </row>
    <row r="380" spans="1:30" ht="17.100000000000001" customHeight="1" x14ac:dyDescent="0.25">
      <c r="A380" s="201"/>
      <c r="B380" s="202"/>
      <c r="C380" s="221"/>
      <c r="D380" s="222"/>
      <c r="E380" s="363"/>
      <c r="G380" s="206"/>
      <c r="H380" s="218"/>
      <c r="I380" s="177"/>
      <c r="J380" s="176"/>
      <c r="K380" s="207"/>
      <c r="L380" s="208"/>
      <c r="M380" s="208"/>
      <c r="N380" s="224"/>
      <c r="O380" s="225"/>
      <c r="P380" s="226"/>
      <c r="Q380" s="169"/>
      <c r="Y380" s="95"/>
      <c r="Z380" s="228"/>
      <c r="AA380" s="215"/>
      <c r="AB380" s="229"/>
      <c r="AC380" s="230"/>
      <c r="AD380" s="267" t="s">
        <v>4</v>
      </c>
    </row>
    <row r="381" spans="1:30" ht="17.100000000000001" customHeight="1" x14ac:dyDescent="0.25">
      <c r="A381" s="201"/>
      <c r="B381" s="202"/>
      <c r="C381" s="221"/>
      <c r="D381" s="222"/>
      <c r="E381" s="363"/>
      <c r="G381" s="206"/>
      <c r="H381" s="218"/>
      <c r="I381" s="177"/>
      <c r="J381" s="176"/>
      <c r="K381" s="207"/>
      <c r="L381" s="208"/>
      <c r="M381" s="208"/>
      <c r="N381" s="224"/>
      <c r="O381" s="225"/>
      <c r="P381" s="226"/>
      <c r="Q381" s="169"/>
      <c r="Y381" s="95"/>
      <c r="Z381" s="228"/>
      <c r="AA381" s="215"/>
      <c r="AB381" s="229"/>
      <c r="AC381" s="230"/>
      <c r="AD381" s="267" t="s">
        <v>4</v>
      </c>
    </row>
    <row r="382" spans="1:30" ht="17.100000000000001" customHeight="1" x14ac:dyDescent="0.25">
      <c r="A382" s="201"/>
      <c r="B382" s="202"/>
      <c r="C382" s="203"/>
      <c r="D382" s="204"/>
      <c r="E382" s="363"/>
      <c r="F382" s="205"/>
      <c r="G382" s="206"/>
      <c r="H382" s="218"/>
      <c r="I382" s="177"/>
      <c r="J382" s="176"/>
      <c r="K382" s="207"/>
      <c r="L382" s="208"/>
      <c r="M382" s="208"/>
      <c r="N382" s="209"/>
      <c r="O382" s="210"/>
      <c r="P382" s="211"/>
      <c r="Q382" s="220"/>
      <c r="R382" s="205"/>
      <c r="S382" s="205"/>
      <c r="T382" s="205"/>
      <c r="U382" s="205"/>
      <c r="V382" s="205"/>
      <c r="W382" s="205"/>
      <c r="X382" s="205"/>
      <c r="Y382" s="213"/>
      <c r="Z382" s="214"/>
      <c r="AA382" s="215"/>
      <c r="AB382" s="216"/>
      <c r="AC382" s="217"/>
      <c r="AD382" s="267" t="s">
        <v>4</v>
      </c>
    </row>
    <row r="383" spans="1:30" ht="17.100000000000001" customHeight="1" x14ac:dyDescent="0.25">
      <c r="A383" s="201"/>
      <c r="B383" s="202"/>
      <c r="C383" s="221"/>
      <c r="D383" s="222"/>
      <c r="E383" s="363"/>
      <c r="G383" s="206"/>
      <c r="H383" s="218"/>
      <c r="I383" s="177"/>
      <c r="J383" s="176"/>
      <c r="K383" s="207"/>
      <c r="L383" s="208"/>
      <c r="M383" s="208"/>
      <c r="N383" s="224"/>
      <c r="O383" s="225"/>
      <c r="P383" s="226"/>
      <c r="Q383" s="169"/>
      <c r="Y383" s="95"/>
      <c r="Z383" s="228"/>
      <c r="AA383" s="215"/>
      <c r="AB383" s="229"/>
      <c r="AC383" s="230"/>
      <c r="AD383" s="267" t="s">
        <v>4</v>
      </c>
    </row>
    <row r="384" spans="1:30" ht="17.100000000000001" customHeight="1" x14ac:dyDescent="0.25">
      <c r="A384" s="201"/>
      <c r="B384" s="202"/>
      <c r="C384" s="221"/>
      <c r="D384" s="222"/>
      <c r="E384" s="363"/>
      <c r="G384" s="206"/>
      <c r="H384" s="218"/>
      <c r="I384" s="177"/>
      <c r="J384" s="176"/>
      <c r="K384" s="207"/>
      <c r="L384" s="208"/>
      <c r="M384" s="208"/>
      <c r="N384" s="224"/>
      <c r="O384" s="225"/>
      <c r="P384" s="226"/>
      <c r="Q384" s="169"/>
      <c r="Y384" s="95"/>
      <c r="Z384" s="228"/>
      <c r="AA384" s="215"/>
      <c r="AB384" s="229"/>
      <c r="AC384" s="230"/>
      <c r="AD384" s="267" t="s">
        <v>4</v>
      </c>
    </row>
    <row r="385" spans="1:30" ht="17.100000000000001" customHeight="1" x14ac:dyDescent="0.25">
      <c r="A385" s="201"/>
      <c r="B385" s="202"/>
      <c r="C385" s="221"/>
      <c r="D385" s="222"/>
      <c r="E385" s="363"/>
      <c r="G385" s="206"/>
      <c r="H385" s="218"/>
      <c r="I385" s="177"/>
      <c r="J385" s="176"/>
      <c r="K385" s="207"/>
      <c r="L385" s="208"/>
      <c r="M385" s="208"/>
      <c r="N385" s="224"/>
      <c r="O385" s="225"/>
      <c r="P385" s="226"/>
      <c r="Q385" s="169"/>
      <c r="Y385" s="95"/>
      <c r="Z385" s="228"/>
      <c r="AA385" s="215"/>
      <c r="AB385" s="229"/>
      <c r="AC385" s="230"/>
      <c r="AD385" s="267" t="s">
        <v>4</v>
      </c>
    </row>
    <row r="386" spans="1:30" ht="17.100000000000001" customHeight="1" x14ac:dyDescent="0.25">
      <c r="A386" s="201"/>
      <c r="B386" s="202"/>
      <c r="C386" s="221"/>
      <c r="D386" s="222"/>
      <c r="E386" s="363"/>
      <c r="G386" s="206"/>
      <c r="H386" s="218"/>
      <c r="I386" s="177"/>
      <c r="J386" s="176"/>
      <c r="K386" s="207"/>
      <c r="L386" s="208"/>
      <c r="M386" s="208"/>
      <c r="N386" s="224"/>
      <c r="O386" s="225"/>
      <c r="P386" s="226"/>
      <c r="Q386" s="169"/>
      <c r="Y386" s="95"/>
      <c r="Z386" s="228"/>
      <c r="AA386" s="215"/>
      <c r="AB386" s="229"/>
      <c r="AC386" s="230"/>
      <c r="AD386" s="267" t="s">
        <v>4</v>
      </c>
    </row>
    <row r="387" spans="1:30" ht="17.100000000000001" customHeight="1" x14ac:dyDescent="0.25">
      <c r="A387" s="201"/>
      <c r="B387" s="202"/>
      <c r="C387" s="203"/>
      <c r="D387" s="204"/>
      <c r="E387" s="363"/>
      <c r="F387" s="205"/>
      <c r="G387" s="206"/>
      <c r="H387" s="218"/>
      <c r="I387" s="177"/>
      <c r="J387" s="176"/>
      <c r="K387" s="207"/>
      <c r="L387" s="208"/>
      <c r="M387" s="208"/>
      <c r="N387" s="209"/>
      <c r="O387" s="210"/>
      <c r="P387" s="211"/>
      <c r="Q387" s="220"/>
      <c r="R387" s="205"/>
      <c r="S387" s="205"/>
      <c r="T387" s="205"/>
      <c r="U387" s="205"/>
      <c r="V387" s="205"/>
      <c r="W387" s="205"/>
      <c r="X387" s="205"/>
      <c r="Y387" s="213"/>
      <c r="Z387" s="214"/>
      <c r="AA387" s="215"/>
      <c r="AB387" s="216"/>
      <c r="AC387" s="217"/>
      <c r="AD387" s="267" t="s">
        <v>4</v>
      </c>
    </row>
    <row r="388" spans="1:30" ht="17.100000000000001" customHeight="1" x14ac:dyDescent="0.25">
      <c r="A388" s="201"/>
      <c r="B388" s="202"/>
      <c r="C388" s="221"/>
      <c r="D388" s="222"/>
      <c r="E388" s="363"/>
      <c r="G388" s="206"/>
      <c r="H388" s="218"/>
      <c r="I388" s="177"/>
      <c r="J388" s="176"/>
      <c r="K388" s="207"/>
      <c r="L388" s="208"/>
      <c r="M388" s="208"/>
      <c r="N388" s="224"/>
      <c r="O388" s="225"/>
      <c r="P388" s="226"/>
      <c r="Q388" s="169"/>
      <c r="Y388" s="95"/>
      <c r="Z388" s="228"/>
      <c r="AA388" s="215"/>
      <c r="AB388" s="229"/>
      <c r="AC388" s="230"/>
      <c r="AD388" s="267" t="s">
        <v>4</v>
      </c>
    </row>
    <row r="389" spans="1:30" ht="17.100000000000001" customHeight="1" x14ac:dyDescent="0.25">
      <c r="A389" s="201"/>
      <c r="B389" s="202"/>
      <c r="C389" s="221"/>
      <c r="D389" s="222"/>
      <c r="E389" s="363"/>
      <c r="G389" s="206"/>
      <c r="H389" s="218"/>
      <c r="I389" s="177"/>
      <c r="J389" s="176"/>
      <c r="K389" s="207"/>
      <c r="L389" s="208"/>
      <c r="M389" s="208"/>
      <c r="N389" s="224"/>
      <c r="O389" s="225"/>
      <c r="P389" s="226"/>
      <c r="Q389" s="169"/>
      <c r="R389" s="233"/>
      <c r="Y389" s="95"/>
      <c r="Z389" s="228"/>
      <c r="AA389" s="215"/>
      <c r="AB389" s="229"/>
      <c r="AC389" s="230"/>
      <c r="AD389" s="267" t="s">
        <v>4</v>
      </c>
    </row>
    <row r="390" spans="1:30" ht="17.100000000000001" customHeight="1" x14ac:dyDescent="0.25">
      <c r="A390" s="201"/>
      <c r="B390" s="202"/>
      <c r="C390" s="221"/>
      <c r="D390" s="222"/>
      <c r="E390" s="363"/>
      <c r="G390" s="206"/>
      <c r="H390" s="218"/>
      <c r="I390" s="177"/>
      <c r="J390" s="176"/>
      <c r="K390" s="207"/>
      <c r="L390" s="208"/>
      <c r="M390" s="208"/>
      <c r="N390" s="224"/>
      <c r="O390" s="225"/>
      <c r="P390" s="226"/>
      <c r="Q390" s="169"/>
      <c r="Y390" s="95"/>
      <c r="Z390" s="228"/>
      <c r="AA390" s="215"/>
      <c r="AB390" s="229"/>
      <c r="AC390" s="230"/>
      <c r="AD390" s="267" t="s">
        <v>4</v>
      </c>
    </row>
    <row r="391" spans="1:30" ht="17.100000000000001" customHeight="1" x14ac:dyDescent="0.25">
      <c r="A391" s="201"/>
      <c r="B391" s="202"/>
      <c r="C391" s="221"/>
      <c r="D391" s="222"/>
      <c r="E391" s="363"/>
      <c r="G391" s="206"/>
      <c r="H391" s="218"/>
      <c r="I391" s="177"/>
      <c r="J391" s="176"/>
      <c r="K391" s="207"/>
      <c r="L391" s="208"/>
      <c r="M391" s="208"/>
      <c r="N391" s="224"/>
      <c r="O391" s="225"/>
      <c r="P391" s="226"/>
      <c r="Q391" s="169"/>
      <c r="Y391" s="95"/>
      <c r="Z391" s="228"/>
      <c r="AA391" s="215"/>
      <c r="AB391" s="229"/>
      <c r="AC391" s="230"/>
      <c r="AD391" s="267" t="s">
        <v>4</v>
      </c>
    </row>
    <row r="392" spans="1:30" ht="17.100000000000001" customHeight="1" x14ac:dyDescent="0.25">
      <c r="A392" s="201"/>
      <c r="B392" s="202"/>
      <c r="C392" s="221"/>
      <c r="D392" s="222"/>
      <c r="E392" s="363"/>
      <c r="G392" s="206"/>
      <c r="H392" s="218"/>
      <c r="I392" s="177"/>
      <c r="J392" s="176"/>
      <c r="K392" s="207"/>
      <c r="L392" s="208"/>
      <c r="M392" s="208"/>
      <c r="N392" s="224"/>
      <c r="O392" s="225"/>
      <c r="P392" s="226"/>
      <c r="Q392" s="169"/>
      <c r="R392" s="233"/>
      <c r="Y392" s="95"/>
      <c r="Z392" s="228"/>
      <c r="AA392" s="215"/>
      <c r="AB392" s="229"/>
      <c r="AC392" s="230"/>
      <c r="AD392" s="267" t="s">
        <v>4</v>
      </c>
    </row>
    <row r="393" spans="1:30" ht="17.100000000000001" customHeight="1" x14ac:dyDescent="0.25">
      <c r="A393" s="201"/>
      <c r="B393" s="202"/>
      <c r="C393" s="221"/>
      <c r="D393" s="222"/>
      <c r="E393" s="363"/>
      <c r="G393" s="206"/>
      <c r="H393" s="218"/>
      <c r="I393" s="177"/>
      <c r="J393" s="176"/>
      <c r="K393" s="207"/>
      <c r="L393" s="208"/>
      <c r="M393" s="208"/>
      <c r="N393" s="224"/>
      <c r="O393" s="225"/>
      <c r="P393" s="226"/>
      <c r="Q393" s="169"/>
      <c r="Y393" s="95"/>
      <c r="Z393" s="228"/>
      <c r="AA393" s="215"/>
      <c r="AB393" s="229"/>
      <c r="AC393" s="230"/>
      <c r="AD393" s="267" t="s">
        <v>4</v>
      </c>
    </row>
    <row r="394" spans="1:30" ht="17.100000000000001" customHeight="1" x14ac:dyDescent="0.25">
      <c r="A394" s="201"/>
      <c r="B394" s="202"/>
      <c r="C394" s="221"/>
      <c r="D394" s="222"/>
      <c r="E394" s="363"/>
      <c r="G394" s="206"/>
      <c r="H394" s="218"/>
      <c r="I394" s="177"/>
      <c r="J394" s="176"/>
      <c r="K394" s="207"/>
      <c r="L394" s="208"/>
      <c r="M394" s="208"/>
      <c r="N394" s="224"/>
      <c r="O394" s="225"/>
      <c r="P394" s="226"/>
      <c r="Q394" s="169"/>
      <c r="Y394" s="95"/>
      <c r="Z394" s="228"/>
      <c r="AA394" s="215"/>
      <c r="AB394" s="229"/>
      <c r="AC394" s="230"/>
      <c r="AD394" s="267" t="s">
        <v>4</v>
      </c>
    </row>
    <row r="395" spans="1:30" ht="17.100000000000001" customHeight="1" x14ac:dyDescent="0.25">
      <c r="A395" s="201"/>
      <c r="B395" s="202"/>
      <c r="C395" s="203"/>
      <c r="D395" s="204"/>
      <c r="E395" s="363"/>
      <c r="F395" s="205"/>
      <c r="G395" s="206"/>
      <c r="H395" s="218"/>
      <c r="I395" s="177"/>
      <c r="J395" s="176"/>
      <c r="K395" s="207"/>
      <c r="L395" s="208"/>
      <c r="M395" s="208"/>
      <c r="N395" s="209"/>
      <c r="O395" s="210"/>
      <c r="P395" s="211"/>
      <c r="Q395" s="220"/>
      <c r="R395" s="205"/>
      <c r="S395" s="205"/>
      <c r="T395" s="205"/>
      <c r="U395" s="205"/>
      <c r="V395" s="205"/>
      <c r="W395" s="205"/>
      <c r="X395" s="205"/>
      <c r="Y395" s="213"/>
      <c r="Z395" s="214"/>
      <c r="AA395" s="215"/>
      <c r="AB395" s="216"/>
      <c r="AC395" s="217"/>
      <c r="AD395" s="267" t="s">
        <v>4</v>
      </c>
    </row>
    <row r="396" spans="1:30" ht="17.100000000000001" customHeight="1" x14ac:dyDescent="0.25">
      <c r="A396" s="201"/>
      <c r="B396" s="202"/>
      <c r="C396" s="221"/>
      <c r="D396" s="222"/>
      <c r="E396" s="363"/>
      <c r="G396" s="206"/>
      <c r="H396" s="218"/>
      <c r="I396" s="177"/>
      <c r="J396" s="176"/>
      <c r="K396" s="207"/>
      <c r="L396" s="208"/>
      <c r="M396" s="208"/>
      <c r="N396" s="224"/>
      <c r="O396" s="225"/>
      <c r="P396" s="226"/>
      <c r="Q396" s="169"/>
      <c r="Y396" s="95"/>
      <c r="Z396" s="228"/>
      <c r="AA396" s="215"/>
      <c r="AB396" s="229"/>
      <c r="AC396" s="230"/>
      <c r="AD396" s="267" t="s">
        <v>4</v>
      </c>
    </row>
    <row r="397" spans="1:30" ht="17.100000000000001" customHeight="1" x14ac:dyDescent="0.25">
      <c r="A397" s="201"/>
      <c r="B397" s="202"/>
      <c r="C397" s="221"/>
      <c r="D397" s="222"/>
      <c r="E397" s="363"/>
      <c r="G397" s="206"/>
      <c r="H397" s="218"/>
      <c r="I397" s="177"/>
      <c r="J397" s="176"/>
      <c r="K397" s="207"/>
      <c r="L397" s="208"/>
      <c r="M397" s="208"/>
      <c r="N397" s="224"/>
      <c r="O397" s="225"/>
      <c r="P397" s="226"/>
      <c r="Q397" s="169"/>
      <c r="Y397" s="95"/>
      <c r="Z397" s="228"/>
      <c r="AA397" s="215"/>
      <c r="AB397" s="229"/>
      <c r="AC397" s="230"/>
      <c r="AD397" s="267" t="s">
        <v>4</v>
      </c>
    </row>
    <row r="398" spans="1:30" ht="17.100000000000001" customHeight="1" x14ac:dyDescent="0.25">
      <c r="A398" s="201"/>
      <c r="B398" s="202"/>
      <c r="C398" s="221"/>
      <c r="D398" s="222"/>
      <c r="E398" s="363"/>
      <c r="G398" s="206"/>
      <c r="H398" s="218"/>
      <c r="I398" s="177"/>
      <c r="J398" s="176"/>
      <c r="K398" s="207"/>
      <c r="L398" s="208"/>
      <c r="M398" s="208"/>
      <c r="N398" s="224"/>
      <c r="O398" s="225"/>
      <c r="P398" s="226"/>
      <c r="Q398" s="169"/>
      <c r="R398" s="233"/>
      <c r="Y398" s="95"/>
      <c r="Z398" s="228"/>
      <c r="AA398" s="215"/>
      <c r="AB398" s="229"/>
      <c r="AC398" s="230"/>
      <c r="AD398" s="267" t="s">
        <v>4</v>
      </c>
    </row>
    <row r="399" spans="1:30" ht="17.100000000000001" customHeight="1" x14ac:dyDescent="0.25">
      <c r="A399" s="201"/>
      <c r="B399" s="202"/>
      <c r="C399" s="221"/>
      <c r="D399" s="222"/>
      <c r="E399" s="363"/>
      <c r="G399" s="206"/>
      <c r="H399" s="218"/>
      <c r="I399" s="177"/>
      <c r="J399" s="176"/>
      <c r="K399" s="207"/>
      <c r="L399" s="208"/>
      <c r="M399" s="208"/>
      <c r="N399" s="224"/>
      <c r="O399" s="225"/>
      <c r="P399" s="226"/>
      <c r="Q399" s="169"/>
      <c r="Y399" s="95"/>
      <c r="Z399" s="228"/>
      <c r="AA399" s="215"/>
      <c r="AB399" s="229"/>
      <c r="AC399" s="230"/>
      <c r="AD399" s="267" t="s">
        <v>4</v>
      </c>
    </row>
    <row r="400" spans="1:30" ht="17.100000000000001" customHeight="1" x14ac:dyDescent="0.25">
      <c r="A400" s="201"/>
      <c r="B400" s="202"/>
      <c r="C400" s="221"/>
      <c r="D400" s="222"/>
      <c r="E400" s="363"/>
      <c r="G400" s="206"/>
      <c r="H400" s="218"/>
      <c r="I400" s="177"/>
      <c r="J400" s="176"/>
      <c r="K400" s="207"/>
      <c r="L400" s="208"/>
      <c r="M400" s="208"/>
      <c r="N400" s="224"/>
      <c r="O400" s="225"/>
      <c r="P400" s="226"/>
      <c r="Q400" s="169"/>
      <c r="Y400" s="95"/>
      <c r="Z400" s="228"/>
      <c r="AA400" s="215"/>
      <c r="AB400" s="229"/>
      <c r="AC400" s="230"/>
      <c r="AD400" s="267" t="s">
        <v>4</v>
      </c>
    </row>
    <row r="401" spans="1:30" ht="17.100000000000001" customHeight="1" x14ac:dyDescent="0.25">
      <c r="A401" s="201"/>
      <c r="B401" s="202"/>
      <c r="C401" s="221"/>
      <c r="D401" s="222"/>
      <c r="E401" s="363"/>
      <c r="G401" s="206"/>
      <c r="H401" s="218"/>
      <c r="I401" s="177"/>
      <c r="J401" s="176"/>
      <c r="K401" s="207"/>
      <c r="L401" s="208"/>
      <c r="M401" s="208"/>
      <c r="N401" s="224"/>
      <c r="O401" s="225"/>
      <c r="P401" s="226"/>
      <c r="Q401" s="169"/>
      <c r="Y401" s="95"/>
      <c r="Z401" s="228"/>
      <c r="AA401" s="215"/>
      <c r="AB401" s="229"/>
      <c r="AC401" s="230"/>
      <c r="AD401" s="267" t="s">
        <v>4</v>
      </c>
    </row>
    <row r="402" spans="1:30" ht="17.100000000000001" customHeight="1" x14ac:dyDescent="0.25">
      <c r="A402" s="201"/>
      <c r="B402" s="202"/>
      <c r="C402" s="221"/>
      <c r="D402" s="222"/>
      <c r="E402" s="363"/>
      <c r="G402" s="206"/>
      <c r="H402" s="218"/>
      <c r="I402" s="177"/>
      <c r="J402" s="176"/>
      <c r="K402" s="207"/>
      <c r="L402" s="208"/>
      <c r="M402" s="208"/>
      <c r="N402" s="224"/>
      <c r="O402" s="225"/>
      <c r="P402" s="226"/>
      <c r="Q402" s="169"/>
      <c r="Y402" s="95"/>
      <c r="Z402" s="228"/>
      <c r="AA402" s="215"/>
      <c r="AB402" s="229"/>
      <c r="AC402" s="230"/>
      <c r="AD402" s="267" t="s">
        <v>4</v>
      </c>
    </row>
    <row r="403" spans="1:30" ht="17.100000000000001" customHeight="1" x14ac:dyDescent="0.25">
      <c r="A403" s="201"/>
      <c r="B403" s="202"/>
      <c r="C403" s="221"/>
      <c r="D403" s="222"/>
      <c r="E403" s="363"/>
      <c r="G403" s="206"/>
      <c r="H403" s="218"/>
      <c r="I403" s="177"/>
      <c r="J403" s="176"/>
      <c r="K403" s="207"/>
      <c r="L403" s="208"/>
      <c r="M403" s="208"/>
      <c r="N403" s="224"/>
      <c r="O403" s="225"/>
      <c r="P403" s="226"/>
      <c r="Q403" s="169"/>
      <c r="Y403" s="95"/>
      <c r="Z403" s="228"/>
      <c r="AA403" s="215"/>
      <c r="AB403" s="229"/>
      <c r="AC403" s="230"/>
      <c r="AD403" s="267" t="s">
        <v>4</v>
      </c>
    </row>
    <row r="404" spans="1:30" ht="17.100000000000001" customHeight="1" x14ac:dyDescent="0.25">
      <c r="A404" s="201"/>
      <c r="B404" s="202"/>
      <c r="C404" s="221"/>
      <c r="D404" s="222"/>
      <c r="E404" s="363"/>
      <c r="G404" s="206"/>
      <c r="H404" s="218"/>
      <c r="I404" s="177"/>
      <c r="J404" s="176"/>
      <c r="K404" s="207"/>
      <c r="L404" s="208"/>
      <c r="M404" s="208"/>
      <c r="N404" s="224"/>
      <c r="O404" s="225"/>
      <c r="P404" s="226"/>
      <c r="Q404" s="169"/>
      <c r="Y404" s="95"/>
      <c r="Z404" s="228"/>
      <c r="AA404" s="215"/>
      <c r="AB404" s="229"/>
      <c r="AC404" s="230"/>
      <c r="AD404" s="267" t="s">
        <v>4</v>
      </c>
    </row>
    <row r="405" spans="1:30" ht="17.100000000000001" customHeight="1" x14ac:dyDescent="0.25">
      <c r="A405" s="201"/>
      <c r="B405" s="202"/>
      <c r="C405" s="221"/>
      <c r="D405" s="222"/>
      <c r="E405" s="363"/>
      <c r="G405" s="206"/>
      <c r="H405" s="218"/>
      <c r="I405" s="177"/>
      <c r="J405" s="176"/>
      <c r="K405" s="207"/>
      <c r="L405" s="208"/>
      <c r="M405" s="208"/>
      <c r="N405" s="224"/>
      <c r="O405" s="225"/>
      <c r="P405" s="226"/>
      <c r="Q405" s="169"/>
      <c r="Y405" s="95"/>
      <c r="Z405" s="228"/>
      <c r="AA405" s="215"/>
      <c r="AB405" s="229"/>
      <c r="AC405" s="230"/>
      <c r="AD405" s="267" t="s">
        <v>4</v>
      </c>
    </row>
    <row r="406" spans="1:30" ht="17.100000000000001" customHeight="1" x14ac:dyDescent="0.25">
      <c r="A406" s="201"/>
      <c r="B406" s="202"/>
      <c r="C406" s="221"/>
      <c r="D406" s="222"/>
      <c r="E406" s="363"/>
      <c r="G406" s="206"/>
      <c r="H406" s="218"/>
      <c r="I406" s="177"/>
      <c r="J406" s="176"/>
      <c r="K406" s="207"/>
      <c r="L406" s="208"/>
      <c r="M406" s="208"/>
      <c r="N406" s="224"/>
      <c r="O406" s="225"/>
      <c r="P406" s="226"/>
      <c r="Q406" s="169"/>
      <c r="Y406" s="95"/>
      <c r="Z406" s="228"/>
      <c r="AA406" s="215"/>
      <c r="AB406" s="229"/>
      <c r="AC406" s="230"/>
      <c r="AD406" s="267" t="s">
        <v>4</v>
      </c>
    </row>
    <row r="407" spans="1:30" ht="17.100000000000001" customHeight="1" x14ac:dyDescent="0.25">
      <c r="A407" s="201"/>
      <c r="B407" s="202"/>
      <c r="C407" s="221"/>
      <c r="D407" s="222"/>
      <c r="E407" s="363"/>
      <c r="G407" s="206"/>
      <c r="H407" s="218"/>
      <c r="I407" s="177"/>
      <c r="J407" s="176"/>
      <c r="K407" s="207"/>
      <c r="L407" s="208"/>
      <c r="M407" s="208"/>
      <c r="N407" s="224"/>
      <c r="O407" s="225"/>
      <c r="P407" s="226"/>
      <c r="Q407" s="169"/>
      <c r="Y407" s="95"/>
      <c r="Z407" s="228"/>
      <c r="AA407" s="215"/>
      <c r="AB407" s="229"/>
      <c r="AC407" s="230"/>
      <c r="AD407" s="267" t="s">
        <v>4</v>
      </c>
    </row>
    <row r="408" spans="1:30" ht="17.100000000000001" customHeight="1" x14ac:dyDescent="0.25">
      <c r="A408" s="201"/>
      <c r="B408" s="202"/>
      <c r="C408" s="221"/>
      <c r="D408" s="222"/>
      <c r="E408" s="363"/>
      <c r="G408" s="206"/>
      <c r="H408" s="218"/>
      <c r="I408" s="177"/>
      <c r="J408" s="176"/>
      <c r="K408" s="207"/>
      <c r="L408" s="208"/>
      <c r="M408" s="208"/>
      <c r="N408" s="224"/>
      <c r="O408" s="225"/>
      <c r="P408" s="226"/>
      <c r="Q408" s="169"/>
      <c r="R408" s="233"/>
      <c r="Y408" s="95"/>
      <c r="Z408" s="228"/>
      <c r="AA408" s="215"/>
      <c r="AB408" s="229"/>
      <c r="AC408" s="230"/>
      <c r="AD408" s="267" t="s">
        <v>4</v>
      </c>
    </row>
    <row r="409" spans="1:30" ht="17.100000000000001" customHeight="1" x14ac:dyDescent="0.25">
      <c r="A409" s="201"/>
      <c r="B409" s="202"/>
      <c r="C409" s="221"/>
      <c r="D409" s="222"/>
      <c r="E409" s="363"/>
      <c r="G409" s="206"/>
      <c r="H409" s="218"/>
      <c r="I409" s="177"/>
      <c r="J409" s="176"/>
      <c r="K409" s="207"/>
      <c r="L409" s="208"/>
      <c r="M409" s="208"/>
      <c r="N409" s="224"/>
      <c r="O409" s="225"/>
      <c r="P409" s="226"/>
      <c r="Q409" s="169"/>
      <c r="R409" s="233"/>
      <c r="Y409" s="95"/>
      <c r="Z409" s="228"/>
      <c r="AA409" s="215"/>
      <c r="AB409" s="229"/>
      <c r="AC409" s="230"/>
      <c r="AD409" s="267" t="s">
        <v>4</v>
      </c>
    </row>
    <row r="410" spans="1:30" ht="17.100000000000001" customHeight="1" x14ac:dyDescent="0.25">
      <c r="A410" s="201"/>
      <c r="B410" s="202"/>
      <c r="C410" s="203"/>
      <c r="D410" s="204"/>
      <c r="E410" s="363"/>
      <c r="F410" s="205"/>
      <c r="G410" s="206"/>
      <c r="H410" s="290"/>
      <c r="I410" s="177"/>
      <c r="J410" s="176"/>
      <c r="K410" s="207"/>
      <c r="L410" s="208"/>
      <c r="M410" s="208"/>
      <c r="N410" s="209"/>
      <c r="O410" s="210"/>
      <c r="P410" s="211"/>
      <c r="Q410" s="220"/>
      <c r="R410" s="205"/>
      <c r="S410" s="205"/>
      <c r="T410" s="205"/>
      <c r="U410" s="205"/>
      <c r="V410" s="205"/>
      <c r="W410" s="205"/>
      <c r="X410" s="205"/>
      <c r="Y410" s="213"/>
      <c r="Z410" s="214"/>
      <c r="AA410" s="215"/>
      <c r="AB410" s="216"/>
      <c r="AC410" s="217"/>
      <c r="AD410" s="267" t="s">
        <v>4</v>
      </c>
    </row>
    <row r="411" spans="1:30" ht="17.100000000000001" customHeight="1" x14ac:dyDescent="0.25">
      <c r="A411" s="201"/>
      <c r="B411" s="202"/>
      <c r="C411" s="221"/>
      <c r="D411" s="222"/>
      <c r="E411" s="363"/>
      <c r="G411" s="206"/>
      <c r="H411" s="218"/>
      <c r="I411" s="177"/>
      <c r="J411" s="176"/>
      <c r="K411" s="207"/>
      <c r="L411" s="208"/>
      <c r="M411" s="208"/>
      <c r="N411" s="224"/>
      <c r="O411" s="225"/>
      <c r="P411" s="226"/>
      <c r="Q411" s="169"/>
      <c r="Y411" s="95"/>
      <c r="Z411" s="228"/>
      <c r="AA411" s="215"/>
      <c r="AB411" s="229"/>
      <c r="AC411" s="230"/>
      <c r="AD411" s="267" t="s">
        <v>4</v>
      </c>
    </row>
    <row r="412" spans="1:30" ht="17.100000000000001" customHeight="1" x14ac:dyDescent="0.25">
      <c r="A412" s="201"/>
      <c r="B412" s="202"/>
      <c r="C412" s="221"/>
      <c r="D412" s="222"/>
      <c r="E412" s="363"/>
      <c r="G412" s="206"/>
      <c r="H412" s="218"/>
      <c r="I412" s="177"/>
      <c r="J412" s="176"/>
      <c r="K412" s="207"/>
      <c r="L412" s="208"/>
      <c r="M412" s="208"/>
      <c r="N412" s="224"/>
      <c r="O412" s="225"/>
      <c r="P412" s="226"/>
      <c r="Q412" s="169"/>
      <c r="Y412" s="95"/>
      <c r="Z412" s="228"/>
      <c r="AA412" s="215"/>
      <c r="AB412" s="229"/>
      <c r="AC412" s="230"/>
      <c r="AD412" s="267" t="s">
        <v>4</v>
      </c>
    </row>
    <row r="413" spans="1:30" ht="17.100000000000001" customHeight="1" x14ac:dyDescent="0.25">
      <c r="A413" s="201"/>
      <c r="B413" s="202"/>
      <c r="C413" s="221"/>
      <c r="D413" s="222"/>
      <c r="E413" s="363"/>
      <c r="G413" s="206"/>
      <c r="H413" s="218"/>
      <c r="I413" s="177"/>
      <c r="J413" s="176"/>
      <c r="K413" s="207"/>
      <c r="L413" s="208"/>
      <c r="M413" s="208"/>
      <c r="N413" s="224"/>
      <c r="O413" s="225"/>
      <c r="P413" s="226"/>
      <c r="Q413" s="169"/>
      <c r="Y413" s="95"/>
      <c r="Z413" s="228"/>
      <c r="AA413" s="215"/>
      <c r="AB413" s="229"/>
      <c r="AC413" s="230"/>
      <c r="AD413" s="267" t="s">
        <v>4</v>
      </c>
    </row>
    <row r="414" spans="1:30" ht="17.100000000000001" customHeight="1" x14ac:dyDescent="0.25">
      <c r="A414" s="201"/>
      <c r="B414" s="202"/>
      <c r="C414" s="203"/>
      <c r="D414" s="204"/>
      <c r="E414" s="363"/>
      <c r="F414" s="205"/>
      <c r="G414" s="206"/>
      <c r="H414" s="218"/>
      <c r="I414" s="177"/>
      <c r="J414" s="176"/>
      <c r="K414" s="207"/>
      <c r="L414" s="208"/>
      <c r="M414" s="208"/>
      <c r="N414" s="209"/>
      <c r="O414" s="210"/>
      <c r="P414" s="211"/>
      <c r="Q414" s="220"/>
      <c r="R414" s="205"/>
      <c r="S414" s="205"/>
      <c r="T414" s="205"/>
      <c r="U414" s="205"/>
      <c r="V414" s="205"/>
      <c r="W414" s="205"/>
      <c r="X414" s="205"/>
      <c r="Y414" s="213"/>
      <c r="Z414" s="214"/>
      <c r="AA414" s="215"/>
      <c r="AB414" s="216"/>
      <c r="AC414" s="217"/>
      <c r="AD414" s="267" t="s">
        <v>4</v>
      </c>
    </row>
    <row r="415" spans="1:30" ht="17.100000000000001" customHeight="1" x14ac:dyDescent="0.25">
      <c r="A415" s="201"/>
      <c r="B415" s="202"/>
      <c r="C415" s="221"/>
      <c r="D415" s="222"/>
      <c r="E415" s="363"/>
      <c r="G415" s="206"/>
      <c r="H415" s="218"/>
      <c r="I415" s="177"/>
      <c r="J415" s="176"/>
      <c r="K415" s="207"/>
      <c r="L415" s="208"/>
      <c r="M415" s="208"/>
      <c r="N415" s="224"/>
      <c r="O415" s="225"/>
      <c r="P415" s="226"/>
      <c r="Q415" s="169"/>
      <c r="Y415" s="95"/>
      <c r="Z415" s="228"/>
      <c r="AA415" s="215"/>
      <c r="AB415" s="229"/>
      <c r="AC415" s="230"/>
      <c r="AD415" s="267" t="s">
        <v>4</v>
      </c>
    </row>
    <row r="416" spans="1:30" ht="17.100000000000001" customHeight="1" x14ac:dyDescent="0.25">
      <c r="A416" s="201"/>
      <c r="B416" s="202"/>
      <c r="C416" s="221"/>
      <c r="D416" s="222"/>
      <c r="E416" s="363"/>
      <c r="G416" s="206"/>
      <c r="H416" s="218"/>
      <c r="I416" s="177"/>
      <c r="J416" s="176"/>
      <c r="K416" s="207"/>
      <c r="L416" s="208"/>
      <c r="M416" s="208"/>
      <c r="N416" s="224"/>
      <c r="O416" s="225"/>
      <c r="P416" s="226"/>
      <c r="Q416" s="169"/>
      <c r="Y416" s="95"/>
      <c r="Z416" s="228"/>
      <c r="AA416" s="215"/>
      <c r="AB416" s="229"/>
      <c r="AC416" s="230"/>
      <c r="AD416" s="267" t="s">
        <v>4</v>
      </c>
    </row>
    <row r="417" spans="1:30" ht="17.100000000000001" customHeight="1" x14ac:dyDescent="0.25">
      <c r="A417" s="201"/>
      <c r="B417" s="202"/>
      <c r="C417" s="221"/>
      <c r="D417" s="222"/>
      <c r="E417" s="363"/>
      <c r="G417" s="206"/>
      <c r="H417" s="218"/>
      <c r="I417" s="177"/>
      <c r="J417" s="176"/>
      <c r="K417" s="207"/>
      <c r="L417" s="208"/>
      <c r="M417" s="208"/>
      <c r="N417" s="224"/>
      <c r="O417" s="225"/>
      <c r="P417" s="226"/>
      <c r="Q417" s="169"/>
      <c r="Y417" s="95"/>
      <c r="Z417" s="228"/>
      <c r="AA417" s="215"/>
      <c r="AB417" s="229"/>
      <c r="AC417" s="230"/>
      <c r="AD417" s="267" t="s">
        <v>4</v>
      </c>
    </row>
    <row r="418" spans="1:30" ht="17.100000000000001" customHeight="1" x14ac:dyDescent="0.25">
      <c r="A418" s="201"/>
      <c r="B418" s="202"/>
      <c r="C418" s="221"/>
      <c r="D418" s="222"/>
      <c r="E418" s="363"/>
      <c r="G418" s="206"/>
      <c r="H418" s="218"/>
      <c r="I418" s="177"/>
      <c r="J418" s="176"/>
      <c r="K418" s="207"/>
      <c r="L418" s="208"/>
      <c r="M418" s="208"/>
      <c r="N418" s="224"/>
      <c r="O418" s="225"/>
      <c r="P418" s="226"/>
      <c r="Q418" s="169"/>
      <c r="Y418" s="95"/>
      <c r="Z418" s="228"/>
      <c r="AA418" s="215"/>
      <c r="AB418" s="229"/>
      <c r="AC418" s="230"/>
      <c r="AD418" s="267" t="s">
        <v>4</v>
      </c>
    </row>
    <row r="419" spans="1:30" ht="17.100000000000001" customHeight="1" x14ac:dyDescent="0.25">
      <c r="A419" s="201"/>
      <c r="B419" s="202"/>
      <c r="C419" s="221"/>
      <c r="D419" s="222"/>
      <c r="E419" s="363"/>
      <c r="G419" s="206"/>
      <c r="H419" s="218"/>
      <c r="I419" s="177"/>
      <c r="J419" s="176"/>
      <c r="K419" s="207"/>
      <c r="L419" s="208"/>
      <c r="M419" s="208"/>
      <c r="N419" s="224"/>
      <c r="O419" s="225"/>
      <c r="P419" s="226"/>
      <c r="Q419" s="169"/>
      <c r="Y419" s="95"/>
      <c r="Z419" s="228"/>
      <c r="AA419" s="215"/>
      <c r="AB419" s="229"/>
      <c r="AC419" s="230"/>
      <c r="AD419" s="267" t="s">
        <v>4</v>
      </c>
    </row>
    <row r="420" spans="1:30" ht="17.100000000000001" customHeight="1" x14ac:dyDescent="0.25">
      <c r="A420" s="201"/>
      <c r="B420" s="202"/>
      <c r="C420" s="203"/>
      <c r="D420" s="204"/>
      <c r="E420" s="363"/>
      <c r="F420" s="205"/>
      <c r="G420" s="206"/>
      <c r="H420" s="218"/>
      <c r="I420" s="177"/>
      <c r="J420" s="176"/>
      <c r="K420" s="207"/>
      <c r="L420" s="208"/>
      <c r="M420" s="208"/>
      <c r="N420" s="209"/>
      <c r="O420" s="210"/>
      <c r="P420" s="211"/>
      <c r="Q420" s="220"/>
      <c r="R420" s="205"/>
      <c r="S420" s="205"/>
      <c r="T420" s="205"/>
      <c r="U420" s="205"/>
      <c r="V420" s="205"/>
      <c r="W420" s="205"/>
      <c r="X420" s="205"/>
      <c r="Y420" s="213"/>
      <c r="Z420" s="214"/>
      <c r="AA420" s="215"/>
      <c r="AB420" s="216"/>
      <c r="AC420" s="217"/>
      <c r="AD420" s="267" t="s">
        <v>4</v>
      </c>
    </row>
    <row r="421" spans="1:30" ht="17.100000000000001" customHeight="1" x14ac:dyDescent="0.25">
      <c r="A421" s="201"/>
      <c r="B421" s="202"/>
      <c r="C421" s="221"/>
      <c r="D421" s="222"/>
      <c r="E421" s="363"/>
      <c r="G421" s="206"/>
      <c r="H421" s="218"/>
      <c r="I421" s="177"/>
      <c r="J421" s="176"/>
      <c r="K421" s="207"/>
      <c r="L421" s="208"/>
      <c r="M421" s="208"/>
      <c r="N421" s="224"/>
      <c r="O421" s="225"/>
      <c r="P421" s="226"/>
      <c r="Q421" s="220"/>
      <c r="Y421" s="95"/>
      <c r="Z421" s="228"/>
      <c r="AA421" s="215"/>
      <c r="AB421" s="229"/>
      <c r="AC421" s="230"/>
      <c r="AD421" s="267" t="s">
        <v>4</v>
      </c>
    </row>
    <row r="422" spans="1:30" ht="17.100000000000001" customHeight="1" x14ac:dyDescent="0.25">
      <c r="A422" s="201"/>
      <c r="B422" s="202"/>
      <c r="C422" s="221"/>
      <c r="D422" s="222"/>
      <c r="E422" s="363"/>
      <c r="G422" s="206"/>
      <c r="H422" s="218"/>
      <c r="I422" s="177"/>
      <c r="J422" s="176"/>
      <c r="K422" s="207"/>
      <c r="L422" s="208"/>
      <c r="M422" s="208"/>
      <c r="N422" s="224"/>
      <c r="O422" s="225"/>
      <c r="P422" s="226"/>
      <c r="Q422" s="169"/>
      <c r="Y422" s="95"/>
      <c r="Z422" s="228"/>
      <c r="AA422" s="215"/>
      <c r="AB422" s="229"/>
      <c r="AC422" s="230"/>
      <c r="AD422" s="267" t="s">
        <v>4</v>
      </c>
    </row>
    <row r="423" spans="1:30" ht="17.100000000000001" customHeight="1" x14ac:dyDescent="0.25">
      <c r="A423" s="201"/>
      <c r="B423" s="202"/>
      <c r="C423" s="221"/>
      <c r="D423" s="222"/>
      <c r="E423" s="363"/>
      <c r="G423" s="206"/>
      <c r="H423" s="218"/>
      <c r="I423" s="177"/>
      <c r="J423" s="176"/>
      <c r="K423" s="207"/>
      <c r="L423" s="208"/>
      <c r="M423" s="208"/>
      <c r="N423" s="224"/>
      <c r="O423" s="225"/>
      <c r="P423" s="226"/>
      <c r="Q423" s="169"/>
      <c r="Y423" s="95"/>
      <c r="Z423" s="228"/>
      <c r="AA423" s="215"/>
      <c r="AB423" s="229"/>
      <c r="AC423" s="230"/>
      <c r="AD423" s="267" t="s">
        <v>4</v>
      </c>
    </row>
    <row r="424" spans="1:30" ht="17.100000000000001" customHeight="1" x14ac:dyDescent="0.25">
      <c r="A424" s="201"/>
      <c r="B424" s="202"/>
      <c r="C424" s="221"/>
      <c r="D424" s="222"/>
      <c r="E424" s="363"/>
      <c r="G424" s="206"/>
      <c r="H424" s="218"/>
      <c r="I424" s="177"/>
      <c r="J424" s="176"/>
      <c r="K424" s="207"/>
      <c r="L424" s="208"/>
      <c r="M424" s="208"/>
      <c r="N424" s="224"/>
      <c r="O424" s="225"/>
      <c r="P424" s="226"/>
      <c r="Q424" s="169"/>
      <c r="Y424" s="95"/>
      <c r="Z424" s="228"/>
      <c r="AA424" s="215"/>
      <c r="AB424" s="229"/>
      <c r="AC424" s="230"/>
      <c r="AD424" s="267" t="s">
        <v>4</v>
      </c>
    </row>
    <row r="425" spans="1:30" ht="17.100000000000001" customHeight="1" x14ac:dyDescent="0.25">
      <c r="A425" s="201"/>
      <c r="B425" s="202"/>
      <c r="C425" s="221"/>
      <c r="D425" s="222"/>
      <c r="E425" s="363"/>
      <c r="G425" s="206"/>
      <c r="H425" s="218"/>
      <c r="I425" s="177"/>
      <c r="J425" s="176"/>
      <c r="K425" s="207"/>
      <c r="L425" s="208"/>
      <c r="M425" s="208"/>
      <c r="N425" s="224"/>
      <c r="O425" s="225"/>
      <c r="P425" s="226"/>
      <c r="Q425" s="169"/>
      <c r="Y425" s="95"/>
      <c r="Z425" s="228"/>
      <c r="AA425" s="215"/>
      <c r="AB425" s="229"/>
      <c r="AC425" s="230"/>
      <c r="AD425" s="267" t="s">
        <v>4</v>
      </c>
    </row>
    <row r="426" spans="1:30" ht="17.100000000000001" customHeight="1" x14ac:dyDescent="0.25">
      <c r="A426" s="201"/>
      <c r="B426" s="202"/>
      <c r="C426" s="221"/>
      <c r="D426" s="222"/>
      <c r="E426" s="363"/>
      <c r="G426" s="206"/>
      <c r="H426" s="218"/>
      <c r="I426" s="177"/>
      <c r="J426" s="176"/>
      <c r="K426" s="207"/>
      <c r="L426" s="208"/>
      <c r="M426" s="208"/>
      <c r="N426" s="224"/>
      <c r="O426" s="225"/>
      <c r="P426" s="226"/>
      <c r="Q426" s="169"/>
      <c r="Y426" s="95"/>
      <c r="Z426" s="228"/>
      <c r="AA426" s="215"/>
      <c r="AB426" s="229"/>
      <c r="AC426" s="230"/>
      <c r="AD426" s="267" t="s">
        <v>4</v>
      </c>
    </row>
    <row r="427" spans="1:30" ht="17.100000000000001" customHeight="1" x14ac:dyDescent="0.25">
      <c r="A427" s="201"/>
      <c r="B427" s="202"/>
      <c r="C427" s="221"/>
      <c r="D427" s="222"/>
      <c r="E427" s="363"/>
      <c r="G427" s="206"/>
      <c r="H427" s="218"/>
      <c r="I427" s="177"/>
      <c r="J427" s="176"/>
      <c r="K427" s="207"/>
      <c r="L427" s="208"/>
      <c r="M427" s="208"/>
      <c r="N427" s="224"/>
      <c r="O427" s="225"/>
      <c r="P427" s="226"/>
      <c r="Q427" s="169"/>
      <c r="Y427" s="95"/>
      <c r="Z427" s="228"/>
      <c r="AA427" s="215"/>
      <c r="AB427" s="229"/>
      <c r="AC427" s="230"/>
      <c r="AD427" s="267" t="s">
        <v>4</v>
      </c>
    </row>
    <row r="428" spans="1:30" ht="17.100000000000001" customHeight="1" x14ac:dyDescent="0.25">
      <c r="A428" s="201"/>
      <c r="B428" s="202"/>
      <c r="C428" s="221"/>
      <c r="D428" s="222"/>
      <c r="E428" s="363"/>
      <c r="G428" s="206"/>
      <c r="H428" s="218"/>
      <c r="I428" s="177"/>
      <c r="J428" s="176"/>
      <c r="K428" s="207"/>
      <c r="L428" s="208"/>
      <c r="M428" s="208"/>
      <c r="N428" s="224"/>
      <c r="O428" s="225"/>
      <c r="P428" s="226"/>
      <c r="Q428" s="169"/>
      <c r="R428" s="233"/>
      <c r="Y428" s="95"/>
      <c r="Z428" s="228"/>
      <c r="AA428" s="215"/>
      <c r="AB428" s="229"/>
      <c r="AC428" s="230"/>
      <c r="AD428" s="267" t="s">
        <v>4</v>
      </c>
    </row>
    <row r="429" spans="1:30" ht="17.100000000000001" customHeight="1" x14ac:dyDescent="0.25">
      <c r="A429" s="201"/>
      <c r="B429" s="202"/>
      <c r="C429" s="221"/>
      <c r="D429" s="222"/>
      <c r="E429" s="363"/>
      <c r="G429" s="206"/>
      <c r="H429" s="218"/>
      <c r="I429" s="177"/>
      <c r="J429" s="176"/>
      <c r="K429" s="207"/>
      <c r="L429" s="208"/>
      <c r="M429" s="208"/>
      <c r="N429" s="224"/>
      <c r="O429" s="225"/>
      <c r="P429" s="226"/>
      <c r="Q429" s="169"/>
      <c r="Y429" s="95"/>
      <c r="Z429" s="228"/>
      <c r="AA429" s="215"/>
      <c r="AB429" s="229"/>
      <c r="AC429" s="230"/>
      <c r="AD429" s="267" t="s">
        <v>4</v>
      </c>
    </row>
    <row r="430" spans="1:30" ht="17.100000000000001" customHeight="1" x14ac:dyDescent="0.25">
      <c r="A430" s="201"/>
      <c r="B430" s="202"/>
      <c r="C430" s="221"/>
      <c r="D430" s="222"/>
      <c r="E430" s="363"/>
      <c r="G430" s="206"/>
      <c r="H430" s="218"/>
      <c r="I430" s="177"/>
      <c r="J430" s="176"/>
      <c r="K430" s="207"/>
      <c r="L430" s="208"/>
      <c r="M430" s="208"/>
      <c r="N430" s="224"/>
      <c r="O430" s="225"/>
      <c r="P430" s="226"/>
      <c r="Q430" s="169"/>
      <c r="Y430" s="95"/>
      <c r="Z430" s="228"/>
      <c r="AA430" s="215"/>
      <c r="AB430" s="229"/>
      <c r="AC430" s="230"/>
      <c r="AD430" s="267" t="s">
        <v>4</v>
      </c>
    </row>
    <row r="431" spans="1:30" ht="17.100000000000001" customHeight="1" x14ac:dyDescent="0.25">
      <c r="A431" s="201"/>
      <c r="B431" s="202"/>
      <c r="C431" s="221"/>
      <c r="D431" s="222"/>
      <c r="E431" s="363"/>
      <c r="G431" s="206"/>
      <c r="H431" s="218"/>
      <c r="I431" s="177"/>
      <c r="J431" s="176"/>
      <c r="K431" s="207"/>
      <c r="L431" s="208"/>
      <c r="M431" s="208"/>
      <c r="N431" s="224"/>
      <c r="O431" s="225"/>
      <c r="P431" s="226"/>
      <c r="Q431" s="169"/>
      <c r="Y431" s="95"/>
      <c r="Z431" s="228"/>
      <c r="AA431" s="215"/>
      <c r="AB431" s="229"/>
      <c r="AC431" s="230"/>
      <c r="AD431" s="267" t="s">
        <v>4</v>
      </c>
    </row>
    <row r="432" spans="1:30" ht="17.100000000000001" customHeight="1" x14ac:dyDescent="0.25">
      <c r="A432" s="201"/>
      <c r="B432" s="202"/>
      <c r="C432" s="203"/>
      <c r="D432" s="204"/>
      <c r="E432" s="363"/>
      <c r="F432" s="205"/>
      <c r="G432" s="206"/>
      <c r="H432" s="218"/>
      <c r="I432" s="177"/>
      <c r="J432" s="176"/>
      <c r="K432" s="207"/>
      <c r="L432" s="208"/>
      <c r="M432" s="208"/>
      <c r="N432" s="209"/>
      <c r="O432" s="210"/>
      <c r="P432" s="211"/>
      <c r="Q432" s="220"/>
      <c r="R432" s="212"/>
      <c r="S432" s="205"/>
      <c r="T432" s="205"/>
      <c r="U432" s="205"/>
      <c r="V432" s="205"/>
      <c r="X432" s="205"/>
      <c r="Y432" s="213"/>
      <c r="Z432" s="214"/>
      <c r="AA432" s="215"/>
      <c r="AB432" s="216"/>
      <c r="AC432" s="217"/>
      <c r="AD432" s="267" t="s">
        <v>4</v>
      </c>
    </row>
    <row r="433" spans="1:30" ht="17.100000000000001" customHeight="1" x14ac:dyDescent="0.25">
      <c r="A433" s="201"/>
      <c r="B433" s="202"/>
      <c r="C433" s="221"/>
      <c r="D433" s="222"/>
      <c r="E433" s="363"/>
      <c r="G433" s="206"/>
      <c r="H433" s="218"/>
      <c r="I433" s="177"/>
      <c r="J433" s="176"/>
      <c r="K433" s="207"/>
      <c r="L433" s="208"/>
      <c r="M433" s="208"/>
      <c r="N433" s="224"/>
      <c r="O433" s="225"/>
      <c r="P433" s="226"/>
      <c r="Q433" s="169"/>
      <c r="R433" s="233"/>
      <c r="Y433" s="95"/>
      <c r="Z433" s="228"/>
      <c r="AA433" s="215"/>
      <c r="AB433" s="229"/>
      <c r="AC433" s="230"/>
      <c r="AD433" s="267" t="s">
        <v>4</v>
      </c>
    </row>
    <row r="434" spans="1:30" ht="17.100000000000001" customHeight="1" x14ac:dyDescent="0.25">
      <c r="A434" s="201"/>
      <c r="B434" s="202"/>
      <c r="C434" s="221"/>
      <c r="D434" s="222"/>
      <c r="E434" s="363"/>
      <c r="G434" s="206"/>
      <c r="H434" s="218"/>
      <c r="I434" s="177"/>
      <c r="J434" s="176"/>
      <c r="K434" s="207"/>
      <c r="L434" s="208"/>
      <c r="M434" s="208"/>
      <c r="N434" s="224"/>
      <c r="O434" s="225"/>
      <c r="P434" s="226"/>
      <c r="Q434" s="169"/>
      <c r="Y434" s="95"/>
      <c r="Z434" s="228"/>
      <c r="AA434" s="215"/>
      <c r="AB434" s="229"/>
      <c r="AC434" s="230"/>
      <c r="AD434" s="267" t="s">
        <v>4</v>
      </c>
    </row>
    <row r="435" spans="1:30" ht="17.100000000000001" customHeight="1" x14ac:dyDescent="0.25">
      <c r="A435" s="201"/>
      <c r="B435" s="202"/>
      <c r="C435" s="221"/>
      <c r="D435" s="222"/>
      <c r="E435" s="363"/>
      <c r="G435" s="206"/>
      <c r="H435" s="218"/>
      <c r="I435" s="177"/>
      <c r="J435" s="176"/>
      <c r="K435" s="207"/>
      <c r="L435" s="208"/>
      <c r="M435" s="208"/>
      <c r="N435" s="224"/>
      <c r="O435" s="225"/>
      <c r="P435" s="226"/>
      <c r="Q435" s="169"/>
      <c r="Y435" s="95"/>
      <c r="Z435" s="228"/>
      <c r="AA435" s="215"/>
      <c r="AB435" s="229"/>
      <c r="AC435" s="230"/>
      <c r="AD435" s="267" t="s">
        <v>4</v>
      </c>
    </row>
    <row r="436" spans="1:30" ht="17.100000000000001" customHeight="1" x14ac:dyDescent="0.25">
      <c r="A436" s="201"/>
      <c r="B436" s="202"/>
      <c r="C436" s="221"/>
      <c r="D436" s="222"/>
      <c r="E436" s="363"/>
      <c r="G436" s="206"/>
      <c r="H436" s="218"/>
      <c r="I436" s="177"/>
      <c r="J436" s="176"/>
      <c r="K436" s="207"/>
      <c r="L436" s="208"/>
      <c r="M436" s="208"/>
      <c r="N436" s="224"/>
      <c r="O436" s="225"/>
      <c r="P436" s="226"/>
      <c r="Q436" s="169"/>
      <c r="Y436" s="95"/>
      <c r="Z436" s="228"/>
      <c r="AA436" s="215"/>
      <c r="AB436" s="229"/>
      <c r="AC436" s="230"/>
      <c r="AD436" s="267" t="s">
        <v>4</v>
      </c>
    </row>
    <row r="437" spans="1:30" ht="17.100000000000001" customHeight="1" x14ac:dyDescent="0.25">
      <c r="A437" s="201"/>
      <c r="B437" s="202"/>
      <c r="C437" s="221"/>
      <c r="D437" s="222"/>
      <c r="E437" s="363"/>
      <c r="G437" s="206"/>
      <c r="H437" s="218"/>
      <c r="I437" s="177"/>
      <c r="J437" s="176"/>
      <c r="K437" s="207"/>
      <c r="L437" s="208"/>
      <c r="M437" s="208"/>
      <c r="N437" s="224"/>
      <c r="O437" s="225"/>
      <c r="P437" s="226"/>
      <c r="Q437" s="220"/>
      <c r="R437" s="233"/>
      <c r="Y437" s="95"/>
      <c r="Z437" s="228"/>
      <c r="AA437" s="215"/>
      <c r="AB437" s="229"/>
      <c r="AC437" s="230"/>
      <c r="AD437" s="267" t="s">
        <v>4</v>
      </c>
    </row>
    <row r="438" spans="1:30" ht="17.100000000000001" customHeight="1" x14ac:dyDescent="0.25">
      <c r="A438" s="201"/>
      <c r="B438" s="202"/>
      <c r="C438" s="221"/>
      <c r="D438" s="222"/>
      <c r="E438" s="363"/>
      <c r="G438" s="206"/>
      <c r="H438" s="218"/>
      <c r="I438" s="177"/>
      <c r="J438" s="176"/>
      <c r="K438" s="207"/>
      <c r="L438" s="208"/>
      <c r="M438" s="208"/>
      <c r="N438" s="224"/>
      <c r="O438" s="225"/>
      <c r="P438" s="226"/>
      <c r="Q438" s="169"/>
      <c r="R438" s="233"/>
      <c r="Y438" s="95"/>
      <c r="Z438" s="228"/>
      <c r="AA438" s="215"/>
      <c r="AB438" s="229"/>
      <c r="AC438" s="230"/>
      <c r="AD438" s="267" t="s">
        <v>4</v>
      </c>
    </row>
    <row r="439" spans="1:30" ht="17.100000000000001" customHeight="1" x14ac:dyDescent="0.25">
      <c r="A439" s="201"/>
      <c r="B439" s="202"/>
      <c r="C439" s="221"/>
      <c r="D439" s="222"/>
      <c r="E439" s="363"/>
      <c r="G439" s="206"/>
      <c r="H439" s="218"/>
      <c r="I439" s="177"/>
      <c r="J439" s="176"/>
      <c r="K439" s="207"/>
      <c r="L439" s="208"/>
      <c r="M439" s="208"/>
      <c r="N439" s="224"/>
      <c r="O439" s="225"/>
      <c r="P439" s="226"/>
      <c r="Q439" s="169"/>
      <c r="Y439" s="95"/>
      <c r="Z439" s="228"/>
      <c r="AA439" s="215"/>
      <c r="AB439" s="229"/>
      <c r="AC439" s="230"/>
      <c r="AD439" s="267" t="s">
        <v>4</v>
      </c>
    </row>
    <row r="440" spans="1:30" ht="17.100000000000001" customHeight="1" x14ac:dyDescent="0.25">
      <c r="A440" s="201"/>
      <c r="B440" s="202"/>
      <c r="C440" s="203"/>
      <c r="D440" s="204"/>
      <c r="E440" s="363"/>
      <c r="F440" s="205"/>
      <c r="G440" s="206"/>
      <c r="H440" s="218"/>
      <c r="I440" s="177"/>
      <c r="J440" s="176"/>
      <c r="K440" s="207"/>
      <c r="L440" s="208"/>
      <c r="M440" s="208"/>
      <c r="N440" s="209"/>
      <c r="O440" s="210"/>
      <c r="P440" s="211"/>
      <c r="Q440" s="220"/>
      <c r="R440" s="205"/>
      <c r="S440" s="205"/>
      <c r="T440" s="205"/>
      <c r="U440" s="205"/>
      <c r="V440" s="205"/>
      <c r="W440" s="205"/>
      <c r="X440" s="205"/>
      <c r="Y440" s="213"/>
      <c r="Z440" s="214"/>
      <c r="AA440" s="215"/>
      <c r="AB440" s="216"/>
      <c r="AC440" s="217"/>
      <c r="AD440" s="267" t="s">
        <v>4</v>
      </c>
    </row>
    <row r="441" spans="1:30" ht="17.100000000000001" customHeight="1" x14ac:dyDescent="0.25">
      <c r="A441" s="201"/>
      <c r="B441" s="202"/>
      <c r="C441" s="221"/>
      <c r="D441" s="222"/>
      <c r="E441" s="363"/>
      <c r="G441" s="206"/>
      <c r="H441" s="218"/>
      <c r="I441" s="177"/>
      <c r="J441" s="176"/>
      <c r="K441" s="207"/>
      <c r="L441" s="208"/>
      <c r="M441" s="208"/>
      <c r="N441" s="224"/>
      <c r="O441" s="225"/>
      <c r="P441" s="226"/>
      <c r="Q441" s="169"/>
      <c r="Y441" s="95"/>
      <c r="Z441" s="228"/>
      <c r="AA441" s="215"/>
      <c r="AB441" s="229"/>
      <c r="AC441" s="230"/>
      <c r="AD441" s="267" t="s">
        <v>4</v>
      </c>
    </row>
    <row r="442" spans="1:30" ht="17.100000000000001" customHeight="1" x14ac:dyDescent="0.25">
      <c r="A442" s="201"/>
      <c r="B442" s="202"/>
      <c r="C442" s="221"/>
      <c r="D442" s="222"/>
      <c r="E442" s="363"/>
      <c r="G442" s="206"/>
      <c r="H442" s="218"/>
      <c r="I442" s="177"/>
      <c r="J442" s="176"/>
      <c r="K442" s="207"/>
      <c r="L442" s="208"/>
      <c r="M442" s="208"/>
      <c r="N442" s="224"/>
      <c r="O442" s="225"/>
      <c r="P442" s="226"/>
      <c r="Q442" s="169"/>
      <c r="Y442" s="95"/>
      <c r="Z442" s="228"/>
      <c r="AA442" s="215"/>
      <c r="AB442" s="229"/>
      <c r="AC442" s="230"/>
      <c r="AD442" s="267" t="s">
        <v>4</v>
      </c>
    </row>
    <row r="443" spans="1:30" ht="17.100000000000001" customHeight="1" x14ac:dyDescent="0.25">
      <c r="A443" s="201"/>
      <c r="B443" s="202"/>
      <c r="C443" s="221"/>
      <c r="D443" s="222"/>
      <c r="E443" s="363"/>
      <c r="G443" s="206"/>
      <c r="H443" s="218"/>
      <c r="I443" s="177"/>
      <c r="J443" s="176"/>
      <c r="K443" s="207"/>
      <c r="L443" s="208"/>
      <c r="M443" s="208"/>
      <c r="N443" s="224"/>
      <c r="O443" s="225"/>
      <c r="P443" s="226"/>
      <c r="Q443" s="169"/>
      <c r="Y443" s="95"/>
      <c r="Z443" s="228"/>
      <c r="AA443" s="215"/>
      <c r="AB443" s="229"/>
      <c r="AC443" s="230"/>
      <c r="AD443" s="267" t="s">
        <v>4</v>
      </c>
    </row>
    <row r="444" spans="1:30" ht="17.100000000000001" customHeight="1" x14ac:dyDescent="0.25">
      <c r="A444" s="201"/>
      <c r="B444" s="202"/>
      <c r="C444" s="221"/>
      <c r="D444" s="222"/>
      <c r="E444" s="363"/>
      <c r="G444" s="206"/>
      <c r="H444" s="218"/>
      <c r="I444" s="177"/>
      <c r="J444" s="176"/>
      <c r="K444" s="207"/>
      <c r="L444" s="208"/>
      <c r="M444" s="208"/>
      <c r="N444" s="224"/>
      <c r="O444" s="225"/>
      <c r="P444" s="226"/>
      <c r="Q444" s="169"/>
      <c r="Y444" s="95"/>
      <c r="Z444" s="228"/>
      <c r="AA444" s="215"/>
      <c r="AB444" s="229"/>
      <c r="AC444" s="230"/>
      <c r="AD444" s="267" t="s">
        <v>4</v>
      </c>
    </row>
    <row r="445" spans="1:30" ht="17.100000000000001" customHeight="1" x14ac:dyDescent="0.25">
      <c r="A445" s="201"/>
      <c r="B445" s="202"/>
      <c r="C445" s="221"/>
      <c r="D445" s="222"/>
      <c r="E445" s="363"/>
      <c r="G445" s="206"/>
      <c r="H445" s="218"/>
      <c r="I445" s="177"/>
      <c r="J445" s="176"/>
      <c r="K445" s="207"/>
      <c r="L445" s="208"/>
      <c r="M445" s="208"/>
      <c r="N445" s="224"/>
      <c r="O445" s="225"/>
      <c r="P445" s="226"/>
      <c r="Q445" s="169"/>
      <c r="Y445" s="95"/>
      <c r="Z445" s="228"/>
      <c r="AA445" s="215"/>
      <c r="AB445" s="229"/>
      <c r="AC445" s="230"/>
      <c r="AD445" s="267" t="s">
        <v>4</v>
      </c>
    </row>
    <row r="446" spans="1:30" ht="17.100000000000001" customHeight="1" x14ac:dyDescent="0.25">
      <c r="A446" s="201"/>
      <c r="B446" s="202"/>
      <c r="C446" s="221"/>
      <c r="D446" s="222"/>
      <c r="E446" s="363"/>
      <c r="G446" s="206"/>
      <c r="H446" s="218"/>
      <c r="I446" s="177"/>
      <c r="J446" s="176"/>
      <c r="K446" s="207"/>
      <c r="L446" s="208"/>
      <c r="M446" s="208"/>
      <c r="N446" s="224"/>
      <c r="O446" s="225"/>
      <c r="P446" s="226"/>
      <c r="Q446" s="169"/>
      <c r="Y446" s="95"/>
      <c r="Z446" s="228"/>
      <c r="AA446" s="215"/>
      <c r="AB446" s="229"/>
      <c r="AC446" s="230"/>
      <c r="AD446" s="267" t="s">
        <v>4</v>
      </c>
    </row>
    <row r="447" spans="1:30" ht="17.100000000000001" customHeight="1" x14ac:dyDescent="0.25">
      <c r="A447" s="201"/>
      <c r="B447" s="202"/>
      <c r="C447" s="221"/>
      <c r="D447" s="222"/>
      <c r="E447" s="363"/>
      <c r="G447" s="206"/>
      <c r="H447" s="218"/>
      <c r="I447" s="177"/>
      <c r="J447" s="176"/>
      <c r="K447" s="207"/>
      <c r="L447" s="208"/>
      <c r="M447" s="208"/>
      <c r="N447" s="224"/>
      <c r="O447" s="225"/>
      <c r="P447" s="226"/>
      <c r="Q447" s="220"/>
      <c r="R447" s="220"/>
      <c r="Y447" s="95"/>
      <c r="Z447" s="228"/>
      <c r="AA447" s="215"/>
      <c r="AB447" s="229"/>
      <c r="AC447" s="230"/>
      <c r="AD447" s="267" t="s">
        <v>4</v>
      </c>
    </row>
    <row r="448" spans="1:30" ht="17.100000000000001" customHeight="1" x14ac:dyDescent="0.25">
      <c r="A448" s="201"/>
      <c r="B448" s="202"/>
      <c r="C448" s="221"/>
      <c r="D448" s="222"/>
      <c r="E448" s="363"/>
      <c r="G448" s="206"/>
      <c r="H448" s="218"/>
      <c r="I448" s="177"/>
      <c r="J448" s="176"/>
      <c r="K448" s="207"/>
      <c r="L448" s="208"/>
      <c r="M448" s="208"/>
      <c r="N448" s="224"/>
      <c r="O448" s="225"/>
      <c r="P448" s="226"/>
      <c r="Q448" s="169"/>
      <c r="Y448" s="95"/>
      <c r="Z448" s="228"/>
      <c r="AA448" s="215"/>
      <c r="AB448" s="229"/>
      <c r="AC448" s="230"/>
      <c r="AD448" s="267" t="s">
        <v>4</v>
      </c>
    </row>
    <row r="449" spans="1:30" ht="17.100000000000001" customHeight="1" x14ac:dyDescent="0.25">
      <c r="A449" s="201"/>
      <c r="B449" s="202"/>
      <c r="C449" s="221"/>
      <c r="D449" s="222"/>
      <c r="E449" s="363"/>
      <c r="G449" s="206"/>
      <c r="H449" s="218"/>
      <c r="I449" s="177"/>
      <c r="J449" s="176"/>
      <c r="K449" s="207"/>
      <c r="L449" s="208"/>
      <c r="M449" s="208"/>
      <c r="N449" s="224"/>
      <c r="O449" s="225"/>
      <c r="P449" s="226"/>
      <c r="Q449" s="169"/>
      <c r="Y449" s="95"/>
      <c r="Z449" s="228"/>
      <c r="AA449" s="215"/>
      <c r="AB449" s="229"/>
      <c r="AC449" s="230"/>
      <c r="AD449" s="267" t="s">
        <v>4</v>
      </c>
    </row>
    <row r="450" spans="1:30" ht="17.100000000000001" customHeight="1" x14ac:dyDescent="0.25">
      <c r="A450" s="201"/>
      <c r="B450" s="202"/>
      <c r="C450" s="221"/>
      <c r="D450" s="222"/>
      <c r="E450" s="363"/>
      <c r="G450" s="206"/>
      <c r="H450" s="218"/>
      <c r="I450" s="177"/>
      <c r="J450" s="176"/>
      <c r="K450" s="207"/>
      <c r="L450" s="208"/>
      <c r="M450" s="208"/>
      <c r="N450" s="224"/>
      <c r="O450" s="225"/>
      <c r="P450" s="226"/>
      <c r="Q450" s="169"/>
      <c r="Y450" s="95"/>
      <c r="Z450" s="228"/>
      <c r="AA450" s="215"/>
      <c r="AB450" s="229"/>
      <c r="AC450" s="230"/>
      <c r="AD450" s="267" t="s">
        <v>4</v>
      </c>
    </row>
    <row r="451" spans="1:30" ht="17.100000000000001" customHeight="1" x14ac:dyDescent="0.25">
      <c r="A451" s="201"/>
      <c r="B451" s="202"/>
      <c r="C451" s="221"/>
      <c r="D451" s="222"/>
      <c r="E451" s="363"/>
      <c r="G451" s="206"/>
      <c r="H451" s="218"/>
      <c r="I451" s="177"/>
      <c r="J451" s="176"/>
      <c r="K451" s="207"/>
      <c r="L451" s="208"/>
      <c r="M451" s="208"/>
      <c r="N451" s="224"/>
      <c r="O451" s="225"/>
      <c r="P451" s="226"/>
      <c r="Q451" s="169"/>
      <c r="Y451" s="95"/>
      <c r="Z451" s="228"/>
      <c r="AA451" s="215"/>
      <c r="AB451" s="229"/>
      <c r="AC451" s="230"/>
      <c r="AD451" s="267" t="s">
        <v>4</v>
      </c>
    </row>
    <row r="452" spans="1:30" ht="17.100000000000001" customHeight="1" x14ac:dyDescent="0.25">
      <c r="A452" s="201"/>
      <c r="B452" s="202"/>
      <c r="C452" s="221"/>
      <c r="D452" s="222"/>
      <c r="E452" s="363"/>
      <c r="G452" s="206"/>
      <c r="H452" s="218"/>
      <c r="I452" s="177"/>
      <c r="J452" s="176"/>
      <c r="K452" s="207"/>
      <c r="L452" s="208"/>
      <c r="M452" s="208"/>
      <c r="N452" s="224"/>
      <c r="O452" s="225"/>
      <c r="P452" s="226"/>
      <c r="Q452" s="169"/>
      <c r="Y452" s="95"/>
      <c r="Z452" s="228"/>
      <c r="AA452" s="215"/>
      <c r="AB452" s="229"/>
      <c r="AC452" s="230"/>
      <c r="AD452" s="267" t="s">
        <v>4</v>
      </c>
    </row>
    <row r="453" spans="1:30" ht="17.100000000000001" customHeight="1" x14ac:dyDescent="0.25">
      <c r="A453" s="201"/>
      <c r="B453" s="202"/>
      <c r="C453" s="221"/>
      <c r="D453" s="222"/>
      <c r="E453" s="363"/>
      <c r="G453" s="206"/>
      <c r="H453" s="218"/>
      <c r="I453" s="177"/>
      <c r="J453" s="176"/>
      <c r="K453" s="207"/>
      <c r="L453" s="208"/>
      <c r="M453" s="208"/>
      <c r="N453" s="224"/>
      <c r="O453" s="225"/>
      <c r="P453" s="226"/>
      <c r="Q453" s="169"/>
      <c r="Y453" s="95"/>
      <c r="Z453" s="228"/>
      <c r="AA453" s="215"/>
      <c r="AB453" s="229"/>
      <c r="AC453" s="230"/>
      <c r="AD453" s="267" t="s">
        <v>4</v>
      </c>
    </row>
    <row r="454" spans="1:30" ht="17.100000000000001" customHeight="1" x14ac:dyDescent="0.25">
      <c r="A454" s="201"/>
      <c r="B454" s="202"/>
      <c r="C454" s="221"/>
      <c r="D454" s="222"/>
      <c r="E454" s="363"/>
      <c r="G454" s="206"/>
      <c r="H454" s="218"/>
      <c r="I454" s="177"/>
      <c r="J454" s="176"/>
      <c r="K454" s="207"/>
      <c r="L454" s="208"/>
      <c r="M454" s="208"/>
      <c r="N454" s="224"/>
      <c r="O454" s="225"/>
      <c r="P454" s="226"/>
      <c r="Q454" s="169"/>
      <c r="Y454" s="95"/>
      <c r="Z454" s="228"/>
      <c r="AA454" s="215"/>
      <c r="AB454" s="229"/>
      <c r="AC454" s="230"/>
      <c r="AD454" s="267" t="s">
        <v>4</v>
      </c>
    </row>
    <row r="455" spans="1:30" ht="17.100000000000001" customHeight="1" x14ac:dyDescent="0.25">
      <c r="A455" s="201"/>
      <c r="B455" s="202"/>
      <c r="C455" s="221"/>
      <c r="D455" s="222"/>
      <c r="E455" s="363"/>
      <c r="G455" s="206"/>
      <c r="H455" s="218"/>
      <c r="I455" s="177"/>
      <c r="J455" s="176"/>
      <c r="K455" s="207"/>
      <c r="L455" s="208"/>
      <c r="M455" s="208"/>
      <c r="N455" s="224"/>
      <c r="O455" s="225"/>
      <c r="P455" s="226"/>
      <c r="Q455" s="169"/>
      <c r="Y455" s="95"/>
      <c r="Z455" s="228"/>
      <c r="AA455" s="215"/>
      <c r="AB455" s="229"/>
      <c r="AC455" s="230"/>
      <c r="AD455" s="267" t="s">
        <v>4</v>
      </c>
    </row>
    <row r="456" spans="1:30" ht="17.100000000000001" customHeight="1" x14ac:dyDescent="0.25">
      <c r="A456" s="201"/>
      <c r="B456" s="202"/>
      <c r="C456" s="221"/>
      <c r="D456" s="222"/>
      <c r="E456" s="363"/>
      <c r="G456" s="206"/>
      <c r="H456" s="218"/>
      <c r="I456" s="177"/>
      <c r="J456" s="176"/>
      <c r="K456" s="207"/>
      <c r="L456" s="208"/>
      <c r="M456" s="208"/>
      <c r="N456" s="224"/>
      <c r="O456" s="225"/>
      <c r="P456" s="226"/>
      <c r="Q456" s="169"/>
      <c r="Y456" s="95"/>
      <c r="Z456" s="228"/>
      <c r="AA456" s="215"/>
      <c r="AB456" s="229"/>
      <c r="AC456" s="230"/>
      <c r="AD456" s="267" t="s">
        <v>4</v>
      </c>
    </row>
    <row r="457" spans="1:30" ht="17.100000000000001" customHeight="1" x14ac:dyDescent="0.25">
      <c r="A457" s="201"/>
      <c r="B457" s="202"/>
      <c r="C457" s="221"/>
      <c r="D457" s="222"/>
      <c r="E457" s="363"/>
      <c r="G457" s="206"/>
      <c r="H457" s="218"/>
      <c r="I457" s="177"/>
      <c r="J457" s="176"/>
      <c r="K457" s="207"/>
      <c r="L457" s="208"/>
      <c r="M457" s="208"/>
      <c r="N457" s="224"/>
      <c r="O457" s="225"/>
      <c r="P457" s="226"/>
      <c r="Q457" s="169"/>
      <c r="Y457" s="95"/>
      <c r="Z457" s="228"/>
      <c r="AA457" s="215"/>
      <c r="AB457" s="229"/>
      <c r="AC457" s="230"/>
      <c r="AD457" s="267" t="s">
        <v>4</v>
      </c>
    </row>
    <row r="458" spans="1:30" ht="17.100000000000001" customHeight="1" x14ac:dyDescent="0.25">
      <c r="A458" s="201"/>
      <c r="B458" s="202"/>
      <c r="C458" s="221"/>
      <c r="D458" s="222"/>
      <c r="E458" s="363"/>
      <c r="G458" s="206"/>
      <c r="H458" s="218"/>
      <c r="I458" s="177"/>
      <c r="J458" s="176"/>
      <c r="K458" s="207"/>
      <c r="L458" s="208"/>
      <c r="M458" s="208"/>
      <c r="N458" s="224"/>
      <c r="O458" s="225"/>
      <c r="P458" s="226"/>
      <c r="Q458" s="169"/>
      <c r="R458" s="233"/>
      <c r="Y458" s="95"/>
      <c r="Z458" s="228"/>
      <c r="AA458" s="215"/>
      <c r="AB458" s="229"/>
      <c r="AC458" s="230"/>
      <c r="AD458" s="267" t="s">
        <v>4</v>
      </c>
    </row>
    <row r="459" spans="1:30" ht="17.100000000000001" customHeight="1" x14ac:dyDescent="0.25">
      <c r="A459" s="201"/>
      <c r="B459" s="202"/>
      <c r="C459" s="221"/>
      <c r="D459" s="222"/>
      <c r="E459" s="363"/>
      <c r="G459" s="206"/>
      <c r="H459" s="218"/>
      <c r="I459" s="177"/>
      <c r="J459" s="176"/>
      <c r="K459" s="207"/>
      <c r="L459" s="208"/>
      <c r="M459" s="208"/>
      <c r="N459" s="224"/>
      <c r="O459" s="225"/>
      <c r="P459" s="226"/>
      <c r="Q459" s="169"/>
      <c r="Y459" s="95"/>
      <c r="Z459" s="228"/>
      <c r="AA459" s="215"/>
      <c r="AB459" s="229"/>
      <c r="AC459" s="230"/>
      <c r="AD459" s="267" t="s">
        <v>4</v>
      </c>
    </row>
    <row r="460" spans="1:30" ht="17.100000000000001" customHeight="1" x14ac:dyDescent="0.25">
      <c r="A460" s="201"/>
      <c r="B460" s="202"/>
      <c r="C460" s="221"/>
      <c r="D460" s="222"/>
      <c r="E460" s="363"/>
      <c r="G460" s="206"/>
      <c r="H460" s="218"/>
      <c r="I460" s="177"/>
      <c r="J460" s="176"/>
      <c r="K460" s="207"/>
      <c r="L460" s="208"/>
      <c r="M460" s="208"/>
      <c r="N460" s="224"/>
      <c r="O460" s="225"/>
      <c r="P460" s="226"/>
      <c r="Q460" s="169"/>
      <c r="Y460" s="95"/>
      <c r="Z460" s="228"/>
      <c r="AA460" s="215"/>
      <c r="AB460" s="229"/>
      <c r="AC460" s="230"/>
      <c r="AD460" s="267" t="s">
        <v>4</v>
      </c>
    </row>
    <row r="461" spans="1:30" ht="17.100000000000001" customHeight="1" x14ac:dyDescent="0.25">
      <c r="A461" s="201"/>
      <c r="B461" s="202"/>
      <c r="C461" s="221"/>
      <c r="D461" s="222"/>
      <c r="E461" s="363"/>
      <c r="G461" s="206"/>
      <c r="H461" s="218"/>
      <c r="I461" s="177"/>
      <c r="J461" s="176"/>
      <c r="K461" s="207"/>
      <c r="L461" s="208"/>
      <c r="M461" s="208"/>
      <c r="N461" s="224"/>
      <c r="O461" s="225"/>
      <c r="P461" s="226"/>
      <c r="Q461" s="169"/>
      <c r="Y461" s="95"/>
      <c r="Z461" s="228"/>
      <c r="AA461" s="215"/>
      <c r="AB461" s="229"/>
      <c r="AC461" s="230"/>
      <c r="AD461" s="267" t="s">
        <v>4</v>
      </c>
    </row>
    <row r="462" spans="1:30" ht="17.100000000000001" customHeight="1" x14ac:dyDescent="0.25">
      <c r="A462" s="201"/>
      <c r="B462" s="202"/>
      <c r="C462" s="221"/>
      <c r="D462" s="222"/>
      <c r="E462" s="363"/>
      <c r="G462" s="206"/>
      <c r="H462" s="218"/>
      <c r="I462" s="177"/>
      <c r="J462" s="176"/>
      <c r="K462" s="207"/>
      <c r="L462" s="208"/>
      <c r="M462" s="208"/>
      <c r="N462" s="224"/>
      <c r="O462" s="225"/>
      <c r="P462" s="226"/>
      <c r="Q462" s="169"/>
      <c r="Y462" s="95"/>
      <c r="Z462" s="228"/>
      <c r="AA462" s="215"/>
      <c r="AB462" s="229"/>
      <c r="AC462" s="230"/>
      <c r="AD462" s="267" t="s">
        <v>4</v>
      </c>
    </row>
    <row r="463" spans="1:30" ht="17.100000000000001" customHeight="1" x14ac:dyDescent="0.25">
      <c r="A463" s="201"/>
      <c r="B463" s="202"/>
      <c r="C463" s="221"/>
      <c r="D463" s="222"/>
      <c r="E463" s="363"/>
      <c r="G463" s="206"/>
      <c r="H463" s="218"/>
      <c r="I463" s="177"/>
      <c r="J463" s="176"/>
      <c r="K463" s="207"/>
      <c r="L463" s="208"/>
      <c r="M463" s="208"/>
      <c r="N463" s="224"/>
      <c r="O463" s="225"/>
      <c r="P463" s="226"/>
      <c r="Q463" s="169"/>
      <c r="Y463" s="95"/>
      <c r="Z463" s="228"/>
      <c r="AA463" s="215"/>
      <c r="AB463" s="229"/>
      <c r="AC463" s="230"/>
      <c r="AD463" s="267" t="s">
        <v>4</v>
      </c>
    </row>
    <row r="464" spans="1:30" ht="17.100000000000001" customHeight="1" x14ac:dyDescent="0.25">
      <c r="A464" s="201"/>
      <c r="B464" s="202"/>
      <c r="C464" s="221"/>
      <c r="D464" s="222"/>
      <c r="E464" s="363"/>
      <c r="G464" s="206"/>
      <c r="H464" s="218"/>
      <c r="I464" s="177"/>
      <c r="J464" s="176"/>
      <c r="K464" s="207"/>
      <c r="L464" s="208"/>
      <c r="M464" s="208"/>
      <c r="N464" s="224"/>
      <c r="O464" s="225"/>
      <c r="P464" s="226"/>
      <c r="Q464" s="169"/>
      <c r="Y464" s="95"/>
      <c r="Z464" s="228"/>
      <c r="AA464" s="215"/>
      <c r="AB464" s="229"/>
      <c r="AC464" s="230"/>
      <c r="AD464" s="267" t="s">
        <v>4</v>
      </c>
    </row>
    <row r="465" spans="1:30" ht="17.100000000000001" customHeight="1" x14ac:dyDescent="0.25">
      <c r="A465" s="201"/>
      <c r="B465" s="202"/>
      <c r="C465" s="221"/>
      <c r="D465" s="222"/>
      <c r="E465" s="363"/>
      <c r="G465" s="206"/>
      <c r="H465" s="218"/>
      <c r="I465" s="177"/>
      <c r="J465" s="176"/>
      <c r="K465" s="207"/>
      <c r="L465" s="208"/>
      <c r="M465" s="208"/>
      <c r="N465" s="224"/>
      <c r="O465" s="225"/>
      <c r="P465" s="226"/>
      <c r="Q465" s="169"/>
      <c r="Y465" s="95"/>
      <c r="Z465" s="228"/>
      <c r="AA465" s="215"/>
      <c r="AB465" s="229"/>
      <c r="AC465" s="230"/>
      <c r="AD465" s="267" t="s">
        <v>4</v>
      </c>
    </row>
    <row r="466" spans="1:30" ht="17.100000000000001" customHeight="1" x14ac:dyDescent="0.25">
      <c r="A466" s="201"/>
      <c r="B466" s="202"/>
      <c r="C466" s="221"/>
      <c r="D466" s="222"/>
      <c r="E466" s="363"/>
      <c r="G466" s="206"/>
      <c r="H466" s="218"/>
      <c r="I466" s="177"/>
      <c r="J466" s="176"/>
      <c r="K466" s="207"/>
      <c r="L466" s="208"/>
      <c r="M466" s="208"/>
      <c r="N466" s="224"/>
      <c r="O466" s="225"/>
      <c r="P466" s="226"/>
      <c r="Q466" s="169"/>
      <c r="Y466" s="95"/>
      <c r="Z466" s="228"/>
      <c r="AA466" s="215"/>
      <c r="AB466" s="229"/>
      <c r="AC466" s="230"/>
      <c r="AD466" s="267" t="s">
        <v>4</v>
      </c>
    </row>
    <row r="467" spans="1:30" ht="17.100000000000001" customHeight="1" x14ac:dyDescent="0.25">
      <c r="A467" s="201"/>
      <c r="B467" s="202"/>
      <c r="C467" s="221"/>
      <c r="D467" s="222"/>
      <c r="E467" s="363"/>
      <c r="G467" s="206"/>
      <c r="H467" s="218"/>
      <c r="I467" s="177"/>
      <c r="J467" s="176"/>
      <c r="K467" s="207"/>
      <c r="L467" s="208"/>
      <c r="M467" s="208"/>
      <c r="N467" s="224"/>
      <c r="O467" s="225"/>
      <c r="P467" s="226"/>
      <c r="Q467" s="169"/>
      <c r="Y467" s="95"/>
      <c r="Z467" s="228"/>
      <c r="AA467" s="215"/>
      <c r="AB467" s="229"/>
      <c r="AC467" s="230"/>
      <c r="AD467" s="267" t="s">
        <v>4</v>
      </c>
    </row>
    <row r="468" spans="1:30" ht="17.100000000000001" customHeight="1" x14ac:dyDescent="0.25">
      <c r="A468" s="201"/>
      <c r="B468" s="202"/>
      <c r="C468" s="221"/>
      <c r="D468" s="222"/>
      <c r="E468" s="363"/>
      <c r="G468" s="206"/>
      <c r="H468" s="218"/>
      <c r="I468" s="177"/>
      <c r="J468" s="176"/>
      <c r="K468" s="207"/>
      <c r="L468" s="208"/>
      <c r="M468" s="208"/>
      <c r="N468" s="224"/>
      <c r="O468" s="225"/>
      <c r="P468" s="226"/>
      <c r="Q468" s="169"/>
      <c r="Y468" s="95"/>
      <c r="Z468" s="228"/>
      <c r="AA468" s="215"/>
      <c r="AB468" s="229"/>
      <c r="AC468" s="230"/>
      <c r="AD468" s="267" t="s">
        <v>4</v>
      </c>
    </row>
    <row r="469" spans="1:30" ht="17.100000000000001" customHeight="1" x14ac:dyDescent="0.25">
      <c r="A469" s="201"/>
      <c r="B469" s="202"/>
      <c r="C469" s="221"/>
      <c r="D469" s="222"/>
      <c r="E469" s="363"/>
      <c r="G469" s="206"/>
      <c r="H469" s="290"/>
      <c r="I469" s="177"/>
      <c r="J469" s="176"/>
      <c r="K469" s="207"/>
      <c r="L469" s="208"/>
      <c r="M469" s="208"/>
      <c r="N469" s="224"/>
      <c r="O469" s="225"/>
      <c r="P469" s="226"/>
      <c r="Q469" s="169"/>
      <c r="Y469" s="95"/>
      <c r="Z469" s="228"/>
      <c r="AA469" s="215"/>
      <c r="AB469" s="229"/>
      <c r="AC469" s="230"/>
      <c r="AD469" s="267" t="s">
        <v>4</v>
      </c>
    </row>
    <row r="470" spans="1:30" ht="17.100000000000001" customHeight="1" x14ac:dyDescent="0.25">
      <c r="A470" s="201"/>
      <c r="B470" s="202"/>
      <c r="C470" s="221"/>
      <c r="D470" s="222"/>
      <c r="E470" s="363"/>
      <c r="G470" s="206"/>
      <c r="H470" s="218"/>
      <c r="I470" s="177"/>
      <c r="J470" s="176"/>
      <c r="K470" s="207"/>
      <c r="L470" s="208"/>
      <c r="M470" s="208"/>
      <c r="N470" s="224"/>
      <c r="O470" s="225"/>
      <c r="P470" s="226"/>
      <c r="Q470" s="220"/>
      <c r="Y470" s="95"/>
      <c r="Z470" s="228"/>
      <c r="AA470" s="215"/>
      <c r="AB470" s="229"/>
      <c r="AC470" s="230"/>
      <c r="AD470" s="267" t="s">
        <v>4</v>
      </c>
    </row>
    <row r="471" spans="1:30" ht="17.100000000000001" customHeight="1" x14ac:dyDescent="0.25">
      <c r="A471" s="201"/>
      <c r="B471" s="202"/>
      <c r="C471" s="221"/>
      <c r="D471" s="222"/>
      <c r="E471" s="363"/>
      <c r="G471" s="206"/>
      <c r="H471" s="218"/>
      <c r="I471" s="177"/>
      <c r="J471" s="176"/>
      <c r="K471" s="207"/>
      <c r="L471" s="208"/>
      <c r="M471" s="208"/>
      <c r="N471" s="224"/>
      <c r="O471" s="225"/>
      <c r="P471" s="226"/>
      <c r="Q471" s="169"/>
      <c r="Y471" s="95"/>
      <c r="Z471" s="228"/>
      <c r="AA471" s="215"/>
      <c r="AB471" s="229"/>
      <c r="AC471" s="230"/>
      <c r="AD471" s="267" t="s">
        <v>4</v>
      </c>
    </row>
    <row r="472" spans="1:30" ht="17.100000000000001" customHeight="1" x14ac:dyDescent="0.25">
      <c r="A472" s="201"/>
      <c r="B472" s="202"/>
      <c r="C472" s="221"/>
      <c r="D472" s="222"/>
      <c r="E472" s="363"/>
      <c r="G472" s="206"/>
      <c r="H472" s="218"/>
      <c r="I472" s="177"/>
      <c r="J472" s="176"/>
      <c r="K472" s="207"/>
      <c r="L472" s="208"/>
      <c r="M472" s="208"/>
      <c r="N472" s="224"/>
      <c r="O472" s="225"/>
      <c r="P472" s="226"/>
      <c r="Q472" s="169"/>
      <c r="Y472" s="95"/>
      <c r="Z472" s="228"/>
      <c r="AA472" s="215"/>
      <c r="AB472" s="229"/>
      <c r="AC472" s="230"/>
      <c r="AD472" s="267" t="s">
        <v>4</v>
      </c>
    </row>
    <row r="473" spans="1:30" ht="17.100000000000001" customHeight="1" x14ac:dyDescent="0.25">
      <c r="A473" s="201"/>
      <c r="B473" s="202"/>
      <c r="C473" s="221"/>
      <c r="D473" s="222"/>
      <c r="E473" s="363"/>
      <c r="G473" s="206"/>
      <c r="H473" s="218"/>
      <c r="I473" s="177"/>
      <c r="J473" s="176"/>
      <c r="K473" s="207"/>
      <c r="L473" s="208"/>
      <c r="M473" s="208"/>
      <c r="N473" s="224"/>
      <c r="O473" s="225"/>
      <c r="P473" s="226"/>
      <c r="Q473" s="169"/>
      <c r="R473" s="233"/>
      <c r="Y473" s="95"/>
      <c r="Z473" s="228"/>
      <c r="AA473" s="215"/>
      <c r="AB473" s="229"/>
      <c r="AC473" s="230"/>
      <c r="AD473" s="267" t="s">
        <v>4</v>
      </c>
    </row>
    <row r="474" spans="1:30" ht="17.100000000000001" customHeight="1" x14ac:dyDescent="0.25">
      <c r="A474" s="201"/>
      <c r="B474" s="202"/>
      <c r="C474" s="221"/>
      <c r="D474" s="222"/>
      <c r="E474" s="363"/>
      <c r="G474" s="206"/>
      <c r="H474" s="218"/>
      <c r="I474" s="177"/>
      <c r="J474" s="176"/>
      <c r="K474" s="207"/>
      <c r="L474" s="208"/>
      <c r="M474" s="208"/>
      <c r="N474" s="224"/>
      <c r="O474" s="225"/>
      <c r="P474" s="226"/>
      <c r="Q474" s="169"/>
      <c r="Y474" s="95"/>
      <c r="Z474" s="228"/>
      <c r="AA474" s="215"/>
      <c r="AB474" s="229"/>
      <c r="AC474" s="230"/>
      <c r="AD474" s="267" t="s">
        <v>4</v>
      </c>
    </row>
    <row r="475" spans="1:30" ht="17.100000000000001" customHeight="1" x14ac:dyDescent="0.25">
      <c r="A475" s="201"/>
      <c r="B475" s="202"/>
      <c r="C475" s="221"/>
      <c r="D475" s="222"/>
      <c r="E475" s="363"/>
      <c r="G475" s="206"/>
      <c r="H475" s="218"/>
      <c r="I475" s="177"/>
      <c r="J475" s="176"/>
      <c r="K475" s="207"/>
      <c r="L475" s="208"/>
      <c r="M475" s="208"/>
      <c r="N475" s="224"/>
      <c r="O475" s="225"/>
      <c r="P475" s="226"/>
      <c r="Q475" s="169"/>
      <c r="Y475" s="95"/>
      <c r="Z475" s="228"/>
      <c r="AA475" s="215"/>
      <c r="AB475" s="229"/>
      <c r="AC475" s="230"/>
      <c r="AD475" s="267" t="s">
        <v>4</v>
      </c>
    </row>
    <row r="476" spans="1:30" ht="17.100000000000001" customHeight="1" x14ac:dyDescent="0.25">
      <c r="A476" s="201"/>
      <c r="B476" s="202"/>
      <c r="C476" s="221"/>
      <c r="D476" s="222"/>
      <c r="E476" s="363"/>
      <c r="G476" s="206"/>
      <c r="H476" s="218"/>
      <c r="I476" s="177"/>
      <c r="J476" s="176"/>
      <c r="K476" s="207"/>
      <c r="L476" s="208"/>
      <c r="M476" s="208"/>
      <c r="N476" s="224"/>
      <c r="O476" s="225"/>
      <c r="P476" s="226"/>
      <c r="Q476" s="169"/>
      <c r="Y476" s="95"/>
      <c r="Z476" s="228"/>
      <c r="AA476" s="215"/>
      <c r="AB476" s="229"/>
      <c r="AC476" s="230"/>
      <c r="AD476" s="267" t="s">
        <v>4</v>
      </c>
    </row>
    <row r="477" spans="1:30" ht="17.100000000000001" customHeight="1" x14ac:dyDescent="0.25">
      <c r="A477" s="201"/>
      <c r="B477" s="202"/>
      <c r="C477" s="221"/>
      <c r="D477" s="222"/>
      <c r="E477" s="363"/>
      <c r="G477" s="206"/>
      <c r="H477" s="218"/>
      <c r="I477" s="177"/>
      <c r="J477" s="176"/>
      <c r="K477" s="207"/>
      <c r="L477" s="208"/>
      <c r="M477" s="208"/>
      <c r="N477" s="224"/>
      <c r="O477" s="225"/>
      <c r="P477" s="226"/>
      <c r="Q477" s="169"/>
      <c r="Y477" s="95"/>
      <c r="Z477" s="228"/>
      <c r="AA477" s="215"/>
      <c r="AB477" s="229"/>
      <c r="AC477" s="230"/>
      <c r="AD477" s="267" t="s">
        <v>4</v>
      </c>
    </row>
    <row r="478" spans="1:30" ht="17.100000000000001" customHeight="1" x14ac:dyDescent="0.25">
      <c r="A478" s="201"/>
      <c r="B478" s="202"/>
      <c r="C478" s="221"/>
      <c r="D478" s="204"/>
      <c r="E478" s="363"/>
      <c r="F478" s="205"/>
      <c r="G478" s="206"/>
      <c r="H478" s="218"/>
      <c r="I478" s="177"/>
      <c r="J478" s="176"/>
      <c r="K478" s="207"/>
      <c r="L478" s="208"/>
      <c r="M478" s="208"/>
      <c r="N478" s="209"/>
      <c r="O478" s="211"/>
      <c r="P478" s="211"/>
      <c r="Q478" s="220"/>
      <c r="R478" s="212"/>
      <c r="S478" s="212"/>
      <c r="T478" s="205"/>
      <c r="U478" s="205"/>
      <c r="V478" s="205"/>
      <c r="W478" s="205"/>
      <c r="X478" s="212"/>
      <c r="Y478" s="213"/>
      <c r="Z478" s="214"/>
      <c r="AA478" s="215"/>
      <c r="AB478" s="216"/>
      <c r="AC478" s="217"/>
      <c r="AD478" s="267" t="s">
        <v>4</v>
      </c>
    </row>
    <row r="479" spans="1:30" ht="17.100000000000001" customHeight="1" x14ac:dyDescent="0.25">
      <c r="A479" s="201"/>
      <c r="B479" s="202"/>
      <c r="C479" s="203"/>
      <c r="D479" s="204"/>
      <c r="E479" s="363"/>
      <c r="F479" s="205"/>
      <c r="G479" s="206"/>
      <c r="H479" s="218"/>
      <c r="I479" s="177"/>
      <c r="J479" s="176"/>
      <c r="K479" s="207"/>
      <c r="L479" s="208"/>
      <c r="M479" s="208"/>
      <c r="N479" s="209"/>
      <c r="O479" s="210"/>
      <c r="P479" s="211"/>
      <c r="Q479" s="220"/>
      <c r="R479" s="205"/>
      <c r="S479" s="205"/>
      <c r="T479" s="205"/>
      <c r="U479" s="205"/>
      <c r="V479" s="205"/>
      <c r="W479" s="205"/>
      <c r="X479" s="205"/>
      <c r="Y479" s="213"/>
      <c r="Z479" s="214"/>
      <c r="AA479" s="215"/>
      <c r="AB479" s="216"/>
      <c r="AC479" s="217"/>
      <c r="AD479" s="267" t="s">
        <v>4</v>
      </c>
    </row>
    <row r="480" spans="1:30" ht="17.100000000000001" customHeight="1" x14ac:dyDescent="0.25">
      <c r="A480" s="201"/>
      <c r="B480" s="202"/>
      <c r="C480" s="221"/>
      <c r="D480" s="222"/>
      <c r="E480" s="363"/>
      <c r="G480" s="206"/>
      <c r="H480" s="218"/>
      <c r="I480" s="177"/>
      <c r="J480" s="176"/>
      <c r="K480" s="207"/>
      <c r="L480" s="208"/>
      <c r="M480" s="208"/>
      <c r="N480" s="224"/>
      <c r="O480" s="225"/>
      <c r="P480" s="226"/>
      <c r="Q480" s="169"/>
      <c r="R480" s="233"/>
      <c r="Y480" s="95"/>
      <c r="Z480" s="228"/>
      <c r="AA480" s="215"/>
      <c r="AB480" s="229"/>
      <c r="AC480" s="230"/>
      <c r="AD480" s="267" t="s">
        <v>4</v>
      </c>
    </row>
    <row r="481" spans="1:30" ht="17.100000000000001" customHeight="1" x14ac:dyDescent="0.25">
      <c r="A481" s="201"/>
      <c r="B481" s="202"/>
      <c r="C481" s="221"/>
      <c r="D481" s="222"/>
      <c r="E481" s="363"/>
      <c r="G481" s="206"/>
      <c r="H481" s="218"/>
      <c r="I481" s="177"/>
      <c r="J481" s="176"/>
      <c r="K481" s="207"/>
      <c r="L481" s="208"/>
      <c r="M481" s="208"/>
      <c r="N481" s="224"/>
      <c r="O481" s="225"/>
      <c r="P481" s="226"/>
      <c r="Q481" s="169"/>
      <c r="Y481" s="95"/>
      <c r="Z481" s="228"/>
      <c r="AA481" s="215"/>
      <c r="AB481" s="229"/>
      <c r="AC481" s="230"/>
      <c r="AD481" s="267" t="s">
        <v>4</v>
      </c>
    </row>
    <row r="482" spans="1:30" ht="17.100000000000001" customHeight="1" x14ac:dyDescent="0.25">
      <c r="A482" s="201"/>
      <c r="B482" s="202"/>
      <c r="C482" s="221"/>
      <c r="D482" s="222"/>
      <c r="E482" s="363"/>
      <c r="G482" s="206"/>
      <c r="H482" s="218"/>
      <c r="I482" s="177"/>
      <c r="J482" s="176"/>
      <c r="K482" s="207"/>
      <c r="L482" s="208"/>
      <c r="M482" s="208"/>
      <c r="N482" s="224"/>
      <c r="O482" s="225"/>
      <c r="P482" s="226"/>
      <c r="Q482" s="169"/>
      <c r="R482" s="233"/>
      <c r="Y482" s="95"/>
      <c r="Z482" s="228"/>
      <c r="AA482" s="215"/>
      <c r="AB482" s="229"/>
      <c r="AC482" s="230"/>
      <c r="AD482" s="267" t="s">
        <v>4</v>
      </c>
    </row>
    <row r="483" spans="1:30" ht="17.100000000000001" customHeight="1" x14ac:dyDescent="0.25">
      <c r="A483" s="201"/>
      <c r="B483" s="202"/>
      <c r="C483" s="221"/>
      <c r="D483" s="222"/>
      <c r="E483" s="363"/>
      <c r="G483" s="206"/>
      <c r="H483" s="218"/>
      <c r="I483" s="177"/>
      <c r="J483" s="176"/>
      <c r="K483" s="207"/>
      <c r="L483" s="208"/>
      <c r="M483" s="208"/>
      <c r="N483" s="224"/>
      <c r="O483" s="225"/>
      <c r="P483" s="226"/>
      <c r="Q483" s="169"/>
      <c r="Y483" s="95"/>
      <c r="Z483" s="228"/>
      <c r="AA483" s="215"/>
      <c r="AB483" s="229"/>
      <c r="AC483" s="230"/>
      <c r="AD483" s="267" t="s">
        <v>4</v>
      </c>
    </row>
    <row r="484" spans="1:30" ht="17.100000000000001" customHeight="1" x14ac:dyDescent="0.25">
      <c r="A484" s="201"/>
      <c r="B484" s="202"/>
      <c r="C484" s="203"/>
      <c r="D484" s="204"/>
      <c r="E484" s="363"/>
      <c r="F484" s="205"/>
      <c r="G484" s="206"/>
      <c r="H484" s="218"/>
      <c r="I484" s="177"/>
      <c r="J484" s="176"/>
      <c r="K484" s="207"/>
      <c r="L484" s="208"/>
      <c r="M484" s="208"/>
      <c r="N484" s="209"/>
      <c r="O484" s="210"/>
      <c r="P484" s="211"/>
      <c r="Q484" s="220"/>
      <c r="R484" s="212"/>
      <c r="S484" s="205"/>
      <c r="T484" s="205"/>
      <c r="U484" s="205"/>
      <c r="V484" s="205"/>
      <c r="W484" s="205"/>
      <c r="X484" s="205"/>
      <c r="Y484" s="213"/>
      <c r="Z484" s="214"/>
      <c r="AA484" s="215"/>
      <c r="AB484" s="216"/>
      <c r="AC484" s="217"/>
      <c r="AD484" s="267" t="s">
        <v>4</v>
      </c>
    </row>
    <row r="485" spans="1:30" ht="17.100000000000001" customHeight="1" x14ac:dyDescent="0.25">
      <c r="A485" s="201"/>
      <c r="B485" s="202"/>
      <c r="C485" s="221"/>
      <c r="D485" s="222"/>
      <c r="E485" s="363"/>
      <c r="G485" s="206"/>
      <c r="H485" s="218"/>
      <c r="I485" s="177"/>
      <c r="J485" s="176"/>
      <c r="K485" s="207"/>
      <c r="L485" s="208"/>
      <c r="M485" s="208"/>
      <c r="N485" s="224"/>
      <c r="O485" s="225"/>
      <c r="P485" s="226"/>
      <c r="Q485" s="169"/>
      <c r="Y485" s="95"/>
      <c r="Z485" s="228"/>
      <c r="AA485" s="215"/>
      <c r="AB485" s="229"/>
      <c r="AC485" s="230"/>
      <c r="AD485" s="267" t="s">
        <v>4</v>
      </c>
    </row>
    <row r="486" spans="1:30" ht="17.100000000000001" customHeight="1" x14ac:dyDescent="0.25">
      <c r="A486" s="201"/>
      <c r="B486" s="202"/>
      <c r="C486" s="221"/>
      <c r="D486" s="222"/>
      <c r="E486" s="363"/>
      <c r="G486" s="206"/>
      <c r="H486" s="218"/>
      <c r="I486" s="177"/>
      <c r="J486" s="176"/>
      <c r="K486" s="207"/>
      <c r="L486" s="208"/>
      <c r="M486" s="208"/>
      <c r="N486" s="224"/>
      <c r="O486" s="225"/>
      <c r="P486" s="226"/>
      <c r="Q486" s="169"/>
      <c r="Y486" s="95"/>
      <c r="Z486" s="228"/>
      <c r="AA486" s="215"/>
      <c r="AB486" s="229"/>
      <c r="AC486" s="230"/>
      <c r="AD486" s="267" t="s">
        <v>4</v>
      </c>
    </row>
    <row r="487" spans="1:30" ht="17.100000000000001" customHeight="1" x14ac:dyDescent="0.25">
      <c r="A487" s="201"/>
      <c r="B487" s="202"/>
      <c r="C487" s="221"/>
      <c r="D487" s="222"/>
      <c r="E487" s="363"/>
      <c r="G487" s="206"/>
      <c r="H487" s="218"/>
      <c r="I487" s="177"/>
      <c r="J487" s="176"/>
      <c r="K487" s="207"/>
      <c r="L487" s="208"/>
      <c r="M487" s="208"/>
      <c r="N487" s="224"/>
      <c r="O487" s="225"/>
      <c r="P487" s="226"/>
      <c r="Q487" s="169"/>
      <c r="Y487" s="95"/>
      <c r="Z487" s="228"/>
      <c r="AA487" s="215"/>
      <c r="AB487" s="229"/>
      <c r="AC487" s="230"/>
      <c r="AD487" s="267" t="s">
        <v>4</v>
      </c>
    </row>
    <row r="488" spans="1:30" ht="17.100000000000001" customHeight="1" x14ac:dyDescent="0.25">
      <c r="A488" s="201"/>
      <c r="B488" s="202"/>
      <c r="C488" s="203"/>
      <c r="D488" s="204"/>
      <c r="E488" s="363"/>
      <c r="F488" s="205"/>
      <c r="G488" s="206"/>
      <c r="H488" s="218"/>
      <c r="I488" s="177"/>
      <c r="J488" s="176"/>
      <c r="K488" s="207"/>
      <c r="L488" s="208"/>
      <c r="M488" s="208"/>
      <c r="N488" s="209"/>
      <c r="O488" s="210"/>
      <c r="P488" s="211"/>
      <c r="Q488" s="220"/>
      <c r="R488" s="212"/>
      <c r="S488" s="205"/>
      <c r="T488" s="205"/>
      <c r="U488" s="205"/>
      <c r="V488" s="205"/>
      <c r="W488" s="205"/>
      <c r="X488" s="205"/>
      <c r="Y488" s="213"/>
      <c r="Z488" s="214"/>
      <c r="AA488" s="215"/>
      <c r="AB488" s="216"/>
      <c r="AC488" s="217"/>
      <c r="AD488" s="267" t="s">
        <v>4</v>
      </c>
    </row>
    <row r="489" spans="1:30" ht="17.100000000000001" customHeight="1" x14ac:dyDescent="0.25">
      <c r="A489" s="201"/>
      <c r="B489" s="202"/>
      <c r="C489" s="203"/>
      <c r="D489" s="204"/>
      <c r="E489" s="363"/>
      <c r="F489" s="205"/>
      <c r="G489" s="206"/>
      <c r="H489" s="218"/>
      <c r="I489" s="177"/>
      <c r="J489" s="176"/>
      <c r="K489" s="207"/>
      <c r="L489" s="208"/>
      <c r="M489" s="208"/>
      <c r="N489" s="209"/>
      <c r="O489" s="210"/>
      <c r="P489" s="211"/>
      <c r="Q489" s="220"/>
      <c r="R489" s="212"/>
      <c r="S489" s="205"/>
      <c r="T489" s="205"/>
      <c r="U489" s="205"/>
      <c r="V489" s="205"/>
      <c r="W489" s="205"/>
      <c r="X489" s="205"/>
      <c r="Y489" s="213"/>
      <c r="Z489" s="214"/>
      <c r="AA489" s="215"/>
      <c r="AB489" s="216"/>
      <c r="AC489" s="217"/>
      <c r="AD489" s="267" t="s">
        <v>4</v>
      </c>
    </row>
    <row r="490" spans="1:30" ht="17.100000000000001" customHeight="1" x14ac:dyDescent="0.25">
      <c r="A490" s="201"/>
      <c r="B490" s="202"/>
      <c r="C490" s="221"/>
      <c r="D490" s="222"/>
      <c r="E490" s="363"/>
      <c r="G490" s="206"/>
      <c r="H490" s="218"/>
      <c r="I490" s="177"/>
      <c r="J490" s="176"/>
      <c r="K490" s="207"/>
      <c r="L490" s="208"/>
      <c r="M490" s="208"/>
      <c r="N490" s="224"/>
      <c r="O490" s="225"/>
      <c r="P490" s="226"/>
      <c r="Q490" s="169"/>
      <c r="Y490" s="95"/>
      <c r="Z490" s="228"/>
      <c r="AA490" s="215"/>
      <c r="AB490" s="229"/>
      <c r="AC490" s="230"/>
      <c r="AD490" s="267" t="s">
        <v>4</v>
      </c>
    </row>
    <row r="491" spans="1:30" ht="17.100000000000001" customHeight="1" x14ac:dyDescent="0.25">
      <c r="A491" s="201"/>
      <c r="B491" s="202"/>
      <c r="C491" s="221"/>
      <c r="D491" s="222"/>
      <c r="E491" s="363"/>
      <c r="G491" s="206"/>
      <c r="H491" s="218"/>
      <c r="I491" s="177"/>
      <c r="J491" s="176"/>
      <c r="K491" s="207"/>
      <c r="L491" s="208"/>
      <c r="M491" s="208"/>
      <c r="N491" s="224"/>
      <c r="O491" s="225"/>
      <c r="P491" s="226"/>
      <c r="Q491" s="169"/>
      <c r="Y491" s="95"/>
      <c r="Z491" s="228"/>
      <c r="AA491" s="215"/>
      <c r="AB491" s="229"/>
      <c r="AC491" s="230"/>
      <c r="AD491" s="267" t="s">
        <v>4</v>
      </c>
    </row>
    <row r="492" spans="1:30" ht="17.100000000000001" customHeight="1" x14ac:dyDescent="0.25">
      <c r="A492" s="201"/>
      <c r="B492" s="202"/>
      <c r="C492" s="221"/>
      <c r="D492" s="222"/>
      <c r="E492" s="363"/>
      <c r="G492" s="206"/>
      <c r="H492" s="218"/>
      <c r="I492" s="177"/>
      <c r="J492" s="176"/>
      <c r="K492" s="207"/>
      <c r="L492" s="208"/>
      <c r="M492" s="208"/>
      <c r="N492" s="224"/>
      <c r="O492" s="225"/>
      <c r="P492" s="226"/>
      <c r="Q492" s="169"/>
      <c r="Y492" s="95"/>
      <c r="Z492" s="228"/>
      <c r="AA492" s="215"/>
      <c r="AB492" s="229"/>
      <c r="AC492" s="230"/>
      <c r="AD492" s="267" t="s">
        <v>4</v>
      </c>
    </row>
    <row r="493" spans="1:30" ht="17.100000000000001" customHeight="1" x14ac:dyDescent="0.25">
      <c r="A493" s="201"/>
      <c r="B493" s="202"/>
      <c r="C493" s="221"/>
      <c r="D493" s="222"/>
      <c r="E493" s="363"/>
      <c r="G493" s="206"/>
      <c r="H493" s="218"/>
      <c r="I493" s="177"/>
      <c r="J493" s="176"/>
      <c r="K493" s="207"/>
      <c r="L493" s="208"/>
      <c r="M493" s="208"/>
      <c r="N493" s="224"/>
      <c r="O493" s="225"/>
      <c r="P493" s="226"/>
      <c r="Q493" s="220"/>
      <c r="Y493" s="95"/>
      <c r="Z493" s="228"/>
      <c r="AA493" s="215"/>
      <c r="AB493" s="229"/>
      <c r="AC493" s="230"/>
      <c r="AD493" s="267" t="s">
        <v>4</v>
      </c>
    </row>
    <row r="494" spans="1:30" ht="17.100000000000001" customHeight="1" x14ac:dyDescent="0.25">
      <c r="A494" s="201"/>
      <c r="B494" s="202"/>
      <c r="C494" s="221"/>
      <c r="D494" s="222"/>
      <c r="E494" s="363"/>
      <c r="G494" s="206"/>
      <c r="H494" s="218"/>
      <c r="I494" s="177"/>
      <c r="J494" s="176"/>
      <c r="K494" s="207"/>
      <c r="L494" s="208"/>
      <c r="M494" s="208"/>
      <c r="N494" s="224"/>
      <c r="O494" s="225"/>
      <c r="P494" s="226"/>
      <c r="Q494" s="169"/>
      <c r="R494" s="233"/>
      <c r="Y494" s="95"/>
      <c r="Z494" s="228"/>
      <c r="AA494" s="215"/>
      <c r="AB494" s="229"/>
      <c r="AC494" s="230"/>
      <c r="AD494" s="267" t="s">
        <v>4</v>
      </c>
    </row>
    <row r="495" spans="1:30" ht="17.100000000000001" customHeight="1" x14ac:dyDescent="0.25">
      <c r="A495" s="201"/>
      <c r="B495" s="202"/>
      <c r="C495" s="203"/>
      <c r="D495" s="204"/>
      <c r="E495" s="363"/>
      <c r="F495" s="205"/>
      <c r="G495" s="206"/>
      <c r="H495" s="218"/>
      <c r="I495" s="177"/>
      <c r="J495" s="176"/>
      <c r="K495" s="207"/>
      <c r="L495" s="208"/>
      <c r="M495" s="208"/>
      <c r="N495" s="209"/>
      <c r="O495" s="210"/>
      <c r="P495" s="211"/>
      <c r="Q495" s="220"/>
      <c r="R495" s="205"/>
      <c r="S495" s="205"/>
      <c r="T495" s="205"/>
      <c r="U495" s="205"/>
      <c r="V495" s="205"/>
      <c r="W495" s="205"/>
      <c r="X495" s="205"/>
      <c r="Y495" s="213"/>
      <c r="Z495" s="214"/>
      <c r="AA495" s="215"/>
      <c r="AB495" s="216"/>
      <c r="AC495" s="217"/>
      <c r="AD495" s="267" t="s">
        <v>4</v>
      </c>
    </row>
    <row r="496" spans="1:30" ht="17.100000000000001" customHeight="1" x14ac:dyDescent="0.25">
      <c r="A496" s="201"/>
      <c r="B496" s="202"/>
      <c r="C496" s="221"/>
      <c r="D496" s="222"/>
      <c r="E496" s="363"/>
      <c r="G496" s="206"/>
      <c r="H496" s="218"/>
      <c r="I496" s="177"/>
      <c r="J496" s="176"/>
      <c r="K496" s="207"/>
      <c r="L496" s="208"/>
      <c r="M496" s="208"/>
      <c r="N496" s="224"/>
      <c r="O496" s="225"/>
      <c r="P496" s="226"/>
      <c r="Q496" s="169"/>
      <c r="Y496" s="95"/>
      <c r="Z496" s="228"/>
      <c r="AA496" s="215"/>
      <c r="AB496" s="229"/>
      <c r="AC496" s="230"/>
      <c r="AD496" s="267" t="s">
        <v>4</v>
      </c>
    </row>
    <row r="497" spans="1:30" ht="17.100000000000001" customHeight="1" x14ac:dyDescent="0.25">
      <c r="A497" s="201"/>
      <c r="B497" s="202"/>
      <c r="C497" s="221"/>
      <c r="D497" s="222"/>
      <c r="E497" s="363"/>
      <c r="G497" s="206"/>
      <c r="H497" s="218"/>
      <c r="I497" s="177"/>
      <c r="J497" s="176"/>
      <c r="K497" s="207"/>
      <c r="L497" s="208"/>
      <c r="M497" s="208"/>
      <c r="N497" s="224"/>
      <c r="O497" s="225"/>
      <c r="P497" s="226"/>
      <c r="Q497" s="220"/>
      <c r="Y497" s="95"/>
      <c r="Z497" s="228"/>
      <c r="AA497" s="215"/>
      <c r="AB497" s="229"/>
      <c r="AC497" s="230"/>
      <c r="AD497" s="267" t="s">
        <v>4</v>
      </c>
    </row>
    <row r="498" spans="1:30" ht="17.100000000000001" customHeight="1" x14ac:dyDescent="0.25">
      <c r="A498" s="201"/>
      <c r="B498" s="202"/>
      <c r="C498" s="221"/>
      <c r="D498" s="222"/>
      <c r="E498" s="363"/>
      <c r="G498" s="206"/>
      <c r="H498" s="218"/>
      <c r="I498" s="177"/>
      <c r="J498" s="176"/>
      <c r="K498" s="207"/>
      <c r="L498" s="208"/>
      <c r="M498" s="208"/>
      <c r="N498" s="224"/>
      <c r="O498" s="225"/>
      <c r="P498" s="226"/>
      <c r="Q498" s="169"/>
      <c r="Y498" s="95"/>
      <c r="Z498" s="228"/>
      <c r="AA498" s="215"/>
      <c r="AB498" s="229"/>
      <c r="AC498" s="230"/>
      <c r="AD498" s="267" t="s">
        <v>4</v>
      </c>
    </row>
    <row r="499" spans="1:30" ht="17.100000000000001" customHeight="1" x14ac:dyDescent="0.25">
      <c r="A499" s="201"/>
      <c r="B499" s="202"/>
      <c r="C499" s="221"/>
      <c r="D499" s="222"/>
      <c r="E499" s="363"/>
      <c r="G499" s="206"/>
      <c r="H499" s="218"/>
      <c r="I499" s="177"/>
      <c r="J499" s="176"/>
      <c r="K499" s="207"/>
      <c r="L499" s="208"/>
      <c r="M499" s="208"/>
      <c r="N499" s="224"/>
      <c r="O499" s="225"/>
      <c r="P499" s="226"/>
      <c r="Q499" s="220"/>
      <c r="R499" s="233"/>
      <c r="Y499" s="95"/>
      <c r="Z499" s="228"/>
      <c r="AA499" s="215"/>
      <c r="AB499" s="229"/>
      <c r="AC499" s="230"/>
      <c r="AD499" s="267" t="s">
        <v>4</v>
      </c>
    </row>
    <row r="500" spans="1:30" ht="17.100000000000001" customHeight="1" x14ac:dyDescent="0.25">
      <c r="A500" s="201"/>
      <c r="B500" s="202"/>
      <c r="C500" s="221"/>
      <c r="D500" s="222"/>
      <c r="E500" s="363"/>
      <c r="G500" s="206"/>
      <c r="H500" s="218"/>
      <c r="I500" s="177"/>
      <c r="J500" s="176"/>
      <c r="K500" s="207"/>
      <c r="L500" s="208"/>
      <c r="M500" s="208"/>
      <c r="N500" s="224"/>
      <c r="O500" s="225"/>
      <c r="P500" s="226"/>
      <c r="Q500" s="220"/>
      <c r="R500" s="233"/>
      <c r="Y500" s="95"/>
      <c r="Z500" s="228"/>
      <c r="AA500" s="215"/>
      <c r="AB500" s="229"/>
      <c r="AC500" s="230"/>
      <c r="AD500" s="267" t="s">
        <v>4</v>
      </c>
    </row>
    <row r="501" spans="1:30" ht="17.100000000000001" customHeight="1" x14ac:dyDescent="0.25">
      <c r="A501" s="201"/>
      <c r="B501" s="202"/>
      <c r="C501" s="221"/>
      <c r="D501" s="222"/>
      <c r="E501" s="363"/>
      <c r="G501" s="206"/>
      <c r="H501" s="218"/>
      <c r="I501" s="177"/>
      <c r="J501" s="176"/>
      <c r="K501" s="207"/>
      <c r="L501" s="208"/>
      <c r="M501" s="208"/>
      <c r="N501" s="224"/>
      <c r="O501" s="225"/>
      <c r="P501" s="226"/>
      <c r="Q501" s="169"/>
      <c r="Y501" s="95"/>
      <c r="Z501" s="228"/>
      <c r="AA501" s="215"/>
      <c r="AB501" s="229"/>
      <c r="AC501" s="230"/>
      <c r="AD501" s="267" t="s">
        <v>4</v>
      </c>
    </row>
    <row r="502" spans="1:30" ht="17.100000000000001" customHeight="1" x14ac:dyDescent="0.25">
      <c r="A502" s="201"/>
      <c r="B502" s="202"/>
      <c r="C502" s="221"/>
      <c r="D502" s="222"/>
      <c r="E502" s="363"/>
      <c r="G502" s="206"/>
      <c r="H502" s="218"/>
      <c r="I502" s="177"/>
      <c r="J502" s="176"/>
      <c r="K502" s="207"/>
      <c r="L502" s="208"/>
      <c r="M502" s="208"/>
      <c r="N502" s="224"/>
      <c r="O502" s="225"/>
      <c r="P502" s="226"/>
      <c r="Q502" s="169"/>
      <c r="Y502" s="95"/>
      <c r="Z502" s="228"/>
      <c r="AA502" s="215"/>
      <c r="AB502" s="229"/>
      <c r="AC502" s="230"/>
      <c r="AD502" s="267" t="s">
        <v>4</v>
      </c>
    </row>
    <row r="503" spans="1:30" ht="17.100000000000001" customHeight="1" x14ac:dyDescent="0.25">
      <c r="A503" s="201"/>
      <c r="B503" s="202"/>
      <c r="C503" s="221"/>
      <c r="D503" s="222"/>
      <c r="E503" s="363"/>
      <c r="G503" s="206"/>
      <c r="H503" s="218"/>
      <c r="I503" s="177"/>
      <c r="J503" s="176"/>
      <c r="K503" s="207"/>
      <c r="L503" s="208"/>
      <c r="M503" s="208"/>
      <c r="N503" s="224"/>
      <c r="O503" s="225"/>
      <c r="P503" s="226"/>
      <c r="Q503" s="169"/>
      <c r="Y503" s="95"/>
      <c r="Z503" s="228"/>
      <c r="AA503" s="215"/>
      <c r="AB503" s="229"/>
      <c r="AC503" s="230"/>
      <c r="AD503" s="267" t="s">
        <v>4</v>
      </c>
    </row>
    <row r="504" spans="1:30" ht="17.100000000000001" customHeight="1" x14ac:dyDescent="0.25">
      <c r="A504" s="201"/>
      <c r="B504" s="202"/>
      <c r="C504" s="221"/>
      <c r="D504" s="222"/>
      <c r="E504" s="363"/>
      <c r="G504" s="206"/>
      <c r="H504" s="218"/>
      <c r="I504" s="177"/>
      <c r="J504" s="176"/>
      <c r="K504" s="207"/>
      <c r="L504" s="208"/>
      <c r="M504" s="208"/>
      <c r="N504" s="224"/>
      <c r="O504" s="225"/>
      <c r="P504" s="226"/>
      <c r="Q504" s="169"/>
      <c r="R504" s="233"/>
      <c r="Y504" s="95"/>
      <c r="Z504" s="228"/>
      <c r="AA504" s="215"/>
      <c r="AB504" s="229"/>
      <c r="AC504" s="230"/>
      <c r="AD504" s="267" t="s">
        <v>4</v>
      </c>
    </row>
    <row r="505" spans="1:30" ht="17.100000000000001" customHeight="1" x14ac:dyDescent="0.25">
      <c r="A505" s="201"/>
      <c r="B505" s="202"/>
      <c r="C505" s="221"/>
      <c r="D505" s="222"/>
      <c r="E505" s="363"/>
      <c r="G505" s="206"/>
      <c r="H505" s="218"/>
      <c r="I505" s="177"/>
      <c r="J505" s="176"/>
      <c r="K505" s="207"/>
      <c r="L505" s="208"/>
      <c r="M505" s="208"/>
      <c r="N505" s="224"/>
      <c r="O505" s="225"/>
      <c r="P505" s="226"/>
      <c r="Q505" s="169"/>
      <c r="Y505" s="95"/>
      <c r="Z505" s="228"/>
      <c r="AA505" s="215"/>
      <c r="AB505" s="229"/>
      <c r="AC505" s="230"/>
      <c r="AD505" s="267" t="s">
        <v>4</v>
      </c>
    </row>
    <row r="506" spans="1:30" ht="17.100000000000001" customHeight="1" x14ac:dyDescent="0.25">
      <c r="A506" s="201"/>
      <c r="B506" s="202"/>
      <c r="C506" s="221"/>
      <c r="D506" s="222"/>
      <c r="E506" s="363"/>
      <c r="G506" s="206"/>
      <c r="H506" s="218"/>
      <c r="I506" s="177"/>
      <c r="J506" s="176"/>
      <c r="K506" s="207"/>
      <c r="L506" s="208"/>
      <c r="M506" s="208"/>
      <c r="N506" s="224"/>
      <c r="O506" s="225"/>
      <c r="P506" s="226"/>
      <c r="Q506" s="169"/>
      <c r="Y506" s="95"/>
      <c r="Z506" s="228"/>
      <c r="AA506" s="215"/>
      <c r="AB506" s="229"/>
      <c r="AC506" s="230"/>
      <c r="AD506" s="267" t="s">
        <v>4</v>
      </c>
    </row>
    <row r="507" spans="1:30" ht="17.100000000000001" customHeight="1" x14ac:dyDescent="0.25">
      <c r="A507" s="201"/>
      <c r="B507" s="202"/>
      <c r="C507" s="203"/>
      <c r="D507" s="204"/>
      <c r="E507" s="363"/>
      <c r="F507" s="205"/>
      <c r="G507" s="206"/>
      <c r="H507" s="218"/>
      <c r="I507" s="177"/>
      <c r="J507" s="176"/>
      <c r="K507" s="207"/>
      <c r="L507" s="208"/>
      <c r="M507" s="208"/>
      <c r="N507" s="209"/>
      <c r="O507" s="210"/>
      <c r="P507" s="211"/>
      <c r="Q507" s="220"/>
      <c r="R507" s="205"/>
      <c r="S507" s="205"/>
      <c r="T507" s="205"/>
      <c r="U507" s="205"/>
      <c r="V507" s="205"/>
      <c r="W507" s="205"/>
      <c r="X507" s="205"/>
      <c r="Y507" s="213"/>
      <c r="Z507" s="214"/>
      <c r="AA507" s="215"/>
      <c r="AB507" s="216"/>
      <c r="AC507" s="217"/>
      <c r="AD507" s="267" t="s">
        <v>4</v>
      </c>
    </row>
    <row r="508" spans="1:30" ht="17.100000000000001" customHeight="1" x14ac:dyDescent="0.25">
      <c r="A508" s="201"/>
      <c r="B508" s="202"/>
      <c r="C508" s="221"/>
      <c r="D508" s="222"/>
      <c r="E508" s="363"/>
      <c r="G508" s="206"/>
      <c r="H508" s="218"/>
      <c r="I508" s="177"/>
      <c r="J508" s="176"/>
      <c r="K508" s="207"/>
      <c r="L508" s="208"/>
      <c r="M508" s="208"/>
      <c r="N508" s="224"/>
      <c r="O508" s="225"/>
      <c r="P508" s="226"/>
      <c r="Q508" s="169"/>
      <c r="Y508" s="95"/>
      <c r="Z508" s="228"/>
      <c r="AA508" s="215"/>
      <c r="AB508" s="229"/>
      <c r="AC508" s="230"/>
      <c r="AD508" s="267" t="s">
        <v>4</v>
      </c>
    </row>
    <row r="509" spans="1:30" ht="17.100000000000001" customHeight="1" x14ac:dyDescent="0.25">
      <c r="A509" s="201"/>
      <c r="B509" s="202"/>
      <c r="C509" s="203"/>
      <c r="D509" s="204"/>
      <c r="E509" s="363"/>
      <c r="F509" s="205"/>
      <c r="G509" s="206"/>
      <c r="H509" s="218"/>
      <c r="I509" s="177"/>
      <c r="J509" s="176"/>
      <c r="K509" s="207"/>
      <c r="L509" s="208"/>
      <c r="M509" s="208"/>
      <c r="N509" s="209"/>
      <c r="O509" s="210"/>
      <c r="P509" s="211"/>
      <c r="Q509" s="220"/>
      <c r="R509" s="205"/>
      <c r="S509" s="205"/>
      <c r="T509" s="205"/>
      <c r="U509" s="205"/>
      <c r="V509" s="205"/>
      <c r="W509" s="205"/>
      <c r="X509" s="205"/>
      <c r="Y509" s="213"/>
      <c r="Z509" s="214"/>
      <c r="AA509" s="215"/>
      <c r="AB509" s="216"/>
      <c r="AC509" s="217"/>
      <c r="AD509" s="267" t="s">
        <v>4</v>
      </c>
    </row>
    <row r="510" spans="1:30" ht="17.100000000000001" customHeight="1" x14ac:dyDescent="0.25">
      <c r="A510" s="201"/>
      <c r="B510" s="202"/>
      <c r="C510" s="221"/>
      <c r="D510" s="222"/>
      <c r="E510" s="363"/>
      <c r="G510" s="206"/>
      <c r="H510" s="218"/>
      <c r="I510" s="177"/>
      <c r="J510" s="176"/>
      <c r="K510" s="207"/>
      <c r="L510" s="208"/>
      <c r="M510" s="208"/>
      <c r="N510" s="224"/>
      <c r="O510" s="225"/>
      <c r="P510" s="226"/>
      <c r="Q510" s="169"/>
      <c r="Y510" s="95"/>
      <c r="Z510" s="228"/>
      <c r="AA510" s="215"/>
      <c r="AB510" s="229"/>
      <c r="AC510" s="230"/>
      <c r="AD510" s="267" t="s">
        <v>4</v>
      </c>
    </row>
    <row r="511" spans="1:30" ht="17.100000000000001" customHeight="1" x14ac:dyDescent="0.25">
      <c r="A511" s="201"/>
      <c r="B511" s="202"/>
      <c r="C511" s="221"/>
      <c r="D511" s="222"/>
      <c r="E511" s="363"/>
      <c r="G511" s="206"/>
      <c r="H511" s="218"/>
      <c r="I511" s="177"/>
      <c r="J511" s="176"/>
      <c r="K511" s="207"/>
      <c r="L511" s="208"/>
      <c r="M511" s="208"/>
      <c r="N511" s="224"/>
      <c r="O511" s="225"/>
      <c r="P511" s="226"/>
      <c r="Q511" s="169"/>
      <c r="Y511" s="95"/>
      <c r="Z511" s="228"/>
      <c r="AA511" s="215"/>
      <c r="AB511" s="229"/>
      <c r="AC511" s="230"/>
      <c r="AD511" s="267" t="s">
        <v>4</v>
      </c>
    </row>
    <row r="512" spans="1:30" ht="17.100000000000001" customHeight="1" x14ac:dyDescent="0.25">
      <c r="A512" s="201"/>
      <c r="B512" s="202"/>
      <c r="C512" s="221"/>
      <c r="D512" s="222"/>
      <c r="E512" s="363"/>
      <c r="G512" s="206"/>
      <c r="H512" s="218"/>
      <c r="I512" s="177"/>
      <c r="J512" s="176"/>
      <c r="K512" s="207"/>
      <c r="L512" s="208"/>
      <c r="M512" s="208"/>
      <c r="N512" s="224"/>
      <c r="O512" s="225"/>
      <c r="P512" s="226"/>
      <c r="Q512" s="169"/>
      <c r="Y512" s="95"/>
      <c r="Z512" s="228"/>
      <c r="AA512" s="215"/>
      <c r="AB512" s="229"/>
      <c r="AC512" s="230"/>
      <c r="AD512" s="267" t="s">
        <v>4</v>
      </c>
    </row>
    <row r="513" spans="1:30" ht="17.100000000000001" customHeight="1" x14ac:dyDescent="0.25">
      <c r="A513" s="201"/>
      <c r="B513" s="202"/>
      <c r="C513" s="221"/>
      <c r="D513" s="222"/>
      <c r="E513" s="363"/>
      <c r="G513" s="206"/>
      <c r="H513" s="218"/>
      <c r="I513" s="177"/>
      <c r="J513" s="176"/>
      <c r="K513" s="207"/>
      <c r="L513" s="208"/>
      <c r="M513" s="208"/>
      <c r="N513" s="224"/>
      <c r="O513" s="225"/>
      <c r="P513" s="226"/>
      <c r="Q513" s="169"/>
      <c r="Y513" s="95"/>
      <c r="Z513" s="228"/>
      <c r="AA513" s="215"/>
      <c r="AB513" s="229"/>
      <c r="AC513" s="230"/>
      <c r="AD513" s="267" t="s">
        <v>4</v>
      </c>
    </row>
    <row r="514" spans="1:30" ht="17.100000000000001" customHeight="1" x14ac:dyDescent="0.25">
      <c r="A514" s="201"/>
      <c r="B514" s="202"/>
      <c r="C514" s="221"/>
      <c r="D514" s="222"/>
      <c r="E514" s="363"/>
      <c r="G514" s="206"/>
      <c r="H514" s="218"/>
      <c r="I514" s="177"/>
      <c r="J514" s="176"/>
      <c r="K514" s="207"/>
      <c r="L514" s="208"/>
      <c r="M514" s="208"/>
      <c r="N514" s="224"/>
      <c r="O514" s="225"/>
      <c r="P514" s="226"/>
      <c r="Q514" s="169"/>
      <c r="Y514" s="95"/>
      <c r="Z514" s="228"/>
      <c r="AA514" s="215"/>
      <c r="AB514" s="229"/>
      <c r="AC514" s="230"/>
      <c r="AD514" s="267" t="s">
        <v>4</v>
      </c>
    </row>
    <row r="515" spans="1:30" ht="17.100000000000001" customHeight="1" x14ac:dyDescent="0.25">
      <c r="A515" s="201"/>
      <c r="B515" s="202"/>
      <c r="C515" s="221"/>
      <c r="D515" s="222"/>
      <c r="E515" s="363"/>
      <c r="G515" s="206"/>
      <c r="H515" s="218"/>
      <c r="I515" s="177"/>
      <c r="J515" s="176"/>
      <c r="K515" s="207"/>
      <c r="L515" s="208"/>
      <c r="M515" s="208"/>
      <c r="N515" s="224"/>
      <c r="O515" s="225"/>
      <c r="P515" s="226"/>
      <c r="Q515" s="169"/>
      <c r="Y515" s="95"/>
      <c r="Z515" s="228"/>
      <c r="AA515" s="215"/>
      <c r="AB515" s="229"/>
      <c r="AC515" s="230"/>
      <c r="AD515" s="267" t="s">
        <v>4</v>
      </c>
    </row>
    <row r="516" spans="1:30" ht="17.100000000000001" customHeight="1" x14ac:dyDescent="0.25">
      <c r="A516" s="201"/>
      <c r="B516" s="202"/>
      <c r="C516" s="221"/>
      <c r="D516" s="222"/>
      <c r="E516" s="363"/>
      <c r="G516" s="206"/>
      <c r="H516" s="218"/>
      <c r="I516" s="177"/>
      <c r="J516" s="176"/>
      <c r="K516" s="207"/>
      <c r="L516" s="208"/>
      <c r="M516" s="208"/>
      <c r="N516" s="224"/>
      <c r="O516" s="225"/>
      <c r="P516" s="226"/>
      <c r="Q516" s="169"/>
      <c r="Y516" s="95"/>
      <c r="Z516" s="228"/>
      <c r="AA516" s="215"/>
      <c r="AB516" s="229"/>
      <c r="AC516" s="230"/>
      <c r="AD516" s="267" t="s">
        <v>4</v>
      </c>
    </row>
    <row r="517" spans="1:30" ht="17.100000000000001" customHeight="1" x14ac:dyDescent="0.25">
      <c r="A517" s="201"/>
      <c r="B517" s="202"/>
      <c r="C517" s="221"/>
      <c r="D517" s="222"/>
      <c r="E517" s="363"/>
      <c r="G517" s="206"/>
      <c r="H517" s="218"/>
      <c r="I517" s="177"/>
      <c r="J517" s="176"/>
      <c r="K517" s="207"/>
      <c r="L517" s="208"/>
      <c r="M517" s="208"/>
      <c r="N517" s="224"/>
      <c r="O517" s="225"/>
      <c r="P517" s="226"/>
      <c r="Q517" s="169"/>
      <c r="Y517" s="95"/>
      <c r="Z517" s="228"/>
      <c r="AA517" s="215"/>
      <c r="AB517" s="229"/>
      <c r="AC517" s="230"/>
      <c r="AD517" s="267" t="s">
        <v>4</v>
      </c>
    </row>
    <row r="518" spans="1:30" ht="17.100000000000001" customHeight="1" x14ac:dyDescent="0.25">
      <c r="A518" s="201"/>
      <c r="B518" s="202"/>
      <c r="C518" s="203"/>
      <c r="D518" s="204"/>
      <c r="E518" s="363"/>
      <c r="F518" s="205"/>
      <c r="G518" s="206"/>
      <c r="H518" s="218"/>
      <c r="I518" s="177"/>
      <c r="J518" s="176"/>
      <c r="K518" s="207"/>
      <c r="L518" s="208"/>
      <c r="M518" s="208"/>
      <c r="N518" s="209"/>
      <c r="O518" s="210"/>
      <c r="P518" s="211"/>
      <c r="Q518" s="220"/>
      <c r="R518" s="205"/>
      <c r="S518" s="205"/>
      <c r="T518" s="205"/>
      <c r="U518" s="205"/>
      <c r="V518" s="205"/>
      <c r="W518" s="205"/>
      <c r="X518" s="205"/>
      <c r="Y518" s="213"/>
      <c r="Z518" s="214"/>
      <c r="AA518" s="215"/>
      <c r="AB518" s="216"/>
      <c r="AC518" s="217"/>
      <c r="AD518" s="267" t="s">
        <v>4</v>
      </c>
    </row>
    <row r="519" spans="1:30" ht="17.100000000000001" customHeight="1" x14ac:dyDescent="0.25">
      <c r="A519" s="201"/>
      <c r="B519" s="202"/>
      <c r="C519" s="221"/>
      <c r="D519" s="222"/>
      <c r="E519" s="363"/>
      <c r="G519" s="206"/>
      <c r="H519" s="218"/>
      <c r="I519" s="177"/>
      <c r="J519" s="176"/>
      <c r="K519" s="207"/>
      <c r="L519" s="208"/>
      <c r="M519" s="208"/>
      <c r="N519" s="224"/>
      <c r="O519" s="225"/>
      <c r="P519" s="226"/>
      <c r="Q519" s="169"/>
      <c r="R519" s="233"/>
      <c r="Y519" s="95"/>
      <c r="Z519" s="228"/>
      <c r="AA519" s="215"/>
      <c r="AB519" s="229"/>
      <c r="AC519" s="230"/>
      <c r="AD519" s="267" t="s">
        <v>4</v>
      </c>
    </row>
    <row r="520" spans="1:30" ht="17.100000000000001" customHeight="1" x14ac:dyDescent="0.25">
      <c r="A520" s="201"/>
      <c r="B520" s="202"/>
      <c r="C520" s="221"/>
      <c r="D520" s="222"/>
      <c r="E520" s="363"/>
      <c r="G520" s="206"/>
      <c r="H520" s="218"/>
      <c r="I520" s="177"/>
      <c r="J520" s="176"/>
      <c r="K520" s="207"/>
      <c r="L520" s="208"/>
      <c r="M520" s="208"/>
      <c r="N520" s="224"/>
      <c r="O520" s="225"/>
      <c r="P520" s="226"/>
      <c r="Q520" s="169"/>
      <c r="R520" s="233"/>
      <c r="Y520" s="95"/>
      <c r="Z520" s="228"/>
      <c r="AA520" s="215"/>
      <c r="AB520" s="229"/>
      <c r="AC520" s="230"/>
      <c r="AD520" s="267" t="s">
        <v>4</v>
      </c>
    </row>
    <row r="521" spans="1:30" ht="17.100000000000001" customHeight="1" x14ac:dyDescent="0.25">
      <c r="A521" s="201"/>
      <c r="B521" s="202"/>
      <c r="C521" s="221"/>
      <c r="D521" s="222"/>
      <c r="E521" s="363"/>
      <c r="G521" s="206"/>
      <c r="H521" s="218"/>
      <c r="I521" s="177"/>
      <c r="J521" s="176"/>
      <c r="K521" s="207"/>
      <c r="L521" s="208"/>
      <c r="M521" s="208"/>
      <c r="N521" s="224"/>
      <c r="O521" s="225"/>
      <c r="P521" s="226"/>
      <c r="Q521" s="169"/>
      <c r="Y521" s="95"/>
      <c r="Z521" s="228"/>
      <c r="AA521" s="215"/>
      <c r="AB521" s="229"/>
      <c r="AC521" s="230"/>
      <c r="AD521" s="267" t="s">
        <v>4</v>
      </c>
    </row>
    <row r="522" spans="1:30" ht="17.100000000000001" customHeight="1" x14ac:dyDescent="0.25">
      <c r="A522" s="201"/>
      <c r="B522" s="202"/>
      <c r="C522" s="221"/>
      <c r="D522" s="222"/>
      <c r="E522" s="363"/>
      <c r="G522" s="206"/>
      <c r="H522" s="218"/>
      <c r="I522" s="177"/>
      <c r="J522" s="176"/>
      <c r="K522" s="207"/>
      <c r="L522" s="208"/>
      <c r="M522" s="208"/>
      <c r="N522" s="224"/>
      <c r="O522" s="225"/>
      <c r="P522" s="226"/>
      <c r="Q522" s="169"/>
      <c r="Y522" s="95"/>
      <c r="Z522" s="228"/>
      <c r="AA522" s="215"/>
      <c r="AB522" s="229"/>
      <c r="AC522" s="230"/>
      <c r="AD522" s="267" t="s">
        <v>4</v>
      </c>
    </row>
    <row r="523" spans="1:30" ht="17.100000000000001" customHeight="1" x14ac:dyDescent="0.25">
      <c r="A523" s="201"/>
      <c r="B523" s="202"/>
      <c r="C523" s="221"/>
      <c r="D523" s="222"/>
      <c r="E523" s="363"/>
      <c r="G523" s="206"/>
      <c r="H523" s="218"/>
      <c r="I523" s="177"/>
      <c r="J523" s="176"/>
      <c r="K523" s="207"/>
      <c r="L523" s="208"/>
      <c r="M523" s="208"/>
      <c r="N523" s="224"/>
      <c r="O523" s="225"/>
      <c r="P523" s="226"/>
      <c r="Q523" s="220"/>
      <c r="Y523" s="95"/>
      <c r="Z523" s="228"/>
      <c r="AA523" s="215"/>
      <c r="AB523" s="229"/>
      <c r="AC523" s="230"/>
      <c r="AD523" s="267" t="s">
        <v>4</v>
      </c>
    </row>
    <row r="524" spans="1:30" ht="17.100000000000001" customHeight="1" x14ac:dyDescent="0.25">
      <c r="A524" s="201"/>
      <c r="B524" s="202"/>
      <c r="C524" s="221"/>
      <c r="D524" s="222"/>
      <c r="E524" s="363"/>
      <c r="G524" s="206"/>
      <c r="H524" s="218"/>
      <c r="I524" s="177"/>
      <c r="J524" s="176"/>
      <c r="K524" s="207"/>
      <c r="L524" s="208"/>
      <c r="M524" s="208"/>
      <c r="N524" s="224"/>
      <c r="O524" s="225"/>
      <c r="P524" s="226"/>
      <c r="Q524" s="169"/>
      <c r="R524" s="233"/>
      <c r="Y524" s="95"/>
      <c r="Z524" s="228"/>
      <c r="AA524" s="215"/>
      <c r="AB524" s="229"/>
      <c r="AC524" s="230"/>
      <c r="AD524" s="267" t="s">
        <v>4</v>
      </c>
    </row>
    <row r="525" spans="1:30" ht="17.100000000000001" customHeight="1" x14ac:dyDescent="0.25">
      <c r="A525" s="201"/>
      <c r="B525" s="202"/>
      <c r="C525" s="203"/>
      <c r="D525" s="204"/>
      <c r="E525" s="363"/>
      <c r="F525" s="205"/>
      <c r="G525" s="206"/>
      <c r="H525" s="290"/>
      <c r="I525" s="177"/>
      <c r="J525" s="176"/>
      <c r="K525" s="207"/>
      <c r="L525" s="208"/>
      <c r="M525" s="208"/>
      <c r="N525" s="209"/>
      <c r="O525" s="210"/>
      <c r="P525" s="211"/>
      <c r="Q525" s="220"/>
      <c r="R525" s="205"/>
      <c r="S525" s="205"/>
      <c r="T525" s="205"/>
      <c r="U525" s="205"/>
      <c r="V525" s="205"/>
      <c r="W525" s="205"/>
      <c r="X525" s="205"/>
      <c r="Y525" s="213"/>
      <c r="Z525" s="214"/>
      <c r="AA525" s="215"/>
      <c r="AB525" s="216"/>
      <c r="AC525" s="217"/>
      <c r="AD525" s="267" t="s">
        <v>4</v>
      </c>
    </row>
    <row r="526" spans="1:30" ht="17.100000000000001" customHeight="1" x14ac:dyDescent="0.25">
      <c r="A526" s="201"/>
      <c r="B526" s="202"/>
      <c r="C526" s="221"/>
      <c r="D526" s="222"/>
      <c r="E526" s="363"/>
      <c r="G526" s="206"/>
      <c r="H526" s="218"/>
      <c r="I526" s="177"/>
      <c r="J526" s="176"/>
      <c r="K526" s="207"/>
      <c r="L526" s="208"/>
      <c r="M526" s="208"/>
      <c r="N526" s="224"/>
      <c r="O526" s="225"/>
      <c r="P526" s="226"/>
      <c r="Q526" s="169"/>
      <c r="Y526" s="95"/>
      <c r="Z526" s="228"/>
      <c r="AA526" s="215"/>
      <c r="AB526" s="229"/>
      <c r="AC526" s="230"/>
      <c r="AD526" s="267" t="s">
        <v>4</v>
      </c>
    </row>
    <row r="527" spans="1:30" ht="17.100000000000001" customHeight="1" x14ac:dyDescent="0.25">
      <c r="A527" s="201"/>
      <c r="B527" s="202"/>
      <c r="C527" s="221"/>
      <c r="D527" s="222"/>
      <c r="E527" s="363"/>
      <c r="G527" s="206"/>
      <c r="H527" s="218"/>
      <c r="I527" s="177"/>
      <c r="J527" s="176"/>
      <c r="K527" s="207"/>
      <c r="L527" s="208"/>
      <c r="M527" s="208"/>
      <c r="N527" s="224"/>
      <c r="O527" s="225"/>
      <c r="P527" s="226"/>
      <c r="Q527" s="169"/>
      <c r="Y527" s="95"/>
      <c r="Z527" s="228"/>
      <c r="AA527" s="215"/>
      <c r="AB527" s="229"/>
      <c r="AC527" s="230"/>
      <c r="AD527" s="267" t="s">
        <v>4</v>
      </c>
    </row>
    <row r="528" spans="1:30" ht="17.100000000000001" customHeight="1" x14ac:dyDescent="0.25">
      <c r="A528" s="201"/>
      <c r="B528" s="202"/>
      <c r="C528" s="221"/>
      <c r="D528" s="222"/>
      <c r="E528" s="363"/>
      <c r="G528" s="206"/>
      <c r="H528" s="218"/>
      <c r="I528" s="177"/>
      <c r="J528" s="176"/>
      <c r="K528" s="207"/>
      <c r="L528" s="208"/>
      <c r="M528" s="208"/>
      <c r="N528" s="224"/>
      <c r="O528" s="225"/>
      <c r="P528" s="226"/>
      <c r="Q528" s="169"/>
      <c r="Y528" s="95"/>
      <c r="Z528" s="228"/>
      <c r="AA528" s="215"/>
      <c r="AB528" s="229"/>
      <c r="AC528" s="230"/>
      <c r="AD528" s="267" t="s">
        <v>4</v>
      </c>
    </row>
    <row r="529" spans="1:30" ht="17.100000000000001" customHeight="1" x14ac:dyDescent="0.25">
      <c r="A529" s="201"/>
      <c r="B529" s="202"/>
      <c r="C529" s="221"/>
      <c r="D529" s="222"/>
      <c r="E529" s="363"/>
      <c r="G529" s="206"/>
      <c r="H529" s="218"/>
      <c r="I529" s="177"/>
      <c r="J529" s="176"/>
      <c r="K529" s="207"/>
      <c r="L529" s="208"/>
      <c r="M529" s="208"/>
      <c r="N529" s="224"/>
      <c r="O529" s="225"/>
      <c r="P529" s="226"/>
      <c r="Q529" s="169"/>
      <c r="Y529" s="95"/>
      <c r="Z529" s="228"/>
      <c r="AA529" s="215"/>
      <c r="AB529" s="229"/>
      <c r="AC529" s="230"/>
      <c r="AD529" s="267" t="s">
        <v>4</v>
      </c>
    </row>
    <row r="530" spans="1:30" ht="17.100000000000001" customHeight="1" x14ac:dyDescent="0.25">
      <c r="A530" s="201"/>
      <c r="B530" s="202"/>
      <c r="C530" s="221"/>
      <c r="D530" s="222"/>
      <c r="E530" s="363"/>
      <c r="G530" s="206"/>
      <c r="H530" s="218"/>
      <c r="I530" s="177"/>
      <c r="J530" s="176"/>
      <c r="K530" s="207"/>
      <c r="L530" s="208"/>
      <c r="M530" s="208"/>
      <c r="N530" s="224"/>
      <c r="O530" s="225"/>
      <c r="P530" s="226"/>
      <c r="Q530" s="169"/>
      <c r="Y530" s="95"/>
      <c r="Z530" s="228"/>
      <c r="AA530" s="215"/>
      <c r="AB530" s="229"/>
      <c r="AC530" s="230"/>
      <c r="AD530" s="267" t="s">
        <v>4</v>
      </c>
    </row>
    <row r="531" spans="1:30" ht="17.100000000000001" customHeight="1" x14ac:dyDescent="0.25">
      <c r="A531" s="201"/>
      <c r="B531" s="202"/>
      <c r="C531" s="221"/>
      <c r="D531" s="222"/>
      <c r="E531" s="363"/>
      <c r="G531" s="206"/>
      <c r="H531" s="218"/>
      <c r="I531" s="177"/>
      <c r="J531" s="176"/>
      <c r="K531" s="207"/>
      <c r="L531" s="208"/>
      <c r="M531" s="208"/>
      <c r="N531" s="224"/>
      <c r="O531" s="225"/>
      <c r="P531" s="226"/>
      <c r="Q531" s="169"/>
      <c r="Y531" s="95"/>
      <c r="Z531" s="228"/>
      <c r="AA531" s="215"/>
      <c r="AB531" s="229"/>
      <c r="AC531" s="230"/>
      <c r="AD531" s="267" t="s">
        <v>4</v>
      </c>
    </row>
    <row r="532" spans="1:30" ht="17.100000000000001" customHeight="1" x14ac:dyDescent="0.25">
      <c r="A532" s="201"/>
      <c r="B532" s="202"/>
      <c r="C532" s="221"/>
      <c r="D532" s="222"/>
      <c r="E532" s="363"/>
      <c r="G532" s="206"/>
      <c r="H532" s="218"/>
      <c r="I532" s="177"/>
      <c r="J532" s="176"/>
      <c r="K532" s="207"/>
      <c r="L532" s="208"/>
      <c r="M532" s="208"/>
      <c r="N532" s="224"/>
      <c r="O532" s="225"/>
      <c r="P532" s="226"/>
      <c r="Q532" s="169"/>
      <c r="Y532" s="95"/>
      <c r="Z532" s="228"/>
      <c r="AA532" s="215"/>
      <c r="AB532" s="229"/>
      <c r="AC532" s="230"/>
      <c r="AD532" s="267" t="s">
        <v>4</v>
      </c>
    </row>
    <row r="533" spans="1:30" ht="17.100000000000001" customHeight="1" x14ac:dyDescent="0.25">
      <c r="A533" s="201"/>
      <c r="B533" s="202"/>
      <c r="C533" s="221"/>
      <c r="D533" s="222"/>
      <c r="E533" s="363"/>
      <c r="G533" s="206"/>
      <c r="H533" s="218"/>
      <c r="I533" s="177"/>
      <c r="J533" s="176"/>
      <c r="K533" s="207"/>
      <c r="L533" s="208"/>
      <c r="M533" s="208"/>
      <c r="N533" s="224"/>
      <c r="O533" s="225"/>
      <c r="P533" s="226"/>
      <c r="Q533" s="169"/>
      <c r="Y533" s="95"/>
      <c r="Z533" s="228"/>
      <c r="AA533" s="215"/>
      <c r="AB533" s="229"/>
      <c r="AC533" s="230"/>
      <c r="AD533" s="267" t="s">
        <v>4</v>
      </c>
    </row>
    <row r="534" spans="1:30" ht="17.100000000000001" customHeight="1" x14ac:dyDescent="0.25">
      <c r="A534" s="201"/>
      <c r="B534" s="202"/>
      <c r="C534" s="221"/>
      <c r="D534" s="222"/>
      <c r="E534" s="363"/>
      <c r="G534" s="206"/>
      <c r="H534" s="218"/>
      <c r="I534" s="177"/>
      <c r="J534" s="176"/>
      <c r="K534" s="207"/>
      <c r="L534" s="208"/>
      <c r="M534" s="208"/>
      <c r="N534" s="224"/>
      <c r="O534" s="225"/>
      <c r="P534" s="226"/>
      <c r="Q534" s="169"/>
      <c r="Y534" s="95"/>
      <c r="Z534" s="228"/>
      <c r="AA534" s="215"/>
      <c r="AB534" s="229"/>
      <c r="AC534" s="230"/>
      <c r="AD534" s="267" t="s">
        <v>4</v>
      </c>
    </row>
    <row r="535" spans="1:30" ht="17.100000000000001" customHeight="1" x14ac:dyDescent="0.25">
      <c r="A535" s="201"/>
      <c r="B535" s="202"/>
      <c r="C535" s="203"/>
      <c r="D535" s="204"/>
      <c r="E535" s="363"/>
      <c r="F535" s="205"/>
      <c r="G535" s="206"/>
      <c r="H535" s="218"/>
      <c r="I535" s="177"/>
      <c r="J535" s="176"/>
      <c r="K535" s="207"/>
      <c r="L535" s="208"/>
      <c r="M535" s="208"/>
      <c r="N535" s="209"/>
      <c r="O535" s="210"/>
      <c r="P535" s="211"/>
      <c r="Q535" s="220"/>
      <c r="R535" s="212"/>
      <c r="S535" s="205"/>
      <c r="T535" s="205"/>
      <c r="U535" s="205"/>
      <c r="W535" s="205"/>
      <c r="X535" s="205"/>
      <c r="Y535" s="213"/>
      <c r="Z535" s="214"/>
      <c r="AA535" s="215"/>
      <c r="AB535" s="216"/>
      <c r="AC535" s="217"/>
      <c r="AD535" s="267" t="s">
        <v>4</v>
      </c>
    </row>
    <row r="536" spans="1:30" ht="17.100000000000001" customHeight="1" x14ac:dyDescent="0.25">
      <c r="A536" s="201"/>
      <c r="B536" s="202"/>
      <c r="C536" s="221"/>
      <c r="D536" s="222"/>
      <c r="E536" s="363"/>
      <c r="G536" s="206"/>
      <c r="H536" s="218"/>
      <c r="I536" s="177"/>
      <c r="J536" s="176"/>
      <c r="K536" s="207"/>
      <c r="L536" s="208"/>
      <c r="M536" s="208"/>
      <c r="N536" s="224"/>
      <c r="O536" s="225"/>
      <c r="P536" s="226"/>
      <c r="Q536" s="169"/>
      <c r="Y536" s="95"/>
      <c r="Z536" s="228"/>
      <c r="AA536" s="215"/>
      <c r="AB536" s="229"/>
      <c r="AC536" s="230"/>
      <c r="AD536" s="267" t="s">
        <v>4</v>
      </c>
    </row>
    <row r="537" spans="1:30" ht="17.100000000000001" customHeight="1" x14ac:dyDescent="0.25">
      <c r="A537" s="201"/>
      <c r="B537" s="202"/>
      <c r="C537" s="221"/>
      <c r="D537" s="222"/>
      <c r="E537" s="363"/>
      <c r="G537" s="206"/>
      <c r="H537" s="218"/>
      <c r="I537" s="177"/>
      <c r="J537" s="176"/>
      <c r="K537" s="207"/>
      <c r="L537" s="208"/>
      <c r="M537" s="208"/>
      <c r="N537" s="224"/>
      <c r="O537" s="225"/>
      <c r="P537" s="226"/>
      <c r="Q537" s="169"/>
      <c r="Y537" s="95"/>
      <c r="Z537" s="228"/>
      <c r="AA537" s="215"/>
      <c r="AB537" s="229"/>
      <c r="AC537" s="230"/>
      <c r="AD537" s="267" t="s">
        <v>4</v>
      </c>
    </row>
    <row r="538" spans="1:30" ht="17.100000000000001" customHeight="1" x14ac:dyDescent="0.25">
      <c r="A538" s="201"/>
      <c r="B538" s="202"/>
      <c r="C538" s="221"/>
      <c r="D538" s="222"/>
      <c r="E538" s="363"/>
      <c r="G538" s="206"/>
      <c r="H538" s="218"/>
      <c r="I538" s="177"/>
      <c r="J538" s="176"/>
      <c r="K538" s="207"/>
      <c r="L538" s="208"/>
      <c r="M538" s="208"/>
      <c r="N538" s="224"/>
      <c r="O538" s="225"/>
      <c r="P538" s="226"/>
      <c r="Q538" s="169"/>
      <c r="Y538" s="95"/>
      <c r="Z538" s="228"/>
      <c r="AA538" s="215"/>
      <c r="AB538" s="229"/>
      <c r="AC538" s="230"/>
      <c r="AD538" s="267" t="s">
        <v>4</v>
      </c>
    </row>
    <row r="539" spans="1:30" ht="17.100000000000001" customHeight="1" x14ac:dyDescent="0.25">
      <c r="A539" s="201"/>
      <c r="B539" s="202"/>
      <c r="C539" s="221"/>
      <c r="D539" s="222"/>
      <c r="E539" s="363"/>
      <c r="G539" s="206"/>
      <c r="H539" s="218"/>
      <c r="I539" s="177"/>
      <c r="J539" s="176"/>
      <c r="K539" s="207"/>
      <c r="L539" s="208"/>
      <c r="M539" s="208"/>
      <c r="N539" s="224"/>
      <c r="O539" s="225"/>
      <c r="P539" s="226"/>
      <c r="Q539" s="169"/>
      <c r="Y539" s="95"/>
      <c r="Z539" s="228"/>
      <c r="AA539" s="215"/>
      <c r="AB539" s="229"/>
      <c r="AC539" s="230"/>
      <c r="AD539" s="267" t="s">
        <v>4</v>
      </c>
    </row>
    <row r="540" spans="1:30" ht="17.100000000000001" customHeight="1" x14ac:dyDescent="0.25">
      <c r="A540" s="201"/>
      <c r="B540" s="202"/>
      <c r="C540" s="221"/>
      <c r="D540" s="222"/>
      <c r="E540" s="363"/>
      <c r="G540" s="206"/>
      <c r="H540" s="218"/>
      <c r="I540" s="177"/>
      <c r="J540" s="176"/>
      <c r="K540" s="207"/>
      <c r="L540" s="208"/>
      <c r="M540" s="208"/>
      <c r="N540" s="224"/>
      <c r="O540" s="225"/>
      <c r="P540" s="226"/>
      <c r="Q540" s="169"/>
      <c r="Y540" s="95"/>
      <c r="Z540" s="228"/>
      <c r="AA540" s="215"/>
      <c r="AB540" s="229"/>
      <c r="AC540" s="230"/>
      <c r="AD540" s="267" t="s">
        <v>4</v>
      </c>
    </row>
    <row r="541" spans="1:30" ht="17.100000000000001" customHeight="1" x14ac:dyDescent="0.25">
      <c r="A541" s="201"/>
      <c r="B541" s="202"/>
      <c r="C541" s="221"/>
      <c r="D541" s="222"/>
      <c r="E541" s="363"/>
      <c r="G541" s="206"/>
      <c r="H541" s="218"/>
      <c r="I541" s="177"/>
      <c r="J541" s="176"/>
      <c r="K541" s="207"/>
      <c r="L541" s="208"/>
      <c r="M541" s="208"/>
      <c r="N541" s="224"/>
      <c r="O541" s="225"/>
      <c r="P541" s="226"/>
      <c r="Q541" s="169"/>
      <c r="Y541" s="95"/>
      <c r="Z541" s="228"/>
      <c r="AA541" s="215"/>
      <c r="AB541" s="229"/>
      <c r="AC541" s="230"/>
      <c r="AD541" s="267" t="s">
        <v>4</v>
      </c>
    </row>
    <row r="542" spans="1:30" ht="17.100000000000001" customHeight="1" x14ac:dyDescent="0.25">
      <c r="A542" s="201"/>
      <c r="B542" s="202"/>
      <c r="C542" s="221"/>
      <c r="D542" s="222"/>
      <c r="E542" s="363"/>
      <c r="G542" s="206"/>
      <c r="H542" s="218"/>
      <c r="I542" s="177"/>
      <c r="J542" s="176"/>
      <c r="K542" s="207"/>
      <c r="L542" s="208"/>
      <c r="M542" s="208"/>
      <c r="N542" s="224"/>
      <c r="O542" s="225"/>
      <c r="P542" s="226"/>
      <c r="Q542" s="169"/>
      <c r="Y542" s="95"/>
      <c r="Z542" s="228"/>
      <c r="AA542" s="215"/>
      <c r="AB542" s="229"/>
      <c r="AC542" s="230"/>
      <c r="AD542" s="267" t="s">
        <v>4</v>
      </c>
    </row>
    <row r="543" spans="1:30" ht="17.100000000000001" customHeight="1" x14ac:dyDescent="0.25">
      <c r="A543" s="201"/>
      <c r="B543" s="202"/>
      <c r="C543" s="221"/>
      <c r="D543" s="222"/>
      <c r="E543" s="363"/>
      <c r="G543" s="206"/>
      <c r="H543" s="218"/>
      <c r="I543" s="177"/>
      <c r="J543" s="176"/>
      <c r="K543" s="207"/>
      <c r="L543" s="208"/>
      <c r="M543" s="208"/>
      <c r="N543" s="224"/>
      <c r="O543" s="225"/>
      <c r="P543" s="226"/>
      <c r="Q543" s="169"/>
      <c r="Y543" s="95"/>
      <c r="Z543" s="228"/>
      <c r="AA543" s="215"/>
      <c r="AB543" s="229"/>
      <c r="AC543" s="230"/>
      <c r="AD543" s="267" t="s">
        <v>4</v>
      </c>
    </row>
    <row r="544" spans="1:30" ht="17.100000000000001" customHeight="1" x14ac:dyDescent="0.25">
      <c r="A544" s="201"/>
      <c r="B544" s="202"/>
      <c r="C544" s="221"/>
      <c r="D544" s="222"/>
      <c r="E544" s="363"/>
      <c r="G544" s="206"/>
      <c r="H544" s="218"/>
      <c r="I544" s="177"/>
      <c r="J544" s="176"/>
      <c r="K544" s="207"/>
      <c r="L544" s="208"/>
      <c r="M544" s="208"/>
      <c r="N544" s="224"/>
      <c r="O544" s="225"/>
      <c r="P544" s="226"/>
      <c r="Q544" s="169"/>
      <c r="Y544" s="95"/>
      <c r="Z544" s="228"/>
      <c r="AA544" s="215"/>
      <c r="AB544" s="229"/>
      <c r="AC544" s="230"/>
      <c r="AD544" s="267" t="s">
        <v>4</v>
      </c>
    </row>
    <row r="545" spans="1:30" ht="17.100000000000001" customHeight="1" x14ac:dyDescent="0.25">
      <c r="A545" s="201"/>
      <c r="B545" s="202"/>
      <c r="C545" s="221"/>
      <c r="D545" s="222"/>
      <c r="E545" s="363"/>
      <c r="G545" s="206"/>
      <c r="H545" s="218"/>
      <c r="I545" s="177"/>
      <c r="J545" s="176"/>
      <c r="K545" s="207"/>
      <c r="L545" s="208"/>
      <c r="M545" s="208"/>
      <c r="N545" s="224"/>
      <c r="O545" s="225"/>
      <c r="P545" s="226"/>
      <c r="Q545" s="169"/>
      <c r="Y545" s="95"/>
      <c r="Z545" s="228"/>
      <c r="AA545" s="215"/>
      <c r="AB545" s="229"/>
      <c r="AC545" s="230"/>
      <c r="AD545" s="267" t="s">
        <v>4</v>
      </c>
    </row>
    <row r="546" spans="1:30" ht="17.100000000000001" customHeight="1" x14ac:dyDescent="0.25">
      <c r="A546" s="201"/>
      <c r="B546" s="202"/>
      <c r="C546" s="203"/>
      <c r="D546" s="204"/>
      <c r="E546" s="363"/>
      <c r="F546" s="205"/>
      <c r="G546" s="206"/>
      <c r="H546" s="218"/>
      <c r="I546" s="177"/>
      <c r="J546" s="176"/>
      <c r="K546" s="207"/>
      <c r="L546" s="208"/>
      <c r="M546" s="208"/>
      <c r="N546" s="209"/>
      <c r="O546" s="210"/>
      <c r="P546" s="211"/>
      <c r="Q546" s="220"/>
      <c r="R546" s="205"/>
      <c r="S546" s="205"/>
      <c r="T546" s="205"/>
      <c r="U546" s="205"/>
      <c r="V546" s="205"/>
      <c r="W546" s="205"/>
      <c r="X546" s="205"/>
      <c r="Y546" s="213"/>
      <c r="Z546" s="214"/>
      <c r="AA546" s="215"/>
      <c r="AB546" s="216"/>
      <c r="AC546" s="217"/>
      <c r="AD546" s="267" t="s">
        <v>4</v>
      </c>
    </row>
    <row r="547" spans="1:30" ht="17.100000000000001" customHeight="1" x14ac:dyDescent="0.25">
      <c r="A547" s="201"/>
      <c r="B547" s="202"/>
      <c r="C547" s="221"/>
      <c r="D547" s="222"/>
      <c r="E547" s="363"/>
      <c r="G547" s="206"/>
      <c r="H547" s="218"/>
      <c r="I547" s="177"/>
      <c r="J547" s="176"/>
      <c r="K547" s="207"/>
      <c r="L547" s="208"/>
      <c r="M547" s="208"/>
      <c r="N547" s="224"/>
      <c r="O547" s="225"/>
      <c r="P547" s="226"/>
      <c r="Q547" s="169"/>
      <c r="Y547" s="95"/>
      <c r="Z547" s="228"/>
      <c r="AA547" s="215"/>
      <c r="AB547" s="229"/>
      <c r="AC547" s="230"/>
      <c r="AD547" s="267" t="s">
        <v>4</v>
      </c>
    </row>
    <row r="548" spans="1:30" ht="17.100000000000001" customHeight="1" x14ac:dyDescent="0.25">
      <c r="A548" s="201"/>
      <c r="B548" s="202"/>
      <c r="C548" s="221"/>
      <c r="D548" s="222"/>
      <c r="E548" s="363"/>
      <c r="G548" s="206"/>
      <c r="H548" s="218"/>
      <c r="I548" s="177"/>
      <c r="J548" s="176"/>
      <c r="K548" s="207"/>
      <c r="L548" s="208"/>
      <c r="M548" s="208"/>
      <c r="N548" s="224"/>
      <c r="O548" s="225"/>
      <c r="P548" s="226"/>
      <c r="Q548" s="220"/>
      <c r="R548" s="233"/>
      <c r="Y548" s="95"/>
      <c r="Z548" s="228"/>
      <c r="AA548" s="215"/>
      <c r="AB548" s="229"/>
      <c r="AC548" s="230"/>
      <c r="AD548" s="267" t="s">
        <v>4</v>
      </c>
    </row>
    <row r="549" spans="1:30" ht="17.100000000000001" customHeight="1" x14ac:dyDescent="0.25">
      <c r="A549" s="201"/>
      <c r="B549" s="202"/>
      <c r="C549" s="221"/>
      <c r="D549" s="222"/>
      <c r="E549" s="363"/>
      <c r="G549" s="206"/>
      <c r="H549" s="218"/>
      <c r="I549" s="177"/>
      <c r="J549" s="176"/>
      <c r="K549" s="207"/>
      <c r="L549" s="208"/>
      <c r="M549" s="208"/>
      <c r="N549" s="224"/>
      <c r="O549" s="225"/>
      <c r="P549" s="226"/>
      <c r="Q549" s="220"/>
      <c r="R549" s="233"/>
      <c r="Y549" s="95"/>
      <c r="Z549" s="228"/>
      <c r="AA549" s="215"/>
      <c r="AB549" s="229"/>
      <c r="AC549" s="230"/>
      <c r="AD549" s="267" t="s">
        <v>4</v>
      </c>
    </row>
    <row r="550" spans="1:30" ht="17.100000000000001" customHeight="1" x14ac:dyDescent="0.25">
      <c r="A550" s="201"/>
      <c r="B550" s="202"/>
      <c r="C550" s="221"/>
      <c r="D550" s="222"/>
      <c r="E550" s="363"/>
      <c r="G550" s="206"/>
      <c r="H550" s="218"/>
      <c r="I550" s="177"/>
      <c r="J550" s="176"/>
      <c r="K550" s="207"/>
      <c r="L550" s="208"/>
      <c r="M550" s="208"/>
      <c r="N550" s="224"/>
      <c r="O550" s="225"/>
      <c r="P550" s="226"/>
      <c r="Q550" s="169"/>
      <c r="Y550" s="95"/>
      <c r="Z550" s="228"/>
      <c r="AA550" s="215"/>
      <c r="AB550" s="229"/>
      <c r="AC550" s="230"/>
      <c r="AD550" s="267" t="s">
        <v>4</v>
      </c>
    </row>
    <row r="551" spans="1:30" ht="17.100000000000001" customHeight="1" x14ac:dyDescent="0.25">
      <c r="A551" s="201"/>
      <c r="B551" s="202"/>
      <c r="C551" s="221"/>
      <c r="D551" s="222"/>
      <c r="E551" s="363"/>
      <c r="G551" s="206"/>
      <c r="H551" s="218"/>
      <c r="I551" s="177"/>
      <c r="J551" s="176"/>
      <c r="K551" s="207"/>
      <c r="L551" s="208"/>
      <c r="M551" s="208"/>
      <c r="N551" s="224"/>
      <c r="O551" s="225"/>
      <c r="P551" s="226"/>
      <c r="Q551" s="169"/>
      <c r="Y551" s="95"/>
      <c r="Z551" s="228"/>
      <c r="AA551" s="215"/>
      <c r="AB551" s="229"/>
      <c r="AC551" s="230"/>
      <c r="AD551" s="267" t="s">
        <v>4</v>
      </c>
    </row>
    <row r="552" spans="1:30" ht="17.100000000000001" customHeight="1" x14ac:dyDescent="0.25">
      <c r="A552" s="201"/>
      <c r="B552" s="202"/>
      <c r="C552" s="221"/>
      <c r="D552" s="222"/>
      <c r="E552" s="363"/>
      <c r="G552" s="206"/>
      <c r="H552" s="218"/>
      <c r="I552" s="177"/>
      <c r="J552" s="176"/>
      <c r="K552" s="207"/>
      <c r="L552" s="208"/>
      <c r="M552" s="208"/>
      <c r="N552" s="224"/>
      <c r="O552" s="225"/>
      <c r="P552" s="226"/>
      <c r="Q552" s="169"/>
      <c r="R552" s="233"/>
      <c r="Y552" s="95"/>
      <c r="Z552" s="228"/>
      <c r="AA552" s="215"/>
      <c r="AB552" s="229"/>
      <c r="AC552" s="230"/>
      <c r="AD552" s="267" t="s">
        <v>4</v>
      </c>
    </row>
    <row r="553" spans="1:30" ht="17.100000000000001" customHeight="1" x14ac:dyDescent="0.25">
      <c r="A553" s="201"/>
      <c r="B553" s="202"/>
      <c r="C553" s="221"/>
      <c r="D553" s="222"/>
      <c r="E553" s="363"/>
      <c r="G553" s="206"/>
      <c r="H553" s="218"/>
      <c r="I553" s="177"/>
      <c r="J553" s="176"/>
      <c r="K553" s="207"/>
      <c r="L553" s="208"/>
      <c r="M553" s="208"/>
      <c r="N553" s="224"/>
      <c r="O553" s="225"/>
      <c r="P553" s="226"/>
      <c r="Q553" s="169"/>
      <c r="Y553" s="95"/>
      <c r="Z553" s="228"/>
      <c r="AA553" s="215"/>
      <c r="AB553" s="229"/>
      <c r="AC553" s="230"/>
      <c r="AD553" s="267" t="s">
        <v>4</v>
      </c>
    </row>
    <row r="554" spans="1:30" ht="17.100000000000001" customHeight="1" x14ac:dyDescent="0.25">
      <c r="A554" s="201"/>
      <c r="B554" s="202"/>
      <c r="C554" s="221"/>
      <c r="D554" s="222"/>
      <c r="E554" s="363"/>
      <c r="G554" s="206"/>
      <c r="H554" s="218"/>
      <c r="I554" s="177"/>
      <c r="J554" s="176"/>
      <c r="K554" s="207"/>
      <c r="L554" s="208"/>
      <c r="M554" s="208"/>
      <c r="N554" s="224"/>
      <c r="O554" s="225"/>
      <c r="P554" s="226"/>
      <c r="Q554" s="169"/>
      <c r="Y554" s="95"/>
      <c r="Z554" s="228"/>
      <c r="AA554" s="215"/>
      <c r="AB554" s="229"/>
      <c r="AC554" s="230"/>
      <c r="AD554" s="267" t="s">
        <v>4</v>
      </c>
    </row>
    <row r="555" spans="1:30" ht="17.100000000000001" customHeight="1" x14ac:dyDescent="0.25">
      <c r="A555" s="201"/>
      <c r="B555" s="202"/>
      <c r="C555" s="221"/>
      <c r="D555" s="222"/>
      <c r="E555" s="363"/>
      <c r="G555" s="206"/>
      <c r="H555" s="218"/>
      <c r="I555" s="177"/>
      <c r="J555" s="176"/>
      <c r="K555" s="207"/>
      <c r="L555" s="208"/>
      <c r="M555" s="208"/>
      <c r="N555" s="224"/>
      <c r="O555" s="225"/>
      <c r="P555" s="226"/>
      <c r="Q555" s="169"/>
      <c r="Y555" s="95"/>
      <c r="Z555" s="228"/>
      <c r="AA555" s="215"/>
      <c r="AB555" s="229"/>
      <c r="AC555" s="230"/>
      <c r="AD555" s="267" t="s">
        <v>4</v>
      </c>
    </row>
    <row r="556" spans="1:30" ht="17.100000000000001" customHeight="1" x14ac:dyDescent="0.25">
      <c r="A556" s="201"/>
      <c r="B556" s="202"/>
      <c r="C556" s="221"/>
      <c r="D556" s="222"/>
      <c r="E556" s="363"/>
      <c r="G556" s="206"/>
      <c r="H556" s="218"/>
      <c r="I556" s="177"/>
      <c r="J556" s="176"/>
      <c r="K556" s="207"/>
      <c r="L556" s="208"/>
      <c r="M556" s="208"/>
      <c r="N556" s="224"/>
      <c r="O556" s="225"/>
      <c r="P556" s="226"/>
      <c r="Q556" s="169"/>
      <c r="Y556" s="95"/>
      <c r="Z556" s="228"/>
      <c r="AA556" s="215"/>
      <c r="AB556" s="229"/>
      <c r="AC556" s="230"/>
      <c r="AD556" s="267" t="s">
        <v>4</v>
      </c>
    </row>
    <row r="557" spans="1:30" ht="17.100000000000001" customHeight="1" x14ac:dyDescent="0.25">
      <c r="A557" s="201"/>
      <c r="B557" s="202"/>
      <c r="C557" s="221"/>
      <c r="D557" s="222"/>
      <c r="E557" s="363"/>
      <c r="G557" s="206"/>
      <c r="H557" s="218"/>
      <c r="I557" s="177"/>
      <c r="J557" s="176"/>
      <c r="K557" s="207"/>
      <c r="L557" s="208"/>
      <c r="M557" s="208"/>
      <c r="N557" s="224"/>
      <c r="O557" s="225"/>
      <c r="P557" s="226"/>
      <c r="Q557" s="169"/>
      <c r="Y557" s="95"/>
      <c r="Z557" s="228"/>
      <c r="AA557" s="215"/>
      <c r="AB557" s="229"/>
      <c r="AC557" s="230"/>
      <c r="AD557" s="267" t="s">
        <v>4</v>
      </c>
    </row>
    <row r="558" spans="1:30" ht="17.100000000000001" customHeight="1" x14ac:dyDescent="0.25">
      <c r="A558" s="201"/>
      <c r="B558" s="202"/>
      <c r="C558" s="203"/>
      <c r="D558" s="204"/>
      <c r="E558" s="363"/>
      <c r="F558" s="205"/>
      <c r="G558" s="206"/>
      <c r="H558" s="218"/>
      <c r="I558" s="177"/>
      <c r="J558" s="176"/>
      <c r="K558" s="207"/>
      <c r="L558" s="208"/>
      <c r="M558" s="208"/>
      <c r="N558" s="209"/>
      <c r="O558" s="210"/>
      <c r="P558" s="211"/>
      <c r="Q558" s="220"/>
      <c r="R558" s="205"/>
      <c r="S558" s="205"/>
      <c r="T558" s="205"/>
      <c r="U558" s="205"/>
      <c r="V558" s="205"/>
      <c r="W558" s="205"/>
      <c r="X558" s="205"/>
      <c r="Y558" s="213"/>
      <c r="Z558" s="228"/>
      <c r="AA558" s="215"/>
      <c r="AB558" s="216"/>
      <c r="AC558" s="217"/>
      <c r="AD558" s="267" t="s">
        <v>4</v>
      </c>
    </row>
    <row r="559" spans="1:30" ht="17.100000000000001" customHeight="1" x14ac:dyDescent="0.25">
      <c r="A559" s="201"/>
      <c r="B559" s="202"/>
      <c r="C559" s="221"/>
      <c r="D559" s="222"/>
      <c r="E559" s="363"/>
      <c r="G559" s="206"/>
      <c r="H559" s="218"/>
      <c r="I559" s="177"/>
      <c r="J559" s="176"/>
      <c r="K559" s="207"/>
      <c r="L559" s="208"/>
      <c r="M559" s="208"/>
      <c r="N559" s="224"/>
      <c r="O559" s="225"/>
      <c r="P559" s="226"/>
      <c r="Q559" s="169"/>
      <c r="Y559" s="95"/>
      <c r="Z559" s="228"/>
      <c r="AA559" s="215"/>
      <c r="AB559" s="229"/>
      <c r="AC559" s="230"/>
      <c r="AD559" s="267" t="s">
        <v>4</v>
      </c>
    </row>
    <row r="560" spans="1:30" ht="17.100000000000001" customHeight="1" x14ac:dyDescent="0.25">
      <c r="A560" s="201"/>
      <c r="B560" s="202"/>
      <c r="C560" s="221"/>
      <c r="D560" s="222"/>
      <c r="E560" s="363"/>
      <c r="G560" s="206"/>
      <c r="H560" s="218"/>
      <c r="I560" s="177"/>
      <c r="J560" s="176"/>
      <c r="K560" s="207"/>
      <c r="L560" s="208"/>
      <c r="M560" s="208"/>
      <c r="N560" s="224"/>
      <c r="O560" s="225"/>
      <c r="P560" s="226"/>
      <c r="Q560" s="169"/>
      <c r="Y560" s="95"/>
      <c r="Z560" s="228"/>
      <c r="AA560" s="215"/>
      <c r="AB560" s="229"/>
      <c r="AC560" s="230"/>
      <c r="AD560" s="267" t="s">
        <v>4</v>
      </c>
    </row>
    <row r="561" spans="1:30" ht="17.100000000000001" customHeight="1" x14ac:dyDescent="0.25">
      <c r="A561" s="201"/>
      <c r="B561" s="202"/>
      <c r="C561" s="221"/>
      <c r="D561" s="222"/>
      <c r="E561" s="363"/>
      <c r="G561" s="206"/>
      <c r="H561" s="218"/>
      <c r="I561" s="177"/>
      <c r="J561" s="176"/>
      <c r="K561" s="207"/>
      <c r="L561" s="208"/>
      <c r="M561" s="208"/>
      <c r="N561" s="224"/>
      <c r="O561" s="225"/>
      <c r="P561" s="226"/>
      <c r="Q561" s="169"/>
      <c r="Y561" s="95"/>
      <c r="Z561" s="228"/>
      <c r="AA561" s="215"/>
      <c r="AB561" s="229"/>
      <c r="AC561" s="230"/>
      <c r="AD561" s="267" t="s">
        <v>4</v>
      </c>
    </row>
    <row r="562" spans="1:30" ht="17.100000000000001" customHeight="1" x14ac:dyDescent="0.25">
      <c r="A562" s="201"/>
      <c r="B562" s="202"/>
      <c r="C562" s="221"/>
      <c r="D562" s="222"/>
      <c r="E562" s="363"/>
      <c r="G562" s="206"/>
      <c r="H562" s="218"/>
      <c r="I562" s="177"/>
      <c r="J562" s="176"/>
      <c r="K562" s="207"/>
      <c r="L562" s="208"/>
      <c r="M562" s="208"/>
      <c r="N562" s="224"/>
      <c r="O562" s="225"/>
      <c r="P562" s="226"/>
      <c r="Q562" s="169"/>
      <c r="Y562" s="95"/>
      <c r="Z562" s="228"/>
      <c r="AA562" s="215"/>
      <c r="AB562" s="229"/>
      <c r="AC562" s="230"/>
      <c r="AD562" s="267" t="s">
        <v>4</v>
      </c>
    </row>
    <row r="563" spans="1:30" ht="17.100000000000001" customHeight="1" x14ac:dyDescent="0.25">
      <c r="A563" s="201"/>
      <c r="B563" s="202"/>
      <c r="C563" s="221"/>
      <c r="D563" s="222"/>
      <c r="E563" s="363"/>
      <c r="G563" s="206"/>
      <c r="H563" s="218"/>
      <c r="I563" s="177"/>
      <c r="J563" s="176"/>
      <c r="K563" s="207"/>
      <c r="L563" s="208"/>
      <c r="M563" s="208"/>
      <c r="N563" s="224"/>
      <c r="O563" s="225"/>
      <c r="P563" s="226"/>
      <c r="Q563" s="169"/>
      <c r="Y563" s="95"/>
      <c r="Z563" s="228"/>
      <c r="AA563" s="215"/>
      <c r="AB563" s="229"/>
      <c r="AC563" s="230"/>
      <c r="AD563" s="267" t="s">
        <v>4</v>
      </c>
    </row>
    <row r="564" spans="1:30" ht="17.100000000000001" customHeight="1" x14ac:dyDescent="0.25">
      <c r="A564" s="201"/>
      <c r="B564" s="202"/>
      <c r="C564" s="221"/>
      <c r="D564" s="222"/>
      <c r="E564" s="363"/>
      <c r="G564" s="206"/>
      <c r="H564" s="218"/>
      <c r="I564" s="177"/>
      <c r="J564" s="176"/>
      <c r="K564" s="207"/>
      <c r="L564" s="208"/>
      <c r="M564" s="208"/>
      <c r="N564" s="224"/>
      <c r="O564" s="225"/>
      <c r="P564" s="226"/>
      <c r="Q564" s="169"/>
      <c r="Y564" s="95"/>
      <c r="Z564" s="228"/>
      <c r="AA564" s="215"/>
      <c r="AB564" s="229"/>
      <c r="AC564" s="230"/>
      <c r="AD564" s="267" t="s">
        <v>4</v>
      </c>
    </row>
    <row r="565" spans="1:30" ht="17.100000000000001" customHeight="1" x14ac:dyDescent="0.25">
      <c r="A565" s="201"/>
      <c r="B565" s="202"/>
      <c r="C565" s="221"/>
      <c r="D565" s="222"/>
      <c r="E565" s="363"/>
      <c r="G565" s="206"/>
      <c r="H565" s="218"/>
      <c r="I565" s="177"/>
      <c r="J565" s="176"/>
      <c r="K565" s="207"/>
      <c r="L565" s="208"/>
      <c r="M565" s="208"/>
      <c r="N565" s="224"/>
      <c r="O565" s="225"/>
      <c r="P565" s="226"/>
      <c r="Q565" s="169"/>
      <c r="Y565" s="95"/>
      <c r="Z565" s="228"/>
      <c r="AA565" s="215"/>
      <c r="AB565" s="229"/>
      <c r="AC565" s="230"/>
      <c r="AD565" s="267" t="s">
        <v>4</v>
      </c>
    </row>
    <row r="566" spans="1:30" ht="17.100000000000001" customHeight="1" x14ac:dyDescent="0.25">
      <c r="A566" s="201"/>
      <c r="B566" s="202"/>
      <c r="C566" s="203"/>
      <c r="D566" s="204"/>
      <c r="E566" s="363"/>
      <c r="F566" s="205"/>
      <c r="G566" s="206"/>
      <c r="H566" s="218"/>
      <c r="I566" s="177"/>
      <c r="J566" s="176"/>
      <c r="K566" s="207"/>
      <c r="L566" s="208"/>
      <c r="M566" s="208"/>
      <c r="N566" s="209"/>
      <c r="O566" s="210"/>
      <c r="P566" s="211"/>
      <c r="Q566" s="220"/>
      <c r="R566" s="212"/>
      <c r="S566" s="205"/>
      <c r="T566" s="205"/>
      <c r="U566" s="205"/>
      <c r="V566" s="205"/>
      <c r="W566" s="205"/>
      <c r="X566" s="205"/>
      <c r="Y566" s="213"/>
      <c r="Z566" s="214"/>
      <c r="AA566" s="215"/>
      <c r="AB566" s="216"/>
      <c r="AC566" s="217"/>
      <c r="AD566" s="267" t="s">
        <v>4</v>
      </c>
    </row>
    <row r="567" spans="1:30" ht="17.100000000000001" customHeight="1" x14ac:dyDescent="0.25">
      <c r="A567" s="201"/>
      <c r="B567" s="202"/>
      <c r="C567" s="221"/>
      <c r="D567" s="222"/>
      <c r="E567" s="363"/>
      <c r="G567" s="206"/>
      <c r="H567" s="218"/>
      <c r="I567" s="177"/>
      <c r="J567" s="176"/>
      <c r="K567" s="207"/>
      <c r="L567" s="208"/>
      <c r="M567" s="208"/>
      <c r="N567" s="224"/>
      <c r="O567" s="225"/>
      <c r="P567" s="226"/>
      <c r="Q567" s="169"/>
      <c r="Y567" s="95"/>
      <c r="Z567" s="228"/>
      <c r="AA567" s="215"/>
      <c r="AB567" s="229"/>
      <c r="AC567" s="230"/>
      <c r="AD567" s="267" t="s">
        <v>4</v>
      </c>
    </row>
    <row r="568" spans="1:30" ht="17.100000000000001" customHeight="1" x14ac:dyDescent="0.25">
      <c r="A568" s="201"/>
      <c r="B568" s="202"/>
      <c r="C568" s="221"/>
      <c r="D568" s="222"/>
      <c r="E568" s="363"/>
      <c r="G568" s="206"/>
      <c r="H568" s="218"/>
      <c r="I568" s="177"/>
      <c r="J568" s="176"/>
      <c r="K568" s="207"/>
      <c r="L568" s="208"/>
      <c r="M568" s="208"/>
      <c r="N568" s="224"/>
      <c r="O568" s="225"/>
      <c r="P568" s="226"/>
      <c r="Q568" s="169"/>
      <c r="Y568" s="95"/>
      <c r="Z568" s="228"/>
      <c r="AA568" s="215"/>
      <c r="AB568" s="229"/>
      <c r="AC568" s="230"/>
      <c r="AD568" s="267" t="s">
        <v>4</v>
      </c>
    </row>
    <row r="569" spans="1:30" ht="17.100000000000001" customHeight="1" x14ac:dyDescent="0.25">
      <c r="A569" s="201"/>
      <c r="B569" s="236"/>
      <c r="C569" s="221"/>
      <c r="D569" s="222"/>
      <c r="E569" s="363"/>
      <c r="G569" s="206"/>
      <c r="H569" s="218"/>
      <c r="I569" s="177"/>
      <c r="J569" s="176"/>
      <c r="K569" s="207"/>
      <c r="L569" s="208"/>
      <c r="M569" s="208"/>
      <c r="N569" s="224"/>
      <c r="O569" s="225"/>
      <c r="P569" s="226"/>
      <c r="Q569" s="169"/>
      <c r="Y569" s="95"/>
      <c r="Z569" s="228"/>
      <c r="AA569" s="215"/>
      <c r="AB569" s="229"/>
      <c r="AC569" s="230"/>
      <c r="AD569" s="267" t="s">
        <v>4</v>
      </c>
    </row>
    <row r="570" spans="1:30" ht="17.100000000000001" customHeight="1" x14ac:dyDescent="0.25">
      <c r="A570" s="201"/>
      <c r="B570" s="202"/>
      <c r="C570" s="221"/>
      <c r="D570" s="222"/>
      <c r="E570" s="363"/>
      <c r="G570" s="206"/>
      <c r="H570" s="218"/>
      <c r="I570" s="177"/>
      <c r="J570" s="176"/>
      <c r="K570" s="207"/>
      <c r="L570" s="208"/>
      <c r="M570" s="208"/>
      <c r="N570" s="224"/>
      <c r="O570" s="225"/>
      <c r="P570" s="226"/>
      <c r="Q570" s="169"/>
      <c r="Y570" s="95"/>
      <c r="Z570" s="228"/>
      <c r="AA570" s="215"/>
      <c r="AB570" s="229"/>
      <c r="AC570" s="230"/>
      <c r="AD570" s="267" t="s">
        <v>4</v>
      </c>
    </row>
    <row r="571" spans="1:30" ht="17.100000000000001" customHeight="1" x14ac:dyDescent="0.25">
      <c r="A571" s="201"/>
      <c r="B571" s="202"/>
      <c r="C571" s="203"/>
      <c r="D571" s="204"/>
      <c r="E571" s="363"/>
      <c r="F571" s="205"/>
      <c r="G571" s="206"/>
      <c r="H571" s="218"/>
      <c r="I571" s="177"/>
      <c r="J571" s="176"/>
      <c r="K571" s="207"/>
      <c r="L571" s="208"/>
      <c r="M571" s="208"/>
      <c r="N571" s="209"/>
      <c r="O571" s="210"/>
      <c r="P571" s="211"/>
      <c r="Q571" s="220"/>
      <c r="R571" s="205"/>
      <c r="S571" s="205"/>
      <c r="T571" s="205"/>
      <c r="U571" s="205"/>
      <c r="V571" s="205"/>
      <c r="W571" s="205"/>
      <c r="X571" s="205"/>
      <c r="Y571" s="213"/>
      <c r="Z571" s="214"/>
      <c r="AA571" s="215"/>
      <c r="AB571" s="216"/>
      <c r="AC571" s="217"/>
      <c r="AD571" s="267" t="s">
        <v>4</v>
      </c>
    </row>
    <row r="572" spans="1:30" ht="17.100000000000001" customHeight="1" x14ac:dyDescent="0.25">
      <c r="A572" s="201"/>
      <c r="B572" s="202"/>
      <c r="C572" s="203"/>
      <c r="D572" s="204"/>
      <c r="E572" s="363"/>
      <c r="F572" s="205"/>
      <c r="G572" s="206"/>
      <c r="H572" s="218"/>
      <c r="I572" s="177"/>
      <c r="J572" s="176"/>
      <c r="K572" s="207"/>
      <c r="L572" s="208"/>
      <c r="M572" s="208"/>
      <c r="N572" s="209"/>
      <c r="O572" s="210"/>
      <c r="P572" s="211"/>
      <c r="Q572" s="220"/>
      <c r="R572" s="212"/>
      <c r="S572" s="205"/>
      <c r="T572" s="205"/>
      <c r="U572" s="205"/>
      <c r="V572" s="205"/>
      <c r="W572" s="205"/>
      <c r="X572" s="205"/>
      <c r="Y572" s="213"/>
      <c r="Z572" s="214"/>
      <c r="AA572" s="215"/>
      <c r="AB572" s="216"/>
      <c r="AC572" s="217"/>
      <c r="AD572" s="267" t="s">
        <v>4</v>
      </c>
    </row>
    <row r="573" spans="1:30" ht="17.100000000000001" customHeight="1" x14ac:dyDescent="0.25">
      <c r="A573" s="201"/>
      <c r="B573" s="202"/>
      <c r="C573" s="221"/>
      <c r="D573" s="222"/>
      <c r="E573" s="363"/>
      <c r="G573" s="206"/>
      <c r="H573" s="218"/>
      <c r="I573" s="177"/>
      <c r="J573" s="176"/>
      <c r="K573" s="207"/>
      <c r="L573" s="208"/>
      <c r="M573" s="208"/>
      <c r="N573" s="224"/>
      <c r="O573" s="225"/>
      <c r="P573" s="226"/>
      <c r="Q573" s="169"/>
      <c r="R573" s="233"/>
      <c r="Y573" s="95"/>
      <c r="Z573" s="228"/>
      <c r="AA573" s="215"/>
      <c r="AB573" s="229"/>
      <c r="AC573" s="230"/>
      <c r="AD573" s="267" t="s">
        <v>4</v>
      </c>
    </row>
    <row r="574" spans="1:30" ht="17.100000000000001" customHeight="1" x14ac:dyDescent="0.25">
      <c r="A574" s="201"/>
      <c r="B574" s="202"/>
      <c r="C574" s="221"/>
      <c r="D574" s="222"/>
      <c r="E574" s="363"/>
      <c r="G574" s="206"/>
      <c r="H574" s="218"/>
      <c r="I574" s="177"/>
      <c r="J574" s="176"/>
      <c r="K574" s="207"/>
      <c r="L574" s="208"/>
      <c r="M574" s="208"/>
      <c r="N574" s="224"/>
      <c r="O574" s="225"/>
      <c r="P574" s="226"/>
      <c r="Q574" s="169"/>
      <c r="Y574" s="95"/>
      <c r="Z574" s="228"/>
      <c r="AA574" s="215"/>
      <c r="AB574" s="229"/>
      <c r="AC574" s="230"/>
      <c r="AD574" s="267" t="s">
        <v>4</v>
      </c>
    </row>
    <row r="575" spans="1:30" ht="17.100000000000001" customHeight="1" x14ac:dyDescent="0.25">
      <c r="A575" s="201"/>
      <c r="B575" s="202"/>
      <c r="C575" s="221"/>
      <c r="D575" s="222"/>
      <c r="E575" s="363"/>
      <c r="G575" s="206"/>
      <c r="H575" s="218"/>
      <c r="I575" s="177"/>
      <c r="J575" s="176"/>
      <c r="K575" s="207"/>
      <c r="L575" s="208"/>
      <c r="M575" s="208"/>
      <c r="N575" s="224"/>
      <c r="O575" s="225"/>
      <c r="P575" s="226"/>
      <c r="Q575" s="169"/>
      <c r="Y575" s="95"/>
      <c r="Z575" s="228"/>
      <c r="AA575" s="215"/>
      <c r="AB575" s="229"/>
      <c r="AC575" s="230"/>
      <c r="AD575" s="267" t="s">
        <v>4</v>
      </c>
    </row>
    <row r="576" spans="1:30" ht="17.100000000000001" customHeight="1" x14ac:dyDescent="0.25">
      <c r="A576" s="201"/>
      <c r="B576" s="202"/>
      <c r="C576" s="221"/>
      <c r="D576" s="222"/>
      <c r="E576" s="363"/>
      <c r="G576" s="206"/>
      <c r="H576" s="218"/>
      <c r="I576" s="177"/>
      <c r="J576" s="176"/>
      <c r="K576" s="207"/>
      <c r="L576" s="208"/>
      <c r="M576" s="208"/>
      <c r="N576" s="224"/>
      <c r="O576" s="225"/>
      <c r="P576" s="226"/>
      <c r="Q576" s="169"/>
      <c r="Y576" s="95"/>
      <c r="Z576" s="228"/>
      <c r="AA576" s="215"/>
      <c r="AB576" s="229"/>
      <c r="AC576" s="230"/>
      <c r="AD576" s="267" t="s">
        <v>4</v>
      </c>
    </row>
    <row r="577" spans="1:30" ht="17.100000000000001" customHeight="1" x14ac:dyDescent="0.25">
      <c r="A577" s="201"/>
      <c r="B577" s="202"/>
      <c r="C577" s="221"/>
      <c r="D577" s="222"/>
      <c r="E577" s="363"/>
      <c r="G577" s="206"/>
      <c r="H577" s="218"/>
      <c r="I577" s="177"/>
      <c r="J577" s="176"/>
      <c r="K577" s="207"/>
      <c r="L577" s="208"/>
      <c r="M577" s="208"/>
      <c r="N577" s="224"/>
      <c r="O577" s="225"/>
      <c r="P577" s="226"/>
      <c r="Q577" s="169"/>
      <c r="Y577" s="95"/>
      <c r="Z577" s="228"/>
      <c r="AA577" s="215"/>
      <c r="AB577" s="229"/>
      <c r="AC577" s="230"/>
      <c r="AD577" s="267" t="s">
        <v>4</v>
      </c>
    </row>
    <row r="578" spans="1:30" ht="17.100000000000001" customHeight="1" x14ac:dyDescent="0.25">
      <c r="A578" s="201"/>
      <c r="B578" s="202"/>
      <c r="C578" s="221"/>
      <c r="D578" s="222"/>
      <c r="E578" s="363"/>
      <c r="G578" s="206"/>
      <c r="H578" s="218"/>
      <c r="I578" s="177"/>
      <c r="J578" s="176"/>
      <c r="K578" s="207"/>
      <c r="L578" s="208"/>
      <c r="M578" s="208"/>
      <c r="N578" s="224"/>
      <c r="O578" s="225"/>
      <c r="P578" s="226"/>
      <c r="Q578" s="169"/>
      <c r="Y578" s="95"/>
      <c r="Z578" s="228"/>
      <c r="AA578" s="215"/>
      <c r="AB578" s="229"/>
      <c r="AC578" s="230"/>
      <c r="AD578" s="267" t="s">
        <v>4</v>
      </c>
    </row>
    <row r="579" spans="1:30" ht="17.100000000000001" customHeight="1" x14ac:dyDescent="0.25">
      <c r="A579" s="201"/>
      <c r="B579" s="202"/>
      <c r="C579" s="221"/>
      <c r="D579" s="222"/>
      <c r="E579" s="363"/>
      <c r="G579" s="206"/>
      <c r="H579" s="218"/>
      <c r="I579" s="177"/>
      <c r="J579" s="176"/>
      <c r="K579" s="207"/>
      <c r="L579" s="208"/>
      <c r="M579" s="208"/>
      <c r="N579" s="224"/>
      <c r="O579" s="225"/>
      <c r="P579" s="226"/>
      <c r="Q579" s="169"/>
      <c r="Y579" s="95"/>
      <c r="Z579" s="228"/>
      <c r="AA579" s="215"/>
      <c r="AB579" s="229"/>
      <c r="AC579" s="230"/>
      <c r="AD579" s="267" t="s">
        <v>4</v>
      </c>
    </row>
    <row r="580" spans="1:30" ht="17.100000000000001" customHeight="1" x14ac:dyDescent="0.25">
      <c r="A580" s="201"/>
      <c r="B580" s="202"/>
      <c r="C580" s="221"/>
      <c r="D580" s="222"/>
      <c r="E580" s="363"/>
      <c r="G580" s="206"/>
      <c r="H580" s="218"/>
      <c r="I580" s="177"/>
      <c r="J580" s="176"/>
      <c r="K580" s="207"/>
      <c r="L580" s="208"/>
      <c r="M580" s="208"/>
      <c r="N580" s="224"/>
      <c r="O580" s="225"/>
      <c r="P580" s="226"/>
      <c r="Q580" s="169"/>
      <c r="Y580" s="95"/>
      <c r="Z580" s="228"/>
      <c r="AA580" s="215"/>
      <c r="AB580" s="229"/>
      <c r="AC580" s="230"/>
      <c r="AD580" s="267" t="s">
        <v>4</v>
      </c>
    </row>
    <row r="581" spans="1:30" ht="17.100000000000001" customHeight="1" x14ac:dyDescent="0.25">
      <c r="A581" s="201"/>
      <c r="B581" s="202"/>
      <c r="C581" s="221"/>
      <c r="D581" s="222"/>
      <c r="E581" s="363"/>
      <c r="G581" s="206"/>
      <c r="H581" s="218"/>
      <c r="I581" s="177"/>
      <c r="J581" s="176"/>
      <c r="K581" s="207"/>
      <c r="L581" s="208"/>
      <c r="M581" s="208"/>
      <c r="N581" s="224"/>
      <c r="O581" s="225"/>
      <c r="P581" s="226"/>
      <c r="Q581" s="169"/>
      <c r="Y581" s="95"/>
      <c r="Z581" s="228"/>
      <c r="AA581" s="215"/>
      <c r="AB581" s="229"/>
      <c r="AC581" s="230"/>
      <c r="AD581" s="267" t="s">
        <v>4</v>
      </c>
    </row>
    <row r="582" spans="1:30" ht="17.100000000000001" customHeight="1" x14ac:dyDescent="0.25">
      <c r="A582" s="201"/>
      <c r="B582" s="202"/>
      <c r="C582" s="221"/>
      <c r="D582" s="222"/>
      <c r="E582" s="363"/>
      <c r="G582" s="206"/>
      <c r="H582" s="218"/>
      <c r="I582" s="177"/>
      <c r="J582" s="176"/>
      <c r="K582" s="207"/>
      <c r="L582" s="208"/>
      <c r="M582" s="208"/>
      <c r="N582" s="224"/>
      <c r="O582" s="225"/>
      <c r="P582" s="226"/>
      <c r="Q582" s="169"/>
      <c r="Y582" s="95"/>
      <c r="Z582" s="228"/>
      <c r="AA582" s="215"/>
      <c r="AB582" s="229"/>
      <c r="AC582" s="230"/>
      <c r="AD582" s="267" t="s">
        <v>4</v>
      </c>
    </row>
    <row r="583" spans="1:30" ht="17.100000000000001" customHeight="1" x14ac:dyDescent="0.25">
      <c r="A583" s="201"/>
      <c r="B583" s="202"/>
      <c r="C583" s="221"/>
      <c r="D583" s="222"/>
      <c r="E583" s="363"/>
      <c r="G583" s="206"/>
      <c r="H583" s="218"/>
      <c r="I583" s="177"/>
      <c r="J583" s="176"/>
      <c r="K583" s="207"/>
      <c r="L583" s="208"/>
      <c r="M583" s="208"/>
      <c r="N583" s="224"/>
      <c r="O583" s="225"/>
      <c r="P583" s="226"/>
      <c r="Q583" s="169"/>
      <c r="Y583" s="95"/>
      <c r="Z583" s="228"/>
      <c r="AA583" s="215"/>
      <c r="AB583" s="229"/>
      <c r="AC583" s="230"/>
      <c r="AD583" s="267" t="s">
        <v>4</v>
      </c>
    </row>
    <row r="584" spans="1:30" ht="17.100000000000001" customHeight="1" x14ac:dyDescent="0.25">
      <c r="A584" s="201"/>
      <c r="B584" s="202"/>
      <c r="C584" s="221"/>
      <c r="D584" s="222"/>
      <c r="E584" s="363"/>
      <c r="G584" s="206"/>
      <c r="H584" s="218"/>
      <c r="I584" s="177"/>
      <c r="J584" s="176"/>
      <c r="K584" s="207"/>
      <c r="L584" s="208"/>
      <c r="M584" s="208"/>
      <c r="N584" s="224"/>
      <c r="O584" s="225"/>
      <c r="P584" s="226"/>
      <c r="Q584" s="169"/>
      <c r="Y584" s="95"/>
      <c r="Z584" s="228"/>
      <c r="AA584" s="215"/>
      <c r="AB584" s="229"/>
      <c r="AC584" s="230"/>
      <c r="AD584" s="267" t="s">
        <v>4</v>
      </c>
    </row>
    <row r="585" spans="1:30" ht="17.100000000000001" customHeight="1" x14ac:dyDescent="0.25">
      <c r="A585" s="201"/>
      <c r="B585" s="202"/>
      <c r="C585" s="221"/>
      <c r="D585" s="222"/>
      <c r="E585" s="363"/>
      <c r="G585" s="206"/>
      <c r="H585" s="218"/>
      <c r="I585" s="177"/>
      <c r="J585" s="176"/>
      <c r="K585" s="207"/>
      <c r="L585" s="208"/>
      <c r="M585" s="208"/>
      <c r="N585" s="224"/>
      <c r="O585" s="225"/>
      <c r="P585" s="226"/>
      <c r="Q585" s="169"/>
      <c r="Y585" s="95"/>
      <c r="Z585" s="228"/>
      <c r="AA585" s="215"/>
      <c r="AB585" s="229"/>
      <c r="AC585" s="230"/>
      <c r="AD585" s="267" t="s">
        <v>4</v>
      </c>
    </row>
    <row r="586" spans="1:30" ht="17.100000000000001" customHeight="1" x14ac:dyDescent="0.25">
      <c r="A586" s="201"/>
      <c r="B586" s="202"/>
      <c r="C586" s="221"/>
      <c r="D586" s="222"/>
      <c r="E586" s="363"/>
      <c r="G586" s="206"/>
      <c r="H586" s="218"/>
      <c r="I586" s="177"/>
      <c r="J586" s="176"/>
      <c r="K586" s="207"/>
      <c r="L586" s="208"/>
      <c r="M586" s="208"/>
      <c r="N586" s="224"/>
      <c r="O586" s="225"/>
      <c r="P586" s="226"/>
      <c r="Q586" s="169"/>
      <c r="R586" s="233"/>
      <c r="Y586" s="95"/>
      <c r="Z586" s="228"/>
      <c r="AA586" s="215"/>
      <c r="AB586" s="229"/>
      <c r="AC586" s="230"/>
      <c r="AD586" s="267" t="s">
        <v>4</v>
      </c>
    </row>
    <row r="587" spans="1:30" ht="17.100000000000001" customHeight="1" x14ac:dyDescent="0.25">
      <c r="A587" s="201"/>
      <c r="B587" s="202"/>
      <c r="C587" s="221"/>
      <c r="D587" s="222"/>
      <c r="E587" s="363"/>
      <c r="G587" s="206"/>
      <c r="H587" s="218"/>
      <c r="I587" s="177"/>
      <c r="J587" s="176"/>
      <c r="K587" s="207"/>
      <c r="L587" s="208"/>
      <c r="M587" s="208"/>
      <c r="N587" s="224"/>
      <c r="O587" s="225"/>
      <c r="P587" s="226"/>
      <c r="Q587" s="169"/>
      <c r="R587" s="233"/>
      <c r="Y587" s="95"/>
      <c r="Z587" s="228"/>
      <c r="AA587" s="215"/>
      <c r="AB587" s="229"/>
      <c r="AC587" s="230"/>
      <c r="AD587" s="267" t="s">
        <v>4</v>
      </c>
    </row>
    <row r="588" spans="1:30" ht="17.100000000000001" customHeight="1" x14ac:dyDescent="0.25">
      <c r="A588" s="201"/>
      <c r="B588" s="202"/>
      <c r="C588" s="221"/>
      <c r="D588" s="222"/>
      <c r="E588" s="363"/>
      <c r="G588" s="206"/>
      <c r="H588" s="218"/>
      <c r="I588" s="177"/>
      <c r="J588" s="176"/>
      <c r="K588" s="207"/>
      <c r="L588" s="208"/>
      <c r="M588" s="208"/>
      <c r="N588" s="224"/>
      <c r="O588" s="225"/>
      <c r="P588" s="226"/>
      <c r="Q588" s="169"/>
      <c r="R588" s="233"/>
      <c r="Y588" s="95"/>
      <c r="Z588" s="228"/>
      <c r="AA588" s="215"/>
      <c r="AB588" s="229"/>
      <c r="AC588" s="230"/>
      <c r="AD588" s="267" t="s">
        <v>4</v>
      </c>
    </row>
    <row r="589" spans="1:30" ht="17.100000000000001" customHeight="1" x14ac:dyDescent="0.25">
      <c r="A589" s="201"/>
      <c r="B589" s="202"/>
      <c r="C589" s="221"/>
      <c r="D589" s="222"/>
      <c r="E589" s="363"/>
      <c r="G589" s="206"/>
      <c r="H589" s="218"/>
      <c r="I589" s="177"/>
      <c r="J589" s="176"/>
      <c r="K589" s="207"/>
      <c r="L589" s="208"/>
      <c r="M589" s="208"/>
      <c r="N589" s="224"/>
      <c r="O589" s="225"/>
      <c r="P589" s="226"/>
      <c r="Q589" s="169"/>
      <c r="R589" s="233"/>
      <c r="Y589" s="95"/>
      <c r="Z589" s="228"/>
      <c r="AA589" s="215"/>
      <c r="AB589" s="229"/>
      <c r="AC589" s="230"/>
      <c r="AD589" s="267" t="s">
        <v>4</v>
      </c>
    </row>
    <row r="590" spans="1:30" ht="17.100000000000001" customHeight="1" x14ac:dyDescent="0.25">
      <c r="A590" s="201"/>
      <c r="B590" s="202"/>
      <c r="C590" s="221"/>
      <c r="D590" s="222"/>
      <c r="E590" s="363"/>
      <c r="G590" s="206"/>
      <c r="H590" s="218"/>
      <c r="I590" s="177"/>
      <c r="J590" s="176"/>
      <c r="K590" s="207"/>
      <c r="L590" s="208"/>
      <c r="M590" s="208"/>
      <c r="N590" s="224"/>
      <c r="O590" s="225"/>
      <c r="P590" s="226"/>
      <c r="Q590" s="169"/>
      <c r="R590" s="233"/>
      <c r="Y590" s="95"/>
      <c r="Z590" s="228"/>
      <c r="AA590" s="215"/>
      <c r="AB590" s="229"/>
      <c r="AC590" s="230"/>
      <c r="AD590" s="267" t="s">
        <v>4</v>
      </c>
    </row>
    <row r="591" spans="1:30" ht="17.100000000000001" customHeight="1" x14ac:dyDescent="0.25">
      <c r="A591" s="201"/>
      <c r="B591" s="202"/>
      <c r="C591" s="221"/>
      <c r="D591" s="222"/>
      <c r="E591" s="363"/>
      <c r="G591" s="206"/>
      <c r="H591" s="218"/>
      <c r="I591" s="177"/>
      <c r="J591" s="176"/>
      <c r="K591" s="207"/>
      <c r="L591" s="208"/>
      <c r="M591" s="208"/>
      <c r="N591" s="224"/>
      <c r="O591" s="225"/>
      <c r="P591" s="226"/>
      <c r="Q591" s="169"/>
      <c r="R591" s="233"/>
      <c r="Y591" s="95"/>
      <c r="Z591" s="228"/>
      <c r="AA591" s="215"/>
      <c r="AB591" s="229"/>
      <c r="AC591" s="230"/>
      <c r="AD591" s="267" t="s">
        <v>4</v>
      </c>
    </row>
    <row r="592" spans="1:30" ht="17.100000000000001" customHeight="1" x14ac:dyDescent="0.25">
      <c r="A592" s="201"/>
      <c r="B592" s="202"/>
      <c r="C592" s="221"/>
      <c r="D592" s="222"/>
      <c r="E592" s="363"/>
      <c r="G592" s="206"/>
      <c r="H592" s="218"/>
      <c r="I592" s="177"/>
      <c r="J592" s="176"/>
      <c r="K592" s="207"/>
      <c r="L592" s="208"/>
      <c r="M592" s="208"/>
      <c r="N592" s="224"/>
      <c r="O592" s="225"/>
      <c r="P592" s="226"/>
      <c r="Q592" s="169"/>
      <c r="R592" s="233"/>
      <c r="Y592" s="95"/>
      <c r="Z592" s="228"/>
      <c r="AA592" s="215"/>
      <c r="AB592" s="229"/>
      <c r="AC592" s="230"/>
      <c r="AD592" s="267" t="s">
        <v>4</v>
      </c>
    </row>
    <row r="593" spans="1:30" ht="17.100000000000001" customHeight="1" x14ac:dyDescent="0.25">
      <c r="A593" s="201"/>
      <c r="B593" s="202"/>
      <c r="C593" s="221"/>
      <c r="D593" s="222"/>
      <c r="E593" s="363"/>
      <c r="G593" s="206"/>
      <c r="H593" s="218"/>
      <c r="I593" s="177"/>
      <c r="J593" s="176"/>
      <c r="K593" s="207"/>
      <c r="L593" s="208"/>
      <c r="M593" s="208"/>
      <c r="N593" s="224"/>
      <c r="O593" s="225"/>
      <c r="P593" s="226"/>
      <c r="Q593" s="169"/>
      <c r="R593" s="233"/>
      <c r="Y593" s="95"/>
      <c r="Z593" s="228"/>
      <c r="AA593" s="215"/>
      <c r="AB593" s="229"/>
      <c r="AC593" s="230"/>
      <c r="AD593" s="267" t="s">
        <v>4</v>
      </c>
    </row>
    <row r="594" spans="1:30" ht="17.100000000000001" customHeight="1" x14ac:dyDescent="0.25">
      <c r="A594" s="201"/>
      <c r="B594" s="202"/>
      <c r="C594" s="221"/>
      <c r="D594" s="222"/>
      <c r="E594" s="363"/>
      <c r="G594" s="206"/>
      <c r="H594" s="218"/>
      <c r="I594" s="177"/>
      <c r="J594" s="176"/>
      <c r="K594" s="207"/>
      <c r="L594" s="208"/>
      <c r="M594" s="208"/>
      <c r="N594" s="224"/>
      <c r="O594" s="225"/>
      <c r="P594" s="226"/>
      <c r="Q594" s="220"/>
      <c r="R594" s="233"/>
      <c r="Y594" s="95"/>
      <c r="Z594" s="228"/>
      <c r="AA594" s="215"/>
      <c r="AB594" s="229"/>
      <c r="AC594" s="230"/>
      <c r="AD594" s="267" t="s">
        <v>4</v>
      </c>
    </row>
    <row r="595" spans="1:30" ht="17.100000000000001" customHeight="1" x14ac:dyDescent="0.25">
      <c r="A595" s="201"/>
      <c r="B595" s="202"/>
      <c r="C595" s="221"/>
      <c r="D595" s="222"/>
      <c r="E595" s="363"/>
      <c r="G595" s="206"/>
      <c r="H595" s="218"/>
      <c r="I595" s="177"/>
      <c r="J595" s="176"/>
      <c r="K595" s="207"/>
      <c r="L595" s="208"/>
      <c r="M595" s="208"/>
      <c r="N595" s="224"/>
      <c r="O595" s="225"/>
      <c r="P595" s="226"/>
      <c r="Q595" s="169"/>
      <c r="R595" s="233"/>
      <c r="Y595" s="95"/>
      <c r="Z595" s="228"/>
      <c r="AA595" s="215"/>
      <c r="AB595" s="229"/>
      <c r="AC595" s="230"/>
      <c r="AD595" s="267" t="s">
        <v>4</v>
      </c>
    </row>
    <row r="596" spans="1:30" ht="17.100000000000001" customHeight="1" x14ac:dyDescent="0.25">
      <c r="A596" s="201"/>
      <c r="B596" s="202"/>
      <c r="C596" s="221"/>
      <c r="D596" s="222"/>
      <c r="E596" s="363"/>
      <c r="G596" s="206"/>
      <c r="H596" s="218"/>
      <c r="I596" s="177"/>
      <c r="J596" s="176"/>
      <c r="K596" s="207"/>
      <c r="L596" s="208"/>
      <c r="M596" s="208"/>
      <c r="N596" s="224"/>
      <c r="O596" s="225"/>
      <c r="P596" s="226"/>
      <c r="Q596" s="169"/>
      <c r="R596" s="233"/>
      <c r="Y596" s="95"/>
      <c r="Z596" s="228"/>
      <c r="AA596" s="215"/>
      <c r="AB596" s="229"/>
      <c r="AC596" s="230"/>
      <c r="AD596" s="267" t="s">
        <v>4</v>
      </c>
    </row>
    <row r="597" spans="1:30" ht="17.100000000000001" customHeight="1" x14ac:dyDescent="0.25">
      <c r="A597" s="201"/>
      <c r="B597" s="202"/>
      <c r="C597" s="221"/>
      <c r="D597" s="222"/>
      <c r="E597" s="363"/>
      <c r="G597" s="206"/>
      <c r="H597" s="218"/>
      <c r="I597" s="177"/>
      <c r="J597" s="176"/>
      <c r="K597" s="207"/>
      <c r="L597" s="208"/>
      <c r="M597" s="208"/>
      <c r="N597" s="224"/>
      <c r="O597" s="225"/>
      <c r="P597" s="226"/>
      <c r="Q597" s="169"/>
      <c r="R597" s="233"/>
      <c r="Y597" s="95"/>
      <c r="Z597" s="228"/>
      <c r="AA597" s="215"/>
      <c r="AB597" s="229"/>
      <c r="AC597" s="230"/>
      <c r="AD597" s="267" t="s">
        <v>4</v>
      </c>
    </row>
    <row r="598" spans="1:30" ht="17.100000000000001" customHeight="1" x14ac:dyDescent="0.25">
      <c r="A598" s="201"/>
      <c r="B598" s="202"/>
      <c r="C598" s="221"/>
      <c r="D598" s="222"/>
      <c r="E598" s="363"/>
      <c r="G598" s="206"/>
      <c r="H598" s="218"/>
      <c r="I598" s="177"/>
      <c r="J598" s="176"/>
      <c r="K598" s="207"/>
      <c r="L598" s="208"/>
      <c r="M598" s="208"/>
      <c r="N598" s="224"/>
      <c r="O598" s="225"/>
      <c r="P598" s="226"/>
      <c r="Q598" s="169"/>
      <c r="R598" s="233"/>
      <c r="Y598" s="95"/>
      <c r="Z598" s="228"/>
      <c r="AA598" s="215"/>
      <c r="AB598" s="229"/>
      <c r="AC598" s="230"/>
      <c r="AD598" s="267" t="s">
        <v>4</v>
      </c>
    </row>
    <row r="599" spans="1:30" ht="17.100000000000001" customHeight="1" x14ac:dyDescent="0.25">
      <c r="A599" s="201"/>
      <c r="B599" s="202"/>
      <c r="C599" s="221"/>
      <c r="D599" s="222"/>
      <c r="E599" s="363"/>
      <c r="G599" s="206"/>
      <c r="H599" s="218"/>
      <c r="I599" s="177"/>
      <c r="J599" s="176"/>
      <c r="K599" s="207"/>
      <c r="L599" s="208"/>
      <c r="M599" s="208"/>
      <c r="N599" s="224"/>
      <c r="O599" s="225"/>
      <c r="P599" s="226"/>
      <c r="Q599" s="169"/>
      <c r="Y599" s="95"/>
      <c r="Z599" s="228"/>
      <c r="AA599" s="215"/>
      <c r="AB599" s="229"/>
      <c r="AC599" s="230"/>
      <c r="AD599" s="267" t="s">
        <v>4</v>
      </c>
    </row>
    <row r="600" spans="1:30" ht="17.100000000000001" customHeight="1" x14ac:dyDescent="0.25">
      <c r="A600" s="201"/>
      <c r="B600" s="202"/>
      <c r="C600" s="221"/>
      <c r="D600" s="222"/>
      <c r="E600" s="363"/>
      <c r="G600" s="206"/>
      <c r="H600" s="218"/>
      <c r="I600" s="177"/>
      <c r="J600" s="176"/>
      <c r="K600" s="207"/>
      <c r="L600" s="208"/>
      <c r="M600" s="208"/>
      <c r="N600" s="224"/>
      <c r="O600" s="225"/>
      <c r="P600" s="226"/>
      <c r="Q600" s="169"/>
      <c r="Y600" s="95"/>
      <c r="Z600" s="228"/>
      <c r="AA600" s="215"/>
      <c r="AB600" s="229"/>
      <c r="AC600" s="230"/>
      <c r="AD600" s="267" t="s">
        <v>4</v>
      </c>
    </row>
    <row r="601" spans="1:30" ht="17.100000000000001" customHeight="1" x14ac:dyDescent="0.25">
      <c r="A601" s="201"/>
      <c r="B601" s="202"/>
      <c r="C601" s="221"/>
      <c r="D601" s="222"/>
      <c r="E601" s="363"/>
      <c r="G601" s="206"/>
      <c r="H601" s="218"/>
      <c r="I601" s="177"/>
      <c r="J601" s="176"/>
      <c r="K601" s="207"/>
      <c r="L601" s="208"/>
      <c r="M601" s="208"/>
      <c r="N601" s="224"/>
      <c r="O601" s="225"/>
      <c r="P601" s="226"/>
      <c r="Q601" s="169"/>
      <c r="Y601" s="95"/>
      <c r="Z601" s="228"/>
      <c r="AA601" s="215"/>
      <c r="AB601" s="229"/>
      <c r="AC601" s="230"/>
      <c r="AD601" s="267" t="s">
        <v>4</v>
      </c>
    </row>
    <row r="602" spans="1:30" ht="17.100000000000001" customHeight="1" x14ac:dyDescent="0.25">
      <c r="A602" s="201"/>
      <c r="B602" s="202"/>
      <c r="C602" s="221"/>
      <c r="D602" s="222"/>
      <c r="E602" s="363"/>
      <c r="G602" s="206"/>
      <c r="H602" s="218"/>
      <c r="I602" s="177"/>
      <c r="J602" s="176"/>
      <c r="K602" s="207"/>
      <c r="L602" s="208"/>
      <c r="M602" s="208"/>
      <c r="N602" s="224"/>
      <c r="O602" s="225"/>
      <c r="P602" s="226"/>
      <c r="Q602" s="169"/>
      <c r="Y602" s="95"/>
      <c r="Z602" s="228"/>
      <c r="AA602" s="215"/>
      <c r="AB602" s="229"/>
      <c r="AC602" s="230"/>
      <c r="AD602" s="267" t="s">
        <v>4</v>
      </c>
    </row>
    <row r="603" spans="1:30" ht="17.100000000000001" customHeight="1" x14ac:dyDescent="0.25">
      <c r="A603" s="201"/>
      <c r="B603" s="202"/>
      <c r="C603" s="221"/>
      <c r="D603" s="222"/>
      <c r="E603" s="363"/>
      <c r="G603" s="206"/>
      <c r="H603" s="218"/>
      <c r="I603" s="177"/>
      <c r="J603" s="176"/>
      <c r="K603" s="207"/>
      <c r="L603" s="208"/>
      <c r="M603" s="208"/>
      <c r="N603" s="224"/>
      <c r="O603" s="225"/>
      <c r="P603" s="226"/>
      <c r="Q603" s="169"/>
      <c r="Y603" s="95"/>
      <c r="Z603" s="228"/>
      <c r="AA603" s="215"/>
      <c r="AB603" s="229"/>
      <c r="AC603" s="230"/>
      <c r="AD603" s="267" t="s">
        <v>4</v>
      </c>
    </row>
    <row r="604" spans="1:30" ht="17.100000000000001" customHeight="1" x14ac:dyDescent="0.25">
      <c r="A604" s="201"/>
      <c r="B604" s="202"/>
      <c r="C604" s="221"/>
      <c r="D604" s="222"/>
      <c r="E604" s="363"/>
      <c r="G604" s="206"/>
      <c r="H604" s="218"/>
      <c r="I604" s="177"/>
      <c r="J604" s="176"/>
      <c r="K604" s="207"/>
      <c r="L604" s="208"/>
      <c r="M604" s="208"/>
      <c r="N604" s="224"/>
      <c r="O604" s="225"/>
      <c r="P604" s="226"/>
      <c r="Q604" s="169"/>
      <c r="Y604" s="95"/>
      <c r="Z604" s="228"/>
      <c r="AA604" s="215"/>
      <c r="AB604" s="229"/>
      <c r="AC604" s="230"/>
      <c r="AD604" s="267" t="s">
        <v>4</v>
      </c>
    </row>
    <row r="605" spans="1:30" ht="17.100000000000001" customHeight="1" x14ac:dyDescent="0.25">
      <c r="A605" s="201"/>
      <c r="B605" s="202"/>
      <c r="C605" s="221"/>
      <c r="D605" s="222"/>
      <c r="E605" s="363"/>
      <c r="G605" s="206"/>
      <c r="H605" s="218"/>
      <c r="I605" s="177"/>
      <c r="J605" s="176"/>
      <c r="K605" s="207"/>
      <c r="L605" s="208"/>
      <c r="M605" s="208"/>
      <c r="N605" s="224"/>
      <c r="O605" s="225"/>
      <c r="P605" s="226"/>
      <c r="Q605" s="169"/>
      <c r="R605" s="233"/>
      <c r="Y605" s="95"/>
      <c r="Z605" s="228"/>
      <c r="AA605" s="215"/>
      <c r="AB605" s="229"/>
      <c r="AC605" s="230"/>
      <c r="AD605" s="267" t="s">
        <v>4</v>
      </c>
    </row>
    <row r="606" spans="1:30" ht="17.100000000000001" customHeight="1" x14ac:dyDescent="0.25">
      <c r="A606" s="201"/>
      <c r="B606" s="202"/>
      <c r="C606" s="221"/>
      <c r="D606" s="222"/>
      <c r="E606" s="363"/>
      <c r="G606" s="206"/>
      <c r="H606" s="218"/>
      <c r="I606" s="177"/>
      <c r="J606" s="176"/>
      <c r="K606" s="207"/>
      <c r="L606" s="208"/>
      <c r="M606" s="208"/>
      <c r="N606" s="224"/>
      <c r="O606" s="225"/>
      <c r="P606" s="226"/>
      <c r="Q606" s="169"/>
      <c r="R606" s="233"/>
      <c r="Y606" s="95"/>
      <c r="Z606" s="228"/>
      <c r="AA606" s="215"/>
      <c r="AB606" s="229"/>
      <c r="AC606" s="230"/>
      <c r="AD606" s="267" t="s">
        <v>4</v>
      </c>
    </row>
    <row r="607" spans="1:30" ht="17.100000000000001" customHeight="1" x14ac:dyDescent="0.25">
      <c r="A607" s="201"/>
      <c r="B607" s="202"/>
      <c r="C607" s="221"/>
      <c r="D607" s="222"/>
      <c r="E607" s="363"/>
      <c r="G607" s="206"/>
      <c r="H607" s="218"/>
      <c r="I607" s="177"/>
      <c r="J607" s="176"/>
      <c r="K607" s="207"/>
      <c r="L607" s="208"/>
      <c r="M607" s="208"/>
      <c r="N607" s="224"/>
      <c r="O607" s="225"/>
      <c r="P607" s="226"/>
      <c r="Q607" s="169"/>
      <c r="R607" s="233"/>
      <c r="Y607" s="95"/>
      <c r="Z607" s="228"/>
      <c r="AA607" s="215"/>
      <c r="AB607" s="229"/>
      <c r="AC607" s="230"/>
      <c r="AD607" s="267" t="s">
        <v>4</v>
      </c>
    </row>
    <row r="608" spans="1:30" ht="17.100000000000001" customHeight="1" x14ac:dyDescent="0.25">
      <c r="A608" s="201"/>
      <c r="B608" s="202"/>
      <c r="C608" s="221"/>
      <c r="D608" s="222"/>
      <c r="E608" s="363"/>
      <c r="G608" s="206"/>
      <c r="H608" s="218"/>
      <c r="I608" s="177"/>
      <c r="J608" s="176"/>
      <c r="K608" s="207"/>
      <c r="L608" s="208"/>
      <c r="M608" s="208"/>
      <c r="N608" s="224"/>
      <c r="O608" s="225"/>
      <c r="P608" s="226"/>
      <c r="Q608" s="169"/>
      <c r="R608" s="233"/>
      <c r="Y608" s="95"/>
      <c r="Z608" s="228"/>
      <c r="AA608" s="215"/>
      <c r="AB608" s="229"/>
      <c r="AC608" s="230"/>
      <c r="AD608" s="267" t="s">
        <v>4</v>
      </c>
    </row>
    <row r="609" spans="1:30" ht="17.100000000000001" customHeight="1" x14ac:dyDescent="0.25">
      <c r="A609" s="201"/>
      <c r="B609" s="202"/>
      <c r="C609" s="221"/>
      <c r="D609" s="222"/>
      <c r="E609" s="363"/>
      <c r="G609" s="206"/>
      <c r="H609" s="218"/>
      <c r="I609" s="177"/>
      <c r="J609" s="176"/>
      <c r="K609" s="207"/>
      <c r="L609" s="208"/>
      <c r="M609" s="208"/>
      <c r="N609" s="224"/>
      <c r="O609" s="225"/>
      <c r="P609" s="226"/>
      <c r="Q609" s="169"/>
      <c r="R609" s="233"/>
      <c r="Y609" s="95"/>
      <c r="Z609" s="228"/>
      <c r="AA609" s="215"/>
      <c r="AB609" s="229"/>
      <c r="AC609" s="230"/>
      <c r="AD609" s="267" t="s">
        <v>4</v>
      </c>
    </row>
    <row r="610" spans="1:30" ht="17.100000000000001" customHeight="1" x14ac:dyDescent="0.25">
      <c r="A610" s="201"/>
      <c r="B610" s="202"/>
      <c r="C610" s="221"/>
      <c r="D610" s="222"/>
      <c r="E610" s="363"/>
      <c r="G610" s="206"/>
      <c r="H610" s="218"/>
      <c r="I610" s="177"/>
      <c r="J610" s="176"/>
      <c r="K610" s="207"/>
      <c r="L610" s="208"/>
      <c r="M610" s="208"/>
      <c r="N610" s="224"/>
      <c r="O610" s="225"/>
      <c r="P610" s="226"/>
      <c r="Q610" s="169"/>
      <c r="R610" s="233"/>
      <c r="Y610" s="95"/>
      <c r="Z610" s="228"/>
      <c r="AA610" s="215"/>
      <c r="AB610" s="229"/>
      <c r="AC610" s="230"/>
      <c r="AD610" s="267" t="s">
        <v>4</v>
      </c>
    </row>
    <row r="611" spans="1:30" ht="17.100000000000001" customHeight="1" x14ac:dyDescent="0.25">
      <c r="A611" s="201"/>
      <c r="B611" s="202"/>
      <c r="C611" s="221"/>
      <c r="D611" s="222"/>
      <c r="E611" s="363"/>
      <c r="G611" s="206"/>
      <c r="H611" s="218"/>
      <c r="I611" s="177"/>
      <c r="J611" s="176"/>
      <c r="K611" s="207"/>
      <c r="L611" s="208"/>
      <c r="M611" s="208"/>
      <c r="N611" s="224"/>
      <c r="O611" s="225"/>
      <c r="P611" s="226"/>
      <c r="Q611" s="169"/>
      <c r="R611" s="233"/>
      <c r="Y611" s="95"/>
      <c r="Z611" s="228"/>
      <c r="AA611" s="215"/>
      <c r="AB611" s="229"/>
      <c r="AC611" s="230"/>
      <c r="AD611" s="267" t="s">
        <v>4</v>
      </c>
    </row>
    <row r="612" spans="1:30" ht="17.100000000000001" customHeight="1" x14ac:dyDescent="0.25">
      <c r="A612" s="201"/>
      <c r="B612" s="202"/>
      <c r="C612" s="221"/>
      <c r="D612" s="222"/>
      <c r="E612" s="363"/>
      <c r="G612" s="206"/>
      <c r="H612" s="218"/>
      <c r="I612" s="177"/>
      <c r="J612" s="176"/>
      <c r="K612" s="207"/>
      <c r="L612" s="208"/>
      <c r="M612" s="208"/>
      <c r="N612" s="224"/>
      <c r="O612" s="225"/>
      <c r="P612" s="226"/>
      <c r="Q612" s="169"/>
      <c r="Y612" s="95"/>
      <c r="Z612" s="228"/>
      <c r="AA612" s="215"/>
      <c r="AB612" s="229"/>
      <c r="AC612" s="230"/>
      <c r="AD612" s="267" t="s">
        <v>4</v>
      </c>
    </row>
    <row r="613" spans="1:30" ht="17.100000000000001" customHeight="1" x14ac:dyDescent="0.25">
      <c r="A613" s="201"/>
      <c r="B613" s="202"/>
      <c r="C613" s="221"/>
      <c r="D613" s="222"/>
      <c r="E613" s="363"/>
      <c r="G613" s="206"/>
      <c r="H613" s="218"/>
      <c r="I613" s="177"/>
      <c r="J613" s="176"/>
      <c r="K613" s="207"/>
      <c r="L613" s="208"/>
      <c r="M613" s="208"/>
      <c r="N613" s="224"/>
      <c r="O613" s="225"/>
      <c r="P613" s="226"/>
      <c r="Q613" s="169"/>
      <c r="Y613" s="95"/>
      <c r="Z613" s="228"/>
      <c r="AA613" s="215"/>
      <c r="AB613" s="229"/>
      <c r="AC613" s="230"/>
      <c r="AD613" s="267" t="s">
        <v>4</v>
      </c>
    </row>
    <row r="614" spans="1:30" ht="17.100000000000001" customHeight="1" x14ac:dyDescent="0.25">
      <c r="A614" s="201"/>
      <c r="B614" s="202"/>
      <c r="C614" s="203"/>
      <c r="D614" s="204"/>
      <c r="E614" s="363"/>
      <c r="F614" s="205"/>
      <c r="G614" s="206"/>
      <c r="H614" s="218"/>
      <c r="I614" s="177"/>
      <c r="J614" s="176"/>
      <c r="K614" s="207"/>
      <c r="L614" s="208"/>
      <c r="M614" s="208"/>
      <c r="N614" s="209"/>
      <c r="O614" s="210"/>
      <c r="P614" s="211"/>
      <c r="Q614" s="220"/>
      <c r="R614" s="212"/>
      <c r="S614" s="205"/>
      <c r="T614" s="205"/>
      <c r="U614" s="205"/>
      <c r="V614" s="205"/>
      <c r="W614" s="205"/>
      <c r="X614" s="205"/>
      <c r="Y614" s="213"/>
      <c r="Z614" s="214"/>
      <c r="AA614" s="215"/>
      <c r="AB614" s="216"/>
      <c r="AC614" s="217"/>
      <c r="AD614" s="267" t="s">
        <v>4</v>
      </c>
    </row>
    <row r="615" spans="1:30" ht="17.100000000000001" customHeight="1" x14ac:dyDescent="0.25">
      <c r="A615" s="201"/>
      <c r="B615" s="202"/>
      <c r="C615" s="203"/>
      <c r="D615" s="204"/>
      <c r="E615" s="363"/>
      <c r="F615" s="205"/>
      <c r="G615" s="206"/>
      <c r="H615" s="218"/>
      <c r="I615" s="177"/>
      <c r="J615" s="176"/>
      <c r="K615" s="207"/>
      <c r="L615" s="208"/>
      <c r="M615" s="208"/>
      <c r="N615" s="209"/>
      <c r="O615" s="210"/>
      <c r="P615" s="234"/>
      <c r="Q615" s="220"/>
      <c r="R615" s="212"/>
      <c r="S615" s="205"/>
      <c r="T615" s="205"/>
      <c r="U615" s="205"/>
      <c r="V615" s="205"/>
      <c r="W615" s="205"/>
      <c r="X615" s="205"/>
      <c r="Y615" s="213"/>
      <c r="Z615" s="214"/>
      <c r="AA615" s="215"/>
      <c r="AB615" s="216"/>
      <c r="AC615" s="217"/>
      <c r="AD615" s="267" t="s">
        <v>4</v>
      </c>
    </row>
    <row r="616" spans="1:30" ht="17.100000000000001" customHeight="1" x14ac:dyDescent="0.25">
      <c r="A616" s="201"/>
      <c r="B616" s="202"/>
      <c r="C616" s="221"/>
      <c r="D616" s="222"/>
      <c r="E616" s="363"/>
      <c r="G616" s="206"/>
      <c r="H616" s="218"/>
      <c r="I616" s="177"/>
      <c r="J616" s="176"/>
      <c r="K616" s="207"/>
      <c r="L616" s="208"/>
      <c r="M616" s="208"/>
      <c r="N616" s="224"/>
      <c r="O616" s="225"/>
      <c r="P616" s="226"/>
      <c r="Q616" s="169"/>
      <c r="R616" s="233"/>
      <c r="Y616" s="95"/>
      <c r="Z616" s="228"/>
      <c r="AA616" s="215"/>
      <c r="AB616" s="229"/>
      <c r="AC616" s="230"/>
      <c r="AD616" s="267" t="s">
        <v>4</v>
      </c>
    </row>
    <row r="617" spans="1:30" ht="17.100000000000001" customHeight="1" x14ac:dyDescent="0.25">
      <c r="A617" s="201"/>
      <c r="B617" s="202"/>
      <c r="C617" s="221"/>
      <c r="D617" s="222"/>
      <c r="E617" s="363"/>
      <c r="G617" s="206"/>
      <c r="H617" s="218"/>
      <c r="I617" s="177"/>
      <c r="J617" s="176"/>
      <c r="K617" s="207"/>
      <c r="L617" s="208"/>
      <c r="M617" s="208"/>
      <c r="N617" s="224"/>
      <c r="O617" s="225"/>
      <c r="P617" s="226"/>
      <c r="Q617" s="169"/>
      <c r="Y617" s="95"/>
      <c r="Z617" s="228"/>
      <c r="AA617" s="215"/>
      <c r="AB617" s="229"/>
      <c r="AC617" s="230"/>
      <c r="AD617" s="267" t="s">
        <v>4</v>
      </c>
    </row>
    <row r="618" spans="1:30" ht="17.100000000000001" customHeight="1" x14ac:dyDescent="0.25">
      <c r="A618" s="201"/>
      <c r="B618" s="202"/>
      <c r="C618" s="203"/>
      <c r="D618" s="204"/>
      <c r="E618" s="363"/>
      <c r="F618" s="205"/>
      <c r="G618" s="206"/>
      <c r="H618" s="218"/>
      <c r="I618" s="177"/>
      <c r="J618" s="176"/>
      <c r="K618" s="207"/>
      <c r="L618" s="208"/>
      <c r="M618" s="208"/>
      <c r="N618" s="209"/>
      <c r="O618" s="210"/>
      <c r="P618" s="211"/>
      <c r="Q618" s="220"/>
      <c r="R618" s="205"/>
      <c r="S618" s="205"/>
      <c r="T618" s="205"/>
      <c r="U618" s="205"/>
      <c r="V618" s="205"/>
      <c r="W618" s="205"/>
      <c r="X618" s="205"/>
      <c r="Y618" s="213"/>
      <c r="Z618" s="214"/>
      <c r="AA618" s="215"/>
      <c r="AB618" s="216"/>
      <c r="AC618" s="217"/>
      <c r="AD618" s="267" t="s">
        <v>4</v>
      </c>
    </row>
    <row r="619" spans="1:30" ht="17.100000000000001" customHeight="1" x14ac:dyDescent="0.25">
      <c r="A619" s="201"/>
      <c r="B619" s="202"/>
      <c r="C619" s="221"/>
      <c r="D619" s="222"/>
      <c r="E619" s="363"/>
      <c r="G619" s="206"/>
      <c r="H619" s="218"/>
      <c r="I619" s="177"/>
      <c r="J619" s="176"/>
      <c r="K619" s="207"/>
      <c r="L619" s="208"/>
      <c r="M619" s="208"/>
      <c r="N619" s="224"/>
      <c r="O619" s="225"/>
      <c r="P619" s="226"/>
      <c r="Q619" s="169"/>
      <c r="Y619" s="95"/>
      <c r="Z619" s="228"/>
      <c r="AA619" s="215"/>
      <c r="AB619" s="229"/>
      <c r="AC619" s="230"/>
      <c r="AD619" s="267" t="s">
        <v>4</v>
      </c>
    </row>
    <row r="620" spans="1:30" ht="17.100000000000001" customHeight="1" x14ac:dyDescent="0.25">
      <c r="A620" s="201"/>
      <c r="B620" s="202"/>
      <c r="C620" s="221"/>
      <c r="D620" s="222"/>
      <c r="E620" s="363"/>
      <c r="G620" s="206"/>
      <c r="H620" s="218"/>
      <c r="I620" s="177"/>
      <c r="J620" s="176"/>
      <c r="K620" s="207"/>
      <c r="L620" s="208"/>
      <c r="M620" s="208"/>
      <c r="N620" s="224"/>
      <c r="O620" s="225"/>
      <c r="P620" s="226"/>
      <c r="Q620" s="169"/>
      <c r="Y620" s="95"/>
      <c r="Z620" s="228"/>
      <c r="AA620" s="215"/>
      <c r="AB620" s="229"/>
      <c r="AC620" s="230"/>
      <c r="AD620" s="267" t="s">
        <v>4</v>
      </c>
    </row>
    <row r="621" spans="1:30" ht="17.100000000000001" customHeight="1" x14ac:dyDescent="0.25">
      <c r="A621" s="201"/>
      <c r="B621" s="202"/>
      <c r="C621" s="221"/>
      <c r="D621" s="222"/>
      <c r="E621" s="363"/>
      <c r="G621" s="206"/>
      <c r="H621" s="218"/>
      <c r="I621" s="177"/>
      <c r="J621" s="176"/>
      <c r="K621" s="207"/>
      <c r="L621" s="208"/>
      <c r="M621" s="208"/>
      <c r="N621" s="224"/>
      <c r="O621" s="225"/>
      <c r="P621" s="226"/>
      <c r="Q621" s="169"/>
      <c r="Y621" s="95"/>
      <c r="Z621" s="228"/>
      <c r="AA621" s="215"/>
      <c r="AB621" s="229"/>
      <c r="AC621" s="230"/>
      <c r="AD621" s="267" t="s">
        <v>4</v>
      </c>
    </row>
    <row r="622" spans="1:30" ht="17.100000000000001" customHeight="1" x14ac:dyDescent="0.25">
      <c r="A622" s="201"/>
      <c r="B622" s="202"/>
      <c r="C622" s="221"/>
      <c r="D622" s="222"/>
      <c r="E622" s="363"/>
      <c r="G622" s="206"/>
      <c r="H622" s="218"/>
      <c r="I622" s="177"/>
      <c r="J622" s="176"/>
      <c r="K622" s="207"/>
      <c r="L622" s="208"/>
      <c r="M622" s="208"/>
      <c r="N622" s="224"/>
      <c r="O622" s="225"/>
      <c r="P622" s="226"/>
      <c r="Q622" s="169"/>
      <c r="R622" s="233"/>
      <c r="Y622" s="95"/>
      <c r="Z622" s="228"/>
      <c r="AA622" s="215"/>
      <c r="AB622" s="229"/>
      <c r="AC622" s="230"/>
      <c r="AD622" s="267" t="s">
        <v>4</v>
      </c>
    </row>
    <row r="623" spans="1:30" ht="17.100000000000001" customHeight="1" x14ac:dyDescent="0.25">
      <c r="A623" s="201"/>
      <c r="B623" s="202"/>
      <c r="C623" s="221"/>
      <c r="D623" s="222"/>
      <c r="E623" s="363"/>
      <c r="G623" s="206"/>
      <c r="H623" s="218"/>
      <c r="I623" s="177"/>
      <c r="J623" s="176"/>
      <c r="K623" s="207"/>
      <c r="L623" s="208"/>
      <c r="M623" s="208"/>
      <c r="N623" s="224"/>
      <c r="O623" s="225"/>
      <c r="P623" s="226"/>
      <c r="Q623" s="169"/>
      <c r="R623" s="233"/>
      <c r="Y623" s="95"/>
      <c r="Z623" s="228"/>
      <c r="AA623" s="215"/>
      <c r="AB623" s="229"/>
      <c r="AC623" s="230"/>
      <c r="AD623" s="267" t="s">
        <v>4</v>
      </c>
    </row>
    <row r="624" spans="1:30" ht="17.100000000000001" customHeight="1" x14ac:dyDescent="0.25">
      <c r="A624" s="201"/>
      <c r="B624" s="202"/>
      <c r="C624" s="221"/>
      <c r="D624" s="222"/>
      <c r="E624" s="363"/>
      <c r="G624" s="206"/>
      <c r="H624" s="218"/>
      <c r="I624" s="177"/>
      <c r="J624" s="176"/>
      <c r="K624" s="207"/>
      <c r="L624" s="208"/>
      <c r="M624" s="208"/>
      <c r="N624" s="224"/>
      <c r="O624" s="225"/>
      <c r="P624" s="226"/>
      <c r="Q624" s="169"/>
      <c r="Y624" s="95"/>
      <c r="Z624" s="228"/>
      <c r="AA624" s="215"/>
      <c r="AB624" s="229"/>
      <c r="AC624" s="230"/>
      <c r="AD624" s="267" t="s">
        <v>4</v>
      </c>
    </row>
    <row r="625" spans="1:30" ht="17.100000000000001" customHeight="1" x14ac:dyDescent="0.25">
      <c r="A625" s="201"/>
      <c r="B625" s="202"/>
      <c r="C625" s="221"/>
      <c r="D625" s="222"/>
      <c r="E625" s="363"/>
      <c r="G625" s="206"/>
      <c r="H625" s="218"/>
      <c r="I625" s="177"/>
      <c r="J625" s="176"/>
      <c r="K625" s="207"/>
      <c r="L625" s="208"/>
      <c r="M625" s="208"/>
      <c r="N625" s="224"/>
      <c r="O625" s="225"/>
      <c r="P625" s="226"/>
      <c r="Q625" s="169"/>
      <c r="Y625" s="95"/>
      <c r="Z625" s="228"/>
      <c r="AA625" s="215"/>
      <c r="AB625" s="229"/>
      <c r="AC625" s="230"/>
      <c r="AD625" s="267" t="s">
        <v>4</v>
      </c>
    </row>
    <row r="626" spans="1:30" ht="17.100000000000001" customHeight="1" x14ac:dyDescent="0.25">
      <c r="A626" s="201"/>
      <c r="B626" s="202"/>
      <c r="C626" s="221"/>
      <c r="D626" s="222"/>
      <c r="E626" s="363"/>
      <c r="G626" s="206"/>
      <c r="H626" s="218"/>
      <c r="I626" s="177"/>
      <c r="J626" s="176"/>
      <c r="K626" s="207"/>
      <c r="L626" s="208"/>
      <c r="M626" s="208"/>
      <c r="N626" s="224"/>
      <c r="O626" s="225"/>
      <c r="P626" s="226"/>
      <c r="Q626" s="169"/>
      <c r="R626" s="237"/>
      <c r="Y626" s="95"/>
      <c r="Z626" s="228"/>
      <c r="AA626" s="215"/>
      <c r="AB626" s="229"/>
      <c r="AC626" s="230"/>
      <c r="AD626" s="267" t="s">
        <v>4</v>
      </c>
    </row>
    <row r="627" spans="1:30" ht="17.100000000000001" customHeight="1" x14ac:dyDescent="0.25">
      <c r="A627" s="201"/>
      <c r="B627" s="202"/>
      <c r="C627" s="221"/>
      <c r="D627" s="222"/>
      <c r="E627" s="363"/>
      <c r="G627" s="206"/>
      <c r="H627" s="218"/>
      <c r="I627" s="177"/>
      <c r="J627" s="176"/>
      <c r="K627" s="207"/>
      <c r="L627" s="208"/>
      <c r="M627" s="208"/>
      <c r="N627" s="224"/>
      <c r="O627" s="225"/>
      <c r="P627" s="226"/>
      <c r="Q627" s="169"/>
      <c r="R627" s="237"/>
      <c r="Y627" s="95"/>
      <c r="Z627" s="228"/>
      <c r="AA627" s="215"/>
      <c r="AB627" s="229"/>
      <c r="AC627" s="230"/>
      <c r="AD627" s="267" t="s">
        <v>4</v>
      </c>
    </row>
    <row r="628" spans="1:30" ht="17.100000000000001" customHeight="1" x14ac:dyDescent="0.25">
      <c r="A628" s="201"/>
      <c r="B628" s="202"/>
      <c r="C628" s="221"/>
      <c r="D628" s="222"/>
      <c r="E628" s="363"/>
      <c r="G628" s="206"/>
      <c r="H628" s="218"/>
      <c r="I628" s="177"/>
      <c r="J628" s="176"/>
      <c r="K628" s="207"/>
      <c r="L628" s="208"/>
      <c r="M628" s="208"/>
      <c r="N628" s="224"/>
      <c r="O628" s="225"/>
      <c r="P628" s="226"/>
      <c r="Q628" s="169"/>
      <c r="R628" s="237"/>
      <c r="Y628" s="95"/>
      <c r="Z628" s="228"/>
      <c r="AA628" s="215"/>
      <c r="AB628" s="229"/>
      <c r="AC628" s="230"/>
      <c r="AD628" s="267" t="s">
        <v>4</v>
      </c>
    </row>
    <row r="629" spans="1:30" ht="17.100000000000001" customHeight="1" x14ac:dyDescent="0.25">
      <c r="A629" s="201"/>
      <c r="B629" s="202"/>
      <c r="C629" s="221"/>
      <c r="D629" s="222"/>
      <c r="E629" s="363"/>
      <c r="G629" s="206"/>
      <c r="H629" s="218"/>
      <c r="I629" s="177"/>
      <c r="J629" s="176"/>
      <c r="K629" s="207"/>
      <c r="L629" s="208"/>
      <c r="M629" s="208"/>
      <c r="N629" s="224"/>
      <c r="O629" s="225"/>
      <c r="P629" s="226"/>
      <c r="Q629" s="169"/>
      <c r="R629" s="237"/>
      <c r="Y629" s="95"/>
      <c r="Z629" s="228"/>
      <c r="AA629" s="215"/>
      <c r="AB629" s="229"/>
      <c r="AC629" s="230"/>
      <c r="AD629" s="267" t="s">
        <v>4</v>
      </c>
    </row>
    <row r="630" spans="1:30" ht="17.100000000000001" customHeight="1" x14ac:dyDescent="0.25">
      <c r="A630" s="201"/>
      <c r="B630" s="202"/>
      <c r="C630" s="221"/>
      <c r="D630" s="222"/>
      <c r="E630" s="363"/>
      <c r="G630" s="206"/>
      <c r="H630" s="218"/>
      <c r="I630" s="177"/>
      <c r="J630" s="176"/>
      <c r="K630" s="207"/>
      <c r="L630" s="208"/>
      <c r="M630" s="208"/>
      <c r="N630" s="224"/>
      <c r="O630" s="225"/>
      <c r="P630" s="226"/>
      <c r="Q630" s="169"/>
      <c r="R630" s="237"/>
      <c r="Y630" s="95"/>
      <c r="Z630" s="228"/>
      <c r="AA630" s="215"/>
      <c r="AB630" s="229"/>
      <c r="AC630" s="230"/>
      <c r="AD630" s="267" t="s">
        <v>4</v>
      </c>
    </row>
    <row r="631" spans="1:30" ht="17.100000000000001" customHeight="1" x14ac:dyDescent="0.25">
      <c r="A631" s="201"/>
      <c r="B631" s="202"/>
      <c r="C631" s="221"/>
      <c r="D631" s="222"/>
      <c r="E631" s="363"/>
      <c r="G631" s="206"/>
      <c r="H631" s="218"/>
      <c r="I631" s="177"/>
      <c r="J631" s="176"/>
      <c r="K631" s="207"/>
      <c r="L631" s="208"/>
      <c r="M631" s="208"/>
      <c r="N631" s="224"/>
      <c r="O631" s="225"/>
      <c r="P631" s="226"/>
      <c r="Q631" s="169"/>
      <c r="R631" s="237"/>
      <c r="Y631" s="95"/>
      <c r="Z631" s="228"/>
      <c r="AA631" s="215"/>
      <c r="AB631" s="229"/>
      <c r="AC631" s="230"/>
      <c r="AD631" s="267" t="s">
        <v>4</v>
      </c>
    </row>
    <row r="632" spans="1:30" ht="17.100000000000001" customHeight="1" x14ac:dyDescent="0.25">
      <c r="A632" s="201"/>
      <c r="B632" s="202"/>
      <c r="C632" s="221"/>
      <c r="D632" s="222"/>
      <c r="E632" s="363"/>
      <c r="G632" s="206"/>
      <c r="H632" s="218"/>
      <c r="I632" s="177"/>
      <c r="J632" s="176"/>
      <c r="K632" s="207"/>
      <c r="L632" s="208"/>
      <c r="M632" s="208"/>
      <c r="N632" s="224"/>
      <c r="O632" s="225"/>
      <c r="P632" s="226"/>
      <c r="Q632" s="169"/>
      <c r="R632" s="237"/>
      <c r="Y632" s="95"/>
      <c r="Z632" s="228"/>
      <c r="AA632" s="215"/>
      <c r="AB632" s="229"/>
      <c r="AC632" s="230"/>
      <c r="AD632" s="267" t="s">
        <v>4</v>
      </c>
    </row>
    <row r="633" spans="1:30" ht="17.100000000000001" customHeight="1" x14ac:dyDescent="0.25">
      <c r="A633" s="201"/>
      <c r="B633" s="202"/>
      <c r="C633" s="221"/>
      <c r="D633" s="222"/>
      <c r="E633" s="363"/>
      <c r="G633" s="206"/>
      <c r="H633" s="218"/>
      <c r="I633" s="177"/>
      <c r="J633" s="176"/>
      <c r="K633" s="207"/>
      <c r="L633" s="208"/>
      <c r="M633" s="208"/>
      <c r="N633" s="224"/>
      <c r="O633" s="225"/>
      <c r="P633" s="226"/>
      <c r="Q633" s="169"/>
      <c r="R633" s="237"/>
      <c r="Y633" s="95"/>
      <c r="Z633" s="228"/>
      <c r="AA633" s="215"/>
      <c r="AB633" s="229"/>
      <c r="AC633" s="230"/>
      <c r="AD633" s="267" t="s">
        <v>4</v>
      </c>
    </row>
    <row r="634" spans="1:30" ht="17.100000000000001" customHeight="1" x14ac:dyDescent="0.25">
      <c r="A634" s="201"/>
      <c r="B634" s="202"/>
      <c r="C634" s="221"/>
      <c r="D634" s="222"/>
      <c r="E634" s="363"/>
      <c r="G634" s="206"/>
      <c r="H634" s="218"/>
      <c r="I634" s="177"/>
      <c r="J634" s="176"/>
      <c r="K634" s="207"/>
      <c r="L634" s="208"/>
      <c r="M634" s="208"/>
      <c r="N634" s="224"/>
      <c r="O634" s="225"/>
      <c r="P634" s="226"/>
      <c r="Q634" s="169"/>
      <c r="R634" s="237"/>
      <c r="Y634" s="95"/>
      <c r="Z634" s="228"/>
      <c r="AA634" s="215"/>
      <c r="AB634" s="229"/>
      <c r="AC634" s="230"/>
      <c r="AD634" s="267" t="s">
        <v>4</v>
      </c>
    </row>
    <row r="635" spans="1:30" ht="17.100000000000001" customHeight="1" x14ac:dyDescent="0.25">
      <c r="A635" s="201"/>
      <c r="B635" s="202"/>
      <c r="C635" s="221"/>
      <c r="D635" s="222"/>
      <c r="E635" s="363"/>
      <c r="G635" s="206"/>
      <c r="H635" s="218"/>
      <c r="I635" s="177"/>
      <c r="J635" s="176"/>
      <c r="K635" s="207"/>
      <c r="L635" s="208"/>
      <c r="M635" s="208"/>
      <c r="N635" s="224"/>
      <c r="O635" s="225"/>
      <c r="P635" s="226"/>
      <c r="Q635" s="169"/>
      <c r="R635" s="237"/>
      <c r="Y635" s="95"/>
      <c r="Z635" s="228"/>
      <c r="AA635" s="215"/>
      <c r="AB635" s="229"/>
      <c r="AC635" s="230"/>
      <c r="AD635" s="267" t="s">
        <v>4</v>
      </c>
    </row>
    <row r="636" spans="1:30" ht="17.100000000000001" customHeight="1" x14ac:dyDescent="0.25">
      <c r="A636" s="201"/>
      <c r="B636" s="202"/>
      <c r="C636" s="221"/>
      <c r="D636" s="222"/>
      <c r="E636" s="363"/>
      <c r="G636" s="206"/>
      <c r="H636" s="218"/>
      <c r="I636" s="177"/>
      <c r="J636" s="176"/>
      <c r="K636" s="207"/>
      <c r="L636" s="208"/>
      <c r="M636" s="208"/>
      <c r="N636" s="224"/>
      <c r="O636" s="225"/>
      <c r="P636" s="226"/>
      <c r="Q636" s="169"/>
      <c r="R636" s="237"/>
      <c r="Y636" s="95"/>
      <c r="Z636" s="228"/>
      <c r="AA636" s="215"/>
      <c r="AB636" s="229"/>
      <c r="AC636" s="230"/>
      <c r="AD636" s="267" t="s">
        <v>4</v>
      </c>
    </row>
    <row r="637" spans="1:30" ht="17.100000000000001" customHeight="1" x14ac:dyDescent="0.25">
      <c r="A637" s="201"/>
      <c r="B637" s="202"/>
      <c r="C637" s="221"/>
      <c r="D637" s="222"/>
      <c r="E637" s="363"/>
      <c r="G637" s="206"/>
      <c r="H637" s="218"/>
      <c r="I637" s="177"/>
      <c r="J637" s="176"/>
      <c r="K637" s="207"/>
      <c r="L637" s="208"/>
      <c r="M637" s="208"/>
      <c r="N637" s="224"/>
      <c r="O637" s="225"/>
      <c r="P637" s="226"/>
      <c r="Q637" s="169"/>
      <c r="Y637" s="95"/>
      <c r="Z637" s="228"/>
      <c r="AA637" s="215"/>
      <c r="AB637" s="229"/>
      <c r="AC637" s="230"/>
      <c r="AD637" s="267" t="s">
        <v>4</v>
      </c>
    </row>
    <row r="638" spans="1:30" ht="17.100000000000001" customHeight="1" x14ac:dyDescent="0.25">
      <c r="A638" s="201"/>
      <c r="B638" s="202"/>
      <c r="C638" s="221"/>
      <c r="D638" s="222"/>
      <c r="E638" s="363"/>
      <c r="G638" s="206"/>
      <c r="H638" s="218"/>
      <c r="I638" s="177"/>
      <c r="J638" s="176"/>
      <c r="K638" s="207"/>
      <c r="L638" s="208"/>
      <c r="M638" s="208"/>
      <c r="N638" s="224"/>
      <c r="O638" s="225"/>
      <c r="P638" s="226"/>
      <c r="Q638" s="169"/>
      <c r="R638" s="233"/>
      <c r="Y638" s="95"/>
      <c r="Z638" s="228"/>
      <c r="AA638" s="215"/>
      <c r="AB638" s="229"/>
      <c r="AC638" s="230"/>
      <c r="AD638" s="267" t="s">
        <v>4</v>
      </c>
    </row>
    <row r="639" spans="1:30" ht="17.100000000000001" customHeight="1" x14ac:dyDescent="0.25">
      <c r="A639" s="201"/>
      <c r="B639" s="202"/>
      <c r="C639" s="221"/>
      <c r="D639" s="222"/>
      <c r="E639" s="363"/>
      <c r="G639" s="206"/>
      <c r="H639" s="218"/>
      <c r="I639" s="177"/>
      <c r="J639" s="176"/>
      <c r="K639" s="207"/>
      <c r="L639" s="208"/>
      <c r="M639" s="208"/>
      <c r="N639" s="224"/>
      <c r="O639" s="225"/>
      <c r="P639" s="226"/>
      <c r="Q639" s="169"/>
      <c r="R639" s="233"/>
      <c r="Y639" s="95"/>
      <c r="Z639" s="228"/>
      <c r="AA639" s="215"/>
      <c r="AB639" s="229"/>
      <c r="AC639" s="230"/>
      <c r="AD639" s="267" t="s">
        <v>4</v>
      </c>
    </row>
    <row r="640" spans="1:30" ht="17.100000000000001" customHeight="1" x14ac:dyDescent="0.25">
      <c r="A640" s="201"/>
      <c r="B640" s="202"/>
      <c r="C640" s="221"/>
      <c r="D640" s="222"/>
      <c r="E640" s="363"/>
      <c r="G640" s="206"/>
      <c r="H640" s="218"/>
      <c r="I640" s="177"/>
      <c r="J640" s="176"/>
      <c r="K640" s="207"/>
      <c r="L640" s="208"/>
      <c r="M640" s="208"/>
      <c r="N640" s="224"/>
      <c r="O640" s="225"/>
      <c r="P640" s="226"/>
      <c r="Q640" s="169"/>
      <c r="R640" s="233"/>
      <c r="Y640" s="95"/>
      <c r="Z640" s="228"/>
      <c r="AA640" s="215"/>
      <c r="AB640" s="229"/>
      <c r="AC640" s="230"/>
      <c r="AD640" s="267" t="s">
        <v>4</v>
      </c>
    </row>
    <row r="641" spans="1:30" ht="17.100000000000001" customHeight="1" x14ac:dyDescent="0.25">
      <c r="A641" s="201"/>
      <c r="B641" s="202"/>
      <c r="C641" s="221"/>
      <c r="D641" s="222"/>
      <c r="E641" s="363"/>
      <c r="G641" s="206"/>
      <c r="H641" s="218"/>
      <c r="I641" s="177"/>
      <c r="J641" s="176"/>
      <c r="K641" s="207"/>
      <c r="L641" s="208"/>
      <c r="M641" s="208"/>
      <c r="N641" s="224"/>
      <c r="O641" s="225"/>
      <c r="P641" s="226"/>
      <c r="Q641" s="169"/>
      <c r="R641" s="233"/>
      <c r="Y641" s="95"/>
      <c r="Z641" s="228"/>
      <c r="AA641" s="215"/>
      <c r="AB641" s="229"/>
      <c r="AC641" s="230"/>
      <c r="AD641" s="267" t="s">
        <v>4</v>
      </c>
    </row>
    <row r="642" spans="1:30" ht="17.100000000000001" customHeight="1" x14ac:dyDescent="0.25">
      <c r="A642" s="201"/>
      <c r="B642" s="202"/>
      <c r="C642" s="221"/>
      <c r="D642" s="222"/>
      <c r="E642" s="363"/>
      <c r="G642" s="206"/>
      <c r="H642" s="218"/>
      <c r="I642" s="177"/>
      <c r="J642" s="176"/>
      <c r="K642" s="207"/>
      <c r="L642" s="208"/>
      <c r="M642" s="208"/>
      <c r="N642" s="224"/>
      <c r="O642" s="225"/>
      <c r="P642" s="226"/>
      <c r="Q642" s="169"/>
      <c r="R642" s="233"/>
      <c r="Y642" s="95"/>
      <c r="Z642" s="228"/>
      <c r="AA642" s="215"/>
      <c r="AB642" s="229"/>
      <c r="AC642" s="230"/>
      <c r="AD642" s="267" t="s">
        <v>4</v>
      </c>
    </row>
    <row r="643" spans="1:30" ht="17.100000000000001" customHeight="1" x14ac:dyDescent="0.25">
      <c r="A643" s="201"/>
      <c r="B643" s="202"/>
      <c r="C643" s="221"/>
      <c r="D643" s="222"/>
      <c r="E643" s="363"/>
      <c r="G643" s="206"/>
      <c r="H643" s="218"/>
      <c r="I643" s="177"/>
      <c r="J643" s="176"/>
      <c r="K643" s="207"/>
      <c r="L643" s="208"/>
      <c r="M643" s="208"/>
      <c r="N643" s="224"/>
      <c r="O643" s="225"/>
      <c r="P643" s="226"/>
      <c r="Q643" s="169"/>
      <c r="R643" s="233"/>
      <c r="Y643" s="95"/>
      <c r="Z643" s="228"/>
      <c r="AA643" s="215"/>
      <c r="AB643" s="229"/>
      <c r="AC643" s="230"/>
      <c r="AD643" s="267" t="s">
        <v>4</v>
      </c>
    </row>
    <row r="644" spans="1:30" ht="17.100000000000001" customHeight="1" x14ac:dyDescent="0.25">
      <c r="A644" s="201"/>
      <c r="B644" s="202"/>
      <c r="C644" s="221"/>
      <c r="D644" s="222"/>
      <c r="E644" s="363"/>
      <c r="G644" s="206"/>
      <c r="H644" s="218"/>
      <c r="I644" s="177"/>
      <c r="J644" s="176"/>
      <c r="K644" s="207"/>
      <c r="L644" s="208"/>
      <c r="M644" s="208"/>
      <c r="N644" s="224"/>
      <c r="O644" s="225"/>
      <c r="P644" s="226"/>
      <c r="Q644" s="169"/>
      <c r="R644" s="233"/>
      <c r="Y644" s="95"/>
      <c r="Z644" s="228"/>
      <c r="AA644" s="215"/>
      <c r="AB644" s="229"/>
      <c r="AC644" s="230"/>
      <c r="AD644" s="267" t="s">
        <v>4</v>
      </c>
    </row>
    <row r="645" spans="1:30" ht="17.100000000000001" customHeight="1" x14ac:dyDescent="0.25">
      <c r="A645" s="201"/>
      <c r="B645" s="202"/>
      <c r="C645" s="221"/>
      <c r="D645" s="222"/>
      <c r="E645" s="363"/>
      <c r="G645" s="206"/>
      <c r="H645" s="218"/>
      <c r="I645" s="177"/>
      <c r="J645" s="176"/>
      <c r="K645" s="207"/>
      <c r="L645" s="208"/>
      <c r="M645" s="208"/>
      <c r="N645" s="224"/>
      <c r="O645" s="225"/>
      <c r="P645" s="226"/>
      <c r="Q645" s="169"/>
      <c r="R645" s="233"/>
      <c r="Y645" s="95"/>
      <c r="Z645" s="228"/>
      <c r="AA645" s="215"/>
      <c r="AB645" s="229"/>
      <c r="AC645" s="230"/>
      <c r="AD645" s="267" t="s">
        <v>4</v>
      </c>
    </row>
    <row r="646" spans="1:30" ht="17.100000000000001" customHeight="1" x14ac:dyDescent="0.25">
      <c r="A646" s="201"/>
      <c r="B646" s="202"/>
      <c r="C646" s="221"/>
      <c r="D646" s="222"/>
      <c r="E646" s="363"/>
      <c r="G646" s="206"/>
      <c r="H646" s="218"/>
      <c r="I646" s="177"/>
      <c r="J646" s="176"/>
      <c r="K646" s="207"/>
      <c r="L646" s="208"/>
      <c r="M646" s="208"/>
      <c r="N646" s="224"/>
      <c r="O646" s="225"/>
      <c r="P646" s="226"/>
      <c r="Q646" s="169"/>
      <c r="R646" s="233"/>
      <c r="Y646" s="95"/>
      <c r="Z646" s="228"/>
      <c r="AA646" s="215"/>
      <c r="AB646" s="229"/>
      <c r="AC646" s="230"/>
      <c r="AD646" s="267" t="s">
        <v>4</v>
      </c>
    </row>
    <row r="647" spans="1:30" ht="17.100000000000001" customHeight="1" x14ac:dyDescent="0.25">
      <c r="A647" s="201"/>
      <c r="B647" s="202"/>
      <c r="C647" s="221"/>
      <c r="D647" s="222"/>
      <c r="E647" s="363"/>
      <c r="G647" s="206"/>
      <c r="H647" s="218"/>
      <c r="I647" s="177"/>
      <c r="J647" s="176"/>
      <c r="K647" s="207"/>
      <c r="L647" s="208"/>
      <c r="M647" s="208"/>
      <c r="N647" s="224"/>
      <c r="O647" s="225"/>
      <c r="P647" s="226"/>
      <c r="Q647" s="169"/>
      <c r="R647" s="233"/>
      <c r="Y647" s="95"/>
      <c r="Z647" s="228"/>
      <c r="AA647" s="215"/>
      <c r="AB647" s="229"/>
      <c r="AC647" s="230"/>
      <c r="AD647" s="267" t="s">
        <v>4</v>
      </c>
    </row>
    <row r="648" spans="1:30" ht="17.100000000000001" customHeight="1" x14ac:dyDescent="0.25">
      <c r="A648" s="201"/>
      <c r="B648" s="202"/>
      <c r="C648" s="221"/>
      <c r="D648" s="222"/>
      <c r="E648" s="363"/>
      <c r="G648" s="206"/>
      <c r="H648" s="218"/>
      <c r="I648" s="177"/>
      <c r="J648" s="176"/>
      <c r="K648" s="207"/>
      <c r="L648" s="208"/>
      <c r="M648" s="208"/>
      <c r="N648" s="224"/>
      <c r="O648" s="225"/>
      <c r="P648" s="226"/>
      <c r="Q648" s="169"/>
      <c r="R648" s="233"/>
      <c r="Y648" s="95"/>
      <c r="Z648" s="228"/>
      <c r="AA648" s="215"/>
      <c r="AB648" s="229"/>
      <c r="AC648" s="230"/>
      <c r="AD648" s="267" t="s">
        <v>4</v>
      </c>
    </row>
    <row r="649" spans="1:30" ht="17.100000000000001" customHeight="1" x14ac:dyDescent="0.25">
      <c r="A649" s="201"/>
      <c r="B649" s="202"/>
      <c r="C649" s="221"/>
      <c r="D649" s="222"/>
      <c r="E649" s="363"/>
      <c r="G649" s="206"/>
      <c r="H649" s="218"/>
      <c r="I649" s="177"/>
      <c r="J649" s="176"/>
      <c r="K649" s="207"/>
      <c r="L649" s="208"/>
      <c r="M649" s="208"/>
      <c r="N649" s="224"/>
      <c r="O649" s="225"/>
      <c r="P649" s="226"/>
      <c r="Q649" s="169"/>
      <c r="R649" s="233"/>
      <c r="Y649" s="95"/>
      <c r="Z649" s="228"/>
      <c r="AA649" s="215"/>
      <c r="AB649" s="229"/>
      <c r="AC649" s="230"/>
      <c r="AD649" s="267" t="s">
        <v>4</v>
      </c>
    </row>
    <row r="650" spans="1:30" ht="17.100000000000001" customHeight="1" x14ac:dyDescent="0.25">
      <c r="A650" s="201"/>
      <c r="B650" s="202"/>
      <c r="C650" s="221"/>
      <c r="D650" s="222"/>
      <c r="E650" s="363"/>
      <c r="G650" s="206"/>
      <c r="H650" s="218"/>
      <c r="I650" s="177"/>
      <c r="J650" s="176"/>
      <c r="K650" s="207"/>
      <c r="L650" s="208"/>
      <c r="M650" s="208"/>
      <c r="N650" s="224"/>
      <c r="O650" s="225"/>
      <c r="P650" s="226"/>
      <c r="Q650" s="169"/>
      <c r="R650" s="233"/>
      <c r="Y650" s="95"/>
      <c r="Z650" s="228"/>
      <c r="AA650" s="215"/>
      <c r="AB650" s="229"/>
      <c r="AC650" s="230"/>
      <c r="AD650" s="267" t="s">
        <v>4</v>
      </c>
    </row>
    <row r="651" spans="1:30" ht="17.100000000000001" customHeight="1" x14ac:dyDescent="0.25">
      <c r="A651" s="201"/>
      <c r="B651" s="202"/>
      <c r="C651" s="221"/>
      <c r="D651" s="222"/>
      <c r="E651" s="363"/>
      <c r="G651" s="206"/>
      <c r="H651" s="218"/>
      <c r="I651" s="177"/>
      <c r="J651" s="176"/>
      <c r="K651" s="207"/>
      <c r="L651" s="208"/>
      <c r="M651" s="208"/>
      <c r="N651" s="224"/>
      <c r="O651" s="225"/>
      <c r="P651" s="226"/>
      <c r="Q651" s="169"/>
      <c r="Y651" s="95"/>
      <c r="Z651" s="228"/>
      <c r="AA651" s="215"/>
      <c r="AB651" s="229"/>
      <c r="AC651" s="230"/>
      <c r="AD651" s="267" t="s">
        <v>4</v>
      </c>
    </row>
    <row r="652" spans="1:30" ht="17.100000000000001" customHeight="1" x14ac:dyDescent="0.25">
      <c r="A652" s="201"/>
      <c r="B652" s="202"/>
      <c r="C652" s="221"/>
      <c r="D652" s="222"/>
      <c r="E652" s="363"/>
      <c r="G652" s="206"/>
      <c r="H652" s="218"/>
      <c r="I652" s="177"/>
      <c r="J652" s="176"/>
      <c r="K652" s="207"/>
      <c r="L652" s="208"/>
      <c r="M652" s="208"/>
      <c r="N652" s="224"/>
      <c r="O652" s="225"/>
      <c r="P652" s="226"/>
      <c r="Q652" s="169"/>
      <c r="Y652" s="95"/>
      <c r="Z652" s="228"/>
      <c r="AA652" s="215"/>
      <c r="AB652" s="229"/>
      <c r="AC652" s="230"/>
      <c r="AD652" s="267" t="s">
        <v>4</v>
      </c>
    </row>
    <row r="653" spans="1:30" ht="17.100000000000001" customHeight="1" x14ac:dyDescent="0.25">
      <c r="A653" s="201"/>
      <c r="B653" s="202"/>
      <c r="C653" s="221"/>
      <c r="D653" s="222"/>
      <c r="E653" s="363"/>
      <c r="G653" s="206"/>
      <c r="H653" s="218"/>
      <c r="I653" s="177"/>
      <c r="J653" s="176"/>
      <c r="K653" s="207"/>
      <c r="L653" s="208"/>
      <c r="M653" s="208"/>
      <c r="N653" s="224"/>
      <c r="O653" s="225"/>
      <c r="P653" s="226"/>
      <c r="Q653" s="169"/>
      <c r="R653" s="233"/>
      <c r="Y653" s="95"/>
      <c r="Z653" s="228"/>
      <c r="AA653" s="215"/>
      <c r="AB653" s="229"/>
      <c r="AC653" s="230"/>
      <c r="AD653" s="267" t="s">
        <v>4</v>
      </c>
    </row>
    <row r="654" spans="1:30" ht="17.100000000000001" customHeight="1" x14ac:dyDescent="0.25">
      <c r="A654" s="201"/>
      <c r="B654" s="202"/>
      <c r="C654" s="221"/>
      <c r="D654" s="222"/>
      <c r="E654" s="363"/>
      <c r="G654" s="206"/>
      <c r="H654" s="218"/>
      <c r="I654" s="177"/>
      <c r="J654" s="176"/>
      <c r="K654" s="207"/>
      <c r="L654" s="208"/>
      <c r="M654" s="208"/>
      <c r="N654" s="224"/>
      <c r="O654" s="225"/>
      <c r="P654" s="226"/>
      <c r="Q654" s="169"/>
      <c r="R654" s="233"/>
      <c r="Y654" s="95"/>
      <c r="Z654" s="228"/>
      <c r="AA654" s="215"/>
      <c r="AB654" s="229"/>
      <c r="AC654" s="230"/>
      <c r="AD654" s="267" t="s">
        <v>4</v>
      </c>
    </row>
    <row r="655" spans="1:30" ht="17.100000000000001" customHeight="1" x14ac:dyDescent="0.25">
      <c r="A655" s="201"/>
      <c r="B655" s="202"/>
      <c r="C655" s="221"/>
      <c r="D655" s="222"/>
      <c r="E655" s="363"/>
      <c r="G655" s="206"/>
      <c r="H655" s="218"/>
      <c r="I655" s="177"/>
      <c r="J655" s="176"/>
      <c r="K655" s="207"/>
      <c r="L655" s="208"/>
      <c r="M655" s="208"/>
      <c r="N655" s="224"/>
      <c r="O655" s="225"/>
      <c r="P655" s="226"/>
      <c r="Q655" s="169"/>
      <c r="Y655" s="95"/>
      <c r="Z655" s="228"/>
      <c r="AA655" s="215"/>
      <c r="AB655" s="229"/>
      <c r="AC655" s="230"/>
      <c r="AD655" s="267" t="s">
        <v>4</v>
      </c>
    </row>
    <row r="656" spans="1:30" ht="17.100000000000001" customHeight="1" x14ac:dyDescent="0.25">
      <c r="A656" s="201"/>
      <c r="B656" s="202"/>
      <c r="C656" s="221"/>
      <c r="D656" s="222"/>
      <c r="E656" s="363"/>
      <c r="G656" s="206"/>
      <c r="H656" s="218"/>
      <c r="I656" s="177"/>
      <c r="J656" s="176"/>
      <c r="K656" s="207"/>
      <c r="L656" s="208"/>
      <c r="M656" s="208"/>
      <c r="N656" s="224"/>
      <c r="O656" s="225"/>
      <c r="P656" s="226"/>
      <c r="Q656" s="169"/>
      <c r="Y656" s="95"/>
      <c r="Z656" s="228"/>
      <c r="AA656" s="215"/>
      <c r="AB656" s="229"/>
      <c r="AC656" s="230"/>
      <c r="AD656" s="267" t="s">
        <v>4</v>
      </c>
    </row>
    <row r="657" spans="1:30" ht="17.100000000000001" customHeight="1" x14ac:dyDescent="0.25">
      <c r="A657" s="201"/>
      <c r="B657" s="202"/>
      <c r="C657" s="221"/>
      <c r="D657" s="222"/>
      <c r="E657" s="363"/>
      <c r="G657" s="206"/>
      <c r="H657" s="218"/>
      <c r="I657" s="177"/>
      <c r="J657" s="176"/>
      <c r="K657" s="207"/>
      <c r="L657" s="208"/>
      <c r="M657" s="208"/>
      <c r="N657" s="224"/>
      <c r="O657" s="225"/>
      <c r="P657" s="226"/>
      <c r="Q657" s="169"/>
      <c r="R657" s="233"/>
      <c r="Y657" s="95"/>
      <c r="Z657" s="228"/>
      <c r="AA657" s="215"/>
      <c r="AB657" s="229"/>
      <c r="AC657" s="230"/>
      <c r="AD657" s="267" t="s">
        <v>4</v>
      </c>
    </row>
    <row r="658" spans="1:30" ht="17.100000000000001" customHeight="1" x14ac:dyDescent="0.25">
      <c r="A658" s="201"/>
      <c r="B658" s="202"/>
      <c r="C658" s="221"/>
      <c r="D658" s="222"/>
      <c r="E658" s="363"/>
      <c r="G658" s="206"/>
      <c r="H658" s="218"/>
      <c r="I658" s="177"/>
      <c r="J658" s="176"/>
      <c r="K658" s="207"/>
      <c r="L658" s="208"/>
      <c r="M658" s="208"/>
      <c r="N658" s="224"/>
      <c r="O658" s="225"/>
      <c r="P658" s="226"/>
      <c r="Q658" s="169"/>
      <c r="Y658" s="95"/>
      <c r="Z658" s="228"/>
      <c r="AA658" s="215"/>
      <c r="AB658" s="229"/>
      <c r="AC658" s="230"/>
      <c r="AD658" s="267" t="s">
        <v>4</v>
      </c>
    </row>
    <row r="659" spans="1:30" ht="17.100000000000001" customHeight="1" x14ac:dyDescent="0.25">
      <c r="A659" s="201"/>
      <c r="B659" s="202"/>
      <c r="C659" s="221"/>
      <c r="D659" s="222"/>
      <c r="E659" s="363"/>
      <c r="G659" s="206"/>
      <c r="H659" s="218"/>
      <c r="I659" s="177"/>
      <c r="J659" s="176"/>
      <c r="K659" s="207"/>
      <c r="L659" s="208"/>
      <c r="M659" s="208"/>
      <c r="N659" s="224"/>
      <c r="O659" s="225"/>
      <c r="P659" s="226"/>
      <c r="Q659" s="169"/>
      <c r="Y659" s="95"/>
      <c r="Z659" s="228"/>
      <c r="AA659" s="215"/>
      <c r="AB659" s="229"/>
      <c r="AC659" s="230"/>
      <c r="AD659" s="267" t="s">
        <v>4</v>
      </c>
    </row>
    <row r="660" spans="1:30" ht="17.100000000000001" customHeight="1" x14ac:dyDescent="0.25">
      <c r="A660" s="201"/>
      <c r="B660" s="202"/>
      <c r="C660" s="221"/>
      <c r="D660" s="222"/>
      <c r="E660" s="363"/>
      <c r="G660" s="206"/>
      <c r="H660" s="218"/>
      <c r="I660" s="177"/>
      <c r="J660" s="176"/>
      <c r="K660" s="207"/>
      <c r="L660" s="208"/>
      <c r="M660" s="208"/>
      <c r="N660" s="224"/>
      <c r="O660" s="225"/>
      <c r="P660" s="226"/>
      <c r="Q660" s="169"/>
      <c r="R660" s="233"/>
      <c r="Y660" s="95"/>
      <c r="Z660" s="228"/>
      <c r="AA660" s="215"/>
      <c r="AB660" s="229"/>
      <c r="AC660" s="230"/>
      <c r="AD660" s="267" t="s">
        <v>4</v>
      </c>
    </row>
    <row r="661" spans="1:30" ht="17.100000000000001" customHeight="1" x14ac:dyDescent="0.25">
      <c r="A661" s="201"/>
      <c r="B661" s="202"/>
      <c r="C661" s="221"/>
      <c r="D661" s="222"/>
      <c r="E661" s="363"/>
      <c r="G661" s="206"/>
      <c r="H661" s="218"/>
      <c r="I661" s="177"/>
      <c r="J661" s="176"/>
      <c r="K661" s="207"/>
      <c r="L661" s="208"/>
      <c r="M661" s="208"/>
      <c r="N661" s="224"/>
      <c r="O661" s="225"/>
      <c r="P661" s="226"/>
      <c r="Q661" s="169"/>
      <c r="R661" s="233"/>
      <c r="Y661" s="95"/>
      <c r="Z661" s="228"/>
      <c r="AA661" s="215"/>
      <c r="AB661" s="229"/>
      <c r="AC661" s="230"/>
      <c r="AD661" s="267" t="s">
        <v>4</v>
      </c>
    </row>
    <row r="662" spans="1:30" ht="17.100000000000001" customHeight="1" x14ac:dyDescent="0.25">
      <c r="A662" s="201"/>
      <c r="B662" s="202"/>
      <c r="C662" s="221"/>
      <c r="D662" s="222"/>
      <c r="E662" s="363"/>
      <c r="G662" s="206"/>
      <c r="H662" s="218"/>
      <c r="I662" s="177"/>
      <c r="J662" s="176"/>
      <c r="K662" s="207"/>
      <c r="L662" s="208"/>
      <c r="M662" s="208"/>
      <c r="N662" s="224"/>
      <c r="O662" s="225"/>
      <c r="P662" s="226"/>
      <c r="Q662" s="169"/>
      <c r="Y662" s="95"/>
      <c r="Z662" s="228"/>
      <c r="AA662" s="215"/>
      <c r="AB662" s="229"/>
      <c r="AC662" s="230"/>
      <c r="AD662" s="267" t="s">
        <v>4</v>
      </c>
    </row>
    <row r="663" spans="1:30" ht="17.100000000000001" customHeight="1" x14ac:dyDescent="0.25">
      <c r="A663" s="201"/>
      <c r="B663" s="202"/>
      <c r="C663" s="221"/>
      <c r="D663" s="222"/>
      <c r="E663" s="363"/>
      <c r="G663" s="206"/>
      <c r="H663" s="218"/>
      <c r="I663" s="177"/>
      <c r="J663" s="176"/>
      <c r="K663" s="207"/>
      <c r="L663" s="208"/>
      <c r="M663" s="208"/>
      <c r="N663" s="224"/>
      <c r="O663" s="225"/>
      <c r="P663" s="226"/>
      <c r="Q663" s="169"/>
      <c r="R663" s="233"/>
      <c r="Y663" s="95"/>
      <c r="Z663" s="228"/>
      <c r="AA663" s="215"/>
      <c r="AB663" s="229"/>
      <c r="AC663" s="230"/>
      <c r="AD663" s="267" t="s">
        <v>4</v>
      </c>
    </row>
    <row r="664" spans="1:30" ht="17.100000000000001" customHeight="1" x14ac:dyDescent="0.25">
      <c r="A664" s="201"/>
      <c r="B664" s="202"/>
      <c r="C664" s="221"/>
      <c r="D664" s="222"/>
      <c r="E664" s="363"/>
      <c r="G664" s="206"/>
      <c r="H664" s="218"/>
      <c r="I664" s="177"/>
      <c r="J664" s="176"/>
      <c r="K664" s="207"/>
      <c r="L664" s="208"/>
      <c r="M664" s="208"/>
      <c r="N664" s="224"/>
      <c r="O664" s="225"/>
      <c r="P664" s="226"/>
      <c r="Q664" s="169"/>
      <c r="Y664" s="95"/>
      <c r="Z664" s="228"/>
      <c r="AA664" s="215"/>
      <c r="AB664" s="229"/>
      <c r="AC664" s="230"/>
    </row>
  </sheetData>
  <mergeCells count="8">
    <mergeCell ref="Q3:Y3"/>
    <mergeCell ref="K3:M3"/>
    <mergeCell ref="N3:P3"/>
    <mergeCell ref="B3:D3"/>
    <mergeCell ref="AE1:AF1"/>
    <mergeCell ref="AA1:AC1"/>
    <mergeCell ref="A1:Z1"/>
    <mergeCell ref="C2:Z2"/>
  </mergeCells>
  <conditionalFormatting sqref="K1:M1048576">
    <cfRule type="cellIs" dxfId="41" priority="28" operator="equal">
      <formula>"y"</formula>
    </cfRule>
  </conditionalFormatting>
  <conditionalFormatting sqref="A1:AC17 A22:AC25 A18:P21 R18:AC21 A30:AC1048576 A26:Q29 S26:AC29">
    <cfRule type="cellIs" dxfId="40" priority="25" stopIfTrue="1" operator="equal">
      <formula>"n/a"</formula>
    </cfRule>
  </conditionalFormatting>
  <conditionalFormatting sqref="G6:G200">
    <cfRule type="containsText" dxfId="39" priority="26" operator="containsText" text="*">
      <formula>NOT(ISERROR(SEARCH("*",G6)))</formula>
    </cfRule>
  </conditionalFormatting>
  <conditionalFormatting sqref="H1:H1048576">
    <cfRule type="containsText" dxfId="38" priority="24" operator="containsText" text="^">
      <formula>NOT(ISERROR(SEARCH("^",H1)))</formula>
    </cfRule>
  </conditionalFormatting>
  <conditionalFormatting sqref="O1:O1048576">
    <cfRule type="duplicateValues" dxfId="37" priority="63"/>
  </conditionalFormatting>
  <conditionalFormatting sqref="N1:N1048576">
    <cfRule type="duplicateValues" dxfId="36" priority="193"/>
    <cfRule type="containsText" dxfId="35" priority="195" operator="containsText" text=" ">
      <formula>NOT(ISERROR(SEARCH(" ",N1)))</formula>
    </cfRule>
  </conditionalFormatting>
  <conditionalFormatting sqref="Q1:Q17 Q22:Q1048576">
    <cfRule type="duplicateValues" dxfId="34" priority="197"/>
  </conditionalFormatting>
  <conditionalFormatting sqref="R1:R25 R30:R1048576">
    <cfRule type="duplicateValues" dxfId="33" priority="199"/>
  </conditionalFormatting>
  <conditionalFormatting sqref="U1:V1048576">
    <cfRule type="duplicateValues" dxfId="32" priority="203"/>
  </conditionalFormatting>
  <conditionalFormatting sqref="P1:P1048576">
    <cfRule type="duplicateValues" dxfId="31" priority="201"/>
  </conditionalFormatting>
  <conditionalFormatting sqref="I1:I1048576">
    <cfRule type="containsBlanks" dxfId="30" priority="64">
      <formula>LEN(TRIM(I1))=0</formula>
    </cfRule>
    <cfRule type="cellIs" dxfId="29" priority="65" operator="equal">
      <formula>"reject"</formula>
    </cfRule>
    <cfRule type="cellIs" dxfId="28" priority="166" operator="equal">
      <formula>"dupe"</formula>
    </cfRule>
  </conditionalFormatting>
  <conditionalFormatting sqref="Q18:Q21">
    <cfRule type="cellIs" dxfId="2" priority="2" stopIfTrue="1" operator="equal">
      <formula>"n/a"</formula>
    </cfRule>
  </conditionalFormatting>
  <conditionalFormatting sqref="R26:R29">
    <cfRule type="cellIs" dxfId="0" priority="1" stopIfTrue="1" operator="equal">
      <formula>"n/a"</formula>
    </cfRule>
  </conditionalFormatting>
  <pageMargins left="0.7" right="0.7" top="0.75" bottom="0.75" header="0.3" footer="0.3"/>
  <pageSetup orientation="portrait" r:id="rId1"/>
  <legacyDrawing r:id="rId2"/>
  <tableParts count="2">
    <tablePart r:id="rId3"/>
    <tablePart r:id="rId4"/>
  </tableParts>
  <extLst>
    <ext xmlns:x14="http://schemas.microsoft.com/office/spreadsheetml/2009/9/main" uri="{CCE6A557-97BC-4b89-ADB6-D9C93CAAB3DF}">
      <x14:dataValidations xmlns:xm="http://schemas.microsoft.com/office/excel/2006/main" count="4">
        <x14:dataValidation type="list" allowBlank="1" showInputMessage="1" showErrorMessage="1" xr:uid="{16BDE138-FB0C-4134-AC3E-B940F6CFA413}">
          <x14:formula1>
            <xm:f>'Data Validation'!$E$2:$E$4</xm:f>
          </x14:formula1>
          <xm:sqref>A63 C6:C200</xm:sqref>
        </x14:dataValidation>
        <x14:dataValidation type="list" errorStyle="information" allowBlank="1" showInputMessage="1" showErrorMessage="1" xr:uid="{076E70B1-C303-4E67-B18A-4C28CFFA8872}">
          <x14:formula1>
            <xm:f>'Data Validation'!$C$2:$C$20</xm:f>
          </x14:formula1>
          <xm:sqref>E6:E23 E25:E30 E32:E664</xm:sqref>
        </x14:dataValidation>
        <x14:dataValidation type="list" allowBlank="1" showInputMessage="1" showErrorMessage="1" xr:uid="{6F009C75-D0C3-4D2B-8C11-05495572F565}">
          <x14:formula1>
            <xm:f>'Data Validation'!$A$2:$A$11</xm:f>
          </x14:formula1>
          <xm:sqref>I6:I200</xm:sqref>
        </x14:dataValidation>
        <x14:dataValidation type="list" allowBlank="1" showInputMessage="1" showErrorMessage="1" xr:uid="{30143516-1812-4014-939F-527E719EDEC3}">
          <x14:formula1>
            <xm:f>'Data Validation'!$C$2:$C$18</xm:f>
          </x14:formula1>
          <xm:sqref>F6:F200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C2B25-1046-4F4F-98D9-89B758371CB1}">
  <sheetPr codeName="Sheet11">
    <tabColor theme="9" tint="-0.249977111117893"/>
  </sheetPr>
  <dimension ref="A1:HL201"/>
  <sheetViews>
    <sheetView zoomScaleNormal="100" workbookViewId="0">
      <selection activeCell="A3" sqref="A3"/>
    </sheetView>
  </sheetViews>
  <sheetFormatPr defaultRowHeight="17.100000000000001" customHeight="1" x14ac:dyDescent="0.25"/>
  <cols>
    <col min="1" max="1" width="19.140625" customWidth="1"/>
    <col min="2" max="2" width="7.7109375" style="289" customWidth="1"/>
    <col min="3" max="3" width="9.140625" style="51"/>
    <col min="4" max="4" width="4.7109375" style="286" customWidth="1"/>
    <col min="5" max="5" width="8.7109375" style="287" customWidth="1"/>
    <col min="6" max="6" width="8.7109375" style="354" customWidth="1"/>
    <col min="7" max="7" width="15.7109375" style="288" customWidth="1"/>
    <col min="8" max="8" width="20.7109375" style="355" customWidth="1"/>
    <col min="9" max="9" width="16.7109375" style="109" customWidth="1"/>
    <col min="10" max="10" width="8.7109375" style="286" customWidth="1"/>
    <col min="11" max="11" width="3.7109375" style="352" customWidth="1"/>
    <col min="12" max="12" width="8.7109375" style="109" customWidth="1"/>
    <col min="13" max="14" width="8.7109375" style="221" customWidth="1"/>
    <col min="15" max="15" width="13.7109375" style="356" customWidth="1"/>
    <col min="16" max="17" width="13.7109375" style="357" customWidth="1"/>
    <col min="18" max="18" width="30.7109375" style="358" customWidth="1"/>
    <col min="19" max="19" width="30.7109375" style="286" customWidth="1"/>
    <col min="20" max="24" width="15.7109375" style="286" customWidth="1"/>
    <col min="25" max="25" width="7.7109375" style="286" customWidth="1"/>
    <col min="26" max="26" width="10.7109375" style="359" customWidth="1"/>
    <col min="27" max="27" width="3.7109375" style="360" customWidth="1"/>
    <col min="28" max="28" width="3.7109375" style="351" customWidth="1"/>
    <col min="29" max="29" width="10.7109375" style="361" customWidth="1"/>
    <col min="30" max="30" width="14.85546875" style="362" customWidth="1"/>
    <col min="31" max="31" width="3.7109375" style="349" customWidth="1"/>
    <col min="32" max="32" width="12.7109375" style="350" customWidth="1"/>
    <col min="33" max="33" width="12.7109375" style="351" customWidth="1"/>
    <col min="34" max="34" width="3.7109375" style="351" customWidth="1"/>
    <col min="35" max="35" width="24.7109375" style="352" customWidth="1"/>
    <col min="36" max="36" width="9.140625" style="351"/>
    <col min="37" max="16384" width="9.140625" style="1"/>
  </cols>
  <sheetData>
    <row r="1" spans="1:220" customFormat="1" ht="17.100000000000001" customHeight="1" x14ac:dyDescent="0.25">
      <c r="A1" s="56" t="s">
        <v>205</v>
      </c>
      <c r="B1" s="105"/>
      <c r="C1" s="144"/>
      <c r="D1" s="106"/>
      <c r="E1" s="107"/>
      <c r="F1" s="145"/>
      <c r="G1" s="108"/>
      <c r="H1" s="146"/>
      <c r="I1" s="147"/>
      <c r="J1" s="110"/>
      <c r="K1" s="144"/>
      <c r="L1" s="148"/>
      <c r="M1" s="111"/>
      <c r="N1" s="111"/>
      <c r="O1" s="149"/>
      <c r="P1" s="112"/>
      <c r="Q1" s="112"/>
      <c r="R1" s="150"/>
      <c r="S1" s="106"/>
      <c r="T1" s="106"/>
      <c r="U1" s="106"/>
      <c r="V1" s="106"/>
      <c r="W1" s="106"/>
      <c r="X1" s="106"/>
      <c r="Y1" s="106"/>
      <c r="Z1" s="113"/>
      <c r="AA1" s="114"/>
      <c r="AB1" s="115"/>
      <c r="AC1" s="116"/>
      <c r="AD1" s="117"/>
      <c r="AE1" s="118"/>
      <c r="AF1" s="119"/>
      <c r="AG1" s="115"/>
      <c r="AH1" s="115"/>
      <c r="AI1" s="144"/>
      <c r="AJ1" s="115"/>
    </row>
    <row r="2" spans="1:220" customFormat="1" ht="17.100000000000001" customHeight="1" x14ac:dyDescent="0.25">
      <c r="A2" s="390" t="s">
        <v>487</v>
      </c>
      <c r="B2" s="105"/>
      <c r="C2" s="144"/>
      <c r="D2" s="106"/>
      <c r="E2" s="107"/>
      <c r="F2" s="145"/>
      <c r="G2" s="108"/>
      <c r="H2" s="146"/>
      <c r="I2" s="147"/>
      <c r="J2" s="110"/>
      <c r="K2" s="144"/>
      <c r="L2" s="148"/>
      <c r="M2" s="111"/>
      <c r="N2" s="111"/>
      <c r="O2" s="149"/>
      <c r="P2" s="112"/>
      <c r="Q2" s="112"/>
      <c r="R2" s="150"/>
      <c r="S2" s="106"/>
      <c r="T2" s="106"/>
      <c r="U2" s="106"/>
      <c r="V2" s="106"/>
      <c r="W2" s="106"/>
      <c r="X2" s="106"/>
      <c r="Y2" s="106"/>
      <c r="Z2" s="113"/>
      <c r="AA2" s="114"/>
      <c r="AB2" s="115"/>
      <c r="AC2" s="116"/>
      <c r="AD2" s="117"/>
      <c r="AE2" s="118"/>
      <c r="AF2" s="119"/>
      <c r="AG2" s="115"/>
      <c r="AH2" s="115"/>
      <c r="AI2" s="144"/>
      <c r="AJ2" s="115"/>
    </row>
    <row r="3" spans="1:220" customFormat="1" ht="17.100000000000001" customHeight="1" x14ac:dyDescent="0.25">
      <c r="A3" s="56"/>
      <c r="B3" s="105"/>
      <c r="C3" s="144"/>
      <c r="D3" s="106"/>
      <c r="E3" s="107"/>
      <c r="F3" s="145"/>
      <c r="G3" s="108"/>
      <c r="H3" s="146"/>
      <c r="I3" s="147"/>
      <c r="J3" s="110"/>
      <c r="K3" s="144"/>
      <c r="L3" s="148"/>
      <c r="M3" s="111"/>
      <c r="N3" s="111"/>
      <c r="O3" s="149"/>
      <c r="P3" s="112"/>
      <c r="Q3" s="112"/>
      <c r="R3" s="150"/>
      <c r="S3" s="106"/>
      <c r="T3" s="106"/>
      <c r="U3" s="106"/>
      <c r="V3" s="106"/>
      <c r="W3" s="106"/>
      <c r="X3" s="106"/>
      <c r="Y3" s="106"/>
      <c r="Z3" s="113"/>
      <c r="AA3" s="114"/>
      <c r="AB3" s="115"/>
      <c r="AC3" s="116"/>
      <c r="AD3" s="117"/>
      <c r="AE3" s="118"/>
      <c r="AF3" s="119"/>
      <c r="AG3" s="115"/>
      <c r="AH3" s="115"/>
      <c r="AI3" s="144"/>
      <c r="AJ3" s="115"/>
    </row>
    <row r="4" spans="1:220" s="5" customFormat="1" ht="20.100000000000001" customHeight="1" x14ac:dyDescent="0.25">
      <c r="A4" s="56" t="s">
        <v>174</v>
      </c>
      <c r="B4" s="178" t="s">
        <v>173</v>
      </c>
      <c r="C4" s="178"/>
      <c r="D4" s="178"/>
      <c r="E4" s="178"/>
      <c r="F4" s="178"/>
      <c r="G4" s="178"/>
      <c r="H4" s="178"/>
      <c r="I4" s="178"/>
      <c r="J4" s="178"/>
      <c r="K4" s="178"/>
      <c r="L4" s="178"/>
      <c r="M4" s="178"/>
      <c r="N4" s="178"/>
      <c r="O4" s="178"/>
      <c r="P4" s="178"/>
      <c r="Q4" s="178"/>
      <c r="R4" s="178"/>
      <c r="S4" s="178"/>
      <c r="T4" s="178"/>
      <c r="U4" s="178"/>
      <c r="V4" s="178"/>
      <c r="W4" s="178"/>
      <c r="X4" s="178"/>
      <c r="Y4" s="184"/>
      <c r="Z4" s="46"/>
      <c r="AA4" s="47"/>
      <c r="AB4" s="48"/>
      <c r="AC4" s="48"/>
      <c r="AD4" s="38"/>
      <c r="AE4" s="39"/>
      <c r="AF4" s="179" t="s">
        <v>0</v>
      </c>
      <c r="AG4" s="180"/>
      <c r="AH4" s="5" t="s">
        <v>237</v>
      </c>
    </row>
    <row r="5" spans="1:220" s="5" customFormat="1" ht="20.100000000000001" customHeight="1" x14ac:dyDescent="0.25">
      <c r="A5" s="56"/>
      <c r="B5" s="21"/>
      <c r="C5" s="36" t="s">
        <v>1</v>
      </c>
      <c r="D5" s="185"/>
      <c r="E5" s="185"/>
      <c r="F5" s="185"/>
      <c r="G5" s="185"/>
      <c r="H5" s="185"/>
      <c r="I5" s="185"/>
      <c r="J5" s="185"/>
      <c r="K5" s="185"/>
      <c r="L5" s="185"/>
      <c r="M5" s="185"/>
      <c r="N5" s="185"/>
      <c r="O5" s="185"/>
      <c r="P5" s="185"/>
      <c r="Q5" s="185"/>
      <c r="R5" s="185"/>
      <c r="S5" s="185"/>
      <c r="T5" s="185"/>
      <c r="U5" s="185"/>
      <c r="V5" s="185"/>
      <c r="W5" s="185"/>
      <c r="X5" s="185"/>
      <c r="Y5" s="186"/>
      <c r="Z5" s="143">
        <f>SUM(Z8:Z201)</f>
        <v>0</v>
      </c>
      <c r="AA5" s="3" t="s">
        <v>2</v>
      </c>
      <c r="AB5" s="4"/>
      <c r="AC5" s="4"/>
      <c r="AD5" s="45"/>
      <c r="AE5" s="39"/>
      <c r="AF5" s="9" t="e" vm="1">
        <v>#VALUE!</v>
      </c>
      <c r="AG5" s="10" cm="1">
        <f t="array" ref="AG5">_FV(AF5,"Price",TRUE)</f>
        <v>7.378E-3</v>
      </c>
      <c r="AI5"/>
      <c r="AJ5"/>
    </row>
    <row r="6" spans="1:220" s="6" customFormat="1" ht="20.100000000000001" customHeight="1" x14ac:dyDescent="0.25">
      <c r="A6" s="56" t="s">
        <v>175</v>
      </c>
      <c r="B6" s="138"/>
      <c r="C6" s="187" t="s">
        <v>3</v>
      </c>
      <c r="D6" s="188"/>
      <c r="E6" s="189"/>
      <c r="F6" s="22"/>
      <c r="G6" s="20"/>
      <c r="H6" s="24"/>
      <c r="I6" s="32"/>
      <c r="J6" s="23" t="s">
        <v>4</v>
      </c>
      <c r="K6" s="29" t="s">
        <v>4</v>
      </c>
      <c r="L6" s="187" t="s">
        <v>5</v>
      </c>
      <c r="M6" s="188"/>
      <c r="N6" s="190"/>
      <c r="O6" s="187" t="s">
        <v>6</v>
      </c>
      <c r="P6" s="188"/>
      <c r="Q6" s="190"/>
      <c r="R6" s="187" t="s">
        <v>7</v>
      </c>
      <c r="S6" s="188"/>
      <c r="T6" s="188"/>
      <c r="U6" s="188"/>
      <c r="V6" s="188"/>
      <c r="W6" s="188"/>
      <c r="X6" s="188"/>
      <c r="Y6" s="190"/>
      <c r="Z6" s="26"/>
      <c r="AA6" s="20"/>
      <c r="AB6" s="20"/>
      <c r="AC6" s="20"/>
      <c r="AD6" s="26"/>
      <c r="AE6" s="40"/>
      <c r="AF6" s="11" t="e" vm="2">
        <v>#VALUE!</v>
      </c>
      <c r="AG6" s="12" cm="1">
        <f t="array" ref="AG6">_FV(AF6,"Price",TRUE)</f>
        <v>7.718E-4</v>
      </c>
    </row>
    <row r="7" spans="1:220" s="7" customFormat="1" ht="14.1" customHeight="1" x14ac:dyDescent="0.25">
      <c r="A7" s="56" t="s">
        <v>176</v>
      </c>
      <c r="B7" s="2">
        <v>1</v>
      </c>
      <c r="C7" s="27">
        <v>3</v>
      </c>
      <c r="D7" s="2">
        <v>4</v>
      </c>
      <c r="E7" s="2">
        <v>5</v>
      </c>
      <c r="F7" s="15">
        <v>6</v>
      </c>
      <c r="G7" s="2">
        <v>2</v>
      </c>
      <c r="H7" s="14">
        <v>7</v>
      </c>
      <c r="I7" s="33">
        <v>8</v>
      </c>
      <c r="J7" s="2">
        <v>9</v>
      </c>
      <c r="K7" s="30">
        <v>10</v>
      </c>
      <c r="L7" s="27" t="s">
        <v>8</v>
      </c>
      <c r="M7" s="2">
        <v>12</v>
      </c>
      <c r="N7" s="2">
        <v>13</v>
      </c>
      <c r="O7" s="27">
        <v>14</v>
      </c>
      <c r="P7" s="2">
        <v>15</v>
      </c>
      <c r="Q7" s="2">
        <v>16</v>
      </c>
      <c r="R7" s="27">
        <v>17</v>
      </c>
      <c r="S7" s="2">
        <v>18</v>
      </c>
      <c r="T7" s="2">
        <v>19</v>
      </c>
      <c r="U7" s="2">
        <v>20</v>
      </c>
      <c r="V7" s="2">
        <v>21</v>
      </c>
      <c r="W7" s="2">
        <v>22</v>
      </c>
      <c r="X7" s="2">
        <v>23</v>
      </c>
      <c r="Y7" s="2">
        <v>24</v>
      </c>
      <c r="Z7" s="27">
        <v>25</v>
      </c>
      <c r="AA7" s="2">
        <v>26</v>
      </c>
      <c r="AB7" s="2">
        <v>27</v>
      </c>
      <c r="AC7" s="2">
        <v>28</v>
      </c>
      <c r="AD7" s="27">
        <v>29</v>
      </c>
      <c r="AE7" s="41"/>
      <c r="AF7"/>
      <c r="AG7"/>
    </row>
    <row r="8" spans="1:220" s="6" customFormat="1" ht="39.950000000000003" customHeight="1" x14ac:dyDescent="0.25">
      <c r="A8" s="56" t="s">
        <v>177</v>
      </c>
      <c r="B8" s="18" t="s">
        <v>9</v>
      </c>
      <c r="C8" s="37" t="s">
        <v>10</v>
      </c>
      <c r="D8" s="49" t="s">
        <v>11</v>
      </c>
      <c r="E8" s="17" t="s">
        <v>210</v>
      </c>
      <c r="F8" s="44" t="s">
        <v>13</v>
      </c>
      <c r="G8" s="35" t="s">
        <v>14</v>
      </c>
      <c r="H8" s="16" t="s">
        <v>15</v>
      </c>
      <c r="I8" s="34" t="s">
        <v>16</v>
      </c>
      <c r="J8" s="19" t="s">
        <v>17</v>
      </c>
      <c r="K8" s="31" t="s">
        <v>18</v>
      </c>
      <c r="L8" s="25" t="s">
        <v>19</v>
      </c>
      <c r="M8" s="17" t="s">
        <v>20</v>
      </c>
      <c r="N8" s="17" t="s">
        <v>21</v>
      </c>
      <c r="O8" s="25" t="s">
        <v>22</v>
      </c>
      <c r="P8" s="17" t="s">
        <v>23</v>
      </c>
      <c r="Q8" s="19" t="s">
        <v>24</v>
      </c>
      <c r="R8" s="28" t="s">
        <v>25</v>
      </c>
      <c r="S8" s="19" t="s">
        <v>26</v>
      </c>
      <c r="T8" s="19" t="s">
        <v>27</v>
      </c>
      <c r="U8" s="19" t="s">
        <v>28</v>
      </c>
      <c r="V8" s="19" t="s">
        <v>29</v>
      </c>
      <c r="W8" s="19" t="s">
        <v>30</v>
      </c>
      <c r="X8" s="19" t="s">
        <v>31</v>
      </c>
      <c r="Y8" s="17" t="s">
        <v>85</v>
      </c>
      <c r="Z8" s="25" t="s">
        <v>32</v>
      </c>
      <c r="AA8" s="8" t="s">
        <v>33</v>
      </c>
      <c r="AB8" s="17" t="s">
        <v>34</v>
      </c>
      <c r="AC8" s="17" t="s">
        <v>35</v>
      </c>
      <c r="AD8" s="25" t="s">
        <v>36</v>
      </c>
      <c r="AE8" s="40"/>
      <c r="AI8" s="43" t="s">
        <v>37</v>
      </c>
      <c r="AJ8" s="5" t="s">
        <v>238</v>
      </c>
    </row>
    <row r="9" spans="1:220" s="5" customFormat="1" ht="17.100000000000001" customHeight="1" x14ac:dyDescent="0.25">
      <c r="A9" s="56" t="s">
        <v>178</v>
      </c>
      <c r="B9" s="292" t="s">
        <v>190</v>
      </c>
      <c r="C9" s="293" t="s">
        <v>190</v>
      </c>
      <c r="D9" s="203" t="s">
        <v>190</v>
      </c>
      <c r="E9" s="210" t="s">
        <v>190</v>
      </c>
      <c r="F9" s="294" t="s">
        <v>190</v>
      </c>
      <c r="G9" s="203" t="s">
        <v>190</v>
      </c>
      <c r="H9" s="295" t="s">
        <v>190</v>
      </c>
      <c r="I9" s="153" t="s">
        <v>191</v>
      </c>
      <c r="J9" s="203" t="s">
        <v>190</v>
      </c>
      <c r="K9" s="155" t="s">
        <v>190</v>
      </c>
      <c r="L9" s="296" t="s">
        <v>191</v>
      </c>
      <c r="M9" s="208" t="s">
        <v>191</v>
      </c>
      <c r="N9" s="208" t="s">
        <v>191</v>
      </c>
      <c r="O9" s="297" t="s">
        <v>191</v>
      </c>
      <c r="P9" s="210" t="s">
        <v>191</v>
      </c>
      <c r="Q9" s="210" t="s">
        <v>191</v>
      </c>
      <c r="R9" s="293" t="s">
        <v>191</v>
      </c>
      <c r="S9" s="203" t="s">
        <v>191</v>
      </c>
      <c r="T9" s="203" t="s">
        <v>191</v>
      </c>
      <c r="U9" s="203" t="s">
        <v>191</v>
      </c>
      <c r="V9" s="203" t="s">
        <v>191</v>
      </c>
      <c r="W9" s="203" t="s">
        <v>191</v>
      </c>
      <c r="X9" s="203" t="s">
        <v>191</v>
      </c>
      <c r="Y9" s="210" t="s">
        <v>191</v>
      </c>
      <c r="Z9" s="298" t="s">
        <v>191</v>
      </c>
      <c r="AA9" s="299" t="s">
        <v>190</v>
      </c>
      <c r="AB9" s="203" t="s">
        <v>191</v>
      </c>
      <c r="AC9" s="210" t="s">
        <v>191</v>
      </c>
      <c r="AD9" s="293" t="s">
        <v>191</v>
      </c>
      <c r="AE9" s="267" t="s">
        <v>4</v>
      </c>
      <c r="AF9" s="268"/>
      <c r="AG9" s="268"/>
      <c r="AI9" s="42"/>
    </row>
    <row r="10" spans="1:220" s="5" customFormat="1" ht="17.100000000000001" customHeight="1" x14ac:dyDescent="0.25">
      <c r="A10" s="56" t="s">
        <v>179</v>
      </c>
      <c r="B10" s="154" t="s">
        <v>200</v>
      </c>
      <c r="C10" s="300" t="s">
        <v>192</v>
      </c>
      <c r="D10" s="301" t="s">
        <v>192</v>
      </c>
      <c r="E10" s="302" t="s">
        <v>195</v>
      </c>
      <c r="F10" s="154" t="s">
        <v>201</v>
      </c>
      <c r="G10" s="203" t="s">
        <v>192</v>
      </c>
      <c r="H10" s="295" t="s">
        <v>192</v>
      </c>
      <c r="I10" s="303" t="s">
        <v>192</v>
      </c>
      <c r="J10" s="203" t="s">
        <v>192</v>
      </c>
      <c r="K10" s="152" t="s">
        <v>192</v>
      </c>
      <c r="L10" s="296" t="s">
        <v>192</v>
      </c>
      <c r="M10" s="208" t="s">
        <v>192</v>
      </c>
      <c r="N10" s="208" t="s">
        <v>192</v>
      </c>
      <c r="O10" s="297" t="s">
        <v>193</v>
      </c>
      <c r="P10" s="210" t="s">
        <v>193</v>
      </c>
      <c r="Q10" s="210" t="s">
        <v>193</v>
      </c>
      <c r="R10" s="293" t="s">
        <v>192</v>
      </c>
      <c r="S10" s="203" t="s">
        <v>192</v>
      </c>
      <c r="T10" s="203" t="s">
        <v>192</v>
      </c>
      <c r="U10" s="203" t="s">
        <v>192</v>
      </c>
      <c r="V10" s="203" t="s">
        <v>192</v>
      </c>
      <c r="W10" s="203" t="s">
        <v>192</v>
      </c>
      <c r="X10" s="203" t="s">
        <v>192</v>
      </c>
      <c r="Y10" s="210" t="s">
        <v>192</v>
      </c>
      <c r="Z10" s="298" t="s">
        <v>194</v>
      </c>
      <c r="AA10" s="299" t="s">
        <v>195</v>
      </c>
      <c r="AB10" s="203" t="s">
        <v>192</v>
      </c>
      <c r="AC10" s="210" t="s">
        <v>193</v>
      </c>
      <c r="AD10" s="293" t="s">
        <v>192</v>
      </c>
      <c r="AE10" s="267" t="s">
        <v>129</v>
      </c>
      <c r="AF10" s="268"/>
      <c r="AG10" s="268"/>
      <c r="AI10" s="42"/>
      <c r="HL10" s="5" t="s">
        <v>39</v>
      </c>
    </row>
    <row r="11" spans="1:220" s="5" customFormat="1" ht="17.100000000000001" customHeight="1" x14ac:dyDescent="0.25">
      <c r="A11" s="56" t="s">
        <v>180</v>
      </c>
      <c r="B11" s="301" t="s">
        <v>465</v>
      </c>
      <c r="C11" s="300" t="s">
        <v>196</v>
      </c>
      <c r="D11" s="301" t="s">
        <v>196</v>
      </c>
      <c r="E11" s="302" t="s">
        <v>196</v>
      </c>
      <c r="F11" s="304" t="s">
        <v>196</v>
      </c>
      <c r="G11" s="203" t="s">
        <v>196</v>
      </c>
      <c r="H11" s="295" t="s">
        <v>202</v>
      </c>
      <c r="I11" s="305" t="s">
        <v>197</v>
      </c>
      <c r="J11" s="306" t="s">
        <v>198</v>
      </c>
      <c r="K11" s="152" t="s">
        <v>196</v>
      </c>
      <c r="L11" s="296" t="s">
        <v>196</v>
      </c>
      <c r="M11" s="208" t="s">
        <v>196</v>
      </c>
      <c r="N11" s="208" t="s">
        <v>199</v>
      </c>
      <c r="O11" s="297" t="s">
        <v>203</v>
      </c>
      <c r="P11" s="307" t="s">
        <v>203</v>
      </c>
      <c r="Q11" s="308" t="s">
        <v>204</v>
      </c>
      <c r="R11" s="293" t="s">
        <v>196</v>
      </c>
      <c r="S11" s="203" t="s">
        <v>196</v>
      </c>
      <c r="T11" s="203" t="s">
        <v>196</v>
      </c>
      <c r="U11" s="203" t="s">
        <v>196</v>
      </c>
      <c r="V11" s="203" t="s">
        <v>196</v>
      </c>
      <c r="W11" s="203" t="s">
        <v>196</v>
      </c>
      <c r="X11" s="203" t="s">
        <v>196</v>
      </c>
      <c r="Y11" s="210" t="s">
        <v>196</v>
      </c>
      <c r="Z11" s="298" t="s">
        <v>196</v>
      </c>
      <c r="AA11" s="299" t="s">
        <v>196</v>
      </c>
      <c r="AB11" s="203" t="s">
        <v>196</v>
      </c>
      <c r="AC11" s="210" t="s">
        <v>196</v>
      </c>
      <c r="AD11" s="309"/>
      <c r="AE11" s="267" t="s">
        <v>4</v>
      </c>
      <c r="AF11" s="268"/>
      <c r="AG11" s="268"/>
      <c r="AI11" s="42"/>
    </row>
    <row r="12" spans="1:220" s="5" customFormat="1" ht="17.100000000000001" customHeight="1" x14ac:dyDescent="0.25">
      <c r="A12" s="56" t="s">
        <v>181</v>
      </c>
      <c r="B12" s="301" t="s">
        <v>4</v>
      </c>
      <c r="C12" s="300" t="s">
        <v>4</v>
      </c>
      <c r="D12" s="301" t="s">
        <v>4</v>
      </c>
      <c r="E12" s="302" t="s">
        <v>4</v>
      </c>
      <c r="F12" s="304" t="s">
        <v>4</v>
      </c>
      <c r="G12" s="203" t="s">
        <v>4</v>
      </c>
      <c r="H12" s="295" t="s">
        <v>4</v>
      </c>
      <c r="I12" s="303" t="s">
        <v>4</v>
      </c>
      <c r="J12" s="203" t="s">
        <v>4</v>
      </c>
      <c r="K12" s="152" t="s">
        <v>4</v>
      </c>
      <c r="L12" s="296" t="s">
        <v>4</v>
      </c>
      <c r="M12" s="208" t="s">
        <v>4</v>
      </c>
      <c r="N12" s="208" t="s">
        <v>4</v>
      </c>
      <c r="O12" s="297" t="s">
        <v>4</v>
      </c>
      <c r="P12" s="307" t="s">
        <v>4</v>
      </c>
      <c r="Q12" s="308" t="s">
        <v>4</v>
      </c>
      <c r="R12" s="293" t="s">
        <v>4</v>
      </c>
      <c r="S12" s="203" t="s">
        <v>4</v>
      </c>
      <c r="T12" s="203" t="s">
        <v>4</v>
      </c>
      <c r="U12" s="203" t="s">
        <v>4</v>
      </c>
      <c r="V12" s="203" t="s">
        <v>4</v>
      </c>
      <c r="W12" s="203" t="s">
        <v>4</v>
      </c>
      <c r="X12" s="203" t="s">
        <v>4</v>
      </c>
      <c r="Y12" s="210" t="s">
        <v>4</v>
      </c>
      <c r="Z12" s="298" t="s">
        <v>4</v>
      </c>
      <c r="AA12" s="299" t="s">
        <v>4</v>
      </c>
      <c r="AB12" s="203" t="s">
        <v>4</v>
      </c>
      <c r="AC12" s="210" t="s">
        <v>4</v>
      </c>
      <c r="AD12" s="293" t="s">
        <v>4</v>
      </c>
      <c r="AE12" s="267" t="s">
        <v>4</v>
      </c>
      <c r="AF12" s="268"/>
      <c r="AG12" s="268"/>
      <c r="AI12" s="42"/>
    </row>
    <row r="13" spans="1:220" s="5" customFormat="1" ht="17.100000000000001" customHeight="1" x14ac:dyDescent="0.25">
      <c r="A13" s="56" t="s">
        <v>182</v>
      </c>
      <c r="B13" s="301" t="s">
        <v>196</v>
      </c>
      <c r="C13" s="300" t="s">
        <v>196</v>
      </c>
      <c r="D13" s="301" t="s">
        <v>206</v>
      </c>
      <c r="E13" s="302" t="s">
        <v>196</v>
      </c>
      <c r="F13" s="304" t="s">
        <v>196</v>
      </c>
      <c r="G13" s="203" t="s">
        <v>206</v>
      </c>
      <c r="H13" s="295" t="s">
        <v>196</v>
      </c>
      <c r="I13" s="303" t="s">
        <v>196</v>
      </c>
      <c r="J13" s="203" t="s">
        <v>206</v>
      </c>
      <c r="K13" s="152" t="s">
        <v>196</v>
      </c>
      <c r="L13" s="296" t="s">
        <v>196</v>
      </c>
      <c r="M13" s="208" t="s">
        <v>196</v>
      </c>
      <c r="N13" s="208" t="s">
        <v>196</v>
      </c>
      <c r="O13" s="297" t="s">
        <v>196</v>
      </c>
      <c r="P13" s="210" t="s">
        <v>196</v>
      </c>
      <c r="Q13" s="210" t="s">
        <v>196</v>
      </c>
      <c r="R13" s="293" t="s">
        <v>196</v>
      </c>
      <c r="S13" s="203" t="s">
        <v>196</v>
      </c>
      <c r="T13" s="203" t="s">
        <v>196</v>
      </c>
      <c r="U13" s="203" t="s">
        <v>196</v>
      </c>
      <c r="V13" s="203" t="s">
        <v>196</v>
      </c>
      <c r="W13" s="203" t="s">
        <v>196</v>
      </c>
      <c r="X13" s="203" t="s">
        <v>196</v>
      </c>
      <c r="Y13" s="210" t="s">
        <v>196</v>
      </c>
      <c r="Z13" s="298" t="s">
        <v>196</v>
      </c>
      <c r="AA13" s="299" t="s">
        <v>196</v>
      </c>
      <c r="AB13" s="203" t="s">
        <v>196</v>
      </c>
      <c r="AC13" s="210" t="s">
        <v>196</v>
      </c>
      <c r="AD13" s="293" t="s">
        <v>196</v>
      </c>
      <c r="AE13" s="267" t="s">
        <v>4</v>
      </c>
      <c r="AF13" s="268"/>
      <c r="AG13" s="268"/>
      <c r="AI13" s="42"/>
    </row>
    <row r="14" spans="1:220" s="5" customFormat="1" ht="17.100000000000001" customHeight="1" x14ac:dyDescent="0.25">
      <c r="A14" s="56" t="s">
        <v>183</v>
      </c>
      <c r="B14" s="301" t="s">
        <v>4</v>
      </c>
      <c r="C14" s="300" t="s">
        <v>4</v>
      </c>
      <c r="D14" s="301" t="s">
        <v>4</v>
      </c>
      <c r="E14" s="302" t="s">
        <v>4</v>
      </c>
      <c r="F14" s="304" t="s">
        <v>4</v>
      </c>
      <c r="G14" s="203" t="s">
        <v>4</v>
      </c>
      <c r="H14" s="295" t="s">
        <v>4</v>
      </c>
      <c r="I14" s="303" t="s">
        <v>4</v>
      </c>
      <c r="J14" s="203" t="s">
        <v>4</v>
      </c>
      <c r="K14" s="152" t="s">
        <v>4</v>
      </c>
      <c r="L14" s="296" t="s">
        <v>4</v>
      </c>
      <c r="M14" s="208" t="s">
        <v>4</v>
      </c>
      <c r="N14" s="208" t="s">
        <v>4</v>
      </c>
      <c r="O14" s="297" t="s">
        <v>4</v>
      </c>
      <c r="P14" s="210" t="s">
        <v>4</v>
      </c>
      <c r="Q14" s="210" t="s">
        <v>4</v>
      </c>
      <c r="R14" s="293" t="s">
        <v>4</v>
      </c>
      <c r="S14" s="203" t="s">
        <v>4</v>
      </c>
      <c r="T14" s="203" t="s">
        <v>4</v>
      </c>
      <c r="U14" s="203" t="s">
        <v>4</v>
      </c>
      <c r="V14" s="203" t="s">
        <v>4</v>
      </c>
      <c r="W14" s="203" t="s">
        <v>4</v>
      </c>
      <c r="X14" s="203" t="s">
        <v>4</v>
      </c>
      <c r="Y14" s="210" t="s">
        <v>4</v>
      </c>
      <c r="Z14" s="298" t="s">
        <v>4</v>
      </c>
      <c r="AA14" s="299" t="s">
        <v>4</v>
      </c>
      <c r="AB14" s="203" t="s">
        <v>4</v>
      </c>
      <c r="AC14" s="210" t="s">
        <v>4</v>
      </c>
      <c r="AD14" s="293" t="s">
        <v>4</v>
      </c>
      <c r="AE14" s="267" t="s">
        <v>4</v>
      </c>
      <c r="AF14" s="268"/>
      <c r="AG14" s="268"/>
      <c r="AI14" s="42"/>
    </row>
    <row r="15" spans="1:220" s="5" customFormat="1" ht="17.100000000000001" customHeight="1" x14ac:dyDescent="0.25">
      <c r="A15" s="56"/>
      <c r="B15" s="310" t="s">
        <v>207</v>
      </c>
      <c r="C15" s="311" t="s">
        <v>209</v>
      </c>
      <c r="D15" s="301" t="s">
        <v>208</v>
      </c>
      <c r="E15" s="302" t="s">
        <v>211</v>
      </c>
      <c r="F15" s="304" t="s">
        <v>212</v>
      </c>
      <c r="G15" s="205" t="s">
        <v>213</v>
      </c>
      <c r="H15" s="312" t="s">
        <v>214</v>
      </c>
      <c r="I15" s="313" t="s">
        <v>215</v>
      </c>
      <c r="J15" s="205" t="s">
        <v>216</v>
      </c>
      <c r="K15" s="156" t="s">
        <v>217</v>
      </c>
      <c r="L15" s="314" t="s">
        <v>218</v>
      </c>
      <c r="M15" s="315" t="s">
        <v>219</v>
      </c>
      <c r="N15" s="315" t="s">
        <v>220</v>
      </c>
      <c r="O15" s="316" t="s">
        <v>221</v>
      </c>
      <c r="P15" s="317" t="s">
        <v>222</v>
      </c>
      <c r="Q15" s="317" t="s">
        <v>223</v>
      </c>
      <c r="R15" s="318" t="s">
        <v>224</v>
      </c>
      <c r="S15" s="205" t="s">
        <v>225</v>
      </c>
      <c r="T15" s="205" t="s">
        <v>226</v>
      </c>
      <c r="U15" s="205" t="s">
        <v>227</v>
      </c>
      <c r="V15" s="205" t="s">
        <v>228</v>
      </c>
      <c r="W15" s="205" t="s">
        <v>229</v>
      </c>
      <c r="X15" s="205" t="s">
        <v>230</v>
      </c>
      <c r="Y15" s="219" t="s">
        <v>231</v>
      </c>
      <c r="Z15" s="319" t="s">
        <v>232</v>
      </c>
      <c r="AA15" s="320" t="s">
        <v>233</v>
      </c>
      <c r="AB15" s="321" t="s">
        <v>234</v>
      </c>
      <c r="AC15" s="317" t="s">
        <v>235</v>
      </c>
      <c r="AD15" s="309" t="s">
        <v>236</v>
      </c>
      <c r="AE15" s="267" t="s">
        <v>4</v>
      </c>
      <c r="AF15" s="268"/>
      <c r="AG15" s="268"/>
      <c r="AI15" s="42"/>
    </row>
    <row r="16" spans="1:220" s="5" customFormat="1" ht="17.100000000000001" customHeight="1" x14ac:dyDescent="0.25">
      <c r="A16" s="56"/>
      <c r="B16" s="310"/>
      <c r="C16" s="311"/>
      <c r="D16" s="301"/>
      <c r="E16" s="302"/>
      <c r="F16" s="304"/>
      <c r="G16" s="205"/>
      <c r="H16" s="312"/>
      <c r="I16" s="313"/>
      <c r="J16" s="205"/>
      <c r="K16" s="156"/>
      <c r="L16" s="314"/>
      <c r="M16" s="315"/>
      <c r="N16" s="315"/>
      <c r="O16" s="316"/>
      <c r="P16" s="317"/>
      <c r="Q16" s="317"/>
      <c r="R16" s="318"/>
      <c r="S16" s="205"/>
      <c r="T16" s="205"/>
      <c r="U16" s="205"/>
      <c r="V16" s="205"/>
      <c r="W16" s="205"/>
      <c r="X16" s="205"/>
      <c r="Y16" s="219"/>
      <c r="Z16" s="319"/>
      <c r="AA16" s="320"/>
      <c r="AB16" s="321"/>
      <c r="AC16" s="317"/>
      <c r="AD16" s="309"/>
      <c r="AE16" s="267" t="s">
        <v>4</v>
      </c>
      <c r="AF16" s="268"/>
      <c r="AG16" s="268"/>
      <c r="AI16" s="42"/>
    </row>
    <row r="17" spans="1:35" s="5" customFormat="1" ht="17.100000000000001" customHeight="1" x14ac:dyDescent="0.25">
      <c r="A17" s="151" t="s">
        <v>184</v>
      </c>
      <c r="B17" s="310"/>
      <c r="C17" s="311"/>
      <c r="D17" s="301"/>
      <c r="E17" s="302"/>
      <c r="F17" s="304"/>
      <c r="G17" s="205"/>
      <c r="H17" s="312"/>
      <c r="I17" s="313"/>
      <c r="J17" s="205"/>
      <c r="K17" s="156"/>
      <c r="L17" s="314"/>
      <c r="M17" s="315"/>
      <c r="N17" s="315"/>
      <c r="O17" s="316"/>
      <c r="P17" s="317"/>
      <c r="Q17" s="317"/>
      <c r="R17" s="318"/>
      <c r="S17" s="205"/>
      <c r="T17" s="205"/>
      <c r="U17" s="205"/>
      <c r="V17" s="205"/>
      <c r="W17" s="205"/>
      <c r="X17" s="205"/>
      <c r="Y17" s="219"/>
      <c r="Z17" s="319"/>
      <c r="AA17" s="320"/>
      <c r="AB17" s="321"/>
      <c r="AC17" s="317"/>
      <c r="AD17" s="309"/>
      <c r="AE17" s="267" t="s">
        <v>4</v>
      </c>
      <c r="AF17" s="268"/>
      <c r="AG17" s="268"/>
      <c r="AI17" s="42"/>
    </row>
    <row r="18" spans="1:35" s="5" customFormat="1" ht="17.100000000000001" customHeight="1" x14ac:dyDescent="0.25">
      <c r="A18" s="56" t="s">
        <v>185</v>
      </c>
      <c r="B18" s="310"/>
      <c r="C18" s="311"/>
      <c r="D18" s="301"/>
      <c r="E18" s="302"/>
      <c r="F18" s="304"/>
      <c r="G18" s="205"/>
      <c r="H18" s="312"/>
      <c r="I18" s="313"/>
      <c r="J18" s="205"/>
      <c r="K18" s="156"/>
      <c r="L18" s="314"/>
      <c r="M18" s="315"/>
      <c r="N18" s="315"/>
      <c r="O18" s="316"/>
      <c r="P18" s="317"/>
      <c r="Q18" s="317"/>
      <c r="R18" s="318"/>
      <c r="S18" s="205"/>
      <c r="T18" s="205"/>
      <c r="U18" s="205"/>
      <c r="V18" s="205"/>
      <c r="W18" s="205"/>
      <c r="X18" s="205"/>
      <c r="Y18" s="219"/>
      <c r="Z18" s="319"/>
      <c r="AA18" s="320"/>
      <c r="AB18" s="321"/>
      <c r="AC18" s="317"/>
      <c r="AD18" s="309"/>
      <c r="AE18" s="267" t="s">
        <v>4</v>
      </c>
      <c r="AF18" s="268"/>
      <c r="AG18" s="268"/>
      <c r="AI18" s="42"/>
    </row>
    <row r="19" spans="1:35" s="5" customFormat="1" ht="17.100000000000001" customHeight="1" x14ac:dyDescent="0.25">
      <c r="A19" s="56" t="s">
        <v>186</v>
      </c>
      <c r="B19" s="310"/>
      <c r="C19" s="311"/>
      <c r="D19" s="301"/>
      <c r="E19" s="302"/>
      <c r="F19" s="304"/>
      <c r="G19" s="205"/>
      <c r="H19" s="312"/>
      <c r="I19" s="313"/>
      <c r="J19" s="205"/>
      <c r="K19" s="156"/>
      <c r="L19" s="314"/>
      <c r="M19" s="315"/>
      <c r="N19" s="315"/>
      <c r="O19" s="316"/>
      <c r="P19" s="317"/>
      <c r="Q19" s="317"/>
      <c r="R19" s="318"/>
      <c r="S19" s="205"/>
      <c r="T19" s="205"/>
      <c r="U19" s="205"/>
      <c r="V19" s="205"/>
      <c r="W19" s="205"/>
      <c r="X19" s="205"/>
      <c r="Y19" s="219"/>
      <c r="Z19" s="319"/>
      <c r="AA19" s="320"/>
      <c r="AB19" s="321"/>
      <c r="AC19" s="317"/>
      <c r="AD19" s="309"/>
      <c r="AE19" s="267" t="s">
        <v>4</v>
      </c>
      <c r="AF19" s="268"/>
      <c r="AG19" s="268"/>
      <c r="AI19" s="42"/>
    </row>
    <row r="20" spans="1:35" s="5" customFormat="1" ht="17.100000000000001" customHeight="1" x14ac:dyDescent="0.25">
      <c r="A20" s="56" t="s">
        <v>187</v>
      </c>
      <c r="B20" s="310"/>
      <c r="C20" s="311"/>
      <c r="D20" s="301"/>
      <c r="E20" s="302"/>
      <c r="F20" s="304"/>
      <c r="G20" s="205"/>
      <c r="H20" s="312"/>
      <c r="I20" s="313"/>
      <c r="J20" s="205"/>
      <c r="K20" s="156"/>
      <c r="L20" s="314"/>
      <c r="M20" s="315"/>
      <c r="N20" s="315"/>
      <c r="O20" s="316"/>
      <c r="P20" s="317"/>
      <c r="Q20" s="205"/>
      <c r="R20" s="318"/>
      <c r="S20" s="205"/>
      <c r="T20" s="205"/>
      <c r="U20" s="205"/>
      <c r="V20" s="205"/>
      <c r="W20" s="205"/>
      <c r="X20" s="205"/>
      <c r="Y20" s="219"/>
      <c r="Z20" s="319"/>
      <c r="AA20" s="320"/>
      <c r="AB20" s="321"/>
      <c r="AC20" s="317"/>
      <c r="AD20" s="309"/>
      <c r="AE20" s="267" t="s">
        <v>4</v>
      </c>
      <c r="AF20" s="268"/>
      <c r="AG20" s="268"/>
      <c r="AI20" s="42"/>
    </row>
    <row r="21" spans="1:35" s="5" customFormat="1" ht="17.100000000000001" customHeight="1" x14ac:dyDescent="0.25">
      <c r="A21" s="56" t="s">
        <v>188</v>
      </c>
      <c r="B21" s="310"/>
      <c r="C21" s="311"/>
      <c r="D21" s="301"/>
      <c r="E21" s="302"/>
      <c r="F21" s="304"/>
      <c r="G21" s="205"/>
      <c r="H21" s="312"/>
      <c r="I21" s="313"/>
      <c r="J21" s="205"/>
      <c r="K21" s="156"/>
      <c r="L21" s="314"/>
      <c r="M21" s="315"/>
      <c r="N21" s="315"/>
      <c r="O21" s="316"/>
      <c r="P21" s="317"/>
      <c r="Q21" s="317"/>
      <c r="R21" s="318"/>
      <c r="S21" s="205"/>
      <c r="T21" s="205"/>
      <c r="U21" s="205"/>
      <c r="V21" s="205"/>
      <c r="W21" s="205"/>
      <c r="X21" s="205"/>
      <c r="Y21" s="219"/>
      <c r="Z21" s="319"/>
      <c r="AA21" s="320"/>
      <c r="AB21" s="321"/>
      <c r="AC21" s="317"/>
      <c r="AD21" s="309"/>
      <c r="AE21" s="267" t="s">
        <v>4</v>
      </c>
      <c r="AF21" s="268"/>
      <c r="AG21" s="268"/>
      <c r="AI21" s="42"/>
    </row>
    <row r="22" spans="1:35" s="5" customFormat="1" ht="17.100000000000001" customHeight="1" x14ac:dyDescent="0.25">
      <c r="B22" s="310"/>
      <c r="C22" s="311"/>
      <c r="D22" s="301"/>
      <c r="E22" s="302"/>
      <c r="F22" s="304"/>
      <c r="G22" s="205"/>
      <c r="H22" s="312"/>
      <c r="I22" s="313"/>
      <c r="J22" s="205"/>
      <c r="K22" s="156"/>
      <c r="L22" s="314"/>
      <c r="M22" s="315"/>
      <c r="N22" s="315"/>
      <c r="O22" s="316"/>
      <c r="P22" s="317"/>
      <c r="Q22" s="317"/>
      <c r="R22" s="318"/>
      <c r="S22" s="205"/>
      <c r="T22" s="205"/>
      <c r="U22" s="205"/>
      <c r="V22" s="205"/>
      <c r="W22" s="205"/>
      <c r="X22" s="205"/>
      <c r="Y22" s="219"/>
      <c r="Z22" s="319"/>
      <c r="AA22" s="320"/>
      <c r="AB22" s="321"/>
      <c r="AC22" s="317"/>
      <c r="AD22" s="309"/>
      <c r="AE22" s="267" t="s">
        <v>4</v>
      </c>
      <c r="AF22" s="268"/>
      <c r="AG22" s="268"/>
      <c r="AI22" s="42"/>
    </row>
    <row r="23" spans="1:35" s="5" customFormat="1" ht="17.100000000000001" customHeight="1" x14ac:dyDescent="0.25">
      <c r="B23" s="310"/>
      <c r="C23" s="311"/>
      <c r="D23" s="301"/>
      <c r="E23" s="302"/>
      <c r="F23" s="304"/>
      <c r="G23" s="205"/>
      <c r="H23" s="312"/>
      <c r="I23" s="313"/>
      <c r="J23" s="205"/>
      <c r="K23" s="156"/>
      <c r="L23" s="314"/>
      <c r="M23" s="315"/>
      <c r="N23" s="315"/>
      <c r="O23" s="316"/>
      <c r="P23" s="317"/>
      <c r="Q23" s="317"/>
      <c r="R23" s="318"/>
      <c r="S23" s="205"/>
      <c r="T23" s="205"/>
      <c r="U23" s="205"/>
      <c r="V23" s="205"/>
      <c r="W23" s="205"/>
      <c r="X23" s="205"/>
      <c r="Y23" s="219"/>
      <c r="Z23" s="319"/>
      <c r="AA23" s="320"/>
      <c r="AB23" s="321"/>
      <c r="AC23" s="317"/>
      <c r="AD23" s="309"/>
      <c r="AE23" s="267" t="s">
        <v>4</v>
      </c>
      <c r="AF23" s="268"/>
      <c r="AG23" s="268"/>
      <c r="AI23" s="42"/>
    </row>
    <row r="24" spans="1:35" s="5" customFormat="1" ht="17.100000000000001" customHeight="1" x14ac:dyDescent="0.25">
      <c r="B24" s="310"/>
      <c r="C24" s="311"/>
      <c r="D24" s="301"/>
      <c r="E24" s="302"/>
      <c r="F24" s="304"/>
      <c r="G24" s="205"/>
      <c r="H24" s="312"/>
      <c r="I24" s="313"/>
      <c r="J24" s="205"/>
      <c r="K24" s="156"/>
      <c r="L24" s="314"/>
      <c r="M24" s="315"/>
      <c r="N24" s="315"/>
      <c r="O24" s="316"/>
      <c r="P24" s="317"/>
      <c r="Q24" s="317"/>
      <c r="R24" s="318"/>
      <c r="S24" s="205"/>
      <c r="T24" s="205"/>
      <c r="U24" s="205"/>
      <c r="V24" s="205"/>
      <c r="W24" s="205"/>
      <c r="X24" s="205"/>
      <c r="Y24" s="219"/>
      <c r="Z24" s="319"/>
      <c r="AA24" s="320"/>
      <c r="AB24" s="321"/>
      <c r="AC24" s="317"/>
      <c r="AD24" s="309"/>
      <c r="AE24" s="267" t="s">
        <v>4</v>
      </c>
      <c r="AF24" s="268"/>
      <c r="AG24" s="268"/>
      <c r="AI24" s="42"/>
    </row>
    <row r="25" spans="1:35" s="5" customFormat="1" ht="17.100000000000001" customHeight="1" x14ac:dyDescent="0.25">
      <c r="B25" s="310"/>
      <c r="C25" s="311"/>
      <c r="D25" s="301"/>
      <c r="E25" s="302"/>
      <c r="F25" s="304"/>
      <c r="G25" s="205"/>
      <c r="H25" s="312"/>
      <c r="I25" s="313"/>
      <c r="J25" s="205"/>
      <c r="K25" s="156"/>
      <c r="L25" s="314"/>
      <c r="M25" s="315"/>
      <c r="N25" s="315"/>
      <c r="O25" s="316"/>
      <c r="P25" s="317"/>
      <c r="Q25" s="317"/>
      <c r="R25" s="318"/>
      <c r="S25" s="205"/>
      <c r="T25" s="205"/>
      <c r="U25" s="205"/>
      <c r="V25" s="205"/>
      <c r="W25" s="205"/>
      <c r="X25" s="205"/>
      <c r="Y25" s="219"/>
      <c r="Z25" s="319"/>
      <c r="AA25" s="320"/>
      <c r="AB25" s="321"/>
      <c r="AC25" s="317"/>
      <c r="AD25" s="309"/>
      <c r="AE25" s="267" t="s">
        <v>4</v>
      </c>
      <c r="AF25" s="268"/>
      <c r="AG25" s="268"/>
      <c r="AI25" s="42"/>
    </row>
    <row r="26" spans="1:35" s="5" customFormat="1" ht="17.100000000000001" customHeight="1" x14ac:dyDescent="0.25">
      <c r="B26" s="310"/>
      <c r="C26" s="311"/>
      <c r="D26" s="301"/>
      <c r="E26" s="302"/>
      <c r="F26" s="304"/>
      <c r="G26" s="205"/>
      <c r="H26" s="312"/>
      <c r="I26" s="313"/>
      <c r="J26" s="205"/>
      <c r="K26" s="156"/>
      <c r="L26" s="314"/>
      <c r="M26" s="315"/>
      <c r="N26" s="315"/>
      <c r="O26" s="316"/>
      <c r="P26" s="317"/>
      <c r="Q26" s="317"/>
      <c r="R26" s="318"/>
      <c r="S26" s="205"/>
      <c r="T26" s="205"/>
      <c r="U26" s="205"/>
      <c r="V26" s="205"/>
      <c r="W26" s="205"/>
      <c r="X26" s="205"/>
      <c r="Y26" s="219"/>
      <c r="Z26" s="319"/>
      <c r="AA26" s="320"/>
      <c r="AB26" s="321"/>
      <c r="AC26" s="317"/>
      <c r="AD26" s="309"/>
      <c r="AE26" s="267" t="s">
        <v>4</v>
      </c>
      <c r="AF26" s="268"/>
      <c r="AG26" s="274"/>
      <c r="AI26" s="42"/>
    </row>
    <row r="27" spans="1:35" s="5" customFormat="1" ht="17.100000000000001" customHeight="1" x14ac:dyDescent="0.25">
      <c r="B27" s="310"/>
      <c r="C27" s="311"/>
      <c r="D27" s="301"/>
      <c r="E27" s="302"/>
      <c r="F27" s="304"/>
      <c r="G27" s="205"/>
      <c r="H27" s="312"/>
      <c r="I27" s="313"/>
      <c r="J27" s="205"/>
      <c r="K27" s="156"/>
      <c r="L27" s="314"/>
      <c r="M27" s="315"/>
      <c r="N27" s="315"/>
      <c r="O27" s="316"/>
      <c r="P27" s="317"/>
      <c r="Q27" s="317"/>
      <c r="R27" s="318"/>
      <c r="S27" s="205"/>
      <c r="T27" s="205"/>
      <c r="U27" s="205"/>
      <c r="V27" s="205"/>
      <c r="W27" s="205"/>
      <c r="X27" s="205"/>
      <c r="Y27" s="219"/>
      <c r="Z27" s="319"/>
      <c r="AA27" s="320"/>
      <c r="AB27" s="321"/>
      <c r="AC27" s="317"/>
      <c r="AD27" s="309"/>
      <c r="AE27" s="267" t="s">
        <v>4</v>
      </c>
      <c r="AF27" s="268"/>
      <c r="AG27" s="268"/>
      <c r="AI27" s="42"/>
    </row>
    <row r="28" spans="1:35" s="5" customFormat="1" ht="17.100000000000001" customHeight="1" x14ac:dyDescent="0.25">
      <c r="B28" s="310"/>
      <c r="C28" s="311"/>
      <c r="D28" s="301"/>
      <c r="E28" s="302"/>
      <c r="F28" s="304"/>
      <c r="G28" s="205"/>
      <c r="H28" s="312"/>
      <c r="I28" s="313"/>
      <c r="J28" s="205"/>
      <c r="K28" s="156"/>
      <c r="L28" s="314"/>
      <c r="M28" s="315"/>
      <c r="N28" s="315"/>
      <c r="O28" s="316"/>
      <c r="P28" s="317"/>
      <c r="Q28" s="317"/>
      <c r="R28" s="318"/>
      <c r="S28" s="205"/>
      <c r="T28" s="205"/>
      <c r="U28" s="205"/>
      <c r="V28" s="205"/>
      <c r="W28" s="205"/>
      <c r="X28" s="205"/>
      <c r="Y28" s="219"/>
      <c r="Z28" s="319"/>
      <c r="AA28" s="320"/>
      <c r="AB28" s="321"/>
      <c r="AC28" s="317"/>
      <c r="AD28" s="309"/>
      <c r="AE28" s="267" t="s">
        <v>4</v>
      </c>
      <c r="AF28" s="268"/>
      <c r="AG28" s="268"/>
      <c r="AI28" s="42"/>
    </row>
    <row r="29" spans="1:35" s="5" customFormat="1" ht="17.100000000000001" customHeight="1" x14ac:dyDescent="0.25">
      <c r="B29" s="310"/>
      <c r="C29" s="311"/>
      <c r="D29" s="301"/>
      <c r="E29" s="302"/>
      <c r="F29" s="304"/>
      <c r="G29" s="205"/>
      <c r="H29" s="312"/>
      <c r="I29" s="313"/>
      <c r="J29" s="205"/>
      <c r="K29" s="156"/>
      <c r="L29" s="314"/>
      <c r="M29" s="315"/>
      <c r="N29" s="315"/>
      <c r="O29" s="316"/>
      <c r="P29" s="317"/>
      <c r="Q29" s="317"/>
      <c r="R29" s="318"/>
      <c r="S29" s="205"/>
      <c r="T29" s="205"/>
      <c r="U29" s="205"/>
      <c r="V29" s="205"/>
      <c r="W29" s="205"/>
      <c r="X29" s="205"/>
      <c r="Y29" s="219"/>
      <c r="Z29" s="319"/>
      <c r="AA29" s="320"/>
      <c r="AB29" s="321"/>
      <c r="AC29" s="317"/>
      <c r="AD29" s="309"/>
      <c r="AE29" s="267" t="s">
        <v>4</v>
      </c>
      <c r="AF29" s="268"/>
      <c r="AG29" s="268"/>
      <c r="AI29" s="42"/>
    </row>
    <row r="30" spans="1:35" s="5" customFormat="1" ht="17.100000000000001" customHeight="1" x14ac:dyDescent="0.25">
      <c r="B30" s="310"/>
      <c r="C30" s="311"/>
      <c r="D30" s="301"/>
      <c r="E30" s="302"/>
      <c r="F30" s="304"/>
      <c r="G30" s="205"/>
      <c r="H30" s="312"/>
      <c r="I30" s="313"/>
      <c r="J30" s="205"/>
      <c r="K30" s="156"/>
      <c r="L30" s="314"/>
      <c r="M30" s="315"/>
      <c r="N30" s="315"/>
      <c r="O30" s="316"/>
      <c r="P30" s="317"/>
      <c r="Q30" s="317"/>
      <c r="R30" s="318"/>
      <c r="S30" s="205"/>
      <c r="T30" s="205"/>
      <c r="U30" s="205"/>
      <c r="V30" s="205"/>
      <c r="W30" s="205"/>
      <c r="X30" s="205"/>
      <c r="Y30" s="219"/>
      <c r="Z30" s="319"/>
      <c r="AA30" s="320"/>
      <c r="AB30" s="321"/>
      <c r="AC30" s="317"/>
      <c r="AD30" s="309"/>
      <c r="AE30" s="267" t="s">
        <v>4</v>
      </c>
      <c r="AF30" s="268"/>
      <c r="AG30" s="268"/>
      <c r="AI30" s="42"/>
    </row>
    <row r="31" spans="1:35" s="5" customFormat="1" ht="17.100000000000001" customHeight="1" x14ac:dyDescent="0.25">
      <c r="B31" s="310"/>
      <c r="C31" s="311"/>
      <c r="D31" s="301"/>
      <c r="E31" s="302"/>
      <c r="F31" s="304"/>
      <c r="G31" s="205"/>
      <c r="H31" s="312"/>
      <c r="I31" s="313"/>
      <c r="J31" s="205"/>
      <c r="K31" s="156"/>
      <c r="L31" s="314"/>
      <c r="M31" s="315"/>
      <c r="N31" s="315"/>
      <c r="O31" s="316"/>
      <c r="P31" s="317"/>
      <c r="Q31" s="317"/>
      <c r="R31" s="318"/>
      <c r="S31" s="205"/>
      <c r="T31" s="205"/>
      <c r="U31" s="205"/>
      <c r="V31" s="205"/>
      <c r="W31" s="205"/>
      <c r="X31" s="205"/>
      <c r="Y31" s="219"/>
      <c r="Z31" s="319"/>
      <c r="AA31" s="320"/>
      <c r="AB31" s="321"/>
      <c r="AC31" s="317"/>
      <c r="AD31" s="309"/>
      <c r="AE31" s="267" t="s">
        <v>4</v>
      </c>
      <c r="AF31" s="268"/>
      <c r="AG31" s="268"/>
      <c r="AI31" s="42"/>
    </row>
    <row r="32" spans="1:35" s="5" customFormat="1" ht="17.100000000000001" customHeight="1" x14ac:dyDescent="0.25">
      <c r="B32" s="310"/>
      <c r="C32" s="311"/>
      <c r="D32" s="301"/>
      <c r="E32" s="302"/>
      <c r="F32" s="304"/>
      <c r="G32" s="205"/>
      <c r="H32" s="312"/>
      <c r="I32" s="313"/>
      <c r="J32" s="205"/>
      <c r="K32" s="156"/>
      <c r="L32" s="314"/>
      <c r="M32" s="315"/>
      <c r="N32" s="315"/>
      <c r="O32" s="316"/>
      <c r="P32" s="317"/>
      <c r="Q32" s="317"/>
      <c r="R32" s="318"/>
      <c r="S32" s="205"/>
      <c r="T32" s="205"/>
      <c r="U32" s="205"/>
      <c r="V32" s="205"/>
      <c r="W32" s="205"/>
      <c r="X32" s="205"/>
      <c r="Y32" s="219"/>
      <c r="Z32" s="319"/>
      <c r="AA32" s="320"/>
      <c r="AB32" s="321"/>
      <c r="AC32" s="317"/>
      <c r="AD32" s="309"/>
      <c r="AE32" s="267" t="s">
        <v>4</v>
      </c>
      <c r="AF32" s="268"/>
      <c r="AG32" s="268"/>
      <c r="AI32" s="42"/>
    </row>
    <row r="33" spans="2:35" s="5" customFormat="1" ht="17.100000000000001" customHeight="1" x14ac:dyDescent="0.25">
      <c r="B33" s="310"/>
      <c r="C33" s="311"/>
      <c r="D33" s="301"/>
      <c r="E33" s="302"/>
      <c r="F33" s="304"/>
      <c r="G33" s="205"/>
      <c r="H33" s="312"/>
      <c r="I33" s="313"/>
      <c r="J33" s="205"/>
      <c r="K33" s="156"/>
      <c r="L33" s="314"/>
      <c r="M33" s="315"/>
      <c r="N33" s="315"/>
      <c r="O33" s="316"/>
      <c r="P33" s="317"/>
      <c r="Q33" s="317"/>
      <c r="R33" s="318"/>
      <c r="S33" s="205"/>
      <c r="T33" s="205"/>
      <c r="U33" s="205"/>
      <c r="V33" s="205"/>
      <c r="W33" s="205"/>
      <c r="X33" s="205"/>
      <c r="Y33" s="219"/>
      <c r="Z33" s="319"/>
      <c r="AA33" s="320"/>
      <c r="AB33" s="321"/>
      <c r="AC33" s="317"/>
      <c r="AD33" s="309"/>
      <c r="AE33" s="267" t="s">
        <v>4</v>
      </c>
      <c r="AF33" s="268"/>
      <c r="AG33" s="268"/>
      <c r="AI33" s="42"/>
    </row>
    <row r="34" spans="2:35" s="5" customFormat="1" ht="17.100000000000001" customHeight="1" x14ac:dyDescent="0.25">
      <c r="B34" s="322"/>
      <c r="C34" s="311"/>
      <c r="D34" s="301"/>
      <c r="E34" s="302"/>
      <c r="F34" s="304"/>
      <c r="G34" s="205"/>
      <c r="H34" s="312"/>
      <c r="I34" s="120"/>
      <c r="J34" s="205"/>
      <c r="K34" s="156"/>
      <c r="L34" s="314"/>
      <c r="M34" s="315"/>
      <c r="N34" s="315"/>
      <c r="O34" s="316"/>
      <c r="P34" s="317"/>
      <c r="Q34" s="317"/>
      <c r="R34" s="318"/>
      <c r="S34" s="205"/>
      <c r="T34" s="205"/>
      <c r="U34" s="205"/>
      <c r="V34" s="205"/>
      <c r="W34" s="205"/>
      <c r="X34" s="205"/>
      <c r="Y34" s="219"/>
      <c r="Z34" s="319"/>
      <c r="AA34" s="320"/>
      <c r="AB34" s="321"/>
      <c r="AC34" s="317"/>
      <c r="AD34" s="309"/>
      <c r="AE34" s="267" t="s">
        <v>4</v>
      </c>
      <c r="AF34" s="268"/>
      <c r="AG34" s="268"/>
      <c r="AI34" s="42"/>
    </row>
    <row r="35" spans="2:35" s="5" customFormat="1" ht="17.100000000000001" customHeight="1" x14ac:dyDescent="0.25">
      <c r="B35" s="322"/>
      <c r="C35" s="311"/>
      <c r="D35" s="301"/>
      <c r="E35" s="302"/>
      <c r="F35" s="304"/>
      <c r="G35" s="205"/>
      <c r="H35" s="312"/>
      <c r="I35" s="120"/>
      <c r="J35" s="205"/>
      <c r="K35" s="156"/>
      <c r="L35" s="314"/>
      <c r="M35" s="315"/>
      <c r="N35" s="315"/>
      <c r="O35" s="316"/>
      <c r="P35" s="317"/>
      <c r="Q35" s="317"/>
      <c r="R35" s="318"/>
      <c r="S35" s="205"/>
      <c r="T35" s="205"/>
      <c r="U35" s="205"/>
      <c r="V35" s="205"/>
      <c r="W35" s="205"/>
      <c r="X35" s="205"/>
      <c r="Y35" s="219"/>
      <c r="Z35" s="319"/>
      <c r="AA35" s="320"/>
      <c r="AB35" s="321"/>
      <c r="AC35" s="317"/>
      <c r="AD35" s="309"/>
      <c r="AE35" s="267" t="s">
        <v>4</v>
      </c>
      <c r="AF35" s="268"/>
      <c r="AG35" s="268"/>
      <c r="AI35" s="42"/>
    </row>
    <row r="36" spans="2:35" s="5" customFormat="1" ht="17.100000000000001" customHeight="1" x14ac:dyDescent="0.25">
      <c r="B36" s="322"/>
      <c r="C36" s="311"/>
      <c r="D36" s="301"/>
      <c r="E36" s="302"/>
      <c r="F36" s="304"/>
      <c r="G36" s="205"/>
      <c r="H36" s="312"/>
      <c r="I36" s="120"/>
      <c r="J36" s="205"/>
      <c r="K36" s="156"/>
      <c r="L36" s="314"/>
      <c r="M36" s="315"/>
      <c r="N36" s="315"/>
      <c r="O36" s="316"/>
      <c r="P36" s="317"/>
      <c r="Q36" s="317"/>
      <c r="R36" s="318"/>
      <c r="S36" s="205"/>
      <c r="T36" s="205"/>
      <c r="U36" s="205"/>
      <c r="V36" s="205"/>
      <c r="W36" s="205"/>
      <c r="X36" s="205"/>
      <c r="Y36" s="219"/>
      <c r="Z36" s="319"/>
      <c r="AA36" s="320"/>
      <c r="AB36" s="321"/>
      <c r="AC36" s="317"/>
      <c r="AD36" s="309"/>
      <c r="AE36" s="267" t="s">
        <v>4</v>
      </c>
      <c r="AF36" s="268"/>
      <c r="AG36" s="268"/>
      <c r="AI36" s="42"/>
    </row>
    <row r="37" spans="2:35" s="5" customFormat="1" ht="17.100000000000001" customHeight="1" x14ac:dyDescent="0.25">
      <c r="B37" s="322"/>
      <c r="C37" s="311"/>
      <c r="D37" s="301"/>
      <c r="E37" s="302"/>
      <c r="F37" s="304"/>
      <c r="G37" s="205"/>
      <c r="H37" s="312"/>
      <c r="I37" s="120"/>
      <c r="J37" s="205"/>
      <c r="K37" s="156"/>
      <c r="L37" s="314"/>
      <c r="M37" s="315"/>
      <c r="N37" s="315"/>
      <c r="O37" s="316"/>
      <c r="P37" s="317"/>
      <c r="Q37" s="317"/>
      <c r="R37" s="318"/>
      <c r="S37" s="205"/>
      <c r="T37" s="205"/>
      <c r="U37" s="205"/>
      <c r="V37" s="205"/>
      <c r="W37" s="205"/>
      <c r="X37" s="205"/>
      <c r="Y37" s="219"/>
      <c r="Z37" s="319"/>
      <c r="AA37" s="320"/>
      <c r="AB37" s="321"/>
      <c r="AC37" s="317"/>
      <c r="AD37" s="309"/>
      <c r="AE37" s="267" t="s">
        <v>4</v>
      </c>
      <c r="AF37" s="268"/>
      <c r="AG37" s="268"/>
      <c r="AI37" s="42"/>
    </row>
    <row r="38" spans="2:35" s="5" customFormat="1" ht="17.100000000000001" customHeight="1" x14ac:dyDescent="0.25">
      <c r="B38" s="310"/>
      <c r="C38" s="311"/>
      <c r="D38" s="301"/>
      <c r="E38" s="302"/>
      <c r="F38" s="304"/>
      <c r="G38" s="205"/>
      <c r="H38" s="312"/>
      <c r="I38" s="120"/>
      <c r="J38" s="205"/>
      <c r="K38" s="156"/>
      <c r="L38" s="314"/>
      <c r="M38" s="315"/>
      <c r="N38" s="315"/>
      <c r="O38" s="316"/>
      <c r="P38" s="317"/>
      <c r="Q38" s="317"/>
      <c r="R38" s="318"/>
      <c r="S38" s="205"/>
      <c r="T38" s="205"/>
      <c r="U38" s="205"/>
      <c r="V38" s="205"/>
      <c r="W38" s="205"/>
      <c r="X38" s="205"/>
      <c r="Y38" s="219"/>
      <c r="Z38" s="319"/>
      <c r="AA38" s="320"/>
      <c r="AB38" s="321"/>
      <c r="AC38" s="317"/>
      <c r="AD38" s="309"/>
      <c r="AE38" s="267" t="s">
        <v>4</v>
      </c>
      <c r="AF38" s="268"/>
      <c r="AG38" s="268"/>
      <c r="AI38" s="42"/>
    </row>
    <row r="39" spans="2:35" s="5" customFormat="1" ht="17.100000000000001" customHeight="1" x14ac:dyDescent="0.25">
      <c r="B39" s="310"/>
      <c r="C39" s="311"/>
      <c r="D39" s="301"/>
      <c r="E39" s="302"/>
      <c r="F39" s="304"/>
      <c r="G39" s="205"/>
      <c r="H39" s="312"/>
      <c r="I39" s="120"/>
      <c r="J39" s="205"/>
      <c r="K39" s="156"/>
      <c r="L39" s="314"/>
      <c r="M39" s="315"/>
      <c r="N39" s="315"/>
      <c r="O39" s="316"/>
      <c r="P39" s="317"/>
      <c r="Q39" s="317"/>
      <c r="R39" s="318"/>
      <c r="S39" s="205"/>
      <c r="T39" s="205"/>
      <c r="U39" s="205"/>
      <c r="V39" s="205"/>
      <c r="W39" s="205"/>
      <c r="X39" s="205"/>
      <c r="Y39" s="219"/>
      <c r="Z39" s="319"/>
      <c r="AA39" s="320"/>
      <c r="AB39" s="321"/>
      <c r="AC39" s="317"/>
      <c r="AD39" s="309"/>
      <c r="AE39" s="267" t="s">
        <v>4</v>
      </c>
      <c r="AF39" s="268"/>
      <c r="AG39" s="268"/>
      <c r="AI39" s="42"/>
    </row>
    <row r="40" spans="2:35" s="5" customFormat="1" ht="17.100000000000001" customHeight="1" x14ac:dyDescent="0.25">
      <c r="B40" s="310"/>
      <c r="C40" s="311"/>
      <c r="D40" s="301"/>
      <c r="E40" s="302"/>
      <c r="F40" s="304"/>
      <c r="G40" s="205"/>
      <c r="H40" s="312"/>
      <c r="I40" s="120"/>
      <c r="J40" s="205"/>
      <c r="K40" s="156"/>
      <c r="L40" s="314"/>
      <c r="M40" s="315"/>
      <c r="N40" s="315"/>
      <c r="O40" s="316"/>
      <c r="P40" s="317"/>
      <c r="Q40" s="317"/>
      <c r="R40" s="318"/>
      <c r="S40" s="205"/>
      <c r="T40" s="205"/>
      <c r="U40" s="205"/>
      <c r="V40" s="205"/>
      <c r="W40" s="205"/>
      <c r="X40" s="205"/>
      <c r="Y40" s="219"/>
      <c r="Z40" s="319"/>
      <c r="AA40" s="320"/>
      <c r="AB40" s="321"/>
      <c r="AC40" s="317"/>
      <c r="AD40" s="309"/>
      <c r="AE40" s="267" t="s">
        <v>4</v>
      </c>
      <c r="AF40" s="268"/>
      <c r="AG40" s="268"/>
      <c r="AI40" s="42"/>
    </row>
    <row r="41" spans="2:35" s="5" customFormat="1" ht="17.100000000000001" customHeight="1" x14ac:dyDescent="0.25">
      <c r="B41" s="310"/>
      <c r="C41" s="311"/>
      <c r="D41" s="301"/>
      <c r="E41" s="302"/>
      <c r="F41" s="304"/>
      <c r="G41" s="205"/>
      <c r="H41" s="312"/>
      <c r="I41" s="120"/>
      <c r="J41" s="205"/>
      <c r="K41" s="156"/>
      <c r="L41" s="314"/>
      <c r="M41" s="315"/>
      <c r="N41" s="315"/>
      <c r="O41" s="316"/>
      <c r="P41" s="317"/>
      <c r="Q41" s="317"/>
      <c r="R41" s="318"/>
      <c r="S41" s="205"/>
      <c r="T41" s="205"/>
      <c r="U41" s="205"/>
      <c r="V41" s="205"/>
      <c r="W41" s="205"/>
      <c r="X41" s="205"/>
      <c r="Y41" s="219"/>
      <c r="Z41" s="319"/>
      <c r="AA41" s="320"/>
      <c r="AB41" s="321"/>
      <c r="AC41" s="317"/>
      <c r="AD41" s="309"/>
      <c r="AE41" s="267" t="s">
        <v>4</v>
      </c>
      <c r="AF41" s="268"/>
      <c r="AG41" s="268"/>
      <c r="AI41" s="42"/>
    </row>
    <row r="42" spans="2:35" s="5" customFormat="1" ht="17.100000000000001" customHeight="1" x14ac:dyDescent="0.25">
      <c r="B42" s="310"/>
      <c r="C42" s="311"/>
      <c r="D42" s="301"/>
      <c r="E42" s="302"/>
      <c r="F42" s="304"/>
      <c r="G42" s="205"/>
      <c r="H42" s="312"/>
      <c r="I42" s="313"/>
      <c r="J42" s="205"/>
      <c r="K42" s="156"/>
      <c r="L42" s="314"/>
      <c r="M42" s="315"/>
      <c r="N42" s="315"/>
      <c r="O42" s="316"/>
      <c r="P42" s="317"/>
      <c r="Q42" s="317"/>
      <c r="R42" s="318"/>
      <c r="S42" s="205"/>
      <c r="T42" s="205"/>
      <c r="U42" s="205"/>
      <c r="V42" s="205"/>
      <c r="W42" s="205"/>
      <c r="X42" s="205"/>
      <c r="Y42" s="219"/>
      <c r="Z42" s="319"/>
      <c r="AA42" s="320"/>
      <c r="AB42" s="321"/>
      <c r="AC42" s="317"/>
      <c r="AD42" s="309"/>
      <c r="AE42" s="267" t="s">
        <v>4</v>
      </c>
      <c r="AF42" s="268"/>
      <c r="AG42" s="268"/>
      <c r="AI42" s="42"/>
    </row>
    <row r="43" spans="2:35" s="5" customFormat="1" ht="17.100000000000001" customHeight="1" x14ac:dyDescent="0.25">
      <c r="B43" s="310"/>
      <c r="C43" s="311"/>
      <c r="D43" s="301"/>
      <c r="E43" s="302"/>
      <c r="F43" s="304"/>
      <c r="G43" s="205"/>
      <c r="H43" s="312"/>
      <c r="I43" s="313"/>
      <c r="J43" s="205"/>
      <c r="K43" s="156"/>
      <c r="L43" s="314"/>
      <c r="M43" s="315"/>
      <c r="N43" s="315"/>
      <c r="O43" s="316"/>
      <c r="P43" s="317"/>
      <c r="Q43" s="317"/>
      <c r="R43" s="318"/>
      <c r="S43" s="205"/>
      <c r="T43" s="205"/>
      <c r="U43" s="205"/>
      <c r="V43" s="205"/>
      <c r="W43" s="205"/>
      <c r="X43" s="205"/>
      <c r="Y43" s="219"/>
      <c r="Z43" s="319"/>
      <c r="AA43" s="320"/>
      <c r="AB43" s="321"/>
      <c r="AC43" s="317"/>
      <c r="AD43" s="309"/>
      <c r="AE43" s="267" t="s">
        <v>4</v>
      </c>
      <c r="AF43" s="268"/>
      <c r="AG43" s="268"/>
      <c r="AI43" s="42"/>
    </row>
    <row r="44" spans="2:35" s="5" customFormat="1" ht="17.100000000000001" customHeight="1" x14ac:dyDescent="0.25">
      <c r="B44" s="310"/>
      <c r="C44" s="311"/>
      <c r="D44" s="301"/>
      <c r="E44" s="302"/>
      <c r="F44" s="304"/>
      <c r="G44" s="205"/>
      <c r="H44" s="312"/>
      <c r="I44" s="313"/>
      <c r="J44" s="205"/>
      <c r="K44" s="156"/>
      <c r="L44" s="314"/>
      <c r="M44" s="315"/>
      <c r="N44" s="315"/>
      <c r="O44" s="316"/>
      <c r="P44" s="317"/>
      <c r="Q44" s="317"/>
      <c r="R44" s="318"/>
      <c r="S44" s="205"/>
      <c r="T44" s="205"/>
      <c r="U44" s="205"/>
      <c r="V44" s="205"/>
      <c r="W44" s="205"/>
      <c r="X44" s="205"/>
      <c r="Y44" s="219"/>
      <c r="Z44" s="319"/>
      <c r="AA44" s="320"/>
      <c r="AB44" s="321"/>
      <c r="AC44" s="317"/>
      <c r="AD44" s="309"/>
      <c r="AE44" s="267" t="s">
        <v>4</v>
      </c>
      <c r="AF44" s="268"/>
      <c r="AG44" s="268"/>
      <c r="AI44" s="42"/>
    </row>
    <row r="45" spans="2:35" s="5" customFormat="1" ht="17.100000000000001" customHeight="1" x14ac:dyDescent="0.25">
      <c r="B45" s="310"/>
      <c r="C45" s="311"/>
      <c r="D45" s="301"/>
      <c r="E45" s="302"/>
      <c r="F45" s="304"/>
      <c r="G45" s="205"/>
      <c r="H45" s="312"/>
      <c r="I45" s="313"/>
      <c r="J45" s="205"/>
      <c r="K45" s="156"/>
      <c r="L45" s="314"/>
      <c r="M45" s="315"/>
      <c r="N45" s="315"/>
      <c r="O45" s="316"/>
      <c r="P45" s="317"/>
      <c r="Q45" s="317"/>
      <c r="R45" s="318"/>
      <c r="S45" s="205"/>
      <c r="T45" s="205"/>
      <c r="U45" s="205"/>
      <c r="V45" s="205"/>
      <c r="W45" s="205"/>
      <c r="X45" s="205"/>
      <c r="Y45" s="219"/>
      <c r="Z45" s="319"/>
      <c r="AA45" s="320"/>
      <c r="AB45" s="321"/>
      <c r="AC45" s="317"/>
      <c r="AD45" s="309"/>
      <c r="AE45" s="267" t="s">
        <v>4</v>
      </c>
      <c r="AF45" s="268"/>
      <c r="AG45" s="268"/>
      <c r="AI45" s="42"/>
    </row>
    <row r="46" spans="2:35" s="5" customFormat="1" ht="17.100000000000001" customHeight="1" x14ac:dyDescent="0.25">
      <c r="B46" s="310"/>
      <c r="C46" s="311"/>
      <c r="D46" s="301"/>
      <c r="E46" s="302"/>
      <c r="F46" s="304"/>
      <c r="G46" s="205"/>
      <c r="H46" s="312"/>
      <c r="I46" s="313"/>
      <c r="J46" s="205"/>
      <c r="K46" s="156"/>
      <c r="L46" s="314"/>
      <c r="M46" s="315"/>
      <c r="N46" s="315"/>
      <c r="O46" s="316"/>
      <c r="P46" s="317"/>
      <c r="Q46" s="317"/>
      <c r="R46" s="318"/>
      <c r="S46" s="205"/>
      <c r="T46" s="205"/>
      <c r="U46" s="205"/>
      <c r="V46" s="205"/>
      <c r="W46" s="205"/>
      <c r="X46" s="205"/>
      <c r="Y46" s="219"/>
      <c r="Z46" s="319"/>
      <c r="AA46" s="320"/>
      <c r="AB46" s="321"/>
      <c r="AC46" s="317"/>
      <c r="AD46" s="309"/>
      <c r="AE46" s="267" t="s">
        <v>4</v>
      </c>
      <c r="AF46" s="268"/>
      <c r="AG46" s="268"/>
      <c r="AI46" s="42"/>
    </row>
    <row r="47" spans="2:35" s="5" customFormat="1" ht="17.100000000000001" customHeight="1" x14ac:dyDescent="0.25">
      <c r="B47" s="310"/>
      <c r="C47" s="311"/>
      <c r="D47" s="301"/>
      <c r="E47" s="302"/>
      <c r="F47" s="304"/>
      <c r="G47" s="205"/>
      <c r="H47" s="312"/>
      <c r="I47" s="313"/>
      <c r="J47" s="205"/>
      <c r="K47" s="156"/>
      <c r="L47" s="314"/>
      <c r="M47" s="315"/>
      <c r="N47" s="315"/>
      <c r="O47" s="316"/>
      <c r="P47" s="317"/>
      <c r="Q47" s="317"/>
      <c r="R47" s="318"/>
      <c r="S47" s="205"/>
      <c r="T47" s="205"/>
      <c r="U47" s="205"/>
      <c r="V47" s="205"/>
      <c r="W47" s="205"/>
      <c r="X47" s="205"/>
      <c r="Y47" s="219"/>
      <c r="Z47" s="319"/>
      <c r="AA47" s="320"/>
      <c r="AB47" s="321"/>
      <c r="AC47" s="317"/>
      <c r="AD47" s="309"/>
      <c r="AE47" s="267" t="s">
        <v>4</v>
      </c>
      <c r="AF47" s="268"/>
      <c r="AG47" s="268"/>
      <c r="AI47" s="42"/>
    </row>
    <row r="48" spans="2:35" s="5" customFormat="1" ht="17.100000000000001" customHeight="1" x14ac:dyDescent="0.25">
      <c r="B48" s="310"/>
      <c r="C48" s="311"/>
      <c r="D48" s="301"/>
      <c r="E48" s="302"/>
      <c r="F48" s="304"/>
      <c r="G48" s="205"/>
      <c r="H48" s="312"/>
      <c r="I48" s="313"/>
      <c r="J48" s="205"/>
      <c r="K48" s="156"/>
      <c r="L48" s="314"/>
      <c r="M48" s="315"/>
      <c r="N48" s="323"/>
      <c r="O48" s="316"/>
      <c r="P48" s="317"/>
      <c r="Q48" s="324"/>
      <c r="R48" s="318"/>
      <c r="S48" s="205"/>
      <c r="T48" s="205"/>
      <c r="U48" s="205"/>
      <c r="V48" s="205"/>
      <c r="W48" s="205"/>
      <c r="X48" s="205"/>
      <c r="Y48" s="213"/>
      <c r="Z48" s="319"/>
      <c r="AA48" s="320"/>
      <c r="AB48" s="321"/>
      <c r="AC48" s="324"/>
      <c r="AD48" s="309"/>
      <c r="AE48" s="267" t="s">
        <v>4</v>
      </c>
      <c r="AF48" s="268"/>
      <c r="AG48" s="268"/>
      <c r="AI48" s="42"/>
    </row>
    <row r="49" spans="2:35" s="5" customFormat="1" ht="17.100000000000001" customHeight="1" x14ac:dyDescent="0.25">
      <c r="B49" s="310"/>
      <c r="C49" s="311"/>
      <c r="D49" s="301"/>
      <c r="E49" s="302"/>
      <c r="F49" s="304"/>
      <c r="G49" s="205"/>
      <c r="H49" s="312"/>
      <c r="I49" s="313"/>
      <c r="J49" s="205"/>
      <c r="K49" s="156"/>
      <c r="L49" s="314"/>
      <c r="M49" s="315"/>
      <c r="N49" s="323"/>
      <c r="O49" s="316"/>
      <c r="P49" s="317"/>
      <c r="Q49" s="324"/>
      <c r="R49" s="318"/>
      <c r="S49" s="205"/>
      <c r="T49" s="205"/>
      <c r="U49" s="205"/>
      <c r="V49" s="205"/>
      <c r="W49" s="205"/>
      <c r="X49" s="205"/>
      <c r="Y49" s="213"/>
      <c r="Z49" s="319"/>
      <c r="AA49" s="320"/>
      <c r="AB49" s="321"/>
      <c r="AC49" s="324"/>
      <c r="AD49" s="309"/>
      <c r="AE49" s="267" t="s">
        <v>4</v>
      </c>
      <c r="AF49" s="268"/>
      <c r="AG49" s="268"/>
      <c r="AI49" s="42"/>
    </row>
    <row r="50" spans="2:35" s="5" customFormat="1" ht="17.100000000000001" customHeight="1" x14ac:dyDescent="0.25">
      <c r="B50" s="310"/>
      <c r="C50" s="311"/>
      <c r="D50" s="301"/>
      <c r="E50" s="302"/>
      <c r="F50" s="304"/>
      <c r="G50" s="205"/>
      <c r="H50" s="312"/>
      <c r="I50" s="313"/>
      <c r="J50" s="205"/>
      <c r="K50" s="156"/>
      <c r="L50" s="314"/>
      <c r="M50" s="315"/>
      <c r="N50" s="323"/>
      <c r="O50" s="316"/>
      <c r="P50" s="317"/>
      <c r="Q50" s="324"/>
      <c r="R50" s="318"/>
      <c r="S50" s="205"/>
      <c r="T50" s="205"/>
      <c r="U50" s="205"/>
      <c r="V50" s="205"/>
      <c r="W50" s="205"/>
      <c r="X50" s="205"/>
      <c r="Y50" s="213"/>
      <c r="Z50" s="319"/>
      <c r="AA50" s="320"/>
      <c r="AB50" s="321"/>
      <c r="AC50" s="324"/>
      <c r="AD50" s="309"/>
      <c r="AE50" s="267" t="s">
        <v>4</v>
      </c>
      <c r="AF50" s="268"/>
      <c r="AG50" s="268"/>
      <c r="AI50" s="42"/>
    </row>
    <row r="51" spans="2:35" s="5" customFormat="1" ht="17.100000000000001" customHeight="1" x14ac:dyDescent="0.25">
      <c r="B51" s="310"/>
      <c r="C51" s="311"/>
      <c r="D51" s="301"/>
      <c r="E51" s="302"/>
      <c r="F51" s="304"/>
      <c r="G51" s="205"/>
      <c r="H51" s="312"/>
      <c r="I51" s="313"/>
      <c r="J51" s="205"/>
      <c r="K51" s="156"/>
      <c r="L51" s="314"/>
      <c r="M51" s="315"/>
      <c r="N51" s="323"/>
      <c r="O51" s="316"/>
      <c r="P51" s="317"/>
      <c r="Q51" s="324"/>
      <c r="R51" s="318"/>
      <c r="S51" s="205"/>
      <c r="T51" s="205"/>
      <c r="U51" s="205"/>
      <c r="V51" s="205"/>
      <c r="W51" s="205"/>
      <c r="X51" s="205"/>
      <c r="Y51" s="213"/>
      <c r="Z51" s="319"/>
      <c r="AA51" s="320"/>
      <c r="AB51" s="321"/>
      <c r="AC51" s="324"/>
      <c r="AD51" s="309"/>
      <c r="AE51" s="267" t="s">
        <v>4</v>
      </c>
      <c r="AF51" s="268"/>
      <c r="AG51" s="268"/>
      <c r="AI51" s="42"/>
    </row>
    <row r="52" spans="2:35" s="5" customFormat="1" ht="17.100000000000001" customHeight="1" x14ac:dyDescent="0.25">
      <c r="B52" s="310"/>
      <c r="C52" s="311"/>
      <c r="D52" s="301"/>
      <c r="E52" s="302"/>
      <c r="F52" s="304"/>
      <c r="G52" s="205"/>
      <c r="H52" s="312"/>
      <c r="I52" s="313"/>
      <c r="J52" s="205"/>
      <c r="K52" s="156"/>
      <c r="L52" s="314"/>
      <c r="M52" s="315"/>
      <c r="N52" s="323"/>
      <c r="O52" s="316"/>
      <c r="P52" s="317"/>
      <c r="Q52" s="324"/>
      <c r="R52" s="318"/>
      <c r="S52" s="205"/>
      <c r="T52" s="205"/>
      <c r="U52" s="205"/>
      <c r="V52" s="205"/>
      <c r="W52" s="205"/>
      <c r="X52" s="205"/>
      <c r="Y52" s="213"/>
      <c r="Z52" s="319"/>
      <c r="AA52" s="320"/>
      <c r="AB52" s="321"/>
      <c r="AC52" s="324"/>
      <c r="AD52" s="309"/>
      <c r="AE52" s="267" t="s">
        <v>4</v>
      </c>
      <c r="AF52" s="268"/>
      <c r="AG52" s="268"/>
      <c r="AI52" s="42"/>
    </row>
    <row r="53" spans="2:35" s="5" customFormat="1" ht="17.100000000000001" customHeight="1" x14ac:dyDescent="0.25">
      <c r="B53" s="310"/>
      <c r="C53" s="311"/>
      <c r="D53" s="301"/>
      <c r="E53" s="302"/>
      <c r="F53" s="304"/>
      <c r="G53" s="205"/>
      <c r="H53" s="312"/>
      <c r="I53" s="313"/>
      <c r="J53" s="205"/>
      <c r="K53" s="156"/>
      <c r="L53" s="314"/>
      <c r="M53" s="315"/>
      <c r="N53" s="323"/>
      <c r="O53" s="316"/>
      <c r="P53" s="317"/>
      <c r="Q53" s="324"/>
      <c r="R53" s="318"/>
      <c r="S53" s="205"/>
      <c r="T53" s="205"/>
      <c r="U53" s="205"/>
      <c r="V53" s="205"/>
      <c r="W53" s="205"/>
      <c r="X53" s="205"/>
      <c r="Y53" s="213"/>
      <c r="Z53" s="319"/>
      <c r="AA53" s="320"/>
      <c r="AB53" s="321"/>
      <c r="AC53" s="324"/>
      <c r="AD53" s="309"/>
      <c r="AE53" s="267" t="s">
        <v>4</v>
      </c>
      <c r="AF53" s="268"/>
      <c r="AG53" s="268"/>
      <c r="AI53" s="42"/>
    </row>
    <row r="54" spans="2:35" s="5" customFormat="1" ht="17.100000000000001" customHeight="1" x14ac:dyDescent="0.25">
      <c r="B54" s="310"/>
      <c r="C54" s="311"/>
      <c r="D54" s="301"/>
      <c r="E54" s="302"/>
      <c r="F54" s="304"/>
      <c r="G54" s="205"/>
      <c r="H54" s="312"/>
      <c r="I54" s="313"/>
      <c r="J54" s="205"/>
      <c r="K54" s="156"/>
      <c r="L54" s="314"/>
      <c r="M54" s="315"/>
      <c r="N54" s="323"/>
      <c r="O54" s="316"/>
      <c r="P54" s="317"/>
      <c r="Q54" s="324"/>
      <c r="R54" s="318"/>
      <c r="S54" s="205"/>
      <c r="T54" s="205"/>
      <c r="U54" s="205"/>
      <c r="V54" s="205"/>
      <c r="W54" s="205"/>
      <c r="X54" s="205"/>
      <c r="Y54" s="213"/>
      <c r="Z54" s="319"/>
      <c r="AA54" s="320"/>
      <c r="AB54" s="321"/>
      <c r="AC54" s="324"/>
      <c r="AD54" s="309"/>
      <c r="AE54" s="267" t="s">
        <v>4</v>
      </c>
      <c r="AF54" s="268"/>
      <c r="AG54" s="268"/>
      <c r="AI54" s="42"/>
    </row>
    <row r="55" spans="2:35" s="5" customFormat="1" ht="17.100000000000001" customHeight="1" x14ac:dyDescent="0.25">
      <c r="B55" s="310"/>
      <c r="C55" s="311"/>
      <c r="D55" s="301"/>
      <c r="E55" s="302"/>
      <c r="F55" s="304"/>
      <c r="G55" s="205"/>
      <c r="H55" s="312"/>
      <c r="I55" s="313"/>
      <c r="J55" s="205"/>
      <c r="K55" s="156"/>
      <c r="L55" s="314"/>
      <c r="M55" s="315"/>
      <c r="N55" s="315"/>
      <c r="O55" s="316"/>
      <c r="P55" s="317"/>
      <c r="Q55" s="317"/>
      <c r="R55" s="318"/>
      <c r="S55" s="205"/>
      <c r="T55" s="205"/>
      <c r="U55" s="205"/>
      <c r="V55" s="205"/>
      <c r="W55" s="205"/>
      <c r="X55" s="205"/>
      <c r="Y55" s="219"/>
      <c r="Z55" s="319"/>
      <c r="AA55" s="320"/>
      <c r="AB55" s="321"/>
      <c r="AC55" s="317"/>
      <c r="AD55" s="309"/>
      <c r="AE55" s="267" t="s">
        <v>4</v>
      </c>
      <c r="AF55" s="268"/>
      <c r="AG55" s="268"/>
      <c r="AI55" s="42"/>
    </row>
    <row r="56" spans="2:35" s="5" customFormat="1" ht="17.100000000000001" customHeight="1" x14ac:dyDescent="0.25">
      <c r="B56" s="310"/>
      <c r="C56" s="311"/>
      <c r="D56" s="301"/>
      <c r="E56" s="302"/>
      <c r="F56" s="304"/>
      <c r="G56" s="205"/>
      <c r="H56" s="312"/>
      <c r="I56" s="313"/>
      <c r="J56" s="205"/>
      <c r="K56" s="156"/>
      <c r="L56" s="314"/>
      <c r="M56" s="315"/>
      <c r="N56" s="315"/>
      <c r="O56" s="316"/>
      <c r="P56" s="317"/>
      <c r="Q56" s="317"/>
      <c r="R56" s="318"/>
      <c r="S56" s="205"/>
      <c r="T56" s="205"/>
      <c r="U56" s="205"/>
      <c r="V56" s="205"/>
      <c r="W56" s="205"/>
      <c r="X56" s="205"/>
      <c r="Y56" s="219"/>
      <c r="Z56" s="319"/>
      <c r="AA56" s="320"/>
      <c r="AB56" s="321"/>
      <c r="AC56" s="317"/>
      <c r="AD56" s="309"/>
      <c r="AE56" s="267" t="s">
        <v>4</v>
      </c>
      <c r="AF56" s="268"/>
      <c r="AG56" s="268"/>
      <c r="AI56" s="42"/>
    </row>
    <row r="57" spans="2:35" s="5" customFormat="1" ht="17.100000000000001" customHeight="1" x14ac:dyDescent="0.25">
      <c r="B57" s="310"/>
      <c r="C57" s="311"/>
      <c r="D57" s="301"/>
      <c r="E57" s="302"/>
      <c r="F57" s="304"/>
      <c r="G57" s="205"/>
      <c r="H57" s="312"/>
      <c r="I57" s="313"/>
      <c r="J57" s="205"/>
      <c r="K57" s="156"/>
      <c r="L57" s="314"/>
      <c r="M57" s="315"/>
      <c r="N57" s="315"/>
      <c r="O57" s="316"/>
      <c r="P57" s="317"/>
      <c r="Q57" s="317"/>
      <c r="R57" s="318"/>
      <c r="S57" s="205"/>
      <c r="T57" s="205"/>
      <c r="U57" s="205"/>
      <c r="V57" s="205"/>
      <c r="W57" s="205"/>
      <c r="X57" s="205"/>
      <c r="Y57" s="219"/>
      <c r="Z57" s="319"/>
      <c r="AA57" s="320"/>
      <c r="AB57" s="321"/>
      <c r="AC57" s="317"/>
      <c r="AD57" s="309"/>
      <c r="AE57" s="267" t="s">
        <v>4</v>
      </c>
      <c r="AF57" s="268"/>
      <c r="AG57" s="268"/>
      <c r="AI57" s="42"/>
    </row>
    <row r="58" spans="2:35" s="5" customFormat="1" ht="17.100000000000001" customHeight="1" x14ac:dyDescent="0.25">
      <c r="B58" s="325"/>
      <c r="C58" s="311"/>
      <c r="D58" s="326"/>
      <c r="E58" s="302"/>
      <c r="F58" s="304"/>
      <c r="G58" s="205"/>
      <c r="H58" s="312"/>
      <c r="I58" s="313"/>
      <c r="J58" s="205"/>
      <c r="K58" s="156"/>
      <c r="L58" s="314"/>
      <c r="M58" s="315"/>
      <c r="N58" s="323"/>
      <c r="O58" s="316"/>
      <c r="P58" s="324"/>
      <c r="Q58" s="324"/>
      <c r="R58" s="318"/>
      <c r="S58" s="212"/>
      <c r="T58" s="212"/>
      <c r="U58" s="205"/>
      <c r="V58" s="205"/>
      <c r="W58" s="205"/>
      <c r="X58" s="212"/>
      <c r="Y58" s="219"/>
      <c r="Z58" s="319"/>
      <c r="AA58" s="327"/>
      <c r="AB58" s="216"/>
      <c r="AC58" s="324"/>
      <c r="AD58" s="309"/>
      <c r="AE58" s="267" t="s">
        <v>4</v>
      </c>
      <c r="AF58" s="268"/>
      <c r="AG58" s="268"/>
      <c r="AI58" s="42"/>
    </row>
    <row r="59" spans="2:35" s="5" customFormat="1" ht="17.100000000000001" customHeight="1" x14ac:dyDescent="0.25">
      <c r="B59" s="325"/>
      <c r="C59" s="311"/>
      <c r="D59" s="328"/>
      <c r="E59" s="302"/>
      <c r="F59" s="304"/>
      <c r="G59" s="205"/>
      <c r="H59" s="312"/>
      <c r="I59" s="313"/>
      <c r="J59" s="205"/>
      <c r="K59" s="156"/>
      <c r="L59" s="314"/>
      <c r="M59" s="315"/>
      <c r="N59" s="323"/>
      <c r="O59" s="316"/>
      <c r="P59" s="324"/>
      <c r="Q59" s="324"/>
      <c r="R59" s="318"/>
      <c r="S59" s="212"/>
      <c r="T59" s="212"/>
      <c r="U59" s="205"/>
      <c r="V59" s="205"/>
      <c r="W59" s="205"/>
      <c r="X59" s="212"/>
      <c r="Y59" s="213"/>
      <c r="Z59" s="319"/>
      <c r="AA59" s="327"/>
      <c r="AB59" s="216"/>
      <c r="AC59" s="324"/>
      <c r="AD59" s="309"/>
      <c r="AE59" s="267" t="s">
        <v>4</v>
      </c>
      <c r="AF59" s="268"/>
      <c r="AG59" s="268"/>
      <c r="AI59" s="42"/>
    </row>
    <row r="60" spans="2:35" s="5" customFormat="1" ht="17.100000000000001" customHeight="1" x14ac:dyDescent="0.25">
      <c r="B60" s="325"/>
      <c r="C60" s="311"/>
      <c r="D60" s="301"/>
      <c r="E60" s="302"/>
      <c r="F60" s="304"/>
      <c r="G60" s="205"/>
      <c r="H60" s="312"/>
      <c r="I60" s="313"/>
      <c r="J60" s="205"/>
      <c r="K60" s="156"/>
      <c r="L60" s="314"/>
      <c r="M60" s="315"/>
      <c r="N60" s="315"/>
      <c r="O60" s="316"/>
      <c r="P60" s="317"/>
      <c r="Q60" s="317"/>
      <c r="R60" s="318"/>
      <c r="S60" s="205"/>
      <c r="T60" s="205"/>
      <c r="U60" s="205"/>
      <c r="V60" s="205"/>
      <c r="W60" s="205"/>
      <c r="X60" s="205"/>
      <c r="Y60" s="219"/>
      <c r="Z60" s="319"/>
      <c r="AA60" s="320"/>
      <c r="AB60" s="321"/>
      <c r="AC60" s="317"/>
      <c r="AD60" s="309"/>
      <c r="AE60" s="267" t="s">
        <v>4</v>
      </c>
      <c r="AF60" s="268"/>
      <c r="AG60" s="268"/>
      <c r="AI60" s="42"/>
    </row>
    <row r="61" spans="2:35" s="5" customFormat="1" ht="17.100000000000001" customHeight="1" x14ac:dyDescent="0.25">
      <c r="B61" s="325"/>
      <c r="C61" s="311"/>
      <c r="D61" s="301"/>
      <c r="E61" s="302"/>
      <c r="F61" s="304"/>
      <c r="G61" s="205"/>
      <c r="H61" s="312"/>
      <c r="I61" s="313"/>
      <c r="J61" s="205"/>
      <c r="K61" s="156"/>
      <c r="L61" s="314"/>
      <c r="M61" s="315"/>
      <c r="N61" s="315"/>
      <c r="O61" s="316"/>
      <c r="P61" s="317"/>
      <c r="Q61" s="317"/>
      <c r="R61" s="318"/>
      <c r="S61" s="205"/>
      <c r="T61" s="205"/>
      <c r="U61" s="205"/>
      <c r="V61" s="205"/>
      <c r="W61" s="205"/>
      <c r="X61" s="205"/>
      <c r="Y61" s="219"/>
      <c r="Z61" s="319"/>
      <c r="AA61" s="320"/>
      <c r="AB61" s="321"/>
      <c r="AC61" s="317"/>
      <c r="AD61" s="309"/>
      <c r="AE61" s="267" t="s">
        <v>4</v>
      </c>
      <c r="AF61" s="268"/>
      <c r="AG61" s="268"/>
      <c r="AI61" s="42"/>
    </row>
    <row r="62" spans="2:35" s="5" customFormat="1" ht="17.100000000000001" customHeight="1" x14ac:dyDescent="0.25">
      <c r="B62" s="325"/>
      <c r="C62" s="311"/>
      <c r="D62" s="301"/>
      <c r="E62" s="302"/>
      <c r="F62" s="304"/>
      <c r="G62" s="205"/>
      <c r="H62" s="312"/>
      <c r="I62" s="313"/>
      <c r="J62" s="205"/>
      <c r="K62" s="156"/>
      <c r="L62" s="314"/>
      <c r="M62" s="315"/>
      <c r="N62" s="315"/>
      <c r="O62" s="316"/>
      <c r="P62" s="317"/>
      <c r="Q62" s="317"/>
      <c r="R62" s="318"/>
      <c r="S62" s="205"/>
      <c r="T62" s="205"/>
      <c r="U62" s="205"/>
      <c r="V62" s="205"/>
      <c r="W62" s="205"/>
      <c r="X62" s="205"/>
      <c r="Y62" s="219"/>
      <c r="Z62" s="319"/>
      <c r="AA62" s="320"/>
      <c r="AB62" s="321"/>
      <c r="AC62" s="317"/>
      <c r="AD62" s="309"/>
      <c r="AE62" s="267" t="s">
        <v>4</v>
      </c>
      <c r="AF62" s="268"/>
      <c r="AG62" s="268"/>
      <c r="AI62" s="42"/>
    </row>
    <row r="63" spans="2:35" s="5" customFormat="1" ht="17.100000000000001" customHeight="1" x14ac:dyDescent="0.25">
      <c r="B63" s="325"/>
      <c r="C63" s="311"/>
      <c r="D63" s="301"/>
      <c r="E63" s="302"/>
      <c r="F63" s="304"/>
      <c r="G63" s="205"/>
      <c r="H63" s="312"/>
      <c r="I63" s="313"/>
      <c r="J63" s="205"/>
      <c r="K63" s="156"/>
      <c r="L63" s="314"/>
      <c r="M63" s="315"/>
      <c r="N63" s="315"/>
      <c r="O63" s="316"/>
      <c r="P63" s="317"/>
      <c r="Q63" s="317"/>
      <c r="R63" s="318"/>
      <c r="S63" s="205"/>
      <c r="T63" s="205"/>
      <c r="U63" s="205"/>
      <c r="V63" s="205"/>
      <c r="W63" s="205"/>
      <c r="X63" s="205"/>
      <c r="Y63" s="219"/>
      <c r="Z63" s="319"/>
      <c r="AA63" s="320"/>
      <c r="AB63" s="321"/>
      <c r="AC63" s="317"/>
      <c r="AD63" s="309"/>
      <c r="AE63" s="267" t="s">
        <v>4</v>
      </c>
      <c r="AF63" s="268"/>
      <c r="AG63" s="268"/>
      <c r="AI63" s="42"/>
    </row>
    <row r="64" spans="2:35" s="5" customFormat="1" ht="17.100000000000001" customHeight="1" x14ac:dyDescent="0.25">
      <c r="B64" s="325"/>
      <c r="C64" s="311"/>
      <c r="D64" s="301"/>
      <c r="E64" s="302"/>
      <c r="F64" s="304"/>
      <c r="G64" s="205"/>
      <c r="H64" s="312"/>
      <c r="I64" s="313"/>
      <c r="J64" s="205"/>
      <c r="K64" s="156"/>
      <c r="L64" s="314"/>
      <c r="M64" s="315"/>
      <c r="N64" s="315"/>
      <c r="O64" s="316"/>
      <c r="P64" s="317"/>
      <c r="Q64" s="317"/>
      <c r="R64" s="318"/>
      <c r="S64" s="205"/>
      <c r="T64" s="205"/>
      <c r="U64" s="205"/>
      <c r="V64" s="205"/>
      <c r="W64" s="205"/>
      <c r="X64" s="205"/>
      <c r="Y64" s="219"/>
      <c r="Z64" s="319"/>
      <c r="AA64" s="320"/>
      <c r="AB64" s="321"/>
      <c r="AC64" s="317"/>
      <c r="AD64" s="309"/>
      <c r="AE64" s="267" t="s">
        <v>4</v>
      </c>
      <c r="AF64" s="268"/>
      <c r="AG64" s="268"/>
      <c r="AI64" s="42"/>
    </row>
    <row r="65" spans="2:35" s="5" customFormat="1" ht="17.100000000000001" customHeight="1" x14ac:dyDescent="0.25">
      <c r="B65" s="325"/>
      <c r="C65" s="311"/>
      <c r="D65" s="301"/>
      <c r="E65" s="302"/>
      <c r="F65" s="304"/>
      <c r="G65" s="205"/>
      <c r="H65" s="312"/>
      <c r="I65" s="313"/>
      <c r="J65" s="205"/>
      <c r="K65" s="156"/>
      <c r="L65" s="314"/>
      <c r="M65" s="315"/>
      <c r="N65" s="315"/>
      <c r="O65" s="316"/>
      <c r="P65" s="317"/>
      <c r="Q65" s="317"/>
      <c r="R65" s="318"/>
      <c r="S65" s="205"/>
      <c r="T65" s="205"/>
      <c r="U65" s="205"/>
      <c r="V65" s="205"/>
      <c r="W65" s="205"/>
      <c r="X65" s="205"/>
      <c r="Y65" s="219"/>
      <c r="Z65" s="319"/>
      <c r="AA65" s="320"/>
      <c r="AB65" s="321"/>
      <c r="AC65" s="317"/>
      <c r="AD65" s="309"/>
      <c r="AE65" s="267" t="s">
        <v>4</v>
      </c>
      <c r="AF65" s="268"/>
      <c r="AG65" s="268"/>
      <c r="AI65" s="42"/>
    </row>
    <row r="66" spans="2:35" s="5" customFormat="1" ht="17.100000000000001" customHeight="1" x14ac:dyDescent="0.25">
      <c r="B66" s="310"/>
      <c r="C66" s="311"/>
      <c r="D66" s="301"/>
      <c r="E66" s="302"/>
      <c r="F66" s="304"/>
      <c r="G66" s="205"/>
      <c r="H66" s="312"/>
      <c r="I66" s="313"/>
      <c r="J66" s="205"/>
      <c r="K66" s="156"/>
      <c r="L66" s="314"/>
      <c r="M66" s="315"/>
      <c r="N66" s="315"/>
      <c r="O66" s="316"/>
      <c r="P66" s="317"/>
      <c r="Q66" s="317"/>
      <c r="R66" s="318"/>
      <c r="S66" s="205"/>
      <c r="T66" s="205"/>
      <c r="U66" s="205"/>
      <c r="V66" s="205"/>
      <c r="W66" s="205"/>
      <c r="X66" s="205"/>
      <c r="Y66" s="219"/>
      <c r="Z66" s="319"/>
      <c r="AA66" s="320"/>
      <c r="AB66" s="321"/>
      <c r="AC66" s="317"/>
      <c r="AD66" s="309"/>
      <c r="AE66" s="267" t="s">
        <v>4</v>
      </c>
      <c r="AF66" s="268"/>
      <c r="AG66" s="268"/>
      <c r="AI66" s="42"/>
    </row>
    <row r="67" spans="2:35" s="5" customFormat="1" ht="17.100000000000001" customHeight="1" x14ac:dyDescent="0.25">
      <c r="B67" s="310"/>
      <c r="C67" s="311"/>
      <c r="D67" s="301"/>
      <c r="E67" s="302"/>
      <c r="F67" s="304"/>
      <c r="G67" s="205"/>
      <c r="H67" s="312"/>
      <c r="I67" s="313"/>
      <c r="J67" s="205"/>
      <c r="K67" s="156"/>
      <c r="L67" s="314"/>
      <c r="M67" s="315"/>
      <c r="N67" s="315"/>
      <c r="O67" s="316"/>
      <c r="P67" s="317"/>
      <c r="Q67" s="317"/>
      <c r="R67" s="318"/>
      <c r="S67" s="205"/>
      <c r="T67" s="205"/>
      <c r="U67" s="205"/>
      <c r="V67" s="205"/>
      <c r="W67" s="205"/>
      <c r="X67" s="205"/>
      <c r="Y67" s="219"/>
      <c r="Z67" s="319"/>
      <c r="AA67" s="320"/>
      <c r="AB67" s="321"/>
      <c r="AC67" s="317"/>
      <c r="AD67" s="309"/>
      <c r="AE67" s="267" t="s">
        <v>4</v>
      </c>
      <c r="AF67" s="268"/>
      <c r="AG67" s="268"/>
      <c r="AI67" s="42"/>
    </row>
    <row r="68" spans="2:35" s="5" customFormat="1" ht="17.100000000000001" customHeight="1" x14ac:dyDescent="0.25">
      <c r="B68" s="310"/>
      <c r="C68" s="311"/>
      <c r="D68" s="301"/>
      <c r="E68" s="302"/>
      <c r="F68" s="304"/>
      <c r="G68" s="205"/>
      <c r="H68" s="312"/>
      <c r="I68" s="313"/>
      <c r="J68" s="205"/>
      <c r="K68" s="156"/>
      <c r="L68" s="314"/>
      <c r="M68" s="315"/>
      <c r="N68" s="315"/>
      <c r="O68" s="316"/>
      <c r="P68" s="317"/>
      <c r="Q68" s="317"/>
      <c r="R68" s="318"/>
      <c r="S68" s="205"/>
      <c r="T68" s="205"/>
      <c r="U68" s="205"/>
      <c r="V68" s="205"/>
      <c r="W68" s="205"/>
      <c r="X68" s="205"/>
      <c r="Y68" s="219"/>
      <c r="Z68" s="319"/>
      <c r="AA68" s="320"/>
      <c r="AB68" s="321"/>
      <c r="AC68" s="317"/>
      <c r="AD68" s="309"/>
      <c r="AE68" s="267" t="s">
        <v>4</v>
      </c>
      <c r="AF68" s="268"/>
      <c r="AG68" s="268"/>
      <c r="AI68" s="42"/>
    </row>
    <row r="69" spans="2:35" s="5" customFormat="1" ht="17.100000000000001" customHeight="1" x14ac:dyDescent="0.25">
      <c r="B69" s="310"/>
      <c r="C69" s="311"/>
      <c r="D69" s="328"/>
      <c r="E69" s="302"/>
      <c r="F69" s="304"/>
      <c r="G69" s="205"/>
      <c r="H69" s="312"/>
      <c r="I69" s="313"/>
      <c r="J69" s="205"/>
      <c r="K69" s="156"/>
      <c r="L69" s="314"/>
      <c r="M69" s="315"/>
      <c r="N69" s="323"/>
      <c r="O69" s="316"/>
      <c r="P69" s="324"/>
      <c r="Q69" s="324"/>
      <c r="R69" s="318"/>
      <c r="S69" s="212"/>
      <c r="T69" s="212"/>
      <c r="U69" s="205"/>
      <c r="V69" s="205"/>
      <c r="W69" s="205"/>
      <c r="X69" s="212"/>
      <c r="Y69" s="213"/>
      <c r="Z69" s="319"/>
      <c r="AA69" s="327"/>
      <c r="AB69" s="216"/>
      <c r="AC69" s="324"/>
      <c r="AD69" s="309"/>
      <c r="AE69" s="267" t="s">
        <v>4</v>
      </c>
      <c r="AF69" s="268"/>
      <c r="AG69" s="268"/>
      <c r="AI69" s="42"/>
    </row>
    <row r="70" spans="2:35" s="5" customFormat="1" ht="17.100000000000001" customHeight="1" x14ac:dyDescent="0.25">
      <c r="B70" s="310"/>
      <c r="C70" s="311"/>
      <c r="D70" s="301"/>
      <c r="E70" s="302"/>
      <c r="F70" s="304"/>
      <c r="G70" s="205"/>
      <c r="H70" s="312"/>
      <c r="I70" s="313"/>
      <c r="J70" s="205"/>
      <c r="K70" s="156"/>
      <c r="L70" s="314"/>
      <c r="M70" s="315"/>
      <c r="N70" s="323"/>
      <c r="O70" s="316"/>
      <c r="P70" s="317"/>
      <c r="Q70" s="324"/>
      <c r="R70" s="318"/>
      <c r="S70" s="205"/>
      <c r="T70" s="205"/>
      <c r="U70" s="205"/>
      <c r="V70" s="205"/>
      <c r="W70" s="205"/>
      <c r="X70" s="205"/>
      <c r="Y70" s="213"/>
      <c r="Z70" s="319"/>
      <c r="AA70" s="320"/>
      <c r="AB70" s="321"/>
      <c r="AC70" s="324"/>
      <c r="AD70" s="309"/>
      <c r="AE70" s="267" t="s">
        <v>4</v>
      </c>
      <c r="AF70" s="268"/>
      <c r="AG70" s="268"/>
      <c r="AI70" s="42"/>
    </row>
    <row r="71" spans="2:35" s="5" customFormat="1" ht="17.100000000000001" customHeight="1" x14ac:dyDescent="0.25">
      <c r="B71" s="322"/>
      <c r="C71" s="311"/>
      <c r="D71" s="301"/>
      <c r="E71" s="302"/>
      <c r="F71" s="304"/>
      <c r="G71" s="205"/>
      <c r="H71" s="312"/>
      <c r="I71" s="313"/>
      <c r="J71" s="205"/>
      <c r="K71" s="156"/>
      <c r="L71" s="314"/>
      <c r="M71" s="315"/>
      <c r="N71" s="323"/>
      <c r="O71" s="316"/>
      <c r="P71" s="317"/>
      <c r="Q71" s="324"/>
      <c r="R71" s="318"/>
      <c r="S71" s="205"/>
      <c r="T71" s="205"/>
      <c r="U71" s="205"/>
      <c r="V71" s="205"/>
      <c r="W71" s="205"/>
      <c r="X71" s="205"/>
      <c r="Y71" s="213"/>
      <c r="Z71" s="319"/>
      <c r="AA71" s="320"/>
      <c r="AB71" s="321"/>
      <c r="AC71" s="324"/>
      <c r="AD71" s="309"/>
      <c r="AE71" s="267" t="s">
        <v>4</v>
      </c>
      <c r="AF71" s="268"/>
      <c r="AG71" s="268"/>
      <c r="AI71" s="42"/>
    </row>
    <row r="72" spans="2:35" s="5" customFormat="1" ht="17.100000000000001" customHeight="1" x14ac:dyDescent="0.25">
      <c r="B72" s="322"/>
      <c r="C72" s="311"/>
      <c r="D72" s="301"/>
      <c r="E72" s="302"/>
      <c r="F72" s="304"/>
      <c r="G72" s="205"/>
      <c r="H72" s="312"/>
      <c r="I72" s="313"/>
      <c r="J72" s="205"/>
      <c r="K72" s="156"/>
      <c r="L72" s="314"/>
      <c r="M72" s="315"/>
      <c r="N72" s="323"/>
      <c r="O72" s="316"/>
      <c r="P72" s="317"/>
      <c r="Q72" s="324"/>
      <c r="R72" s="318"/>
      <c r="S72" s="205"/>
      <c r="T72" s="205"/>
      <c r="U72" s="205"/>
      <c r="V72" s="205"/>
      <c r="W72" s="205"/>
      <c r="X72" s="205"/>
      <c r="Y72" s="213"/>
      <c r="Z72" s="319"/>
      <c r="AA72" s="320"/>
      <c r="AB72" s="321"/>
      <c r="AC72" s="324"/>
      <c r="AD72" s="309"/>
      <c r="AE72" s="267" t="s">
        <v>4</v>
      </c>
      <c r="AF72" s="268"/>
      <c r="AG72" s="268"/>
      <c r="AI72" s="42"/>
    </row>
    <row r="73" spans="2:35" s="5" customFormat="1" ht="17.100000000000001" customHeight="1" x14ac:dyDescent="0.25">
      <c r="B73" s="310"/>
      <c r="C73" s="311"/>
      <c r="D73" s="301"/>
      <c r="E73" s="302"/>
      <c r="F73" s="304"/>
      <c r="G73" s="205"/>
      <c r="H73" s="312"/>
      <c r="I73" s="313"/>
      <c r="J73" s="205"/>
      <c r="K73" s="156"/>
      <c r="L73" s="314"/>
      <c r="M73" s="315"/>
      <c r="N73" s="315"/>
      <c r="O73" s="316"/>
      <c r="P73" s="317"/>
      <c r="Q73" s="317"/>
      <c r="R73" s="318"/>
      <c r="S73" s="205"/>
      <c r="T73" s="205"/>
      <c r="U73" s="205"/>
      <c r="V73" s="205"/>
      <c r="W73" s="205"/>
      <c r="X73" s="205"/>
      <c r="Y73" s="219"/>
      <c r="Z73" s="319"/>
      <c r="AA73" s="320"/>
      <c r="AB73" s="321"/>
      <c r="AC73" s="317"/>
      <c r="AD73" s="309"/>
      <c r="AE73" s="267" t="s">
        <v>4</v>
      </c>
      <c r="AF73" s="268"/>
      <c r="AG73" s="268"/>
      <c r="AI73" s="42"/>
    </row>
    <row r="74" spans="2:35" s="5" customFormat="1" ht="17.100000000000001" customHeight="1" x14ac:dyDescent="0.25">
      <c r="B74" s="310"/>
      <c r="C74" s="311"/>
      <c r="D74" s="301"/>
      <c r="E74" s="302"/>
      <c r="F74" s="304"/>
      <c r="G74" s="205"/>
      <c r="H74" s="312"/>
      <c r="I74" s="313"/>
      <c r="J74" s="205"/>
      <c r="K74" s="156"/>
      <c r="L74" s="314"/>
      <c r="M74" s="315"/>
      <c r="N74" s="315"/>
      <c r="O74" s="316"/>
      <c r="P74" s="317"/>
      <c r="Q74" s="317"/>
      <c r="R74" s="318"/>
      <c r="S74" s="205"/>
      <c r="T74" s="205"/>
      <c r="U74" s="205"/>
      <c r="V74" s="205"/>
      <c r="W74" s="205"/>
      <c r="X74" s="205"/>
      <c r="Y74" s="219"/>
      <c r="Z74" s="319"/>
      <c r="AA74" s="320"/>
      <c r="AB74" s="321"/>
      <c r="AC74" s="317"/>
      <c r="AD74" s="309"/>
      <c r="AE74" s="267" t="s">
        <v>4</v>
      </c>
      <c r="AF74" s="268"/>
      <c r="AG74" s="268"/>
      <c r="AI74" s="42"/>
    </row>
    <row r="75" spans="2:35" s="5" customFormat="1" ht="17.100000000000001" customHeight="1" x14ac:dyDescent="0.25">
      <c r="B75" s="310"/>
      <c r="C75" s="311"/>
      <c r="D75" s="301"/>
      <c r="E75" s="302"/>
      <c r="F75" s="304"/>
      <c r="G75" s="205"/>
      <c r="H75" s="312"/>
      <c r="I75" s="313"/>
      <c r="J75" s="205"/>
      <c r="K75" s="156"/>
      <c r="L75" s="314"/>
      <c r="M75" s="315"/>
      <c r="N75" s="315"/>
      <c r="O75" s="316"/>
      <c r="P75" s="317"/>
      <c r="Q75" s="317"/>
      <c r="R75" s="318"/>
      <c r="S75" s="205"/>
      <c r="T75" s="205"/>
      <c r="U75" s="205"/>
      <c r="V75" s="205"/>
      <c r="W75" s="205"/>
      <c r="X75" s="205"/>
      <c r="Y75" s="219"/>
      <c r="Z75" s="319"/>
      <c r="AA75" s="320"/>
      <c r="AB75" s="321"/>
      <c r="AC75" s="317"/>
      <c r="AD75" s="309"/>
      <c r="AE75" s="267" t="s">
        <v>4</v>
      </c>
      <c r="AF75" s="268"/>
      <c r="AG75" s="268"/>
      <c r="AI75" s="42"/>
    </row>
    <row r="76" spans="2:35" s="5" customFormat="1" ht="17.100000000000001" customHeight="1" x14ac:dyDescent="0.25">
      <c r="B76" s="322"/>
      <c r="C76" s="311"/>
      <c r="D76" s="301"/>
      <c r="E76" s="302"/>
      <c r="F76" s="304"/>
      <c r="G76" s="205"/>
      <c r="H76" s="312"/>
      <c r="I76" s="313"/>
      <c r="J76" s="205"/>
      <c r="K76" s="156"/>
      <c r="L76" s="314"/>
      <c r="M76" s="315"/>
      <c r="N76" s="315"/>
      <c r="O76" s="316"/>
      <c r="P76" s="317"/>
      <c r="Q76" s="317"/>
      <c r="R76" s="318"/>
      <c r="S76" s="205"/>
      <c r="T76" s="205"/>
      <c r="U76" s="205"/>
      <c r="V76" s="205"/>
      <c r="W76" s="205"/>
      <c r="X76" s="205"/>
      <c r="Y76" s="219"/>
      <c r="Z76" s="319"/>
      <c r="AA76" s="320"/>
      <c r="AB76" s="321"/>
      <c r="AC76" s="317"/>
      <c r="AD76" s="309"/>
      <c r="AE76" s="267" t="s">
        <v>4</v>
      </c>
      <c r="AF76" s="268"/>
      <c r="AG76" s="268"/>
      <c r="AI76" s="42"/>
    </row>
    <row r="77" spans="2:35" s="5" customFormat="1" ht="17.100000000000001" customHeight="1" x14ac:dyDescent="0.25">
      <c r="B77" s="310"/>
      <c r="C77" s="311"/>
      <c r="D77" s="301"/>
      <c r="E77" s="302"/>
      <c r="F77" s="304"/>
      <c r="G77" s="205"/>
      <c r="H77" s="312"/>
      <c r="I77" s="313"/>
      <c r="J77" s="205"/>
      <c r="K77" s="156"/>
      <c r="L77" s="314"/>
      <c r="M77" s="315"/>
      <c r="N77" s="315"/>
      <c r="O77" s="316"/>
      <c r="P77" s="317"/>
      <c r="Q77" s="317"/>
      <c r="R77" s="318"/>
      <c r="S77" s="205"/>
      <c r="T77" s="205"/>
      <c r="U77" s="205"/>
      <c r="V77" s="205"/>
      <c r="W77" s="205"/>
      <c r="X77" s="205"/>
      <c r="Y77" s="219"/>
      <c r="Z77" s="319"/>
      <c r="AA77" s="320"/>
      <c r="AB77" s="321"/>
      <c r="AC77" s="317"/>
      <c r="AD77" s="309"/>
      <c r="AE77" s="267" t="s">
        <v>4</v>
      </c>
      <c r="AF77" s="268"/>
      <c r="AG77" s="268"/>
      <c r="AI77" s="42"/>
    </row>
    <row r="78" spans="2:35" s="5" customFormat="1" ht="17.100000000000001" customHeight="1" x14ac:dyDescent="0.25">
      <c r="B78" s="310"/>
      <c r="C78" s="311"/>
      <c r="D78" s="301"/>
      <c r="E78" s="302"/>
      <c r="F78" s="304"/>
      <c r="G78" s="205"/>
      <c r="H78" s="312"/>
      <c r="I78" s="313"/>
      <c r="J78" s="205"/>
      <c r="K78" s="156"/>
      <c r="L78" s="314"/>
      <c r="M78" s="315"/>
      <c r="N78" s="315"/>
      <c r="O78" s="316"/>
      <c r="P78" s="317"/>
      <c r="Q78" s="317"/>
      <c r="R78" s="318"/>
      <c r="S78" s="205"/>
      <c r="T78" s="205"/>
      <c r="U78" s="205"/>
      <c r="V78" s="205"/>
      <c r="W78" s="205"/>
      <c r="X78" s="205"/>
      <c r="Y78" s="219"/>
      <c r="Z78" s="319"/>
      <c r="AA78" s="320"/>
      <c r="AB78" s="321"/>
      <c r="AC78" s="317"/>
      <c r="AD78" s="309"/>
      <c r="AE78" s="267" t="s">
        <v>4</v>
      </c>
      <c r="AF78" s="268"/>
      <c r="AG78" s="268"/>
      <c r="AI78" s="42"/>
    </row>
    <row r="79" spans="2:35" s="5" customFormat="1" ht="17.100000000000001" customHeight="1" x14ac:dyDescent="0.25">
      <c r="B79" s="310"/>
      <c r="C79" s="311"/>
      <c r="D79" s="301"/>
      <c r="E79" s="302"/>
      <c r="F79" s="304"/>
      <c r="G79" s="205"/>
      <c r="H79" s="312"/>
      <c r="I79" s="313"/>
      <c r="J79" s="205"/>
      <c r="K79" s="156"/>
      <c r="L79" s="314"/>
      <c r="M79" s="315"/>
      <c r="N79" s="315"/>
      <c r="O79" s="316"/>
      <c r="P79" s="317"/>
      <c r="Q79" s="317"/>
      <c r="R79" s="318"/>
      <c r="S79" s="205"/>
      <c r="T79" s="205"/>
      <c r="U79" s="205"/>
      <c r="V79" s="205"/>
      <c r="W79" s="205"/>
      <c r="X79" s="205"/>
      <c r="Y79" s="219"/>
      <c r="Z79" s="319"/>
      <c r="AA79" s="320"/>
      <c r="AB79" s="321"/>
      <c r="AC79" s="317"/>
      <c r="AD79" s="309"/>
      <c r="AE79" s="267" t="s">
        <v>4</v>
      </c>
      <c r="AF79" s="268"/>
      <c r="AG79" s="268"/>
      <c r="AI79" s="42"/>
    </row>
    <row r="80" spans="2:35" s="5" customFormat="1" ht="17.100000000000001" customHeight="1" x14ac:dyDescent="0.25">
      <c r="B80" s="310"/>
      <c r="C80" s="311"/>
      <c r="D80" s="301"/>
      <c r="E80" s="302"/>
      <c r="F80" s="304"/>
      <c r="G80" s="205"/>
      <c r="H80" s="312"/>
      <c r="I80" s="313"/>
      <c r="J80" s="205"/>
      <c r="K80" s="156"/>
      <c r="L80" s="314"/>
      <c r="M80" s="315"/>
      <c r="N80" s="315"/>
      <c r="O80" s="316"/>
      <c r="P80" s="317"/>
      <c r="Q80" s="317"/>
      <c r="R80" s="318"/>
      <c r="S80" s="205"/>
      <c r="T80" s="205"/>
      <c r="U80" s="205"/>
      <c r="V80" s="205"/>
      <c r="W80" s="205"/>
      <c r="X80" s="205"/>
      <c r="Y80" s="219"/>
      <c r="Z80" s="319"/>
      <c r="AA80" s="320"/>
      <c r="AB80" s="321"/>
      <c r="AC80" s="317"/>
      <c r="AD80" s="309"/>
      <c r="AE80" s="267" t="s">
        <v>4</v>
      </c>
      <c r="AF80" s="268"/>
      <c r="AG80" s="268"/>
      <c r="AI80" s="42"/>
    </row>
    <row r="81" spans="1:220" s="5" customFormat="1" ht="17.100000000000001" customHeight="1" x14ac:dyDescent="0.25">
      <c r="B81" s="310"/>
      <c r="C81" s="311"/>
      <c r="D81" s="301"/>
      <c r="E81" s="302"/>
      <c r="F81" s="304"/>
      <c r="G81" s="205"/>
      <c r="H81" s="312"/>
      <c r="I81" s="313"/>
      <c r="J81" s="205"/>
      <c r="K81" s="156"/>
      <c r="L81" s="314"/>
      <c r="M81" s="315"/>
      <c r="N81" s="315"/>
      <c r="O81" s="316"/>
      <c r="P81" s="317"/>
      <c r="Q81" s="317"/>
      <c r="R81" s="318"/>
      <c r="S81" s="205"/>
      <c r="T81" s="205"/>
      <c r="U81" s="205"/>
      <c r="V81" s="205"/>
      <c r="W81" s="205"/>
      <c r="X81" s="205"/>
      <c r="Y81" s="219"/>
      <c r="Z81" s="319"/>
      <c r="AA81" s="320"/>
      <c r="AB81" s="321"/>
      <c r="AC81" s="317"/>
      <c r="AD81" s="309"/>
      <c r="AE81" s="267" t="s">
        <v>4</v>
      </c>
      <c r="AF81" s="268"/>
      <c r="AG81" s="268"/>
      <c r="AI81" s="42"/>
    </row>
    <row r="82" spans="1:220" s="5" customFormat="1" ht="17.100000000000001" customHeight="1" x14ac:dyDescent="0.25">
      <c r="B82" s="310"/>
      <c r="C82" s="311"/>
      <c r="D82" s="301"/>
      <c r="E82" s="302"/>
      <c r="F82" s="304"/>
      <c r="G82" s="205"/>
      <c r="H82" s="312"/>
      <c r="I82" s="313"/>
      <c r="J82" s="205"/>
      <c r="K82" s="156"/>
      <c r="L82" s="314"/>
      <c r="M82" s="315"/>
      <c r="N82" s="315"/>
      <c r="O82" s="316"/>
      <c r="P82" s="317"/>
      <c r="Q82" s="317"/>
      <c r="R82" s="318"/>
      <c r="S82" s="205"/>
      <c r="T82" s="205"/>
      <c r="U82" s="205"/>
      <c r="V82" s="205"/>
      <c r="W82" s="205"/>
      <c r="X82" s="205"/>
      <c r="Y82" s="219"/>
      <c r="Z82" s="319"/>
      <c r="AA82" s="320"/>
      <c r="AB82" s="321"/>
      <c r="AC82" s="317"/>
      <c r="AD82" s="309"/>
      <c r="AE82" s="267" t="s">
        <v>4</v>
      </c>
      <c r="AF82" s="268"/>
      <c r="AG82" s="268"/>
      <c r="AI82" s="42"/>
    </row>
    <row r="83" spans="1:220" s="5" customFormat="1" ht="17.100000000000001" customHeight="1" x14ac:dyDescent="0.25">
      <c r="B83" s="310"/>
      <c r="C83" s="311"/>
      <c r="D83" s="301"/>
      <c r="E83" s="302"/>
      <c r="F83" s="304"/>
      <c r="G83" s="205"/>
      <c r="H83" s="312"/>
      <c r="I83" s="313"/>
      <c r="J83" s="205"/>
      <c r="K83" s="156"/>
      <c r="L83" s="314"/>
      <c r="M83" s="315"/>
      <c r="N83" s="315"/>
      <c r="O83" s="316"/>
      <c r="P83" s="317"/>
      <c r="Q83" s="317"/>
      <c r="R83" s="318"/>
      <c r="S83" s="205"/>
      <c r="T83" s="205"/>
      <c r="U83" s="205"/>
      <c r="V83" s="205"/>
      <c r="W83" s="205"/>
      <c r="X83" s="205"/>
      <c r="Y83" s="219"/>
      <c r="Z83" s="319"/>
      <c r="AA83" s="320"/>
      <c r="AB83" s="321"/>
      <c r="AC83" s="317"/>
      <c r="AD83" s="309"/>
      <c r="AE83" s="267" t="s">
        <v>4</v>
      </c>
      <c r="AF83" s="268"/>
      <c r="AG83" s="268"/>
      <c r="AI83" s="42"/>
    </row>
    <row r="84" spans="1:220" s="5" customFormat="1" ht="17.100000000000001" customHeight="1" x14ac:dyDescent="0.25">
      <c r="B84" s="322"/>
      <c r="C84" s="311"/>
      <c r="D84" s="301"/>
      <c r="E84" s="302"/>
      <c r="F84" s="304"/>
      <c r="G84" s="205"/>
      <c r="H84" s="312"/>
      <c r="I84" s="313"/>
      <c r="J84" s="205"/>
      <c r="K84" s="156"/>
      <c r="L84" s="314"/>
      <c r="M84" s="315"/>
      <c r="N84" s="315"/>
      <c r="O84" s="316"/>
      <c r="P84" s="317"/>
      <c r="Q84" s="317"/>
      <c r="R84" s="318"/>
      <c r="S84" s="205"/>
      <c r="T84" s="205"/>
      <c r="U84" s="205"/>
      <c r="V84" s="205"/>
      <c r="W84" s="205"/>
      <c r="X84" s="205"/>
      <c r="Y84" s="219"/>
      <c r="Z84" s="319"/>
      <c r="AA84" s="320"/>
      <c r="AB84" s="321"/>
      <c r="AC84" s="317"/>
      <c r="AD84" s="309"/>
      <c r="AE84" s="267" t="s">
        <v>4</v>
      </c>
      <c r="AF84" s="268"/>
      <c r="AG84" s="268"/>
      <c r="AI84" s="42"/>
    </row>
    <row r="85" spans="1:220" s="5" customFormat="1" ht="17.100000000000001" customHeight="1" x14ac:dyDescent="0.25">
      <c r="B85" s="310"/>
      <c r="C85" s="311"/>
      <c r="D85" s="301"/>
      <c r="E85" s="302"/>
      <c r="F85" s="304"/>
      <c r="G85" s="205"/>
      <c r="H85" s="312"/>
      <c r="I85" s="313"/>
      <c r="J85" s="205"/>
      <c r="K85" s="156"/>
      <c r="L85" s="314"/>
      <c r="M85" s="315"/>
      <c r="N85" s="315"/>
      <c r="O85" s="316"/>
      <c r="P85" s="317"/>
      <c r="Q85" s="317"/>
      <c r="R85" s="318"/>
      <c r="S85" s="205"/>
      <c r="T85" s="205"/>
      <c r="U85" s="205"/>
      <c r="V85" s="205"/>
      <c r="W85" s="205"/>
      <c r="X85" s="205"/>
      <c r="Y85" s="219"/>
      <c r="Z85" s="319"/>
      <c r="AA85" s="320"/>
      <c r="AB85" s="321"/>
      <c r="AC85" s="317"/>
      <c r="AD85" s="309"/>
      <c r="AE85" s="267" t="s">
        <v>4</v>
      </c>
      <c r="AF85" s="268"/>
      <c r="AG85" s="268"/>
      <c r="AI85" s="42"/>
    </row>
    <row r="86" spans="1:220" s="5" customFormat="1" ht="17.100000000000001" customHeight="1" x14ac:dyDescent="0.25">
      <c r="B86" s="310"/>
      <c r="C86" s="311"/>
      <c r="D86" s="301"/>
      <c r="E86" s="302"/>
      <c r="F86" s="304"/>
      <c r="G86" s="205"/>
      <c r="H86" s="312"/>
      <c r="I86" s="313"/>
      <c r="J86" s="205"/>
      <c r="K86" s="156"/>
      <c r="L86" s="314"/>
      <c r="M86" s="315"/>
      <c r="N86" s="315"/>
      <c r="O86" s="316"/>
      <c r="P86" s="317"/>
      <c r="Q86" s="317"/>
      <c r="R86" s="318"/>
      <c r="S86" s="205"/>
      <c r="T86" s="205"/>
      <c r="U86" s="205"/>
      <c r="V86" s="205"/>
      <c r="W86" s="205"/>
      <c r="X86" s="205"/>
      <c r="Y86" s="219"/>
      <c r="Z86" s="319"/>
      <c r="AA86" s="320"/>
      <c r="AB86" s="321"/>
      <c r="AC86" s="317"/>
      <c r="AD86" s="309"/>
      <c r="AE86" s="267" t="s">
        <v>4</v>
      </c>
      <c r="AF86" s="268"/>
      <c r="AG86" s="268"/>
      <c r="AI86" s="42"/>
    </row>
    <row r="87" spans="1:220" s="5" customFormat="1" ht="17.100000000000001" customHeight="1" x14ac:dyDescent="0.25">
      <c r="B87" s="310"/>
      <c r="C87" s="311"/>
      <c r="D87" s="301"/>
      <c r="E87" s="302"/>
      <c r="F87" s="304"/>
      <c r="G87" s="205"/>
      <c r="H87" s="312"/>
      <c r="I87" s="313"/>
      <c r="J87" s="205"/>
      <c r="K87" s="156"/>
      <c r="L87" s="314"/>
      <c r="M87" s="315"/>
      <c r="N87" s="315"/>
      <c r="O87" s="316"/>
      <c r="P87" s="317"/>
      <c r="Q87" s="317"/>
      <c r="R87" s="318"/>
      <c r="S87" s="205"/>
      <c r="T87" s="205"/>
      <c r="U87" s="205"/>
      <c r="V87" s="205"/>
      <c r="W87" s="205"/>
      <c r="X87" s="205"/>
      <c r="Y87" s="219"/>
      <c r="Z87" s="319"/>
      <c r="AA87" s="320"/>
      <c r="AB87" s="321"/>
      <c r="AC87" s="317"/>
      <c r="AD87" s="309"/>
      <c r="AE87" s="267" t="s">
        <v>4</v>
      </c>
      <c r="AF87" s="268"/>
      <c r="AG87" s="268"/>
      <c r="AI87" s="42"/>
    </row>
    <row r="88" spans="1:220" s="5" customFormat="1" ht="17.100000000000001" customHeight="1" x14ac:dyDescent="0.2">
      <c r="B88" s="325"/>
      <c r="C88" s="329"/>
      <c r="D88" s="326"/>
      <c r="E88" s="330"/>
      <c r="F88" s="331"/>
      <c r="G88" s="223"/>
      <c r="H88" s="332"/>
      <c r="I88" s="51"/>
      <c r="J88" s="227"/>
      <c r="K88" s="156"/>
      <c r="L88" s="333"/>
      <c r="M88" s="334"/>
      <c r="N88" s="335"/>
      <c r="O88" s="336"/>
      <c r="P88" s="337"/>
      <c r="Q88" s="338"/>
      <c r="R88" s="339"/>
      <c r="S88" s="227"/>
      <c r="T88" s="227"/>
      <c r="U88" s="227"/>
      <c r="V88" s="227"/>
      <c r="W88" s="227"/>
      <c r="X88" s="227"/>
      <c r="Y88" s="340"/>
      <c r="Z88" s="341"/>
      <c r="AA88" s="276"/>
      <c r="AB88" s="342"/>
      <c r="AC88" s="338"/>
      <c r="AD88" s="277"/>
      <c r="AE88" s="267" t="s">
        <v>4</v>
      </c>
      <c r="AF88" s="268"/>
      <c r="AG88" s="268"/>
      <c r="AI88" s="42"/>
    </row>
    <row r="89" spans="1:220" s="5" customFormat="1" ht="17.100000000000001" customHeight="1" x14ac:dyDescent="0.2">
      <c r="B89" s="325"/>
      <c r="C89" s="329"/>
      <c r="D89" s="326"/>
      <c r="E89" s="330"/>
      <c r="F89" s="331"/>
      <c r="G89" s="223"/>
      <c r="H89" s="332"/>
      <c r="I89" s="51"/>
      <c r="J89" s="227"/>
      <c r="K89" s="156"/>
      <c r="L89" s="333"/>
      <c r="M89" s="343"/>
      <c r="N89" s="335"/>
      <c r="O89" s="336"/>
      <c r="P89" s="337"/>
      <c r="Q89" s="338"/>
      <c r="R89" s="339"/>
      <c r="S89" s="227"/>
      <c r="T89" s="227"/>
      <c r="U89" s="227"/>
      <c r="V89" s="227"/>
      <c r="W89" s="227"/>
      <c r="X89" s="227"/>
      <c r="Y89" s="340"/>
      <c r="Z89" s="341"/>
      <c r="AA89" s="276"/>
      <c r="AB89" s="342"/>
      <c r="AC89" s="338"/>
      <c r="AD89" s="277"/>
      <c r="AE89" s="267" t="s">
        <v>4</v>
      </c>
      <c r="AF89" s="268"/>
      <c r="AG89" s="268"/>
      <c r="AI89" s="42"/>
    </row>
    <row r="90" spans="1:220" s="5" customFormat="1" ht="17.100000000000001" customHeight="1" x14ac:dyDescent="0.2">
      <c r="B90" s="325"/>
      <c r="C90" s="329"/>
      <c r="D90" s="326"/>
      <c r="E90" s="330"/>
      <c r="F90" s="331"/>
      <c r="G90" s="223"/>
      <c r="H90" s="332"/>
      <c r="I90" s="51"/>
      <c r="J90" s="227"/>
      <c r="K90" s="156"/>
      <c r="L90" s="333"/>
      <c r="M90" s="343"/>
      <c r="N90" s="335"/>
      <c r="O90" s="336"/>
      <c r="P90" s="337"/>
      <c r="Q90" s="338"/>
      <c r="R90" s="339"/>
      <c r="S90" s="227"/>
      <c r="T90" s="227"/>
      <c r="U90" s="227"/>
      <c r="V90" s="227"/>
      <c r="W90" s="227"/>
      <c r="X90" s="227"/>
      <c r="Y90" s="340"/>
      <c r="Z90" s="341"/>
      <c r="AA90" s="276"/>
      <c r="AB90" s="342"/>
      <c r="AC90" s="338"/>
      <c r="AD90" s="277"/>
      <c r="AE90" s="267" t="s">
        <v>4</v>
      </c>
      <c r="AF90" s="268"/>
      <c r="AG90" s="268"/>
      <c r="AI90" s="42"/>
    </row>
    <row r="91" spans="1:220" s="5" customFormat="1" ht="17.100000000000001" customHeight="1" x14ac:dyDescent="0.2">
      <c r="B91" s="325"/>
      <c r="C91" s="344"/>
      <c r="D91" s="345"/>
      <c r="E91" s="330"/>
      <c r="F91" s="331"/>
      <c r="G91" s="232"/>
      <c r="H91" s="332"/>
      <c r="I91" s="51"/>
      <c r="J91" s="283"/>
      <c r="K91" s="156"/>
      <c r="L91" s="333"/>
      <c r="M91" s="346"/>
      <c r="N91" s="335"/>
      <c r="O91" s="336"/>
      <c r="P91" s="347"/>
      <c r="Q91" s="338"/>
      <c r="R91" s="339"/>
      <c r="S91" s="233"/>
      <c r="T91" s="233"/>
      <c r="U91" s="233"/>
      <c r="V91" s="233"/>
      <c r="W91" s="233"/>
      <c r="X91" s="233"/>
      <c r="Y91" s="340"/>
      <c r="Z91" s="341"/>
      <c r="AA91" s="284"/>
      <c r="AB91" s="229"/>
      <c r="AC91" s="338"/>
      <c r="AD91" s="277"/>
      <c r="AE91" s="267" t="s">
        <v>4</v>
      </c>
      <c r="AF91" s="268"/>
      <c r="AG91" s="268"/>
      <c r="AI91" s="42"/>
    </row>
    <row r="92" spans="1:220" s="351" customFormat="1" ht="17.100000000000001" customHeight="1" x14ac:dyDescent="0.25">
      <c r="A92"/>
      <c r="B92" s="325"/>
      <c r="C92" s="329"/>
      <c r="D92" s="326"/>
      <c r="E92" s="330"/>
      <c r="F92" s="331"/>
      <c r="G92" s="223"/>
      <c r="H92" s="332"/>
      <c r="I92" s="109"/>
      <c r="J92" s="227"/>
      <c r="K92" s="156"/>
      <c r="L92" s="333"/>
      <c r="M92" s="343"/>
      <c r="N92" s="335"/>
      <c r="O92" s="336"/>
      <c r="P92" s="337"/>
      <c r="Q92" s="338"/>
      <c r="R92" s="339"/>
      <c r="S92" s="227"/>
      <c r="T92" s="227"/>
      <c r="U92" s="227"/>
      <c r="V92" s="227"/>
      <c r="W92" s="227"/>
      <c r="X92" s="227"/>
      <c r="Y92" s="340"/>
      <c r="Z92" s="341"/>
      <c r="AA92" s="348"/>
      <c r="AB92" s="342"/>
      <c r="AC92" s="338"/>
      <c r="AD92" s="277"/>
      <c r="AE92" s="349"/>
      <c r="AF92" s="350"/>
      <c r="AI92" s="352"/>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1"/>
      <c r="EU92" s="1"/>
      <c r="EV92" s="1"/>
      <c r="EW92" s="1"/>
      <c r="EX92" s="1"/>
      <c r="EY92" s="1"/>
      <c r="EZ92" s="1"/>
      <c r="FA92" s="1"/>
      <c r="FB92" s="1"/>
      <c r="FC92" s="1"/>
      <c r="FD92" s="1"/>
      <c r="FE92" s="1"/>
      <c r="FF92" s="1"/>
      <c r="FG92" s="1"/>
      <c r="FH92" s="1"/>
      <c r="FI92" s="1"/>
      <c r="FJ92" s="1"/>
      <c r="FK92" s="1"/>
      <c r="FL92" s="1"/>
      <c r="FM92" s="1"/>
      <c r="FN92" s="1"/>
      <c r="FO92" s="1"/>
      <c r="FP92" s="1"/>
      <c r="FQ92" s="1"/>
      <c r="FR92" s="1"/>
      <c r="FS92" s="1"/>
      <c r="FT92" s="1"/>
      <c r="FU92" s="1"/>
      <c r="FV92" s="1"/>
      <c r="FW92" s="1"/>
      <c r="FX92" s="1"/>
      <c r="FY92" s="1"/>
      <c r="FZ92" s="1"/>
      <c r="GA92" s="1"/>
      <c r="GB92" s="1"/>
      <c r="GC92" s="1"/>
      <c r="GD92" s="1"/>
      <c r="GE92" s="1"/>
      <c r="GF92" s="1"/>
      <c r="GG92" s="1"/>
      <c r="GH92" s="1"/>
      <c r="GI92" s="1"/>
      <c r="GJ92" s="1"/>
      <c r="GK92" s="1"/>
      <c r="GL92" s="1"/>
      <c r="GM92" s="1"/>
      <c r="GN92" s="1"/>
      <c r="GO92" s="1"/>
      <c r="GP92" s="1"/>
      <c r="GQ92" s="1"/>
      <c r="GR92" s="1"/>
      <c r="GS92" s="1"/>
      <c r="GT92" s="1"/>
      <c r="GU92" s="1"/>
      <c r="GV92" s="1"/>
      <c r="GW92" s="1"/>
      <c r="GX92" s="1"/>
      <c r="GY92" s="1"/>
      <c r="GZ92" s="1"/>
      <c r="HA92" s="1"/>
      <c r="HB92" s="1"/>
      <c r="HC92" s="1"/>
      <c r="HD92" s="1"/>
      <c r="HE92" s="1"/>
      <c r="HF92" s="1"/>
      <c r="HG92" s="1"/>
      <c r="HH92" s="1"/>
      <c r="HI92" s="1"/>
      <c r="HJ92" s="1"/>
      <c r="HK92" s="1"/>
      <c r="HL92" s="1"/>
    </row>
    <row r="93" spans="1:220" s="351" customFormat="1" ht="17.100000000000001" customHeight="1" x14ac:dyDescent="0.25">
      <c r="A93"/>
      <c r="B93" s="325"/>
      <c r="C93" s="329"/>
      <c r="D93" s="326"/>
      <c r="E93" s="330"/>
      <c r="F93" s="331"/>
      <c r="G93" s="223"/>
      <c r="H93" s="332"/>
      <c r="I93" s="109"/>
      <c r="J93" s="227"/>
      <c r="K93" s="156"/>
      <c r="L93" s="333"/>
      <c r="M93" s="343"/>
      <c r="N93" s="335"/>
      <c r="O93" s="336"/>
      <c r="P93" s="337"/>
      <c r="Q93" s="338"/>
      <c r="R93" s="339"/>
      <c r="S93" s="227"/>
      <c r="T93" s="227"/>
      <c r="U93" s="227"/>
      <c r="V93" s="227"/>
      <c r="W93" s="227"/>
      <c r="X93" s="227"/>
      <c r="Y93" s="340"/>
      <c r="Z93" s="341"/>
      <c r="AA93" s="348"/>
      <c r="AB93" s="342"/>
      <c r="AC93" s="338"/>
      <c r="AD93" s="277"/>
      <c r="AE93" s="349"/>
      <c r="AF93" s="350"/>
      <c r="AI93" s="352"/>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1"/>
      <c r="EU93" s="1"/>
      <c r="EV93" s="1"/>
      <c r="EW93" s="1"/>
      <c r="EX93" s="1"/>
      <c r="EY93" s="1"/>
      <c r="EZ93" s="1"/>
      <c r="FA93" s="1"/>
      <c r="FB93" s="1"/>
      <c r="FC93" s="1"/>
      <c r="FD93" s="1"/>
      <c r="FE93" s="1"/>
      <c r="FF93" s="1"/>
      <c r="FG93" s="1"/>
      <c r="FH93" s="1"/>
      <c r="FI93" s="1"/>
      <c r="FJ93" s="1"/>
      <c r="FK93" s="1"/>
      <c r="FL93" s="1"/>
      <c r="FM93" s="1"/>
      <c r="FN93" s="1"/>
      <c r="FO93" s="1"/>
      <c r="FP93" s="1"/>
      <c r="FQ93" s="1"/>
      <c r="FR93" s="1"/>
      <c r="FS93" s="1"/>
      <c r="FT93" s="1"/>
      <c r="FU93" s="1"/>
      <c r="FV93" s="1"/>
      <c r="FW93" s="1"/>
      <c r="FX93" s="1"/>
      <c r="FY93" s="1"/>
      <c r="FZ93" s="1"/>
      <c r="GA93" s="1"/>
      <c r="GB93" s="1"/>
      <c r="GC93" s="1"/>
      <c r="GD93" s="1"/>
      <c r="GE93" s="1"/>
      <c r="GF93" s="1"/>
      <c r="GG93" s="1"/>
      <c r="GH93" s="1"/>
      <c r="GI93" s="1"/>
      <c r="GJ93" s="1"/>
      <c r="GK93" s="1"/>
      <c r="GL93" s="1"/>
      <c r="GM93" s="1"/>
      <c r="GN93" s="1"/>
      <c r="GO93" s="1"/>
      <c r="GP93" s="1"/>
      <c r="GQ93" s="1"/>
      <c r="GR93" s="1"/>
      <c r="GS93" s="1"/>
      <c r="GT93" s="1"/>
      <c r="GU93" s="1"/>
      <c r="GV93" s="1"/>
      <c r="GW93" s="1"/>
      <c r="GX93" s="1"/>
      <c r="GY93" s="1"/>
      <c r="GZ93" s="1"/>
      <c r="HA93" s="1"/>
      <c r="HB93" s="1"/>
      <c r="HC93" s="1"/>
      <c r="HD93" s="1"/>
      <c r="HE93" s="1"/>
      <c r="HF93" s="1"/>
      <c r="HG93" s="1"/>
      <c r="HH93" s="1"/>
      <c r="HI93" s="1"/>
      <c r="HJ93" s="1"/>
      <c r="HK93" s="1"/>
      <c r="HL93" s="1"/>
    </row>
    <row r="94" spans="1:220" s="351" customFormat="1" ht="17.100000000000001" customHeight="1" x14ac:dyDescent="0.25">
      <c r="A94"/>
      <c r="B94" s="325"/>
      <c r="C94" s="329"/>
      <c r="D94" s="326"/>
      <c r="E94" s="330"/>
      <c r="F94" s="331"/>
      <c r="G94" s="223"/>
      <c r="H94" s="332"/>
      <c r="I94" s="109"/>
      <c r="J94" s="227"/>
      <c r="K94" s="156"/>
      <c r="L94" s="333"/>
      <c r="M94" s="343"/>
      <c r="N94" s="335"/>
      <c r="O94" s="336"/>
      <c r="P94" s="337"/>
      <c r="Q94" s="338"/>
      <c r="R94" s="339"/>
      <c r="S94" s="227"/>
      <c r="T94" s="227"/>
      <c r="U94" s="227"/>
      <c r="V94" s="227"/>
      <c r="W94" s="227"/>
      <c r="X94" s="227"/>
      <c r="Y94" s="340"/>
      <c r="Z94" s="341"/>
      <c r="AA94" s="348"/>
      <c r="AB94" s="342"/>
      <c r="AC94" s="338"/>
      <c r="AD94" s="277"/>
      <c r="AE94" s="349"/>
      <c r="AF94" s="350"/>
      <c r="AI94" s="352"/>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c r="EG94" s="1"/>
      <c r="EH94" s="1"/>
      <c r="EI94" s="1"/>
      <c r="EJ94" s="1"/>
      <c r="EK94" s="1"/>
      <c r="EL94" s="1"/>
      <c r="EM94" s="1"/>
      <c r="EN94" s="1"/>
      <c r="EO94" s="1"/>
      <c r="EP94" s="1"/>
      <c r="EQ94" s="1"/>
      <c r="ER94" s="1"/>
      <c r="ES94" s="1"/>
      <c r="ET94" s="1"/>
      <c r="EU94" s="1"/>
      <c r="EV94" s="1"/>
      <c r="EW94" s="1"/>
      <c r="EX94" s="1"/>
      <c r="EY94" s="1"/>
      <c r="EZ94" s="1"/>
      <c r="FA94" s="1"/>
      <c r="FB94" s="1"/>
      <c r="FC94" s="1"/>
      <c r="FD94" s="1"/>
      <c r="FE94" s="1"/>
      <c r="FF94" s="1"/>
      <c r="FG94" s="1"/>
      <c r="FH94" s="1"/>
      <c r="FI94" s="1"/>
      <c r="FJ94" s="1"/>
      <c r="FK94" s="1"/>
      <c r="FL94" s="1"/>
      <c r="FM94" s="1"/>
      <c r="FN94" s="1"/>
      <c r="FO94" s="1"/>
      <c r="FP94" s="1"/>
      <c r="FQ94" s="1"/>
      <c r="FR94" s="1"/>
      <c r="FS94" s="1"/>
      <c r="FT94" s="1"/>
      <c r="FU94" s="1"/>
      <c r="FV94" s="1"/>
      <c r="FW94" s="1"/>
      <c r="FX94" s="1"/>
      <c r="FY94" s="1"/>
      <c r="FZ94" s="1"/>
      <c r="GA94" s="1"/>
      <c r="GB94" s="1"/>
      <c r="GC94" s="1"/>
      <c r="GD94" s="1"/>
      <c r="GE94" s="1"/>
      <c r="GF94" s="1"/>
      <c r="GG94" s="1"/>
      <c r="GH94" s="1"/>
      <c r="GI94" s="1"/>
      <c r="GJ94" s="1"/>
      <c r="GK94" s="1"/>
      <c r="GL94" s="1"/>
      <c r="GM94" s="1"/>
      <c r="GN94" s="1"/>
      <c r="GO94" s="1"/>
      <c r="GP94" s="1"/>
      <c r="GQ94" s="1"/>
      <c r="GR94" s="1"/>
      <c r="GS94" s="1"/>
      <c r="GT94" s="1"/>
      <c r="GU94" s="1"/>
      <c r="GV94" s="1"/>
      <c r="GW94" s="1"/>
      <c r="GX94" s="1"/>
      <c r="GY94" s="1"/>
      <c r="GZ94" s="1"/>
      <c r="HA94" s="1"/>
      <c r="HB94" s="1"/>
      <c r="HC94" s="1"/>
      <c r="HD94" s="1"/>
      <c r="HE94" s="1"/>
      <c r="HF94" s="1"/>
      <c r="HG94" s="1"/>
      <c r="HH94" s="1"/>
      <c r="HI94" s="1"/>
      <c r="HJ94" s="1"/>
      <c r="HK94" s="1"/>
      <c r="HL94" s="1"/>
    </row>
    <row r="95" spans="1:220" s="351" customFormat="1" ht="17.100000000000001" customHeight="1" x14ac:dyDescent="0.25">
      <c r="A95"/>
      <c r="B95" s="325"/>
      <c r="C95" s="329"/>
      <c r="D95" s="326"/>
      <c r="E95" s="330"/>
      <c r="F95" s="331"/>
      <c r="G95" s="223"/>
      <c r="H95" s="332"/>
      <c r="I95" s="109"/>
      <c r="J95" s="227"/>
      <c r="K95" s="156"/>
      <c r="L95" s="333"/>
      <c r="M95" s="343"/>
      <c r="N95" s="335"/>
      <c r="O95" s="336"/>
      <c r="P95" s="337"/>
      <c r="Q95" s="338"/>
      <c r="R95" s="339"/>
      <c r="S95" s="227"/>
      <c r="T95" s="227"/>
      <c r="U95" s="227"/>
      <c r="V95" s="227"/>
      <c r="W95" s="227"/>
      <c r="X95" s="227"/>
      <c r="Y95" s="340"/>
      <c r="Z95" s="341"/>
      <c r="AA95" s="348"/>
      <c r="AB95" s="342"/>
      <c r="AC95" s="338"/>
      <c r="AD95" s="277"/>
      <c r="AE95" s="349"/>
      <c r="AF95" s="350"/>
      <c r="AI95" s="352"/>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c r="EG95" s="1"/>
      <c r="EH95" s="1"/>
      <c r="EI95" s="1"/>
      <c r="EJ95" s="1"/>
      <c r="EK95" s="1"/>
      <c r="EL95" s="1"/>
      <c r="EM95" s="1"/>
      <c r="EN95" s="1"/>
      <c r="EO95" s="1"/>
      <c r="EP95" s="1"/>
      <c r="EQ95" s="1"/>
      <c r="ER95" s="1"/>
      <c r="ES95" s="1"/>
      <c r="ET95" s="1"/>
      <c r="EU95" s="1"/>
      <c r="EV95" s="1"/>
      <c r="EW95" s="1"/>
      <c r="EX95" s="1"/>
      <c r="EY95" s="1"/>
      <c r="EZ95" s="1"/>
      <c r="FA95" s="1"/>
      <c r="FB95" s="1"/>
      <c r="FC95" s="1"/>
      <c r="FD95" s="1"/>
      <c r="FE95" s="1"/>
      <c r="FF95" s="1"/>
      <c r="FG95" s="1"/>
      <c r="FH95" s="1"/>
      <c r="FI95" s="1"/>
      <c r="FJ95" s="1"/>
      <c r="FK95" s="1"/>
      <c r="FL95" s="1"/>
      <c r="FM95" s="1"/>
      <c r="FN95" s="1"/>
      <c r="FO95" s="1"/>
      <c r="FP95" s="1"/>
      <c r="FQ95" s="1"/>
      <c r="FR95" s="1"/>
      <c r="FS95" s="1"/>
      <c r="FT95" s="1"/>
      <c r="FU95" s="1"/>
      <c r="FV95" s="1"/>
      <c r="FW95" s="1"/>
      <c r="FX95" s="1"/>
      <c r="FY95" s="1"/>
      <c r="FZ95" s="1"/>
      <c r="GA95" s="1"/>
      <c r="GB95" s="1"/>
      <c r="GC95" s="1"/>
      <c r="GD95" s="1"/>
      <c r="GE95" s="1"/>
      <c r="GF95" s="1"/>
      <c r="GG95" s="1"/>
      <c r="GH95" s="1"/>
      <c r="GI95" s="1"/>
      <c r="GJ95" s="1"/>
      <c r="GK95" s="1"/>
      <c r="GL95" s="1"/>
      <c r="GM95" s="1"/>
      <c r="GN95" s="1"/>
      <c r="GO95" s="1"/>
      <c r="GP95" s="1"/>
      <c r="GQ95" s="1"/>
      <c r="GR95" s="1"/>
      <c r="GS95" s="1"/>
      <c r="GT95" s="1"/>
      <c r="GU95" s="1"/>
      <c r="GV95" s="1"/>
      <c r="GW95" s="1"/>
      <c r="GX95" s="1"/>
      <c r="GY95" s="1"/>
      <c r="GZ95" s="1"/>
      <c r="HA95" s="1"/>
      <c r="HB95" s="1"/>
      <c r="HC95" s="1"/>
      <c r="HD95" s="1"/>
      <c r="HE95" s="1"/>
      <c r="HF95" s="1"/>
      <c r="HG95" s="1"/>
      <c r="HH95" s="1"/>
      <c r="HI95" s="1"/>
      <c r="HJ95" s="1"/>
      <c r="HK95" s="1"/>
      <c r="HL95" s="1"/>
    </row>
    <row r="96" spans="1:220" s="351" customFormat="1" ht="17.100000000000001" customHeight="1" x14ac:dyDescent="0.25">
      <c r="A96"/>
      <c r="B96" s="325"/>
      <c r="C96" s="329"/>
      <c r="D96" s="326"/>
      <c r="E96" s="330"/>
      <c r="F96" s="331"/>
      <c r="G96" s="223"/>
      <c r="H96" s="332"/>
      <c r="I96" s="109"/>
      <c r="J96" s="227"/>
      <c r="K96" s="156"/>
      <c r="L96" s="333"/>
      <c r="M96" s="343"/>
      <c r="N96" s="335"/>
      <c r="O96" s="336"/>
      <c r="P96" s="337"/>
      <c r="Q96" s="338"/>
      <c r="R96" s="339"/>
      <c r="S96" s="227"/>
      <c r="T96" s="227"/>
      <c r="U96" s="227"/>
      <c r="V96" s="227"/>
      <c r="W96" s="227"/>
      <c r="X96" s="227"/>
      <c r="Y96" s="340"/>
      <c r="Z96" s="341"/>
      <c r="AA96" s="348"/>
      <c r="AB96" s="342"/>
      <c r="AC96" s="338"/>
      <c r="AD96" s="277"/>
      <c r="AE96" s="349"/>
      <c r="AF96" s="350"/>
      <c r="AI96" s="352"/>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c r="EG96" s="1"/>
      <c r="EH96" s="1"/>
      <c r="EI96" s="1"/>
      <c r="EJ96" s="1"/>
      <c r="EK96" s="1"/>
      <c r="EL96" s="1"/>
      <c r="EM96" s="1"/>
      <c r="EN96" s="1"/>
      <c r="EO96" s="1"/>
      <c r="EP96" s="1"/>
      <c r="EQ96" s="1"/>
      <c r="ER96" s="1"/>
      <c r="ES96" s="1"/>
      <c r="ET96" s="1"/>
      <c r="EU96" s="1"/>
      <c r="EV96" s="1"/>
      <c r="EW96" s="1"/>
      <c r="EX96" s="1"/>
      <c r="EY96" s="1"/>
      <c r="EZ96" s="1"/>
      <c r="FA96" s="1"/>
      <c r="FB96" s="1"/>
      <c r="FC96" s="1"/>
      <c r="FD96" s="1"/>
      <c r="FE96" s="1"/>
      <c r="FF96" s="1"/>
      <c r="FG96" s="1"/>
      <c r="FH96" s="1"/>
      <c r="FI96" s="1"/>
      <c r="FJ96" s="1"/>
      <c r="FK96" s="1"/>
      <c r="FL96" s="1"/>
      <c r="FM96" s="1"/>
      <c r="FN96" s="1"/>
      <c r="FO96" s="1"/>
      <c r="FP96" s="1"/>
      <c r="FQ96" s="1"/>
      <c r="FR96" s="1"/>
      <c r="FS96" s="1"/>
      <c r="FT96" s="1"/>
      <c r="FU96" s="1"/>
      <c r="FV96" s="1"/>
      <c r="FW96" s="1"/>
      <c r="FX96" s="1"/>
      <c r="FY96" s="1"/>
      <c r="FZ96" s="1"/>
      <c r="GA96" s="1"/>
      <c r="GB96" s="1"/>
      <c r="GC96" s="1"/>
      <c r="GD96" s="1"/>
      <c r="GE96" s="1"/>
      <c r="GF96" s="1"/>
      <c r="GG96" s="1"/>
      <c r="GH96" s="1"/>
      <c r="GI96" s="1"/>
      <c r="GJ96" s="1"/>
      <c r="GK96" s="1"/>
      <c r="GL96" s="1"/>
      <c r="GM96" s="1"/>
      <c r="GN96" s="1"/>
      <c r="GO96" s="1"/>
      <c r="GP96" s="1"/>
      <c r="GQ96" s="1"/>
      <c r="GR96" s="1"/>
      <c r="GS96" s="1"/>
      <c r="GT96" s="1"/>
      <c r="GU96" s="1"/>
      <c r="GV96" s="1"/>
      <c r="GW96" s="1"/>
      <c r="GX96" s="1"/>
      <c r="GY96" s="1"/>
      <c r="GZ96" s="1"/>
      <c r="HA96" s="1"/>
      <c r="HB96" s="1"/>
      <c r="HC96" s="1"/>
      <c r="HD96" s="1"/>
      <c r="HE96" s="1"/>
      <c r="HF96" s="1"/>
      <c r="HG96" s="1"/>
      <c r="HH96" s="1"/>
      <c r="HI96" s="1"/>
      <c r="HJ96" s="1"/>
      <c r="HK96" s="1"/>
      <c r="HL96" s="1"/>
    </row>
    <row r="97" spans="1:220" s="351" customFormat="1" ht="17.100000000000001" customHeight="1" x14ac:dyDescent="0.25">
      <c r="A97"/>
      <c r="B97" s="325"/>
      <c r="C97" s="329"/>
      <c r="D97" s="326"/>
      <c r="E97" s="330"/>
      <c r="F97" s="331"/>
      <c r="G97" s="223"/>
      <c r="H97" s="332"/>
      <c r="I97" s="109"/>
      <c r="J97" s="227"/>
      <c r="K97" s="156"/>
      <c r="L97" s="333"/>
      <c r="M97" s="343"/>
      <c r="N97" s="335"/>
      <c r="O97" s="336"/>
      <c r="P97" s="337"/>
      <c r="Q97" s="338"/>
      <c r="R97" s="339"/>
      <c r="S97" s="227"/>
      <c r="T97" s="227"/>
      <c r="U97" s="227"/>
      <c r="V97" s="227"/>
      <c r="W97" s="227"/>
      <c r="X97" s="227"/>
      <c r="Y97" s="340"/>
      <c r="Z97" s="341"/>
      <c r="AA97" s="348"/>
      <c r="AB97" s="342"/>
      <c r="AC97" s="338"/>
      <c r="AD97" s="277"/>
      <c r="AE97" s="349"/>
      <c r="AF97" s="350"/>
      <c r="AI97" s="352"/>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EG97" s="1"/>
      <c r="EH97" s="1"/>
      <c r="EI97" s="1"/>
      <c r="EJ97" s="1"/>
      <c r="EK97" s="1"/>
      <c r="EL97" s="1"/>
      <c r="EM97" s="1"/>
      <c r="EN97" s="1"/>
      <c r="EO97" s="1"/>
      <c r="EP97" s="1"/>
      <c r="EQ97" s="1"/>
      <c r="ER97" s="1"/>
      <c r="ES97" s="1"/>
      <c r="ET97" s="1"/>
      <c r="EU97" s="1"/>
      <c r="EV97" s="1"/>
      <c r="EW97" s="1"/>
      <c r="EX97" s="1"/>
      <c r="EY97" s="1"/>
      <c r="EZ97" s="1"/>
      <c r="FA97" s="1"/>
      <c r="FB97" s="1"/>
      <c r="FC97" s="1"/>
      <c r="FD97" s="1"/>
      <c r="FE97" s="1"/>
      <c r="FF97" s="1"/>
      <c r="FG97" s="1"/>
      <c r="FH97" s="1"/>
      <c r="FI97" s="1"/>
      <c r="FJ97" s="1"/>
      <c r="FK97" s="1"/>
      <c r="FL97" s="1"/>
      <c r="FM97" s="1"/>
      <c r="FN97" s="1"/>
      <c r="FO97" s="1"/>
      <c r="FP97" s="1"/>
      <c r="FQ97" s="1"/>
      <c r="FR97" s="1"/>
      <c r="FS97" s="1"/>
      <c r="FT97" s="1"/>
      <c r="FU97" s="1"/>
      <c r="FV97" s="1"/>
      <c r="FW97" s="1"/>
      <c r="FX97" s="1"/>
      <c r="FY97" s="1"/>
      <c r="FZ97" s="1"/>
      <c r="GA97" s="1"/>
      <c r="GB97" s="1"/>
      <c r="GC97" s="1"/>
      <c r="GD97" s="1"/>
      <c r="GE97" s="1"/>
      <c r="GF97" s="1"/>
      <c r="GG97" s="1"/>
      <c r="GH97" s="1"/>
      <c r="GI97" s="1"/>
      <c r="GJ97" s="1"/>
      <c r="GK97" s="1"/>
      <c r="GL97" s="1"/>
      <c r="GM97" s="1"/>
      <c r="GN97" s="1"/>
      <c r="GO97" s="1"/>
      <c r="GP97" s="1"/>
      <c r="GQ97" s="1"/>
      <c r="GR97" s="1"/>
      <c r="GS97" s="1"/>
      <c r="GT97" s="1"/>
      <c r="GU97" s="1"/>
      <c r="GV97" s="1"/>
      <c r="GW97" s="1"/>
      <c r="GX97" s="1"/>
      <c r="GY97" s="1"/>
      <c r="GZ97" s="1"/>
      <c r="HA97" s="1"/>
      <c r="HB97" s="1"/>
      <c r="HC97" s="1"/>
      <c r="HD97" s="1"/>
      <c r="HE97" s="1"/>
      <c r="HF97" s="1"/>
      <c r="HG97" s="1"/>
      <c r="HH97" s="1"/>
      <c r="HI97" s="1"/>
      <c r="HJ97" s="1"/>
      <c r="HK97" s="1"/>
      <c r="HL97" s="1"/>
    </row>
    <row r="98" spans="1:220" s="351" customFormat="1" ht="17.100000000000001" customHeight="1" x14ac:dyDescent="0.25">
      <c r="A98"/>
      <c r="B98" s="325"/>
      <c r="C98" s="329"/>
      <c r="D98" s="326"/>
      <c r="E98" s="330"/>
      <c r="F98" s="331"/>
      <c r="G98" s="223"/>
      <c r="H98" s="332"/>
      <c r="I98" s="109"/>
      <c r="J98" s="227"/>
      <c r="K98" s="156"/>
      <c r="L98" s="333"/>
      <c r="M98" s="343"/>
      <c r="N98" s="335"/>
      <c r="O98" s="353"/>
      <c r="P98" s="337"/>
      <c r="Q98" s="338"/>
      <c r="R98" s="339"/>
      <c r="S98" s="227"/>
      <c r="T98" s="227"/>
      <c r="U98" s="227"/>
      <c r="V98" s="227"/>
      <c r="W98" s="227"/>
      <c r="X98" s="227"/>
      <c r="Y98" s="340"/>
      <c r="Z98" s="341"/>
      <c r="AA98" s="348"/>
      <c r="AB98" s="342"/>
      <c r="AC98" s="338"/>
      <c r="AD98" s="277"/>
      <c r="AE98" s="349"/>
      <c r="AF98" s="350"/>
      <c r="AI98" s="352"/>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1"/>
      <c r="FP98" s="1"/>
      <c r="FQ98" s="1"/>
      <c r="FR98" s="1"/>
      <c r="FS98" s="1"/>
      <c r="FT98" s="1"/>
      <c r="FU98" s="1"/>
      <c r="FV98" s="1"/>
      <c r="FW98" s="1"/>
      <c r="FX98" s="1"/>
      <c r="FY98" s="1"/>
      <c r="FZ98" s="1"/>
      <c r="GA98" s="1"/>
      <c r="GB98" s="1"/>
      <c r="GC98" s="1"/>
      <c r="GD98" s="1"/>
      <c r="GE98" s="1"/>
      <c r="GF98" s="1"/>
      <c r="GG98" s="1"/>
      <c r="GH98" s="1"/>
      <c r="GI98" s="1"/>
      <c r="GJ98" s="1"/>
      <c r="GK98" s="1"/>
      <c r="GL98" s="1"/>
      <c r="GM98" s="1"/>
      <c r="GN98" s="1"/>
      <c r="GO98" s="1"/>
      <c r="GP98" s="1"/>
      <c r="GQ98" s="1"/>
      <c r="GR98" s="1"/>
      <c r="GS98" s="1"/>
      <c r="GT98" s="1"/>
      <c r="GU98" s="1"/>
      <c r="GV98" s="1"/>
      <c r="GW98" s="1"/>
      <c r="GX98" s="1"/>
      <c r="GY98" s="1"/>
      <c r="GZ98" s="1"/>
      <c r="HA98" s="1"/>
      <c r="HB98" s="1"/>
      <c r="HC98" s="1"/>
      <c r="HD98" s="1"/>
      <c r="HE98" s="1"/>
      <c r="HF98" s="1"/>
      <c r="HG98" s="1"/>
      <c r="HH98" s="1"/>
      <c r="HI98" s="1"/>
      <c r="HJ98" s="1"/>
      <c r="HK98" s="1"/>
      <c r="HL98" s="1"/>
    </row>
    <row r="99" spans="1:220" s="351" customFormat="1" ht="17.100000000000001" customHeight="1" x14ac:dyDescent="0.25">
      <c r="A99"/>
      <c r="B99" s="325"/>
      <c r="C99" s="329"/>
      <c r="D99" s="326"/>
      <c r="E99" s="330"/>
      <c r="F99" s="331"/>
      <c r="G99" s="223"/>
      <c r="H99" s="332"/>
      <c r="I99" s="109"/>
      <c r="J99" s="227"/>
      <c r="K99" s="156"/>
      <c r="L99" s="333"/>
      <c r="M99" s="343"/>
      <c r="N99" s="335"/>
      <c r="O99" s="336"/>
      <c r="P99" s="337"/>
      <c r="Q99" s="338"/>
      <c r="R99" s="339"/>
      <c r="S99" s="227"/>
      <c r="T99" s="227"/>
      <c r="U99" s="227"/>
      <c r="V99" s="227"/>
      <c r="W99" s="227"/>
      <c r="X99" s="227"/>
      <c r="Y99" s="340"/>
      <c r="Z99" s="341"/>
      <c r="AA99" s="348"/>
      <c r="AB99" s="342"/>
      <c r="AC99" s="338"/>
      <c r="AD99" s="277"/>
      <c r="AE99" s="349"/>
      <c r="AF99" s="350"/>
      <c r="AI99" s="352"/>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EG99" s="1"/>
      <c r="EH99" s="1"/>
      <c r="EI99" s="1"/>
      <c r="EJ99" s="1"/>
      <c r="EK99" s="1"/>
      <c r="EL99" s="1"/>
      <c r="EM99" s="1"/>
      <c r="EN99" s="1"/>
      <c r="EO99" s="1"/>
      <c r="EP99" s="1"/>
      <c r="EQ99" s="1"/>
      <c r="ER99" s="1"/>
      <c r="ES99" s="1"/>
      <c r="ET99" s="1"/>
      <c r="EU99" s="1"/>
      <c r="EV99" s="1"/>
      <c r="EW99" s="1"/>
      <c r="EX99" s="1"/>
      <c r="EY99" s="1"/>
      <c r="EZ99" s="1"/>
      <c r="FA99" s="1"/>
      <c r="FB99" s="1"/>
      <c r="FC99" s="1"/>
      <c r="FD99" s="1"/>
      <c r="FE99" s="1"/>
      <c r="FF99" s="1"/>
      <c r="FG99" s="1"/>
      <c r="FH99" s="1"/>
      <c r="FI99" s="1"/>
      <c r="FJ99" s="1"/>
      <c r="FK99" s="1"/>
      <c r="FL99" s="1"/>
      <c r="FM99" s="1"/>
      <c r="FN99" s="1"/>
      <c r="FO99" s="1"/>
      <c r="FP99" s="1"/>
      <c r="FQ99" s="1"/>
      <c r="FR99" s="1"/>
      <c r="FS99" s="1"/>
      <c r="FT99" s="1"/>
      <c r="FU99" s="1"/>
      <c r="FV99" s="1"/>
      <c r="FW99" s="1"/>
      <c r="FX99" s="1"/>
      <c r="FY99" s="1"/>
      <c r="FZ99" s="1"/>
      <c r="GA99" s="1"/>
      <c r="GB99" s="1"/>
      <c r="GC99" s="1"/>
      <c r="GD99" s="1"/>
      <c r="GE99" s="1"/>
      <c r="GF99" s="1"/>
      <c r="GG99" s="1"/>
      <c r="GH99" s="1"/>
      <c r="GI99" s="1"/>
      <c r="GJ99" s="1"/>
      <c r="GK99" s="1"/>
      <c r="GL99" s="1"/>
      <c r="GM99" s="1"/>
      <c r="GN99" s="1"/>
      <c r="GO99" s="1"/>
      <c r="GP99" s="1"/>
      <c r="GQ99" s="1"/>
      <c r="GR99" s="1"/>
      <c r="GS99" s="1"/>
      <c r="GT99" s="1"/>
      <c r="GU99" s="1"/>
      <c r="GV99" s="1"/>
      <c r="GW99" s="1"/>
      <c r="GX99" s="1"/>
      <c r="GY99" s="1"/>
      <c r="GZ99" s="1"/>
      <c r="HA99" s="1"/>
      <c r="HB99" s="1"/>
      <c r="HC99" s="1"/>
      <c r="HD99" s="1"/>
      <c r="HE99" s="1"/>
      <c r="HF99" s="1"/>
      <c r="HG99" s="1"/>
      <c r="HH99" s="1"/>
      <c r="HI99" s="1"/>
      <c r="HJ99" s="1"/>
      <c r="HK99" s="1"/>
      <c r="HL99" s="1"/>
    </row>
    <row r="100" spans="1:220" s="349" customFormat="1" ht="17.100000000000001" customHeight="1" x14ac:dyDescent="0.25">
      <c r="A100"/>
      <c r="B100" s="325"/>
      <c r="C100" s="329"/>
      <c r="D100" s="326"/>
      <c r="E100" s="330"/>
      <c r="F100" s="331"/>
      <c r="G100" s="223"/>
      <c r="H100" s="332"/>
      <c r="I100" s="109"/>
      <c r="J100" s="227"/>
      <c r="K100" s="156"/>
      <c r="L100" s="333"/>
      <c r="M100" s="343"/>
      <c r="N100" s="335"/>
      <c r="O100" s="336"/>
      <c r="P100" s="337"/>
      <c r="Q100" s="338"/>
      <c r="R100" s="339"/>
      <c r="S100" s="227"/>
      <c r="T100" s="227"/>
      <c r="U100" s="227"/>
      <c r="V100" s="227"/>
      <c r="W100" s="227"/>
      <c r="X100" s="227"/>
      <c r="Y100" s="340"/>
      <c r="Z100" s="341"/>
      <c r="AA100" s="348"/>
      <c r="AB100" s="342"/>
      <c r="AC100" s="338"/>
      <c r="AD100" s="277"/>
      <c r="AF100" s="350"/>
      <c r="AG100" s="351"/>
      <c r="AH100" s="351"/>
      <c r="AI100" s="352"/>
      <c r="AJ100" s="35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c r="EG100" s="1"/>
      <c r="EH100" s="1"/>
      <c r="EI100" s="1"/>
      <c r="EJ100" s="1"/>
      <c r="EK100" s="1"/>
      <c r="EL100" s="1"/>
      <c r="EM100" s="1"/>
      <c r="EN100" s="1"/>
      <c r="EO100" s="1"/>
      <c r="EP100" s="1"/>
      <c r="EQ100" s="1"/>
      <c r="ER100" s="1"/>
      <c r="ES100" s="1"/>
      <c r="ET100" s="1"/>
      <c r="EU100" s="1"/>
      <c r="EV100" s="1"/>
      <c r="EW100" s="1"/>
      <c r="EX100" s="1"/>
      <c r="EY100" s="1"/>
      <c r="EZ100" s="1"/>
      <c r="FA100" s="1"/>
      <c r="FB100" s="1"/>
      <c r="FC100" s="1"/>
      <c r="FD100" s="1"/>
      <c r="FE100" s="1"/>
      <c r="FF100" s="1"/>
      <c r="FG100" s="1"/>
      <c r="FH100" s="1"/>
      <c r="FI100" s="1"/>
      <c r="FJ100" s="1"/>
      <c r="FK100" s="1"/>
      <c r="FL100" s="1"/>
      <c r="FM100" s="1"/>
      <c r="FN100" s="1"/>
      <c r="FO100" s="1"/>
      <c r="FP100" s="1"/>
      <c r="FQ100" s="1"/>
      <c r="FR100" s="1"/>
      <c r="FS100" s="1"/>
      <c r="FT100" s="1"/>
      <c r="FU100" s="1"/>
      <c r="FV100" s="1"/>
      <c r="FW100" s="1"/>
      <c r="FX100" s="1"/>
      <c r="FY100" s="1"/>
      <c r="FZ100" s="1"/>
      <c r="GA100" s="1"/>
      <c r="GB100" s="1"/>
      <c r="GC100" s="1"/>
      <c r="GD100" s="1"/>
      <c r="GE100" s="1"/>
      <c r="GF100" s="1"/>
      <c r="GG100" s="1"/>
      <c r="GH100" s="1"/>
      <c r="GI100" s="1"/>
      <c r="GJ100" s="1"/>
      <c r="GK100" s="1"/>
      <c r="GL100" s="1"/>
      <c r="GM100" s="1"/>
      <c r="GN100" s="1"/>
      <c r="GO100" s="1"/>
      <c r="GP100" s="1"/>
      <c r="GQ100" s="1"/>
      <c r="GR100" s="1"/>
      <c r="GS100" s="1"/>
      <c r="GT100" s="1"/>
      <c r="GU100" s="1"/>
      <c r="GV100" s="1"/>
      <c r="GW100" s="1"/>
      <c r="GX100" s="1"/>
      <c r="GY100" s="1"/>
      <c r="GZ100" s="1"/>
      <c r="HA100" s="1"/>
      <c r="HB100" s="1"/>
      <c r="HC100" s="1"/>
      <c r="HD100" s="1"/>
      <c r="HE100" s="1"/>
      <c r="HF100" s="1"/>
      <c r="HG100" s="1"/>
      <c r="HH100" s="1"/>
      <c r="HI100" s="1"/>
      <c r="HJ100" s="1"/>
      <c r="HK100" s="1"/>
      <c r="HL100" s="1"/>
    </row>
    <row r="101" spans="1:220" s="349" customFormat="1" ht="17.100000000000001" customHeight="1" x14ac:dyDescent="0.25">
      <c r="A101"/>
      <c r="B101" s="325"/>
      <c r="C101" s="329"/>
      <c r="D101" s="326"/>
      <c r="E101" s="330"/>
      <c r="F101" s="331"/>
      <c r="G101" s="223"/>
      <c r="H101" s="332"/>
      <c r="I101" s="109"/>
      <c r="J101" s="227"/>
      <c r="K101" s="156"/>
      <c r="L101" s="333"/>
      <c r="M101" s="343"/>
      <c r="N101" s="335"/>
      <c r="O101" s="336"/>
      <c r="P101" s="337"/>
      <c r="Q101" s="338"/>
      <c r="R101" s="339"/>
      <c r="S101" s="227"/>
      <c r="T101" s="227"/>
      <c r="U101" s="227"/>
      <c r="V101" s="227"/>
      <c r="W101" s="227"/>
      <c r="X101" s="227"/>
      <c r="Y101" s="340"/>
      <c r="Z101" s="341"/>
      <c r="AA101" s="348"/>
      <c r="AB101" s="342"/>
      <c r="AC101" s="338"/>
      <c r="AD101" s="277"/>
      <c r="AF101" s="350"/>
      <c r="AG101" s="351"/>
      <c r="AH101" s="351"/>
      <c r="AI101" s="352"/>
      <c r="AJ101" s="35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c r="EG101" s="1"/>
      <c r="EH101" s="1"/>
      <c r="EI101" s="1"/>
      <c r="EJ101" s="1"/>
      <c r="EK101" s="1"/>
      <c r="EL101" s="1"/>
      <c r="EM101" s="1"/>
      <c r="EN101" s="1"/>
      <c r="EO101" s="1"/>
      <c r="EP101" s="1"/>
      <c r="EQ101" s="1"/>
      <c r="ER101" s="1"/>
      <c r="ES101" s="1"/>
      <c r="ET101" s="1"/>
      <c r="EU101" s="1"/>
      <c r="EV101" s="1"/>
      <c r="EW101" s="1"/>
      <c r="EX101" s="1"/>
      <c r="EY101" s="1"/>
      <c r="EZ101" s="1"/>
      <c r="FA101" s="1"/>
      <c r="FB101" s="1"/>
      <c r="FC101" s="1"/>
      <c r="FD101" s="1"/>
      <c r="FE101" s="1"/>
      <c r="FF101" s="1"/>
      <c r="FG101" s="1"/>
      <c r="FH101" s="1"/>
      <c r="FI101" s="1"/>
      <c r="FJ101" s="1"/>
      <c r="FK101" s="1"/>
      <c r="FL101" s="1"/>
      <c r="FM101" s="1"/>
      <c r="FN101" s="1"/>
      <c r="FO101" s="1"/>
      <c r="FP101" s="1"/>
      <c r="FQ101" s="1"/>
      <c r="FR101" s="1"/>
      <c r="FS101" s="1"/>
      <c r="FT101" s="1"/>
      <c r="FU101" s="1"/>
      <c r="FV101" s="1"/>
      <c r="FW101" s="1"/>
      <c r="FX101" s="1"/>
      <c r="FY101" s="1"/>
      <c r="FZ101" s="1"/>
      <c r="GA101" s="1"/>
      <c r="GB101" s="1"/>
      <c r="GC101" s="1"/>
      <c r="GD101" s="1"/>
      <c r="GE101" s="1"/>
      <c r="GF101" s="1"/>
      <c r="GG101" s="1"/>
      <c r="GH101" s="1"/>
      <c r="GI101" s="1"/>
      <c r="GJ101" s="1"/>
      <c r="GK101" s="1"/>
      <c r="GL101" s="1"/>
      <c r="GM101" s="1"/>
      <c r="GN101" s="1"/>
      <c r="GO101" s="1"/>
      <c r="GP101" s="1"/>
      <c r="GQ101" s="1"/>
      <c r="GR101" s="1"/>
      <c r="GS101" s="1"/>
      <c r="GT101" s="1"/>
      <c r="GU101" s="1"/>
      <c r="GV101" s="1"/>
      <c r="GW101" s="1"/>
      <c r="GX101" s="1"/>
      <c r="GY101" s="1"/>
      <c r="GZ101" s="1"/>
      <c r="HA101" s="1"/>
      <c r="HB101" s="1"/>
      <c r="HC101" s="1"/>
      <c r="HD101" s="1"/>
      <c r="HE101" s="1"/>
      <c r="HF101" s="1"/>
      <c r="HG101" s="1"/>
      <c r="HH101" s="1"/>
      <c r="HI101" s="1"/>
      <c r="HJ101" s="1"/>
      <c r="HK101" s="1"/>
      <c r="HL101" s="1"/>
    </row>
    <row r="102" spans="1:220" s="349" customFormat="1" ht="17.100000000000001" customHeight="1" x14ac:dyDescent="0.25">
      <c r="A102"/>
      <c r="B102" s="325"/>
      <c r="C102" s="329"/>
      <c r="D102" s="326"/>
      <c r="E102" s="330"/>
      <c r="F102" s="331"/>
      <c r="G102" s="223"/>
      <c r="H102" s="332"/>
      <c r="I102" s="109"/>
      <c r="J102" s="227"/>
      <c r="K102" s="156"/>
      <c r="L102" s="333"/>
      <c r="M102" s="343"/>
      <c r="N102" s="335"/>
      <c r="O102" s="336"/>
      <c r="P102" s="337"/>
      <c r="Q102" s="338"/>
      <c r="R102" s="339"/>
      <c r="S102" s="227"/>
      <c r="T102" s="227"/>
      <c r="U102" s="227"/>
      <c r="V102" s="227"/>
      <c r="W102" s="227"/>
      <c r="X102" s="227"/>
      <c r="Y102" s="340"/>
      <c r="Z102" s="341"/>
      <c r="AA102" s="348"/>
      <c r="AB102" s="342"/>
      <c r="AC102" s="338"/>
      <c r="AD102" s="277"/>
      <c r="AF102" s="350"/>
      <c r="AG102" s="351"/>
      <c r="AH102" s="351"/>
      <c r="AI102" s="352"/>
      <c r="AJ102" s="35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c r="EG102" s="1"/>
      <c r="EH102" s="1"/>
      <c r="EI102" s="1"/>
      <c r="EJ102" s="1"/>
      <c r="EK102" s="1"/>
      <c r="EL102" s="1"/>
      <c r="EM102" s="1"/>
      <c r="EN102" s="1"/>
      <c r="EO102" s="1"/>
      <c r="EP102" s="1"/>
      <c r="EQ102" s="1"/>
      <c r="ER102" s="1"/>
      <c r="ES102" s="1"/>
      <c r="ET102" s="1"/>
      <c r="EU102" s="1"/>
      <c r="EV102" s="1"/>
      <c r="EW102" s="1"/>
      <c r="EX102" s="1"/>
      <c r="EY102" s="1"/>
      <c r="EZ102" s="1"/>
      <c r="FA102" s="1"/>
      <c r="FB102" s="1"/>
      <c r="FC102" s="1"/>
      <c r="FD102" s="1"/>
      <c r="FE102" s="1"/>
      <c r="FF102" s="1"/>
      <c r="FG102" s="1"/>
      <c r="FH102" s="1"/>
      <c r="FI102" s="1"/>
      <c r="FJ102" s="1"/>
      <c r="FK102" s="1"/>
      <c r="FL102" s="1"/>
      <c r="FM102" s="1"/>
      <c r="FN102" s="1"/>
      <c r="FO102" s="1"/>
      <c r="FP102" s="1"/>
      <c r="FQ102" s="1"/>
      <c r="FR102" s="1"/>
      <c r="FS102" s="1"/>
      <c r="FT102" s="1"/>
      <c r="FU102" s="1"/>
      <c r="FV102" s="1"/>
      <c r="FW102" s="1"/>
      <c r="FX102" s="1"/>
      <c r="FY102" s="1"/>
      <c r="FZ102" s="1"/>
      <c r="GA102" s="1"/>
      <c r="GB102" s="1"/>
      <c r="GC102" s="1"/>
      <c r="GD102" s="1"/>
      <c r="GE102" s="1"/>
      <c r="GF102" s="1"/>
      <c r="GG102" s="1"/>
      <c r="GH102" s="1"/>
      <c r="GI102" s="1"/>
      <c r="GJ102" s="1"/>
      <c r="GK102" s="1"/>
      <c r="GL102" s="1"/>
      <c r="GM102" s="1"/>
      <c r="GN102" s="1"/>
      <c r="GO102" s="1"/>
      <c r="GP102" s="1"/>
      <c r="GQ102" s="1"/>
      <c r="GR102" s="1"/>
      <c r="GS102" s="1"/>
      <c r="GT102" s="1"/>
      <c r="GU102" s="1"/>
      <c r="GV102" s="1"/>
      <c r="GW102" s="1"/>
      <c r="GX102" s="1"/>
      <c r="GY102" s="1"/>
      <c r="GZ102" s="1"/>
      <c r="HA102" s="1"/>
      <c r="HB102" s="1"/>
      <c r="HC102" s="1"/>
      <c r="HD102" s="1"/>
      <c r="HE102" s="1"/>
      <c r="HF102" s="1"/>
      <c r="HG102" s="1"/>
      <c r="HH102" s="1"/>
      <c r="HI102" s="1"/>
      <c r="HJ102" s="1"/>
      <c r="HK102" s="1"/>
      <c r="HL102" s="1"/>
    </row>
    <row r="103" spans="1:220" s="349" customFormat="1" ht="17.100000000000001" customHeight="1" x14ac:dyDescent="0.25">
      <c r="A103"/>
      <c r="B103" s="325"/>
      <c r="C103" s="329"/>
      <c r="D103" s="326"/>
      <c r="E103" s="330"/>
      <c r="F103" s="331"/>
      <c r="G103" s="223"/>
      <c r="H103" s="332"/>
      <c r="I103" s="109"/>
      <c r="J103" s="227"/>
      <c r="K103" s="156"/>
      <c r="L103" s="333"/>
      <c r="M103" s="343"/>
      <c r="N103" s="335"/>
      <c r="O103" s="336"/>
      <c r="P103" s="337"/>
      <c r="Q103" s="338"/>
      <c r="R103" s="339"/>
      <c r="S103" s="227"/>
      <c r="T103" s="227"/>
      <c r="U103" s="227"/>
      <c r="V103" s="227"/>
      <c r="W103" s="227"/>
      <c r="X103" s="227"/>
      <c r="Y103" s="340"/>
      <c r="Z103" s="341"/>
      <c r="AA103" s="348"/>
      <c r="AB103" s="342"/>
      <c r="AC103" s="338"/>
      <c r="AD103" s="277"/>
      <c r="AF103" s="350"/>
      <c r="AG103" s="351"/>
      <c r="AH103" s="351"/>
      <c r="AI103" s="352"/>
      <c r="AJ103" s="35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c r="EG103" s="1"/>
      <c r="EH103" s="1"/>
      <c r="EI103" s="1"/>
      <c r="EJ103" s="1"/>
      <c r="EK103" s="1"/>
      <c r="EL103" s="1"/>
      <c r="EM103" s="1"/>
      <c r="EN103" s="1"/>
      <c r="EO103" s="1"/>
      <c r="EP103" s="1"/>
      <c r="EQ103" s="1"/>
      <c r="ER103" s="1"/>
      <c r="ES103" s="1"/>
      <c r="ET103" s="1"/>
      <c r="EU103" s="1"/>
      <c r="EV103" s="1"/>
      <c r="EW103" s="1"/>
      <c r="EX103" s="1"/>
      <c r="EY103" s="1"/>
      <c r="EZ103" s="1"/>
      <c r="FA103" s="1"/>
      <c r="FB103" s="1"/>
      <c r="FC103" s="1"/>
      <c r="FD103" s="1"/>
      <c r="FE103" s="1"/>
      <c r="FF103" s="1"/>
      <c r="FG103" s="1"/>
      <c r="FH103" s="1"/>
      <c r="FI103" s="1"/>
      <c r="FJ103" s="1"/>
      <c r="FK103" s="1"/>
      <c r="FL103" s="1"/>
      <c r="FM103" s="1"/>
      <c r="FN103" s="1"/>
      <c r="FO103" s="1"/>
      <c r="FP103" s="1"/>
      <c r="FQ103" s="1"/>
      <c r="FR103" s="1"/>
      <c r="FS103" s="1"/>
      <c r="FT103" s="1"/>
      <c r="FU103" s="1"/>
      <c r="FV103" s="1"/>
      <c r="FW103" s="1"/>
      <c r="FX103" s="1"/>
      <c r="FY103" s="1"/>
      <c r="FZ103" s="1"/>
      <c r="GA103" s="1"/>
      <c r="GB103" s="1"/>
      <c r="GC103" s="1"/>
      <c r="GD103" s="1"/>
      <c r="GE103" s="1"/>
      <c r="GF103" s="1"/>
      <c r="GG103" s="1"/>
      <c r="GH103" s="1"/>
      <c r="GI103" s="1"/>
      <c r="GJ103" s="1"/>
      <c r="GK103" s="1"/>
      <c r="GL103" s="1"/>
      <c r="GM103" s="1"/>
      <c r="GN103" s="1"/>
      <c r="GO103" s="1"/>
      <c r="GP103" s="1"/>
      <c r="GQ103" s="1"/>
      <c r="GR103" s="1"/>
      <c r="GS103" s="1"/>
      <c r="GT103" s="1"/>
      <c r="GU103" s="1"/>
      <c r="GV103" s="1"/>
      <c r="GW103" s="1"/>
      <c r="GX103" s="1"/>
      <c r="GY103" s="1"/>
      <c r="GZ103" s="1"/>
      <c r="HA103" s="1"/>
      <c r="HB103" s="1"/>
      <c r="HC103" s="1"/>
      <c r="HD103" s="1"/>
      <c r="HE103" s="1"/>
      <c r="HF103" s="1"/>
      <c r="HG103" s="1"/>
      <c r="HH103" s="1"/>
      <c r="HI103" s="1"/>
      <c r="HJ103" s="1"/>
      <c r="HK103" s="1"/>
      <c r="HL103" s="1"/>
    </row>
    <row r="104" spans="1:220" s="349" customFormat="1" ht="17.100000000000001" customHeight="1" x14ac:dyDescent="0.25">
      <c r="A104"/>
      <c r="B104" s="325"/>
      <c r="C104" s="329"/>
      <c r="D104" s="326"/>
      <c r="E104" s="330"/>
      <c r="F104" s="331"/>
      <c r="G104" s="223"/>
      <c r="H104" s="332"/>
      <c r="I104" s="109"/>
      <c r="J104" s="227"/>
      <c r="K104" s="156"/>
      <c r="L104" s="333"/>
      <c r="M104" s="343"/>
      <c r="N104" s="335"/>
      <c r="O104" s="336"/>
      <c r="P104" s="337"/>
      <c r="Q104" s="338"/>
      <c r="R104" s="339"/>
      <c r="S104" s="227"/>
      <c r="T104" s="227"/>
      <c r="U104" s="227"/>
      <c r="V104" s="227"/>
      <c r="W104" s="227"/>
      <c r="X104" s="227"/>
      <c r="Y104" s="340"/>
      <c r="Z104" s="341"/>
      <c r="AA104" s="348"/>
      <c r="AB104" s="342"/>
      <c r="AC104" s="338"/>
      <c r="AD104" s="277"/>
      <c r="AF104" s="350"/>
      <c r="AG104" s="351"/>
      <c r="AH104" s="351"/>
      <c r="AI104" s="352"/>
      <c r="AJ104" s="35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c r="EG104" s="1"/>
      <c r="EH104" s="1"/>
      <c r="EI104" s="1"/>
      <c r="EJ104" s="1"/>
      <c r="EK104" s="1"/>
      <c r="EL104" s="1"/>
      <c r="EM104" s="1"/>
      <c r="EN104" s="1"/>
      <c r="EO104" s="1"/>
      <c r="EP104" s="1"/>
      <c r="EQ104" s="1"/>
      <c r="ER104" s="1"/>
      <c r="ES104" s="1"/>
      <c r="ET104" s="1"/>
      <c r="EU104" s="1"/>
      <c r="EV104" s="1"/>
      <c r="EW104" s="1"/>
      <c r="EX104" s="1"/>
      <c r="EY104" s="1"/>
      <c r="EZ104" s="1"/>
      <c r="FA104" s="1"/>
      <c r="FB104" s="1"/>
      <c r="FC104" s="1"/>
      <c r="FD104" s="1"/>
      <c r="FE104" s="1"/>
      <c r="FF104" s="1"/>
      <c r="FG104" s="1"/>
      <c r="FH104" s="1"/>
      <c r="FI104" s="1"/>
      <c r="FJ104" s="1"/>
      <c r="FK104" s="1"/>
      <c r="FL104" s="1"/>
      <c r="FM104" s="1"/>
      <c r="FN104" s="1"/>
      <c r="FO104" s="1"/>
      <c r="FP104" s="1"/>
      <c r="FQ104" s="1"/>
      <c r="FR104" s="1"/>
      <c r="FS104" s="1"/>
      <c r="FT104" s="1"/>
      <c r="FU104" s="1"/>
      <c r="FV104" s="1"/>
      <c r="FW104" s="1"/>
      <c r="FX104" s="1"/>
      <c r="FY104" s="1"/>
      <c r="FZ104" s="1"/>
      <c r="GA104" s="1"/>
      <c r="GB104" s="1"/>
      <c r="GC104" s="1"/>
      <c r="GD104" s="1"/>
      <c r="GE104" s="1"/>
      <c r="GF104" s="1"/>
      <c r="GG104" s="1"/>
      <c r="GH104" s="1"/>
      <c r="GI104" s="1"/>
      <c r="GJ104" s="1"/>
      <c r="GK104" s="1"/>
      <c r="GL104" s="1"/>
      <c r="GM104" s="1"/>
      <c r="GN104" s="1"/>
      <c r="GO104" s="1"/>
      <c r="GP104" s="1"/>
      <c r="GQ104" s="1"/>
      <c r="GR104" s="1"/>
      <c r="GS104" s="1"/>
      <c r="GT104" s="1"/>
      <c r="GU104" s="1"/>
      <c r="GV104" s="1"/>
      <c r="GW104" s="1"/>
      <c r="GX104" s="1"/>
      <c r="GY104" s="1"/>
      <c r="GZ104" s="1"/>
      <c r="HA104" s="1"/>
      <c r="HB104" s="1"/>
      <c r="HC104" s="1"/>
      <c r="HD104" s="1"/>
      <c r="HE104" s="1"/>
      <c r="HF104" s="1"/>
      <c r="HG104" s="1"/>
      <c r="HH104" s="1"/>
      <c r="HI104" s="1"/>
      <c r="HJ104" s="1"/>
      <c r="HK104" s="1"/>
      <c r="HL104" s="1"/>
    </row>
    <row r="105" spans="1:220" s="349" customFormat="1" ht="17.100000000000001" customHeight="1" x14ac:dyDescent="0.25">
      <c r="A105"/>
      <c r="B105" s="325"/>
      <c r="C105" s="329"/>
      <c r="D105" s="326"/>
      <c r="E105" s="330"/>
      <c r="F105" s="331"/>
      <c r="G105" s="223"/>
      <c r="H105" s="332"/>
      <c r="I105" s="109"/>
      <c r="J105" s="227"/>
      <c r="K105" s="156"/>
      <c r="L105" s="333"/>
      <c r="M105" s="343"/>
      <c r="N105" s="335"/>
      <c r="O105" s="336"/>
      <c r="P105" s="337"/>
      <c r="Q105" s="338"/>
      <c r="R105" s="339"/>
      <c r="S105" s="227"/>
      <c r="T105" s="227"/>
      <c r="U105" s="227"/>
      <c r="V105" s="227"/>
      <c r="W105" s="227"/>
      <c r="X105" s="227"/>
      <c r="Y105" s="340"/>
      <c r="Z105" s="341"/>
      <c r="AA105" s="348"/>
      <c r="AB105" s="342"/>
      <c r="AC105" s="338"/>
      <c r="AD105" s="277"/>
      <c r="AF105" s="350"/>
      <c r="AG105" s="351"/>
      <c r="AH105" s="351"/>
      <c r="AI105" s="352"/>
      <c r="AJ105" s="35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c r="EG105" s="1"/>
      <c r="EH105" s="1"/>
      <c r="EI105" s="1"/>
      <c r="EJ105" s="1"/>
      <c r="EK105" s="1"/>
      <c r="EL105" s="1"/>
      <c r="EM105" s="1"/>
      <c r="EN105" s="1"/>
      <c r="EO105" s="1"/>
      <c r="EP105" s="1"/>
      <c r="EQ105" s="1"/>
      <c r="ER105" s="1"/>
      <c r="ES105" s="1"/>
      <c r="ET105" s="1"/>
      <c r="EU105" s="1"/>
      <c r="EV105" s="1"/>
      <c r="EW105" s="1"/>
      <c r="EX105" s="1"/>
      <c r="EY105" s="1"/>
      <c r="EZ105" s="1"/>
      <c r="FA105" s="1"/>
      <c r="FB105" s="1"/>
      <c r="FC105" s="1"/>
      <c r="FD105" s="1"/>
      <c r="FE105" s="1"/>
      <c r="FF105" s="1"/>
      <c r="FG105" s="1"/>
      <c r="FH105" s="1"/>
      <c r="FI105" s="1"/>
      <c r="FJ105" s="1"/>
      <c r="FK105" s="1"/>
      <c r="FL105" s="1"/>
      <c r="FM105" s="1"/>
      <c r="FN105" s="1"/>
      <c r="FO105" s="1"/>
      <c r="FP105" s="1"/>
      <c r="FQ105" s="1"/>
      <c r="FR105" s="1"/>
      <c r="FS105" s="1"/>
      <c r="FT105" s="1"/>
      <c r="FU105" s="1"/>
      <c r="FV105" s="1"/>
      <c r="FW105" s="1"/>
      <c r="FX105" s="1"/>
      <c r="FY105" s="1"/>
      <c r="FZ105" s="1"/>
      <c r="GA105" s="1"/>
      <c r="GB105" s="1"/>
      <c r="GC105" s="1"/>
      <c r="GD105" s="1"/>
      <c r="GE105" s="1"/>
      <c r="GF105" s="1"/>
      <c r="GG105" s="1"/>
      <c r="GH105" s="1"/>
      <c r="GI105" s="1"/>
      <c r="GJ105" s="1"/>
      <c r="GK105" s="1"/>
      <c r="GL105" s="1"/>
      <c r="GM105" s="1"/>
      <c r="GN105" s="1"/>
      <c r="GO105" s="1"/>
      <c r="GP105" s="1"/>
      <c r="GQ105" s="1"/>
      <c r="GR105" s="1"/>
      <c r="GS105" s="1"/>
      <c r="GT105" s="1"/>
      <c r="GU105" s="1"/>
      <c r="GV105" s="1"/>
      <c r="GW105" s="1"/>
      <c r="GX105" s="1"/>
      <c r="GY105" s="1"/>
      <c r="GZ105" s="1"/>
      <c r="HA105" s="1"/>
      <c r="HB105" s="1"/>
      <c r="HC105" s="1"/>
      <c r="HD105" s="1"/>
      <c r="HE105" s="1"/>
      <c r="HF105" s="1"/>
      <c r="HG105" s="1"/>
      <c r="HH105" s="1"/>
      <c r="HI105" s="1"/>
      <c r="HJ105" s="1"/>
      <c r="HK105" s="1"/>
      <c r="HL105" s="1"/>
    </row>
    <row r="106" spans="1:220" s="349" customFormat="1" ht="17.100000000000001" customHeight="1" x14ac:dyDescent="0.25">
      <c r="A106"/>
      <c r="B106" s="325"/>
      <c r="C106" s="329"/>
      <c r="D106" s="326"/>
      <c r="E106" s="330"/>
      <c r="F106" s="331"/>
      <c r="G106" s="223"/>
      <c r="H106" s="332"/>
      <c r="I106" s="109"/>
      <c r="J106" s="227"/>
      <c r="K106" s="156"/>
      <c r="L106" s="333"/>
      <c r="M106" s="343"/>
      <c r="N106" s="335"/>
      <c r="O106" s="336"/>
      <c r="P106" s="337"/>
      <c r="Q106" s="338"/>
      <c r="R106" s="339"/>
      <c r="S106" s="227"/>
      <c r="T106" s="227"/>
      <c r="U106" s="227"/>
      <c r="V106" s="227"/>
      <c r="W106" s="227"/>
      <c r="X106" s="227"/>
      <c r="Y106" s="340"/>
      <c r="Z106" s="341"/>
      <c r="AA106" s="348"/>
      <c r="AB106" s="342"/>
      <c r="AC106" s="338"/>
      <c r="AD106" s="277"/>
      <c r="AF106" s="350"/>
      <c r="AG106" s="351"/>
      <c r="AH106" s="351"/>
      <c r="AI106" s="352"/>
      <c r="AJ106" s="35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c r="EG106" s="1"/>
      <c r="EH106" s="1"/>
      <c r="EI106" s="1"/>
      <c r="EJ106" s="1"/>
      <c r="EK106" s="1"/>
      <c r="EL106" s="1"/>
      <c r="EM106" s="1"/>
      <c r="EN106" s="1"/>
      <c r="EO106" s="1"/>
      <c r="EP106" s="1"/>
      <c r="EQ106" s="1"/>
      <c r="ER106" s="1"/>
      <c r="ES106" s="1"/>
      <c r="ET106" s="1"/>
      <c r="EU106" s="1"/>
      <c r="EV106" s="1"/>
      <c r="EW106" s="1"/>
      <c r="EX106" s="1"/>
      <c r="EY106" s="1"/>
      <c r="EZ106" s="1"/>
      <c r="FA106" s="1"/>
      <c r="FB106" s="1"/>
      <c r="FC106" s="1"/>
      <c r="FD106" s="1"/>
      <c r="FE106" s="1"/>
      <c r="FF106" s="1"/>
      <c r="FG106" s="1"/>
      <c r="FH106" s="1"/>
      <c r="FI106" s="1"/>
      <c r="FJ106" s="1"/>
      <c r="FK106" s="1"/>
      <c r="FL106" s="1"/>
      <c r="FM106" s="1"/>
      <c r="FN106" s="1"/>
      <c r="FO106" s="1"/>
      <c r="FP106" s="1"/>
      <c r="FQ106" s="1"/>
      <c r="FR106" s="1"/>
      <c r="FS106" s="1"/>
      <c r="FT106" s="1"/>
      <c r="FU106" s="1"/>
      <c r="FV106" s="1"/>
      <c r="FW106" s="1"/>
      <c r="FX106" s="1"/>
      <c r="FY106" s="1"/>
      <c r="FZ106" s="1"/>
      <c r="GA106" s="1"/>
      <c r="GB106" s="1"/>
      <c r="GC106" s="1"/>
      <c r="GD106" s="1"/>
      <c r="GE106" s="1"/>
      <c r="GF106" s="1"/>
      <c r="GG106" s="1"/>
      <c r="GH106" s="1"/>
      <c r="GI106" s="1"/>
      <c r="GJ106" s="1"/>
      <c r="GK106" s="1"/>
      <c r="GL106" s="1"/>
      <c r="GM106" s="1"/>
      <c r="GN106" s="1"/>
      <c r="GO106" s="1"/>
      <c r="GP106" s="1"/>
      <c r="GQ106" s="1"/>
      <c r="GR106" s="1"/>
      <c r="GS106" s="1"/>
      <c r="GT106" s="1"/>
      <c r="GU106" s="1"/>
      <c r="GV106" s="1"/>
      <c r="GW106" s="1"/>
      <c r="GX106" s="1"/>
      <c r="GY106" s="1"/>
      <c r="GZ106" s="1"/>
      <c r="HA106" s="1"/>
      <c r="HB106" s="1"/>
      <c r="HC106" s="1"/>
      <c r="HD106" s="1"/>
      <c r="HE106" s="1"/>
      <c r="HF106" s="1"/>
      <c r="HG106" s="1"/>
      <c r="HH106" s="1"/>
      <c r="HI106" s="1"/>
      <c r="HJ106" s="1"/>
      <c r="HK106" s="1"/>
      <c r="HL106" s="1"/>
    </row>
    <row r="107" spans="1:220" s="349" customFormat="1" ht="17.100000000000001" customHeight="1" x14ac:dyDescent="0.25">
      <c r="A107"/>
      <c r="B107" s="325"/>
      <c r="C107" s="329"/>
      <c r="D107" s="326"/>
      <c r="E107" s="330"/>
      <c r="F107" s="331"/>
      <c r="G107" s="223"/>
      <c r="H107" s="332"/>
      <c r="I107" s="109"/>
      <c r="J107" s="227"/>
      <c r="K107" s="156"/>
      <c r="L107" s="333"/>
      <c r="M107" s="343"/>
      <c r="N107" s="335"/>
      <c r="O107" s="336"/>
      <c r="P107" s="337"/>
      <c r="Q107" s="338"/>
      <c r="R107" s="339"/>
      <c r="S107" s="227"/>
      <c r="T107" s="227"/>
      <c r="U107" s="227"/>
      <c r="V107" s="227"/>
      <c r="W107" s="227"/>
      <c r="X107" s="227"/>
      <c r="Y107" s="340"/>
      <c r="Z107" s="341"/>
      <c r="AA107" s="348"/>
      <c r="AB107" s="342"/>
      <c r="AC107" s="338"/>
      <c r="AD107" s="277"/>
      <c r="AF107" s="350"/>
      <c r="AG107" s="351"/>
      <c r="AH107" s="351"/>
      <c r="AI107" s="352"/>
      <c r="AJ107" s="35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c r="EG107" s="1"/>
      <c r="EH107" s="1"/>
      <c r="EI107" s="1"/>
      <c r="EJ107" s="1"/>
      <c r="EK107" s="1"/>
      <c r="EL107" s="1"/>
      <c r="EM107" s="1"/>
      <c r="EN107" s="1"/>
      <c r="EO107" s="1"/>
      <c r="EP107" s="1"/>
      <c r="EQ107" s="1"/>
      <c r="ER107" s="1"/>
      <c r="ES107" s="1"/>
      <c r="ET107" s="1"/>
      <c r="EU107" s="1"/>
      <c r="EV107" s="1"/>
      <c r="EW107" s="1"/>
      <c r="EX107" s="1"/>
      <c r="EY107" s="1"/>
      <c r="EZ107" s="1"/>
      <c r="FA107" s="1"/>
      <c r="FB107" s="1"/>
      <c r="FC107" s="1"/>
      <c r="FD107" s="1"/>
      <c r="FE107" s="1"/>
      <c r="FF107" s="1"/>
      <c r="FG107" s="1"/>
      <c r="FH107" s="1"/>
      <c r="FI107" s="1"/>
      <c r="FJ107" s="1"/>
      <c r="FK107" s="1"/>
      <c r="FL107" s="1"/>
      <c r="FM107" s="1"/>
      <c r="FN107" s="1"/>
      <c r="FO107" s="1"/>
      <c r="FP107" s="1"/>
      <c r="FQ107" s="1"/>
      <c r="FR107" s="1"/>
      <c r="FS107" s="1"/>
      <c r="FT107" s="1"/>
      <c r="FU107" s="1"/>
      <c r="FV107" s="1"/>
      <c r="FW107" s="1"/>
      <c r="FX107" s="1"/>
      <c r="FY107" s="1"/>
      <c r="FZ107" s="1"/>
      <c r="GA107" s="1"/>
      <c r="GB107" s="1"/>
      <c r="GC107" s="1"/>
      <c r="GD107" s="1"/>
      <c r="GE107" s="1"/>
      <c r="GF107" s="1"/>
      <c r="GG107" s="1"/>
      <c r="GH107" s="1"/>
      <c r="GI107" s="1"/>
      <c r="GJ107" s="1"/>
      <c r="GK107" s="1"/>
      <c r="GL107" s="1"/>
      <c r="GM107" s="1"/>
      <c r="GN107" s="1"/>
      <c r="GO107" s="1"/>
      <c r="GP107" s="1"/>
      <c r="GQ107" s="1"/>
      <c r="GR107" s="1"/>
      <c r="GS107" s="1"/>
      <c r="GT107" s="1"/>
      <c r="GU107" s="1"/>
      <c r="GV107" s="1"/>
      <c r="GW107" s="1"/>
      <c r="GX107" s="1"/>
      <c r="GY107" s="1"/>
      <c r="GZ107" s="1"/>
      <c r="HA107" s="1"/>
      <c r="HB107" s="1"/>
      <c r="HC107" s="1"/>
      <c r="HD107" s="1"/>
      <c r="HE107" s="1"/>
      <c r="HF107" s="1"/>
      <c r="HG107" s="1"/>
      <c r="HH107" s="1"/>
      <c r="HI107" s="1"/>
      <c r="HJ107" s="1"/>
      <c r="HK107" s="1"/>
      <c r="HL107" s="1"/>
    </row>
    <row r="108" spans="1:220" s="349" customFormat="1" ht="17.100000000000001" customHeight="1" x14ac:dyDescent="0.25">
      <c r="A108"/>
      <c r="B108" s="325"/>
      <c r="C108" s="329"/>
      <c r="D108" s="326"/>
      <c r="E108" s="330"/>
      <c r="F108" s="331"/>
      <c r="G108" s="223"/>
      <c r="H108" s="332"/>
      <c r="I108" s="109"/>
      <c r="J108" s="227"/>
      <c r="K108" s="156"/>
      <c r="L108" s="333"/>
      <c r="M108" s="343"/>
      <c r="N108" s="335"/>
      <c r="O108" s="336"/>
      <c r="P108" s="337"/>
      <c r="Q108" s="338"/>
      <c r="R108" s="339"/>
      <c r="S108" s="227"/>
      <c r="T108" s="227"/>
      <c r="U108" s="227"/>
      <c r="V108" s="227"/>
      <c r="W108" s="227"/>
      <c r="X108" s="227"/>
      <c r="Y108" s="340"/>
      <c r="Z108" s="341"/>
      <c r="AA108" s="348"/>
      <c r="AB108" s="342"/>
      <c r="AC108" s="338"/>
      <c r="AD108" s="277"/>
      <c r="AF108" s="350"/>
      <c r="AG108" s="351"/>
      <c r="AH108" s="351"/>
      <c r="AI108" s="352"/>
      <c r="AJ108" s="35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c r="EG108" s="1"/>
      <c r="EH108" s="1"/>
      <c r="EI108" s="1"/>
      <c r="EJ108" s="1"/>
      <c r="EK108" s="1"/>
      <c r="EL108" s="1"/>
      <c r="EM108" s="1"/>
      <c r="EN108" s="1"/>
      <c r="EO108" s="1"/>
      <c r="EP108" s="1"/>
      <c r="EQ108" s="1"/>
      <c r="ER108" s="1"/>
      <c r="ES108" s="1"/>
      <c r="ET108" s="1"/>
      <c r="EU108" s="1"/>
      <c r="EV108" s="1"/>
      <c r="EW108" s="1"/>
      <c r="EX108" s="1"/>
      <c r="EY108" s="1"/>
      <c r="EZ108" s="1"/>
      <c r="FA108" s="1"/>
      <c r="FB108" s="1"/>
      <c r="FC108" s="1"/>
      <c r="FD108" s="1"/>
      <c r="FE108" s="1"/>
      <c r="FF108" s="1"/>
      <c r="FG108" s="1"/>
      <c r="FH108" s="1"/>
      <c r="FI108" s="1"/>
      <c r="FJ108" s="1"/>
      <c r="FK108" s="1"/>
      <c r="FL108" s="1"/>
      <c r="FM108" s="1"/>
      <c r="FN108" s="1"/>
      <c r="FO108" s="1"/>
      <c r="FP108" s="1"/>
      <c r="FQ108" s="1"/>
      <c r="FR108" s="1"/>
      <c r="FS108" s="1"/>
      <c r="FT108" s="1"/>
      <c r="FU108" s="1"/>
      <c r="FV108" s="1"/>
      <c r="FW108" s="1"/>
      <c r="FX108" s="1"/>
      <c r="FY108" s="1"/>
      <c r="FZ108" s="1"/>
      <c r="GA108" s="1"/>
      <c r="GB108" s="1"/>
      <c r="GC108" s="1"/>
      <c r="GD108" s="1"/>
      <c r="GE108" s="1"/>
      <c r="GF108" s="1"/>
      <c r="GG108" s="1"/>
      <c r="GH108" s="1"/>
      <c r="GI108" s="1"/>
      <c r="GJ108" s="1"/>
      <c r="GK108" s="1"/>
      <c r="GL108" s="1"/>
      <c r="GM108" s="1"/>
      <c r="GN108" s="1"/>
      <c r="GO108" s="1"/>
      <c r="GP108" s="1"/>
      <c r="GQ108" s="1"/>
      <c r="GR108" s="1"/>
      <c r="GS108" s="1"/>
      <c r="GT108" s="1"/>
      <c r="GU108" s="1"/>
      <c r="GV108" s="1"/>
      <c r="GW108" s="1"/>
      <c r="GX108" s="1"/>
      <c r="GY108" s="1"/>
      <c r="GZ108" s="1"/>
      <c r="HA108" s="1"/>
      <c r="HB108" s="1"/>
      <c r="HC108" s="1"/>
      <c r="HD108" s="1"/>
      <c r="HE108" s="1"/>
      <c r="HF108" s="1"/>
      <c r="HG108" s="1"/>
      <c r="HH108" s="1"/>
      <c r="HI108" s="1"/>
      <c r="HJ108" s="1"/>
      <c r="HK108" s="1"/>
      <c r="HL108" s="1"/>
    </row>
    <row r="109" spans="1:220" s="349" customFormat="1" ht="17.100000000000001" customHeight="1" x14ac:dyDescent="0.25">
      <c r="A109"/>
      <c r="B109" s="325"/>
      <c r="C109" s="329"/>
      <c r="D109" s="326"/>
      <c r="E109" s="330"/>
      <c r="F109" s="331"/>
      <c r="G109" s="223"/>
      <c r="H109" s="332"/>
      <c r="I109" s="109"/>
      <c r="J109" s="227"/>
      <c r="K109" s="156"/>
      <c r="L109" s="333"/>
      <c r="M109" s="343"/>
      <c r="N109" s="335"/>
      <c r="O109" s="336"/>
      <c r="P109" s="337"/>
      <c r="Q109" s="338"/>
      <c r="R109" s="339"/>
      <c r="S109" s="227"/>
      <c r="T109" s="227"/>
      <c r="U109" s="227"/>
      <c r="V109" s="227"/>
      <c r="W109" s="227"/>
      <c r="X109" s="227"/>
      <c r="Y109" s="340"/>
      <c r="Z109" s="341"/>
      <c r="AA109" s="348"/>
      <c r="AB109" s="342"/>
      <c r="AC109" s="338"/>
      <c r="AD109" s="277"/>
      <c r="AF109" s="350"/>
      <c r="AG109" s="351"/>
      <c r="AH109" s="351"/>
      <c r="AI109" s="352"/>
      <c r="AJ109" s="35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c r="EG109" s="1"/>
      <c r="EH109" s="1"/>
      <c r="EI109" s="1"/>
      <c r="EJ109" s="1"/>
      <c r="EK109" s="1"/>
      <c r="EL109" s="1"/>
      <c r="EM109" s="1"/>
      <c r="EN109" s="1"/>
      <c r="EO109" s="1"/>
      <c r="EP109" s="1"/>
      <c r="EQ109" s="1"/>
      <c r="ER109" s="1"/>
      <c r="ES109" s="1"/>
      <c r="ET109" s="1"/>
      <c r="EU109" s="1"/>
      <c r="EV109" s="1"/>
      <c r="EW109" s="1"/>
      <c r="EX109" s="1"/>
      <c r="EY109" s="1"/>
      <c r="EZ109" s="1"/>
      <c r="FA109" s="1"/>
      <c r="FB109" s="1"/>
      <c r="FC109" s="1"/>
      <c r="FD109" s="1"/>
      <c r="FE109" s="1"/>
      <c r="FF109" s="1"/>
      <c r="FG109" s="1"/>
      <c r="FH109" s="1"/>
      <c r="FI109" s="1"/>
      <c r="FJ109" s="1"/>
      <c r="FK109" s="1"/>
      <c r="FL109" s="1"/>
      <c r="FM109" s="1"/>
      <c r="FN109" s="1"/>
      <c r="FO109" s="1"/>
      <c r="FP109" s="1"/>
      <c r="FQ109" s="1"/>
      <c r="FR109" s="1"/>
      <c r="FS109" s="1"/>
      <c r="FT109" s="1"/>
      <c r="FU109" s="1"/>
      <c r="FV109" s="1"/>
      <c r="FW109" s="1"/>
      <c r="FX109" s="1"/>
      <c r="FY109" s="1"/>
      <c r="FZ109" s="1"/>
      <c r="GA109" s="1"/>
      <c r="GB109" s="1"/>
      <c r="GC109" s="1"/>
      <c r="GD109" s="1"/>
      <c r="GE109" s="1"/>
      <c r="GF109" s="1"/>
      <c r="GG109" s="1"/>
      <c r="GH109" s="1"/>
      <c r="GI109" s="1"/>
      <c r="GJ109" s="1"/>
      <c r="GK109" s="1"/>
      <c r="GL109" s="1"/>
      <c r="GM109" s="1"/>
      <c r="GN109" s="1"/>
      <c r="GO109" s="1"/>
      <c r="GP109" s="1"/>
      <c r="GQ109" s="1"/>
      <c r="GR109" s="1"/>
      <c r="GS109" s="1"/>
      <c r="GT109" s="1"/>
      <c r="GU109" s="1"/>
      <c r="GV109" s="1"/>
      <c r="GW109" s="1"/>
      <c r="GX109" s="1"/>
      <c r="GY109" s="1"/>
      <c r="GZ109" s="1"/>
      <c r="HA109" s="1"/>
      <c r="HB109" s="1"/>
      <c r="HC109" s="1"/>
      <c r="HD109" s="1"/>
      <c r="HE109" s="1"/>
      <c r="HF109" s="1"/>
      <c r="HG109" s="1"/>
      <c r="HH109" s="1"/>
      <c r="HI109" s="1"/>
      <c r="HJ109" s="1"/>
      <c r="HK109" s="1"/>
      <c r="HL109" s="1"/>
    </row>
    <row r="110" spans="1:220" s="349" customFormat="1" ht="17.100000000000001" customHeight="1" x14ac:dyDescent="0.25">
      <c r="A110"/>
      <c r="B110" s="325"/>
      <c r="C110" s="329"/>
      <c r="D110" s="326"/>
      <c r="E110" s="330"/>
      <c r="F110" s="331"/>
      <c r="G110" s="223"/>
      <c r="H110" s="332"/>
      <c r="I110" s="109"/>
      <c r="J110" s="227"/>
      <c r="K110" s="156"/>
      <c r="L110" s="333"/>
      <c r="M110" s="343"/>
      <c r="N110" s="335"/>
      <c r="O110" s="336"/>
      <c r="P110" s="337"/>
      <c r="Q110" s="338"/>
      <c r="R110" s="339"/>
      <c r="S110" s="227"/>
      <c r="T110" s="227"/>
      <c r="U110" s="227"/>
      <c r="V110" s="227"/>
      <c r="W110" s="227"/>
      <c r="X110" s="227"/>
      <c r="Y110" s="340"/>
      <c r="Z110" s="341"/>
      <c r="AA110" s="348"/>
      <c r="AB110" s="342"/>
      <c r="AC110" s="338"/>
      <c r="AD110" s="277"/>
      <c r="AF110" s="350"/>
      <c r="AG110" s="351"/>
      <c r="AH110" s="351"/>
      <c r="AI110" s="352"/>
      <c r="AJ110" s="35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c r="EG110" s="1"/>
      <c r="EH110" s="1"/>
      <c r="EI110" s="1"/>
      <c r="EJ110" s="1"/>
      <c r="EK110" s="1"/>
      <c r="EL110" s="1"/>
      <c r="EM110" s="1"/>
      <c r="EN110" s="1"/>
      <c r="EO110" s="1"/>
      <c r="EP110" s="1"/>
      <c r="EQ110" s="1"/>
      <c r="ER110" s="1"/>
      <c r="ES110" s="1"/>
      <c r="ET110" s="1"/>
      <c r="EU110" s="1"/>
      <c r="EV110" s="1"/>
      <c r="EW110" s="1"/>
      <c r="EX110" s="1"/>
      <c r="EY110" s="1"/>
      <c r="EZ110" s="1"/>
      <c r="FA110" s="1"/>
      <c r="FB110" s="1"/>
      <c r="FC110" s="1"/>
      <c r="FD110" s="1"/>
      <c r="FE110" s="1"/>
      <c r="FF110" s="1"/>
      <c r="FG110" s="1"/>
      <c r="FH110" s="1"/>
      <c r="FI110" s="1"/>
      <c r="FJ110" s="1"/>
      <c r="FK110" s="1"/>
      <c r="FL110" s="1"/>
      <c r="FM110" s="1"/>
      <c r="FN110" s="1"/>
      <c r="FO110" s="1"/>
      <c r="FP110" s="1"/>
      <c r="FQ110" s="1"/>
      <c r="FR110" s="1"/>
      <c r="FS110" s="1"/>
      <c r="FT110" s="1"/>
      <c r="FU110" s="1"/>
      <c r="FV110" s="1"/>
      <c r="FW110" s="1"/>
      <c r="FX110" s="1"/>
      <c r="FY110" s="1"/>
      <c r="FZ110" s="1"/>
      <c r="GA110" s="1"/>
      <c r="GB110" s="1"/>
      <c r="GC110" s="1"/>
      <c r="GD110" s="1"/>
      <c r="GE110" s="1"/>
      <c r="GF110" s="1"/>
      <c r="GG110" s="1"/>
      <c r="GH110" s="1"/>
      <c r="GI110" s="1"/>
      <c r="GJ110" s="1"/>
      <c r="GK110" s="1"/>
      <c r="GL110" s="1"/>
      <c r="GM110" s="1"/>
      <c r="GN110" s="1"/>
      <c r="GO110" s="1"/>
      <c r="GP110" s="1"/>
      <c r="GQ110" s="1"/>
      <c r="GR110" s="1"/>
      <c r="GS110" s="1"/>
      <c r="GT110" s="1"/>
      <c r="GU110" s="1"/>
      <c r="GV110" s="1"/>
      <c r="GW110" s="1"/>
      <c r="GX110" s="1"/>
      <c r="GY110" s="1"/>
      <c r="GZ110" s="1"/>
      <c r="HA110" s="1"/>
      <c r="HB110" s="1"/>
      <c r="HC110" s="1"/>
      <c r="HD110" s="1"/>
      <c r="HE110" s="1"/>
      <c r="HF110" s="1"/>
      <c r="HG110" s="1"/>
      <c r="HH110" s="1"/>
      <c r="HI110" s="1"/>
      <c r="HJ110" s="1"/>
      <c r="HK110" s="1"/>
      <c r="HL110" s="1"/>
    </row>
    <row r="111" spans="1:220" s="349" customFormat="1" ht="17.100000000000001" customHeight="1" x14ac:dyDescent="0.25">
      <c r="A111"/>
      <c r="B111" s="325"/>
      <c r="C111" s="329"/>
      <c r="D111" s="326"/>
      <c r="E111" s="330"/>
      <c r="F111" s="331"/>
      <c r="G111" s="223"/>
      <c r="H111" s="332"/>
      <c r="I111" s="109"/>
      <c r="J111" s="227"/>
      <c r="K111" s="156"/>
      <c r="L111" s="333"/>
      <c r="M111" s="343"/>
      <c r="N111" s="335"/>
      <c r="O111" s="336"/>
      <c r="P111" s="337"/>
      <c r="Q111" s="338"/>
      <c r="R111" s="339"/>
      <c r="S111" s="227"/>
      <c r="T111" s="227"/>
      <c r="U111" s="227"/>
      <c r="V111" s="227"/>
      <c r="W111" s="227"/>
      <c r="X111" s="227"/>
      <c r="Y111" s="340"/>
      <c r="Z111" s="341"/>
      <c r="AA111" s="348"/>
      <c r="AB111" s="342"/>
      <c r="AC111" s="338"/>
      <c r="AD111" s="277"/>
      <c r="AF111" s="350"/>
      <c r="AG111" s="351"/>
      <c r="AH111" s="351"/>
      <c r="AI111" s="352"/>
      <c r="AJ111" s="35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EG111" s="1"/>
      <c r="EH111" s="1"/>
      <c r="EI111" s="1"/>
      <c r="EJ111" s="1"/>
      <c r="EK111" s="1"/>
      <c r="EL111" s="1"/>
      <c r="EM111" s="1"/>
      <c r="EN111" s="1"/>
      <c r="EO111" s="1"/>
      <c r="EP111" s="1"/>
      <c r="EQ111" s="1"/>
      <c r="ER111" s="1"/>
      <c r="ES111" s="1"/>
      <c r="ET111" s="1"/>
      <c r="EU111" s="1"/>
      <c r="EV111" s="1"/>
      <c r="EW111" s="1"/>
      <c r="EX111" s="1"/>
      <c r="EY111" s="1"/>
      <c r="EZ111" s="1"/>
      <c r="FA111" s="1"/>
      <c r="FB111" s="1"/>
      <c r="FC111" s="1"/>
      <c r="FD111" s="1"/>
      <c r="FE111" s="1"/>
      <c r="FF111" s="1"/>
      <c r="FG111" s="1"/>
      <c r="FH111" s="1"/>
      <c r="FI111" s="1"/>
      <c r="FJ111" s="1"/>
      <c r="FK111" s="1"/>
      <c r="FL111" s="1"/>
      <c r="FM111" s="1"/>
      <c r="FN111" s="1"/>
      <c r="FO111" s="1"/>
      <c r="FP111" s="1"/>
      <c r="FQ111" s="1"/>
      <c r="FR111" s="1"/>
      <c r="FS111" s="1"/>
      <c r="FT111" s="1"/>
      <c r="FU111" s="1"/>
      <c r="FV111" s="1"/>
      <c r="FW111" s="1"/>
      <c r="FX111" s="1"/>
      <c r="FY111" s="1"/>
      <c r="FZ111" s="1"/>
      <c r="GA111" s="1"/>
      <c r="GB111" s="1"/>
      <c r="GC111" s="1"/>
      <c r="GD111" s="1"/>
      <c r="GE111" s="1"/>
      <c r="GF111" s="1"/>
      <c r="GG111" s="1"/>
      <c r="GH111" s="1"/>
      <c r="GI111" s="1"/>
      <c r="GJ111" s="1"/>
      <c r="GK111" s="1"/>
      <c r="GL111" s="1"/>
      <c r="GM111" s="1"/>
      <c r="GN111" s="1"/>
      <c r="GO111" s="1"/>
      <c r="GP111" s="1"/>
      <c r="GQ111" s="1"/>
      <c r="GR111" s="1"/>
      <c r="GS111" s="1"/>
      <c r="GT111" s="1"/>
      <c r="GU111" s="1"/>
      <c r="GV111" s="1"/>
      <c r="GW111" s="1"/>
      <c r="GX111" s="1"/>
      <c r="GY111" s="1"/>
      <c r="GZ111" s="1"/>
      <c r="HA111" s="1"/>
      <c r="HB111" s="1"/>
      <c r="HC111" s="1"/>
      <c r="HD111" s="1"/>
      <c r="HE111" s="1"/>
      <c r="HF111" s="1"/>
      <c r="HG111" s="1"/>
      <c r="HH111" s="1"/>
      <c r="HI111" s="1"/>
      <c r="HJ111" s="1"/>
      <c r="HK111" s="1"/>
      <c r="HL111" s="1"/>
    </row>
    <row r="112" spans="1:220" s="349" customFormat="1" ht="17.100000000000001" customHeight="1" x14ac:dyDescent="0.25">
      <c r="A112"/>
      <c r="B112" s="325"/>
      <c r="C112" s="329"/>
      <c r="D112" s="326"/>
      <c r="E112" s="330"/>
      <c r="F112" s="331"/>
      <c r="G112" s="223"/>
      <c r="H112" s="332"/>
      <c r="I112" s="109"/>
      <c r="J112" s="227"/>
      <c r="K112" s="156"/>
      <c r="L112" s="333"/>
      <c r="M112" s="343"/>
      <c r="N112" s="335"/>
      <c r="O112" s="336"/>
      <c r="P112" s="337"/>
      <c r="Q112" s="338"/>
      <c r="R112" s="339"/>
      <c r="S112" s="227"/>
      <c r="T112" s="227"/>
      <c r="U112" s="227"/>
      <c r="V112" s="227"/>
      <c r="W112" s="227"/>
      <c r="X112" s="227"/>
      <c r="Y112" s="340"/>
      <c r="Z112" s="341"/>
      <c r="AA112" s="348"/>
      <c r="AB112" s="342"/>
      <c r="AC112" s="338"/>
      <c r="AD112" s="277"/>
      <c r="AF112" s="350"/>
      <c r="AG112" s="351"/>
      <c r="AH112" s="351"/>
      <c r="AI112" s="352"/>
      <c r="AJ112" s="35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EG112" s="1"/>
      <c r="EH112" s="1"/>
      <c r="EI112" s="1"/>
      <c r="EJ112" s="1"/>
      <c r="EK112" s="1"/>
      <c r="EL112" s="1"/>
      <c r="EM112" s="1"/>
      <c r="EN112" s="1"/>
      <c r="EO112" s="1"/>
      <c r="EP112" s="1"/>
      <c r="EQ112" s="1"/>
      <c r="ER112" s="1"/>
      <c r="ES112" s="1"/>
      <c r="ET112" s="1"/>
      <c r="EU112" s="1"/>
      <c r="EV112" s="1"/>
      <c r="EW112" s="1"/>
      <c r="EX112" s="1"/>
      <c r="EY112" s="1"/>
      <c r="EZ112" s="1"/>
      <c r="FA112" s="1"/>
      <c r="FB112" s="1"/>
      <c r="FC112" s="1"/>
      <c r="FD112" s="1"/>
      <c r="FE112" s="1"/>
      <c r="FF112" s="1"/>
      <c r="FG112" s="1"/>
      <c r="FH112" s="1"/>
      <c r="FI112" s="1"/>
      <c r="FJ112" s="1"/>
      <c r="FK112" s="1"/>
      <c r="FL112" s="1"/>
      <c r="FM112" s="1"/>
      <c r="FN112" s="1"/>
      <c r="FO112" s="1"/>
      <c r="FP112" s="1"/>
      <c r="FQ112" s="1"/>
      <c r="FR112" s="1"/>
      <c r="FS112" s="1"/>
      <c r="FT112" s="1"/>
      <c r="FU112" s="1"/>
      <c r="FV112" s="1"/>
      <c r="FW112" s="1"/>
      <c r="FX112" s="1"/>
      <c r="FY112" s="1"/>
      <c r="FZ112" s="1"/>
      <c r="GA112" s="1"/>
      <c r="GB112" s="1"/>
      <c r="GC112" s="1"/>
      <c r="GD112" s="1"/>
      <c r="GE112" s="1"/>
      <c r="GF112" s="1"/>
      <c r="GG112" s="1"/>
      <c r="GH112" s="1"/>
      <c r="GI112" s="1"/>
      <c r="GJ112" s="1"/>
      <c r="GK112" s="1"/>
      <c r="GL112" s="1"/>
      <c r="GM112" s="1"/>
      <c r="GN112" s="1"/>
      <c r="GO112" s="1"/>
      <c r="GP112" s="1"/>
      <c r="GQ112" s="1"/>
      <c r="GR112" s="1"/>
      <c r="GS112" s="1"/>
      <c r="GT112" s="1"/>
      <c r="GU112" s="1"/>
      <c r="GV112" s="1"/>
      <c r="GW112" s="1"/>
      <c r="GX112" s="1"/>
      <c r="GY112" s="1"/>
      <c r="GZ112" s="1"/>
      <c r="HA112" s="1"/>
      <c r="HB112" s="1"/>
      <c r="HC112" s="1"/>
      <c r="HD112" s="1"/>
      <c r="HE112" s="1"/>
      <c r="HF112" s="1"/>
      <c r="HG112" s="1"/>
      <c r="HH112" s="1"/>
      <c r="HI112" s="1"/>
      <c r="HJ112" s="1"/>
      <c r="HK112" s="1"/>
      <c r="HL112" s="1"/>
    </row>
    <row r="113" spans="1:220" s="349" customFormat="1" ht="17.100000000000001" customHeight="1" x14ac:dyDescent="0.25">
      <c r="A113"/>
      <c r="B113" s="325"/>
      <c r="C113" s="329"/>
      <c r="D113" s="326"/>
      <c r="E113" s="330"/>
      <c r="F113" s="331"/>
      <c r="G113" s="223"/>
      <c r="H113" s="332"/>
      <c r="I113" s="109"/>
      <c r="J113" s="227"/>
      <c r="K113" s="156"/>
      <c r="L113" s="333"/>
      <c r="M113" s="343"/>
      <c r="N113" s="335"/>
      <c r="O113" s="336"/>
      <c r="P113" s="337"/>
      <c r="Q113" s="338"/>
      <c r="R113" s="339"/>
      <c r="S113" s="227"/>
      <c r="T113" s="227"/>
      <c r="U113" s="227"/>
      <c r="V113" s="227"/>
      <c r="W113" s="227"/>
      <c r="X113" s="227"/>
      <c r="Y113" s="340"/>
      <c r="Z113" s="341"/>
      <c r="AA113" s="348"/>
      <c r="AB113" s="342"/>
      <c r="AC113" s="338"/>
      <c r="AD113" s="277"/>
      <c r="AF113" s="350"/>
      <c r="AG113" s="351"/>
      <c r="AH113" s="351"/>
      <c r="AI113" s="352"/>
      <c r="AJ113" s="35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EG113" s="1"/>
      <c r="EH113" s="1"/>
      <c r="EI113" s="1"/>
      <c r="EJ113" s="1"/>
      <c r="EK113" s="1"/>
      <c r="EL113" s="1"/>
      <c r="EM113" s="1"/>
      <c r="EN113" s="1"/>
      <c r="EO113" s="1"/>
      <c r="EP113" s="1"/>
      <c r="EQ113" s="1"/>
      <c r="ER113" s="1"/>
      <c r="ES113" s="1"/>
      <c r="ET113" s="1"/>
      <c r="EU113" s="1"/>
      <c r="EV113" s="1"/>
      <c r="EW113" s="1"/>
      <c r="EX113" s="1"/>
      <c r="EY113" s="1"/>
      <c r="EZ113" s="1"/>
      <c r="FA113" s="1"/>
      <c r="FB113" s="1"/>
      <c r="FC113" s="1"/>
      <c r="FD113" s="1"/>
      <c r="FE113" s="1"/>
      <c r="FF113" s="1"/>
      <c r="FG113" s="1"/>
      <c r="FH113" s="1"/>
      <c r="FI113" s="1"/>
      <c r="FJ113" s="1"/>
      <c r="FK113" s="1"/>
      <c r="FL113" s="1"/>
      <c r="FM113" s="1"/>
      <c r="FN113" s="1"/>
      <c r="FO113" s="1"/>
      <c r="FP113" s="1"/>
      <c r="FQ113" s="1"/>
      <c r="FR113" s="1"/>
      <c r="FS113" s="1"/>
      <c r="FT113" s="1"/>
      <c r="FU113" s="1"/>
      <c r="FV113" s="1"/>
      <c r="FW113" s="1"/>
      <c r="FX113" s="1"/>
      <c r="FY113" s="1"/>
      <c r="FZ113" s="1"/>
      <c r="GA113" s="1"/>
      <c r="GB113" s="1"/>
      <c r="GC113" s="1"/>
      <c r="GD113" s="1"/>
      <c r="GE113" s="1"/>
      <c r="GF113" s="1"/>
      <c r="GG113" s="1"/>
      <c r="GH113" s="1"/>
      <c r="GI113" s="1"/>
      <c r="GJ113" s="1"/>
      <c r="GK113" s="1"/>
      <c r="GL113" s="1"/>
      <c r="GM113" s="1"/>
      <c r="GN113" s="1"/>
      <c r="GO113" s="1"/>
      <c r="GP113" s="1"/>
      <c r="GQ113" s="1"/>
      <c r="GR113" s="1"/>
      <c r="GS113" s="1"/>
      <c r="GT113" s="1"/>
      <c r="GU113" s="1"/>
      <c r="GV113" s="1"/>
      <c r="GW113" s="1"/>
      <c r="GX113" s="1"/>
      <c r="GY113" s="1"/>
      <c r="GZ113" s="1"/>
      <c r="HA113" s="1"/>
      <c r="HB113" s="1"/>
      <c r="HC113" s="1"/>
      <c r="HD113" s="1"/>
      <c r="HE113" s="1"/>
      <c r="HF113" s="1"/>
      <c r="HG113" s="1"/>
      <c r="HH113" s="1"/>
      <c r="HI113" s="1"/>
      <c r="HJ113" s="1"/>
      <c r="HK113" s="1"/>
      <c r="HL113" s="1"/>
    </row>
    <row r="114" spans="1:220" s="349" customFormat="1" ht="17.100000000000001" customHeight="1" x14ac:dyDescent="0.25">
      <c r="A114"/>
      <c r="B114" s="325"/>
      <c r="C114" s="329"/>
      <c r="D114" s="326"/>
      <c r="E114" s="330"/>
      <c r="F114" s="331"/>
      <c r="G114" s="223"/>
      <c r="H114" s="332"/>
      <c r="I114" s="109"/>
      <c r="J114" s="227"/>
      <c r="K114" s="156"/>
      <c r="L114" s="333"/>
      <c r="M114" s="343"/>
      <c r="N114" s="335"/>
      <c r="O114" s="336"/>
      <c r="P114" s="337"/>
      <c r="Q114" s="338"/>
      <c r="R114" s="339"/>
      <c r="S114" s="227"/>
      <c r="T114" s="227"/>
      <c r="U114" s="227"/>
      <c r="V114" s="227"/>
      <c r="W114" s="227"/>
      <c r="X114" s="227"/>
      <c r="Y114" s="340"/>
      <c r="Z114" s="341"/>
      <c r="AA114" s="348"/>
      <c r="AB114" s="342"/>
      <c r="AC114" s="338"/>
      <c r="AD114" s="277"/>
      <c r="AF114" s="350"/>
      <c r="AG114" s="351"/>
      <c r="AH114" s="351"/>
      <c r="AI114" s="352"/>
      <c r="AJ114" s="35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EG114" s="1"/>
      <c r="EH114" s="1"/>
      <c r="EI114" s="1"/>
      <c r="EJ114" s="1"/>
      <c r="EK114" s="1"/>
      <c r="EL114" s="1"/>
      <c r="EM114" s="1"/>
      <c r="EN114" s="1"/>
      <c r="EO114" s="1"/>
      <c r="EP114" s="1"/>
      <c r="EQ114" s="1"/>
      <c r="ER114" s="1"/>
      <c r="ES114" s="1"/>
      <c r="ET114" s="1"/>
      <c r="EU114" s="1"/>
      <c r="EV114" s="1"/>
      <c r="EW114" s="1"/>
      <c r="EX114" s="1"/>
      <c r="EY114" s="1"/>
      <c r="EZ114" s="1"/>
      <c r="FA114" s="1"/>
      <c r="FB114" s="1"/>
      <c r="FC114" s="1"/>
      <c r="FD114" s="1"/>
      <c r="FE114" s="1"/>
      <c r="FF114" s="1"/>
      <c r="FG114" s="1"/>
      <c r="FH114" s="1"/>
      <c r="FI114" s="1"/>
      <c r="FJ114" s="1"/>
      <c r="FK114" s="1"/>
      <c r="FL114" s="1"/>
      <c r="FM114" s="1"/>
      <c r="FN114" s="1"/>
      <c r="FO114" s="1"/>
      <c r="FP114" s="1"/>
      <c r="FQ114" s="1"/>
      <c r="FR114" s="1"/>
      <c r="FS114" s="1"/>
      <c r="FT114" s="1"/>
      <c r="FU114" s="1"/>
      <c r="FV114" s="1"/>
      <c r="FW114" s="1"/>
      <c r="FX114" s="1"/>
      <c r="FY114" s="1"/>
      <c r="FZ114" s="1"/>
      <c r="GA114" s="1"/>
      <c r="GB114" s="1"/>
      <c r="GC114" s="1"/>
      <c r="GD114" s="1"/>
      <c r="GE114" s="1"/>
      <c r="GF114" s="1"/>
      <c r="GG114" s="1"/>
      <c r="GH114" s="1"/>
      <c r="GI114" s="1"/>
      <c r="GJ114" s="1"/>
      <c r="GK114" s="1"/>
      <c r="GL114" s="1"/>
      <c r="GM114" s="1"/>
      <c r="GN114" s="1"/>
      <c r="GO114" s="1"/>
      <c r="GP114" s="1"/>
      <c r="GQ114" s="1"/>
      <c r="GR114" s="1"/>
      <c r="GS114" s="1"/>
      <c r="GT114" s="1"/>
      <c r="GU114" s="1"/>
      <c r="GV114" s="1"/>
      <c r="GW114" s="1"/>
      <c r="GX114" s="1"/>
      <c r="GY114" s="1"/>
      <c r="GZ114" s="1"/>
      <c r="HA114" s="1"/>
      <c r="HB114" s="1"/>
      <c r="HC114" s="1"/>
      <c r="HD114" s="1"/>
      <c r="HE114" s="1"/>
      <c r="HF114" s="1"/>
      <c r="HG114" s="1"/>
      <c r="HH114" s="1"/>
      <c r="HI114" s="1"/>
      <c r="HJ114" s="1"/>
      <c r="HK114" s="1"/>
      <c r="HL114" s="1"/>
    </row>
    <row r="115" spans="1:220" s="349" customFormat="1" ht="17.100000000000001" customHeight="1" x14ac:dyDescent="0.25">
      <c r="A115"/>
      <c r="B115" s="325"/>
      <c r="C115" s="329"/>
      <c r="D115" s="326"/>
      <c r="E115" s="330"/>
      <c r="F115" s="331"/>
      <c r="G115" s="223"/>
      <c r="H115" s="332"/>
      <c r="I115" s="109"/>
      <c r="J115" s="227"/>
      <c r="K115" s="156"/>
      <c r="L115" s="333"/>
      <c r="M115" s="343"/>
      <c r="N115" s="335"/>
      <c r="O115" s="336"/>
      <c r="P115" s="337"/>
      <c r="Q115" s="338"/>
      <c r="R115" s="339"/>
      <c r="S115" s="227"/>
      <c r="T115" s="227"/>
      <c r="U115" s="227"/>
      <c r="V115" s="227"/>
      <c r="W115" s="227"/>
      <c r="X115" s="227"/>
      <c r="Y115" s="340"/>
      <c r="Z115" s="341"/>
      <c r="AA115" s="348"/>
      <c r="AB115" s="342"/>
      <c r="AC115" s="338"/>
      <c r="AD115" s="277"/>
      <c r="AF115" s="350"/>
      <c r="AG115" s="351"/>
      <c r="AH115" s="351"/>
      <c r="AI115" s="352"/>
      <c r="AJ115" s="35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EG115" s="1"/>
      <c r="EH115" s="1"/>
      <c r="EI115" s="1"/>
      <c r="EJ115" s="1"/>
      <c r="EK115" s="1"/>
      <c r="EL115" s="1"/>
      <c r="EM115" s="1"/>
      <c r="EN115" s="1"/>
      <c r="EO115" s="1"/>
      <c r="EP115" s="1"/>
      <c r="EQ115" s="1"/>
      <c r="ER115" s="1"/>
      <c r="ES115" s="1"/>
      <c r="ET115" s="1"/>
      <c r="EU115" s="1"/>
      <c r="EV115" s="1"/>
      <c r="EW115" s="1"/>
      <c r="EX115" s="1"/>
      <c r="EY115" s="1"/>
      <c r="EZ115" s="1"/>
      <c r="FA115" s="1"/>
      <c r="FB115" s="1"/>
      <c r="FC115" s="1"/>
      <c r="FD115" s="1"/>
      <c r="FE115" s="1"/>
      <c r="FF115" s="1"/>
      <c r="FG115" s="1"/>
      <c r="FH115" s="1"/>
      <c r="FI115" s="1"/>
      <c r="FJ115" s="1"/>
      <c r="FK115" s="1"/>
      <c r="FL115" s="1"/>
      <c r="FM115" s="1"/>
      <c r="FN115" s="1"/>
      <c r="FO115" s="1"/>
      <c r="FP115" s="1"/>
      <c r="FQ115" s="1"/>
      <c r="FR115" s="1"/>
      <c r="FS115" s="1"/>
      <c r="FT115" s="1"/>
      <c r="FU115" s="1"/>
      <c r="FV115" s="1"/>
      <c r="FW115" s="1"/>
      <c r="FX115" s="1"/>
      <c r="FY115" s="1"/>
      <c r="FZ115" s="1"/>
      <c r="GA115" s="1"/>
      <c r="GB115" s="1"/>
      <c r="GC115" s="1"/>
      <c r="GD115" s="1"/>
      <c r="GE115" s="1"/>
      <c r="GF115" s="1"/>
      <c r="GG115" s="1"/>
      <c r="GH115" s="1"/>
      <c r="GI115" s="1"/>
      <c r="GJ115" s="1"/>
      <c r="GK115" s="1"/>
      <c r="GL115" s="1"/>
      <c r="GM115" s="1"/>
      <c r="GN115" s="1"/>
      <c r="GO115" s="1"/>
      <c r="GP115" s="1"/>
      <c r="GQ115" s="1"/>
      <c r="GR115" s="1"/>
      <c r="GS115" s="1"/>
      <c r="GT115" s="1"/>
      <c r="GU115" s="1"/>
      <c r="GV115" s="1"/>
      <c r="GW115" s="1"/>
      <c r="GX115" s="1"/>
      <c r="GY115" s="1"/>
      <c r="GZ115" s="1"/>
      <c r="HA115" s="1"/>
      <c r="HB115" s="1"/>
      <c r="HC115" s="1"/>
      <c r="HD115" s="1"/>
      <c r="HE115" s="1"/>
      <c r="HF115" s="1"/>
      <c r="HG115" s="1"/>
      <c r="HH115" s="1"/>
      <c r="HI115" s="1"/>
      <c r="HJ115" s="1"/>
      <c r="HK115" s="1"/>
      <c r="HL115" s="1"/>
    </row>
    <row r="116" spans="1:220" s="349" customFormat="1" ht="17.100000000000001" customHeight="1" x14ac:dyDescent="0.25">
      <c r="A116"/>
      <c r="B116" s="325"/>
      <c r="C116" s="329"/>
      <c r="D116" s="326"/>
      <c r="E116" s="330"/>
      <c r="F116" s="331"/>
      <c r="G116" s="223"/>
      <c r="H116" s="332"/>
      <c r="I116" s="109"/>
      <c r="J116" s="227"/>
      <c r="K116" s="156"/>
      <c r="L116" s="333"/>
      <c r="M116" s="343"/>
      <c r="N116" s="335"/>
      <c r="O116" s="336"/>
      <c r="P116" s="337"/>
      <c r="Q116" s="338"/>
      <c r="R116" s="339"/>
      <c r="S116" s="227"/>
      <c r="T116" s="227"/>
      <c r="U116" s="227"/>
      <c r="V116" s="227"/>
      <c r="W116" s="227"/>
      <c r="X116" s="227"/>
      <c r="Y116" s="340"/>
      <c r="Z116" s="341"/>
      <c r="AA116" s="348"/>
      <c r="AB116" s="342"/>
      <c r="AC116" s="338"/>
      <c r="AD116" s="277"/>
      <c r="AF116" s="350"/>
      <c r="AG116" s="351"/>
      <c r="AH116" s="351"/>
      <c r="AI116" s="352"/>
      <c r="AJ116" s="35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1"/>
      <c r="EZ116" s="1"/>
      <c r="FA116" s="1"/>
      <c r="FB116" s="1"/>
      <c r="FC116" s="1"/>
      <c r="FD116" s="1"/>
      <c r="FE116" s="1"/>
      <c r="FF116" s="1"/>
      <c r="FG116" s="1"/>
      <c r="FH116" s="1"/>
      <c r="FI116" s="1"/>
      <c r="FJ116" s="1"/>
      <c r="FK116" s="1"/>
      <c r="FL116" s="1"/>
      <c r="FM116" s="1"/>
      <c r="FN116" s="1"/>
      <c r="FO116" s="1"/>
      <c r="FP116" s="1"/>
      <c r="FQ116" s="1"/>
      <c r="FR116" s="1"/>
      <c r="FS116" s="1"/>
      <c r="FT116" s="1"/>
      <c r="FU116" s="1"/>
      <c r="FV116" s="1"/>
      <c r="FW116" s="1"/>
      <c r="FX116" s="1"/>
      <c r="FY116" s="1"/>
      <c r="FZ116" s="1"/>
      <c r="GA116" s="1"/>
      <c r="GB116" s="1"/>
      <c r="GC116" s="1"/>
      <c r="GD116" s="1"/>
      <c r="GE116" s="1"/>
      <c r="GF116" s="1"/>
      <c r="GG116" s="1"/>
      <c r="GH116" s="1"/>
      <c r="GI116" s="1"/>
      <c r="GJ116" s="1"/>
      <c r="GK116" s="1"/>
      <c r="GL116" s="1"/>
      <c r="GM116" s="1"/>
      <c r="GN116" s="1"/>
      <c r="GO116" s="1"/>
      <c r="GP116" s="1"/>
      <c r="GQ116" s="1"/>
      <c r="GR116" s="1"/>
      <c r="GS116" s="1"/>
      <c r="GT116" s="1"/>
      <c r="GU116" s="1"/>
      <c r="GV116" s="1"/>
      <c r="GW116" s="1"/>
      <c r="GX116" s="1"/>
      <c r="GY116" s="1"/>
      <c r="GZ116" s="1"/>
      <c r="HA116" s="1"/>
      <c r="HB116" s="1"/>
      <c r="HC116" s="1"/>
      <c r="HD116" s="1"/>
      <c r="HE116" s="1"/>
      <c r="HF116" s="1"/>
      <c r="HG116" s="1"/>
      <c r="HH116" s="1"/>
      <c r="HI116" s="1"/>
      <c r="HJ116" s="1"/>
      <c r="HK116" s="1"/>
      <c r="HL116" s="1"/>
    </row>
    <row r="117" spans="1:220" s="349" customFormat="1" ht="17.100000000000001" customHeight="1" x14ac:dyDescent="0.25">
      <c r="A117"/>
      <c r="B117" s="325"/>
      <c r="C117" s="329"/>
      <c r="D117" s="326"/>
      <c r="E117" s="330"/>
      <c r="F117" s="331"/>
      <c r="G117" s="223"/>
      <c r="H117" s="332"/>
      <c r="I117" s="109"/>
      <c r="J117" s="227"/>
      <c r="K117" s="156"/>
      <c r="L117" s="333"/>
      <c r="M117" s="343"/>
      <c r="N117" s="335"/>
      <c r="O117" s="336"/>
      <c r="P117" s="337"/>
      <c r="Q117" s="338"/>
      <c r="R117" s="339"/>
      <c r="S117" s="227"/>
      <c r="T117" s="227"/>
      <c r="U117" s="227"/>
      <c r="V117" s="227"/>
      <c r="W117" s="227"/>
      <c r="X117" s="227"/>
      <c r="Y117" s="340"/>
      <c r="Z117" s="341"/>
      <c r="AA117" s="348"/>
      <c r="AB117" s="342"/>
      <c r="AC117" s="338"/>
      <c r="AD117" s="277"/>
      <c r="AF117" s="350"/>
      <c r="AG117" s="351"/>
      <c r="AH117" s="351"/>
      <c r="AI117" s="352"/>
      <c r="AJ117" s="35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c r="EU117" s="1"/>
      <c r="EV117" s="1"/>
      <c r="EW117" s="1"/>
      <c r="EX117" s="1"/>
      <c r="EY117" s="1"/>
      <c r="EZ117" s="1"/>
      <c r="FA117" s="1"/>
      <c r="FB117" s="1"/>
      <c r="FC117" s="1"/>
      <c r="FD117" s="1"/>
      <c r="FE117" s="1"/>
      <c r="FF117" s="1"/>
      <c r="FG117" s="1"/>
      <c r="FH117" s="1"/>
      <c r="FI117" s="1"/>
      <c r="FJ117" s="1"/>
      <c r="FK117" s="1"/>
      <c r="FL117" s="1"/>
      <c r="FM117" s="1"/>
      <c r="FN117" s="1"/>
      <c r="FO117" s="1"/>
      <c r="FP117" s="1"/>
      <c r="FQ117" s="1"/>
      <c r="FR117" s="1"/>
      <c r="FS117" s="1"/>
      <c r="FT117" s="1"/>
      <c r="FU117" s="1"/>
      <c r="FV117" s="1"/>
      <c r="FW117" s="1"/>
      <c r="FX117" s="1"/>
      <c r="FY117" s="1"/>
      <c r="FZ117" s="1"/>
      <c r="GA117" s="1"/>
      <c r="GB117" s="1"/>
      <c r="GC117" s="1"/>
      <c r="GD117" s="1"/>
      <c r="GE117" s="1"/>
      <c r="GF117" s="1"/>
      <c r="GG117" s="1"/>
      <c r="GH117" s="1"/>
      <c r="GI117" s="1"/>
      <c r="GJ117" s="1"/>
      <c r="GK117" s="1"/>
      <c r="GL117" s="1"/>
      <c r="GM117" s="1"/>
      <c r="GN117" s="1"/>
      <c r="GO117" s="1"/>
      <c r="GP117" s="1"/>
      <c r="GQ117" s="1"/>
      <c r="GR117" s="1"/>
      <c r="GS117" s="1"/>
      <c r="GT117" s="1"/>
      <c r="GU117" s="1"/>
      <c r="GV117" s="1"/>
      <c r="GW117" s="1"/>
      <c r="GX117" s="1"/>
      <c r="GY117" s="1"/>
      <c r="GZ117" s="1"/>
      <c r="HA117" s="1"/>
      <c r="HB117" s="1"/>
      <c r="HC117" s="1"/>
      <c r="HD117" s="1"/>
      <c r="HE117" s="1"/>
      <c r="HF117" s="1"/>
      <c r="HG117" s="1"/>
      <c r="HH117" s="1"/>
      <c r="HI117" s="1"/>
      <c r="HJ117" s="1"/>
      <c r="HK117" s="1"/>
      <c r="HL117" s="1"/>
    </row>
    <row r="118" spans="1:220" s="349" customFormat="1" ht="17.100000000000001" customHeight="1" x14ac:dyDescent="0.25">
      <c r="A118"/>
      <c r="B118" s="325"/>
      <c r="C118" s="329"/>
      <c r="D118" s="326"/>
      <c r="E118" s="330"/>
      <c r="F118" s="331"/>
      <c r="G118" s="223"/>
      <c r="H118" s="332"/>
      <c r="I118" s="109"/>
      <c r="J118" s="227"/>
      <c r="K118" s="156"/>
      <c r="L118" s="333"/>
      <c r="M118" s="343"/>
      <c r="N118" s="335"/>
      <c r="O118" s="336"/>
      <c r="P118" s="337"/>
      <c r="Q118" s="338"/>
      <c r="R118" s="339"/>
      <c r="S118" s="227"/>
      <c r="T118" s="227"/>
      <c r="U118" s="227"/>
      <c r="V118" s="227"/>
      <c r="W118" s="227"/>
      <c r="X118" s="227"/>
      <c r="Y118" s="340"/>
      <c r="Z118" s="341"/>
      <c r="AA118" s="348"/>
      <c r="AB118" s="342"/>
      <c r="AC118" s="338"/>
      <c r="AD118" s="277"/>
      <c r="AF118" s="350"/>
      <c r="AG118" s="351"/>
      <c r="AH118" s="351"/>
      <c r="AI118" s="352"/>
      <c r="AJ118" s="35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EG118" s="1"/>
      <c r="EH118" s="1"/>
      <c r="EI118" s="1"/>
      <c r="EJ118" s="1"/>
      <c r="EK118" s="1"/>
      <c r="EL118" s="1"/>
      <c r="EM118" s="1"/>
      <c r="EN118" s="1"/>
      <c r="EO118" s="1"/>
      <c r="EP118" s="1"/>
      <c r="EQ118" s="1"/>
      <c r="ER118" s="1"/>
      <c r="ES118" s="1"/>
      <c r="ET118" s="1"/>
      <c r="EU118" s="1"/>
      <c r="EV118" s="1"/>
      <c r="EW118" s="1"/>
      <c r="EX118" s="1"/>
      <c r="EY118" s="1"/>
      <c r="EZ118" s="1"/>
      <c r="FA118" s="1"/>
      <c r="FB118" s="1"/>
      <c r="FC118" s="1"/>
      <c r="FD118" s="1"/>
      <c r="FE118" s="1"/>
      <c r="FF118" s="1"/>
      <c r="FG118" s="1"/>
      <c r="FH118" s="1"/>
      <c r="FI118" s="1"/>
      <c r="FJ118" s="1"/>
      <c r="FK118" s="1"/>
      <c r="FL118" s="1"/>
      <c r="FM118" s="1"/>
      <c r="FN118" s="1"/>
      <c r="FO118" s="1"/>
      <c r="FP118" s="1"/>
      <c r="FQ118" s="1"/>
      <c r="FR118" s="1"/>
      <c r="FS118" s="1"/>
      <c r="FT118" s="1"/>
      <c r="FU118" s="1"/>
      <c r="FV118" s="1"/>
      <c r="FW118" s="1"/>
      <c r="FX118" s="1"/>
      <c r="FY118" s="1"/>
      <c r="FZ118" s="1"/>
      <c r="GA118" s="1"/>
      <c r="GB118" s="1"/>
      <c r="GC118" s="1"/>
      <c r="GD118" s="1"/>
      <c r="GE118" s="1"/>
      <c r="GF118" s="1"/>
      <c r="GG118" s="1"/>
      <c r="GH118" s="1"/>
      <c r="GI118" s="1"/>
      <c r="GJ118" s="1"/>
      <c r="GK118" s="1"/>
      <c r="GL118" s="1"/>
      <c r="GM118" s="1"/>
      <c r="GN118" s="1"/>
      <c r="GO118" s="1"/>
      <c r="GP118" s="1"/>
      <c r="GQ118" s="1"/>
      <c r="GR118" s="1"/>
      <c r="GS118" s="1"/>
      <c r="GT118" s="1"/>
      <c r="GU118" s="1"/>
      <c r="GV118" s="1"/>
      <c r="GW118" s="1"/>
      <c r="GX118" s="1"/>
      <c r="GY118" s="1"/>
      <c r="GZ118" s="1"/>
      <c r="HA118" s="1"/>
      <c r="HB118" s="1"/>
      <c r="HC118" s="1"/>
      <c r="HD118" s="1"/>
      <c r="HE118" s="1"/>
      <c r="HF118" s="1"/>
      <c r="HG118" s="1"/>
      <c r="HH118" s="1"/>
      <c r="HI118" s="1"/>
      <c r="HJ118" s="1"/>
      <c r="HK118" s="1"/>
      <c r="HL118" s="1"/>
    </row>
    <row r="119" spans="1:220" s="349" customFormat="1" ht="17.100000000000001" customHeight="1" x14ac:dyDescent="0.25">
      <c r="A119"/>
      <c r="B119" s="325"/>
      <c r="C119" s="329"/>
      <c r="D119" s="326"/>
      <c r="E119" s="330"/>
      <c r="F119" s="331"/>
      <c r="G119" s="223"/>
      <c r="H119" s="332"/>
      <c r="I119" s="109"/>
      <c r="J119" s="227"/>
      <c r="K119" s="156"/>
      <c r="L119" s="333"/>
      <c r="M119" s="343"/>
      <c r="N119" s="335"/>
      <c r="O119" s="336"/>
      <c r="P119" s="337"/>
      <c r="Q119" s="338"/>
      <c r="R119" s="339"/>
      <c r="S119" s="227"/>
      <c r="T119" s="227"/>
      <c r="U119" s="227"/>
      <c r="V119" s="227"/>
      <c r="W119" s="227"/>
      <c r="X119" s="227"/>
      <c r="Y119" s="340"/>
      <c r="Z119" s="341"/>
      <c r="AA119" s="348"/>
      <c r="AB119" s="342"/>
      <c r="AC119" s="338"/>
      <c r="AD119" s="277"/>
      <c r="AF119" s="350"/>
      <c r="AG119" s="351"/>
      <c r="AH119" s="351"/>
      <c r="AI119" s="352"/>
      <c r="AJ119" s="35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1"/>
      <c r="FB119" s="1"/>
      <c r="FC119" s="1"/>
      <c r="FD119" s="1"/>
      <c r="FE119" s="1"/>
      <c r="FF119" s="1"/>
      <c r="FG119" s="1"/>
      <c r="FH119" s="1"/>
      <c r="FI119" s="1"/>
      <c r="FJ119" s="1"/>
      <c r="FK119" s="1"/>
      <c r="FL119" s="1"/>
      <c r="FM119" s="1"/>
      <c r="FN119" s="1"/>
      <c r="FO119" s="1"/>
      <c r="FP119" s="1"/>
      <c r="FQ119" s="1"/>
      <c r="FR119" s="1"/>
      <c r="FS119" s="1"/>
      <c r="FT119" s="1"/>
      <c r="FU119" s="1"/>
      <c r="FV119" s="1"/>
      <c r="FW119" s="1"/>
      <c r="FX119" s="1"/>
      <c r="FY119" s="1"/>
      <c r="FZ119" s="1"/>
      <c r="GA119" s="1"/>
      <c r="GB119" s="1"/>
      <c r="GC119" s="1"/>
      <c r="GD119" s="1"/>
      <c r="GE119" s="1"/>
      <c r="GF119" s="1"/>
      <c r="GG119" s="1"/>
      <c r="GH119" s="1"/>
      <c r="GI119" s="1"/>
      <c r="GJ119" s="1"/>
      <c r="GK119" s="1"/>
      <c r="GL119" s="1"/>
      <c r="GM119" s="1"/>
      <c r="GN119" s="1"/>
      <c r="GO119" s="1"/>
      <c r="GP119" s="1"/>
      <c r="GQ119" s="1"/>
      <c r="GR119" s="1"/>
      <c r="GS119" s="1"/>
      <c r="GT119" s="1"/>
      <c r="GU119" s="1"/>
      <c r="GV119" s="1"/>
      <c r="GW119" s="1"/>
      <c r="GX119" s="1"/>
      <c r="GY119" s="1"/>
      <c r="GZ119" s="1"/>
      <c r="HA119" s="1"/>
      <c r="HB119" s="1"/>
      <c r="HC119" s="1"/>
      <c r="HD119" s="1"/>
      <c r="HE119" s="1"/>
      <c r="HF119" s="1"/>
      <c r="HG119" s="1"/>
      <c r="HH119" s="1"/>
      <c r="HI119" s="1"/>
      <c r="HJ119" s="1"/>
      <c r="HK119" s="1"/>
      <c r="HL119" s="1"/>
    </row>
    <row r="120" spans="1:220" s="349" customFormat="1" ht="17.100000000000001" customHeight="1" x14ac:dyDescent="0.25">
      <c r="A120"/>
      <c r="B120" s="325"/>
      <c r="C120" s="329"/>
      <c r="D120" s="326"/>
      <c r="E120" s="330"/>
      <c r="F120" s="331"/>
      <c r="G120" s="223"/>
      <c r="H120" s="332"/>
      <c r="I120" s="109"/>
      <c r="J120" s="227"/>
      <c r="K120" s="156"/>
      <c r="L120" s="333"/>
      <c r="M120" s="343"/>
      <c r="N120" s="335"/>
      <c r="O120" s="336"/>
      <c r="P120" s="337"/>
      <c r="Q120" s="338"/>
      <c r="R120" s="339"/>
      <c r="S120" s="227"/>
      <c r="T120" s="227"/>
      <c r="U120" s="227"/>
      <c r="V120" s="227"/>
      <c r="W120" s="227"/>
      <c r="X120" s="227"/>
      <c r="Y120" s="340"/>
      <c r="Z120" s="341"/>
      <c r="AA120" s="348"/>
      <c r="AB120" s="342"/>
      <c r="AC120" s="338"/>
      <c r="AD120" s="277"/>
      <c r="AF120" s="350"/>
      <c r="AG120" s="351"/>
      <c r="AH120" s="351"/>
      <c r="AI120" s="352"/>
      <c r="AJ120" s="35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1"/>
      <c r="FP120" s="1"/>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1"/>
      <c r="GP120" s="1"/>
      <c r="GQ120" s="1"/>
      <c r="GR120" s="1"/>
      <c r="GS120" s="1"/>
      <c r="GT120" s="1"/>
      <c r="GU120" s="1"/>
      <c r="GV120" s="1"/>
      <c r="GW120" s="1"/>
      <c r="GX120" s="1"/>
      <c r="GY120" s="1"/>
      <c r="GZ120" s="1"/>
      <c r="HA120" s="1"/>
      <c r="HB120" s="1"/>
      <c r="HC120" s="1"/>
      <c r="HD120" s="1"/>
      <c r="HE120" s="1"/>
      <c r="HF120" s="1"/>
      <c r="HG120" s="1"/>
      <c r="HH120" s="1"/>
      <c r="HI120" s="1"/>
      <c r="HJ120" s="1"/>
      <c r="HK120" s="1"/>
      <c r="HL120" s="1"/>
    </row>
    <row r="121" spans="1:220" s="349" customFormat="1" ht="17.100000000000001" customHeight="1" x14ac:dyDescent="0.25">
      <c r="A121"/>
      <c r="B121" s="325"/>
      <c r="C121" s="329"/>
      <c r="D121" s="326"/>
      <c r="E121" s="330"/>
      <c r="F121" s="331"/>
      <c r="G121" s="223"/>
      <c r="H121" s="332"/>
      <c r="I121" s="109"/>
      <c r="J121" s="227"/>
      <c r="K121" s="156"/>
      <c r="L121" s="333"/>
      <c r="M121" s="343"/>
      <c r="N121" s="335"/>
      <c r="O121" s="336"/>
      <c r="P121" s="337"/>
      <c r="Q121" s="338"/>
      <c r="R121" s="339"/>
      <c r="S121" s="227"/>
      <c r="T121" s="227"/>
      <c r="U121" s="227"/>
      <c r="V121" s="227"/>
      <c r="W121" s="227"/>
      <c r="X121" s="227"/>
      <c r="Y121" s="340"/>
      <c r="Z121" s="341"/>
      <c r="AA121" s="348"/>
      <c r="AB121" s="342"/>
      <c r="AC121" s="338"/>
      <c r="AD121" s="277"/>
      <c r="AF121" s="350"/>
      <c r="AG121" s="351"/>
      <c r="AH121" s="351"/>
      <c r="AI121" s="352"/>
      <c r="AJ121" s="35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1"/>
      <c r="FP121" s="1"/>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1"/>
      <c r="GP121" s="1"/>
      <c r="GQ121" s="1"/>
      <c r="GR121" s="1"/>
      <c r="GS121" s="1"/>
      <c r="GT121" s="1"/>
      <c r="GU121" s="1"/>
      <c r="GV121" s="1"/>
      <c r="GW121" s="1"/>
      <c r="GX121" s="1"/>
      <c r="GY121" s="1"/>
      <c r="GZ121" s="1"/>
      <c r="HA121" s="1"/>
      <c r="HB121" s="1"/>
      <c r="HC121" s="1"/>
      <c r="HD121" s="1"/>
      <c r="HE121" s="1"/>
      <c r="HF121" s="1"/>
      <c r="HG121" s="1"/>
      <c r="HH121" s="1"/>
      <c r="HI121" s="1"/>
      <c r="HJ121" s="1"/>
      <c r="HK121" s="1"/>
      <c r="HL121" s="1"/>
    </row>
    <row r="122" spans="1:220" s="349" customFormat="1" ht="17.100000000000001" customHeight="1" x14ac:dyDescent="0.25">
      <c r="A122"/>
      <c r="B122" s="325"/>
      <c r="C122" s="329"/>
      <c r="D122" s="326"/>
      <c r="E122" s="330"/>
      <c r="F122" s="331"/>
      <c r="G122" s="223"/>
      <c r="H122" s="332"/>
      <c r="I122" s="109"/>
      <c r="J122" s="227"/>
      <c r="K122" s="156"/>
      <c r="L122" s="333"/>
      <c r="M122" s="343"/>
      <c r="N122" s="335"/>
      <c r="O122" s="336"/>
      <c r="P122" s="337"/>
      <c r="Q122" s="338"/>
      <c r="R122" s="339"/>
      <c r="S122" s="227"/>
      <c r="T122" s="227"/>
      <c r="U122" s="227"/>
      <c r="V122" s="227"/>
      <c r="W122" s="227"/>
      <c r="X122" s="227"/>
      <c r="Y122" s="340"/>
      <c r="Z122" s="341"/>
      <c r="AA122" s="348"/>
      <c r="AB122" s="342"/>
      <c r="AC122" s="338"/>
      <c r="AD122" s="277"/>
      <c r="AF122" s="350"/>
      <c r="AG122" s="351"/>
      <c r="AH122" s="351"/>
      <c r="AI122" s="352"/>
      <c r="AJ122" s="35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c r="ES122" s="1"/>
      <c r="ET122" s="1"/>
      <c r="EU122" s="1"/>
      <c r="EV122" s="1"/>
      <c r="EW122" s="1"/>
      <c r="EX122" s="1"/>
      <c r="EY122" s="1"/>
      <c r="EZ122" s="1"/>
      <c r="FA122" s="1"/>
      <c r="FB122" s="1"/>
      <c r="FC122" s="1"/>
      <c r="FD122" s="1"/>
      <c r="FE122" s="1"/>
      <c r="FF122" s="1"/>
      <c r="FG122" s="1"/>
      <c r="FH122" s="1"/>
      <c r="FI122" s="1"/>
      <c r="FJ122" s="1"/>
      <c r="FK122" s="1"/>
      <c r="FL122" s="1"/>
      <c r="FM122" s="1"/>
      <c r="FN122" s="1"/>
      <c r="FO122" s="1"/>
      <c r="FP122" s="1"/>
      <c r="FQ122" s="1"/>
      <c r="FR122" s="1"/>
      <c r="FS122" s="1"/>
      <c r="FT122" s="1"/>
      <c r="FU122" s="1"/>
      <c r="FV122" s="1"/>
      <c r="FW122" s="1"/>
      <c r="FX122" s="1"/>
      <c r="FY122" s="1"/>
      <c r="FZ122" s="1"/>
      <c r="GA122" s="1"/>
      <c r="GB122" s="1"/>
      <c r="GC122" s="1"/>
      <c r="GD122" s="1"/>
      <c r="GE122" s="1"/>
      <c r="GF122" s="1"/>
      <c r="GG122" s="1"/>
      <c r="GH122" s="1"/>
      <c r="GI122" s="1"/>
      <c r="GJ122" s="1"/>
      <c r="GK122" s="1"/>
      <c r="GL122" s="1"/>
      <c r="GM122" s="1"/>
      <c r="GN122" s="1"/>
      <c r="GO122" s="1"/>
      <c r="GP122" s="1"/>
      <c r="GQ122" s="1"/>
      <c r="GR122" s="1"/>
      <c r="GS122" s="1"/>
      <c r="GT122" s="1"/>
      <c r="GU122" s="1"/>
      <c r="GV122" s="1"/>
      <c r="GW122" s="1"/>
      <c r="GX122" s="1"/>
      <c r="GY122" s="1"/>
      <c r="GZ122" s="1"/>
      <c r="HA122" s="1"/>
      <c r="HB122" s="1"/>
      <c r="HC122" s="1"/>
      <c r="HD122" s="1"/>
      <c r="HE122" s="1"/>
      <c r="HF122" s="1"/>
      <c r="HG122" s="1"/>
      <c r="HH122" s="1"/>
      <c r="HI122" s="1"/>
      <c r="HJ122" s="1"/>
      <c r="HK122" s="1"/>
      <c r="HL122" s="1"/>
    </row>
    <row r="123" spans="1:220" s="349" customFormat="1" ht="17.100000000000001" customHeight="1" x14ac:dyDescent="0.25">
      <c r="A123"/>
      <c r="B123" s="325"/>
      <c r="C123" s="329"/>
      <c r="D123" s="326"/>
      <c r="E123" s="330"/>
      <c r="F123" s="331"/>
      <c r="G123" s="223"/>
      <c r="H123" s="332"/>
      <c r="I123" s="109"/>
      <c r="J123" s="227"/>
      <c r="K123" s="156"/>
      <c r="L123" s="333"/>
      <c r="M123" s="343"/>
      <c r="N123" s="335"/>
      <c r="O123" s="336"/>
      <c r="P123" s="337"/>
      <c r="Q123" s="338"/>
      <c r="R123" s="339"/>
      <c r="S123" s="227"/>
      <c r="T123" s="227"/>
      <c r="U123" s="227"/>
      <c r="V123" s="227"/>
      <c r="W123" s="227"/>
      <c r="X123" s="227"/>
      <c r="Y123" s="340"/>
      <c r="Z123" s="341"/>
      <c r="AA123" s="348"/>
      <c r="AB123" s="342"/>
      <c r="AC123" s="338"/>
      <c r="AD123" s="277"/>
      <c r="AF123" s="350"/>
      <c r="AG123" s="351"/>
      <c r="AH123" s="351"/>
      <c r="AI123" s="352"/>
      <c r="AJ123" s="35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EG123" s="1"/>
      <c r="EH123" s="1"/>
      <c r="EI123" s="1"/>
      <c r="EJ123" s="1"/>
      <c r="EK123" s="1"/>
      <c r="EL123" s="1"/>
      <c r="EM123" s="1"/>
      <c r="EN123" s="1"/>
      <c r="EO123" s="1"/>
      <c r="EP123" s="1"/>
      <c r="EQ123" s="1"/>
      <c r="ER123" s="1"/>
      <c r="ES123" s="1"/>
      <c r="ET123" s="1"/>
      <c r="EU123" s="1"/>
      <c r="EV123" s="1"/>
      <c r="EW123" s="1"/>
      <c r="EX123" s="1"/>
      <c r="EY123" s="1"/>
      <c r="EZ123" s="1"/>
      <c r="FA123" s="1"/>
      <c r="FB123" s="1"/>
      <c r="FC123" s="1"/>
      <c r="FD123" s="1"/>
      <c r="FE123" s="1"/>
      <c r="FF123" s="1"/>
      <c r="FG123" s="1"/>
      <c r="FH123" s="1"/>
      <c r="FI123" s="1"/>
      <c r="FJ123" s="1"/>
      <c r="FK123" s="1"/>
      <c r="FL123" s="1"/>
      <c r="FM123" s="1"/>
      <c r="FN123" s="1"/>
      <c r="FO123" s="1"/>
      <c r="FP123" s="1"/>
      <c r="FQ123" s="1"/>
      <c r="FR123" s="1"/>
      <c r="FS123" s="1"/>
      <c r="FT123" s="1"/>
      <c r="FU123" s="1"/>
      <c r="FV123" s="1"/>
      <c r="FW123" s="1"/>
      <c r="FX123" s="1"/>
      <c r="FY123" s="1"/>
      <c r="FZ123" s="1"/>
      <c r="GA123" s="1"/>
      <c r="GB123" s="1"/>
      <c r="GC123" s="1"/>
      <c r="GD123" s="1"/>
      <c r="GE123" s="1"/>
      <c r="GF123" s="1"/>
      <c r="GG123" s="1"/>
      <c r="GH123" s="1"/>
      <c r="GI123" s="1"/>
      <c r="GJ123" s="1"/>
      <c r="GK123" s="1"/>
      <c r="GL123" s="1"/>
      <c r="GM123" s="1"/>
      <c r="GN123" s="1"/>
      <c r="GO123" s="1"/>
      <c r="GP123" s="1"/>
      <c r="GQ123" s="1"/>
      <c r="GR123" s="1"/>
      <c r="GS123" s="1"/>
      <c r="GT123" s="1"/>
      <c r="GU123" s="1"/>
      <c r="GV123" s="1"/>
      <c r="GW123" s="1"/>
      <c r="GX123" s="1"/>
      <c r="GY123" s="1"/>
      <c r="GZ123" s="1"/>
      <c r="HA123" s="1"/>
      <c r="HB123" s="1"/>
      <c r="HC123" s="1"/>
      <c r="HD123" s="1"/>
      <c r="HE123" s="1"/>
      <c r="HF123" s="1"/>
      <c r="HG123" s="1"/>
      <c r="HH123" s="1"/>
      <c r="HI123" s="1"/>
      <c r="HJ123" s="1"/>
      <c r="HK123" s="1"/>
      <c r="HL123" s="1"/>
    </row>
    <row r="124" spans="1:220" s="349" customFormat="1" ht="17.100000000000001" customHeight="1" x14ac:dyDescent="0.25">
      <c r="A124"/>
      <c r="B124" s="325"/>
      <c r="C124" s="329"/>
      <c r="D124" s="326"/>
      <c r="E124" s="330"/>
      <c r="F124" s="331"/>
      <c r="G124" s="223"/>
      <c r="H124" s="332"/>
      <c r="I124" s="109"/>
      <c r="J124" s="227"/>
      <c r="K124" s="156"/>
      <c r="L124" s="333"/>
      <c r="M124" s="343"/>
      <c r="N124" s="335"/>
      <c r="O124" s="336"/>
      <c r="P124" s="337"/>
      <c r="Q124" s="338"/>
      <c r="R124" s="339"/>
      <c r="S124" s="227"/>
      <c r="T124" s="227"/>
      <c r="U124" s="227"/>
      <c r="V124" s="227"/>
      <c r="W124" s="227"/>
      <c r="X124" s="227"/>
      <c r="Y124" s="340"/>
      <c r="Z124" s="341"/>
      <c r="AA124" s="348"/>
      <c r="AB124" s="342"/>
      <c r="AC124" s="338"/>
      <c r="AD124" s="277"/>
      <c r="AF124" s="350"/>
      <c r="AG124" s="351"/>
      <c r="AH124" s="351"/>
      <c r="AI124" s="352"/>
      <c r="AJ124" s="35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c r="EG124" s="1"/>
      <c r="EH124" s="1"/>
      <c r="EI124" s="1"/>
      <c r="EJ124" s="1"/>
      <c r="EK124" s="1"/>
      <c r="EL124" s="1"/>
      <c r="EM124" s="1"/>
      <c r="EN124" s="1"/>
      <c r="EO124" s="1"/>
      <c r="EP124" s="1"/>
      <c r="EQ124" s="1"/>
      <c r="ER124" s="1"/>
      <c r="ES124" s="1"/>
      <c r="ET124" s="1"/>
      <c r="EU124" s="1"/>
      <c r="EV124" s="1"/>
      <c r="EW124" s="1"/>
      <c r="EX124" s="1"/>
      <c r="EY124" s="1"/>
      <c r="EZ124" s="1"/>
      <c r="FA124" s="1"/>
      <c r="FB124" s="1"/>
      <c r="FC124" s="1"/>
      <c r="FD124" s="1"/>
      <c r="FE124" s="1"/>
      <c r="FF124" s="1"/>
      <c r="FG124" s="1"/>
      <c r="FH124" s="1"/>
      <c r="FI124" s="1"/>
      <c r="FJ124" s="1"/>
      <c r="FK124" s="1"/>
      <c r="FL124" s="1"/>
      <c r="FM124" s="1"/>
      <c r="FN124" s="1"/>
      <c r="FO124" s="1"/>
      <c r="FP124" s="1"/>
      <c r="FQ124" s="1"/>
      <c r="FR124" s="1"/>
      <c r="FS124" s="1"/>
      <c r="FT124" s="1"/>
      <c r="FU124" s="1"/>
      <c r="FV124" s="1"/>
      <c r="FW124" s="1"/>
      <c r="FX124" s="1"/>
      <c r="FY124" s="1"/>
      <c r="FZ124" s="1"/>
      <c r="GA124" s="1"/>
      <c r="GB124" s="1"/>
      <c r="GC124" s="1"/>
      <c r="GD124" s="1"/>
      <c r="GE124" s="1"/>
      <c r="GF124" s="1"/>
      <c r="GG124" s="1"/>
      <c r="GH124" s="1"/>
      <c r="GI124" s="1"/>
      <c r="GJ124" s="1"/>
      <c r="GK124" s="1"/>
      <c r="GL124" s="1"/>
      <c r="GM124" s="1"/>
      <c r="GN124" s="1"/>
      <c r="GO124" s="1"/>
      <c r="GP124" s="1"/>
      <c r="GQ124" s="1"/>
      <c r="GR124" s="1"/>
      <c r="GS124" s="1"/>
      <c r="GT124" s="1"/>
      <c r="GU124" s="1"/>
      <c r="GV124" s="1"/>
      <c r="GW124" s="1"/>
      <c r="GX124" s="1"/>
      <c r="GY124" s="1"/>
      <c r="GZ124" s="1"/>
      <c r="HA124" s="1"/>
      <c r="HB124" s="1"/>
      <c r="HC124" s="1"/>
      <c r="HD124" s="1"/>
      <c r="HE124" s="1"/>
      <c r="HF124" s="1"/>
      <c r="HG124" s="1"/>
      <c r="HH124" s="1"/>
      <c r="HI124" s="1"/>
      <c r="HJ124" s="1"/>
      <c r="HK124" s="1"/>
      <c r="HL124" s="1"/>
    </row>
    <row r="125" spans="1:220" s="349" customFormat="1" ht="17.100000000000001" customHeight="1" x14ac:dyDescent="0.25">
      <c r="A125"/>
      <c r="B125" s="325"/>
      <c r="C125" s="329"/>
      <c r="D125" s="326"/>
      <c r="E125" s="330"/>
      <c r="F125" s="331"/>
      <c r="G125" s="223"/>
      <c r="H125" s="332"/>
      <c r="I125" s="109"/>
      <c r="J125" s="227"/>
      <c r="K125" s="156"/>
      <c r="L125" s="333"/>
      <c r="M125" s="343"/>
      <c r="N125" s="335"/>
      <c r="O125" s="336"/>
      <c r="P125" s="337"/>
      <c r="Q125" s="338"/>
      <c r="R125" s="339"/>
      <c r="S125" s="227"/>
      <c r="T125" s="227"/>
      <c r="U125" s="227"/>
      <c r="V125" s="227"/>
      <c r="W125" s="227"/>
      <c r="X125" s="227"/>
      <c r="Y125" s="340"/>
      <c r="Z125" s="341"/>
      <c r="AA125" s="348"/>
      <c r="AB125" s="342"/>
      <c r="AC125" s="338"/>
      <c r="AD125" s="277"/>
      <c r="AF125" s="350"/>
      <c r="AG125" s="351"/>
      <c r="AH125" s="351"/>
      <c r="AI125" s="352"/>
      <c r="AJ125" s="35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c r="EG125" s="1"/>
      <c r="EH125" s="1"/>
      <c r="EI125" s="1"/>
      <c r="EJ125" s="1"/>
      <c r="EK125" s="1"/>
      <c r="EL125" s="1"/>
      <c r="EM125" s="1"/>
      <c r="EN125" s="1"/>
      <c r="EO125" s="1"/>
      <c r="EP125" s="1"/>
      <c r="EQ125" s="1"/>
      <c r="ER125" s="1"/>
      <c r="ES125" s="1"/>
      <c r="ET125" s="1"/>
      <c r="EU125" s="1"/>
      <c r="EV125" s="1"/>
      <c r="EW125" s="1"/>
      <c r="EX125" s="1"/>
      <c r="EY125" s="1"/>
      <c r="EZ125" s="1"/>
      <c r="FA125" s="1"/>
      <c r="FB125" s="1"/>
      <c r="FC125" s="1"/>
      <c r="FD125" s="1"/>
      <c r="FE125" s="1"/>
      <c r="FF125" s="1"/>
      <c r="FG125" s="1"/>
      <c r="FH125" s="1"/>
      <c r="FI125" s="1"/>
      <c r="FJ125" s="1"/>
      <c r="FK125" s="1"/>
      <c r="FL125" s="1"/>
      <c r="FM125" s="1"/>
      <c r="FN125" s="1"/>
      <c r="FO125" s="1"/>
      <c r="FP125" s="1"/>
      <c r="FQ125" s="1"/>
      <c r="FR125" s="1"/>
      <c r="FS125" s="1"/>
      <c r="FT125" s="1"/>
      <c r="FU125" s="1"/>
      <c r="FV125" s="1"/>
      <c r="FW125" s="1"/>
      <c r="FX125" s="1"/>
      <c r="FY125" s="1"/>
      <c r="FZ125" s="1"/>
      <c r="GA125" s="1"/>
      <c r="GB125" s="1"/>
      <c r="GC125" s="1"/>
      <c r="GD125" s="1"/>
      <c r="GE125" s="1"/>
      <c r="GF125" s="1"/>
      <c r="GG125" s="1"/>
      <c r="GH125" s="1"/>
      <c r="GI125" s="1"/>
      <c r="GJ125" s="1"/>
      <c r="GK125" s="1"/>
      <c r="GL125" s="1"/>
      <c r="GM125" s="1"/>
      <c r="GN125" s="1"/>
      <c r="GO125" s="1"/>
      <c r="GP125" s="1"/>
      <c r="GQ125" s="1"/>
      <c r="GR125" s="1"/>
      <c r="GS125" s="1"/>
      <c r="GT125" s="1"/>
      <c r="GU125" s="1"/>
      <c r="GV125" s="1"/>
      <c r="GW125" s="1"/>
      <c r="GX125" s="1"/>
      <c r="GY125" s="1"/>
      <c r="GZ125" s="1"/>
      <c r="HA125" s="1"/>
      <c r="HB125" s="1"/>
      <c r="HC125" s="1"/>
      <c r="HD125" s="1"/>
      <c r="HE125" s="1"/>
      <c r="HF125" s="1"/>
      <c r="HG125" s="1"/>
      <c r="HH125" s="1"/>
      <c r="HI125" s="1"/>
      <c r="HJ125" s="1"/>
      <c r="HK125" s="1"/>
      <c r="HL125" s="1"/>
    </row>
    <row r="126" spans="1:220" s="349" customFormat="1" ht="17.100000000000001" customHeight="1" x14ac:dyDescent="0.25">
      <c r="A126"/>
      <c r="B126" s="325"/>
      <c r="C126" s="329"/>
      <c r="D126" s="326"/>
      <c r="E126" s="330"/>
      <c r="F126" s="331"/>
      <c r="G126" s="223"/>
      <c r="H126" s="332"/>
      <c r="I126" s="109"/>
      <c r="J126" s="227"/>
      <c r="K126" s="156"/>
      <c r="L126" s="333"/>
      <c r="M126" s="343"/>
      <c r="N126" s="335"/>
      <c r="O126" s="336"/>
      <c r="P126" s="337"/>
      <c r="Q126" s="338"/>
      <c r="R126" s="339"/>
      <c r="S126" s="227"/>
      <c r="T126" s="227"/>
      <c r="U126" s="227"/>
      <c r="V126" s="227"/>
      <c r="W126" s="227"/>
      <c r="X126" s="227"/>
      <c r="Y126" s="340"/>
      <c r="Z126" s="341"/>
      <c r="AA126" s="348"/>
      <c r="AB126" s="342"/>
      <c r="AC126" s="338"/>
      <c r="AD126" s="277"/>
      <c r="AF126" s="350"/>
      <c r="AG126" s="351"/>
      <c r="AH126" s="351"/>
      <c r="AI126" s="352"/>
      <c r="AJ126" s="35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c r="EG126" s="1"/>
      <c r="EH126" s="1"/>
      <c r="EI126" s="1"/>
      <c r="EJ126" s="1"/>
      <c r="EK126" s="1"/>
      <c r="EL126" s="1"/>
      <c r="EM126" s="1"/>
      <c r="EN126" s="1"/>
      <c r="EO126" s="1"/>
      <c r="EP126" s="1"/>
      <c r="EQ126" s="1"/>
      <c r="ER126" s="1"/>
      <c r="ES126" s="1"/>
      <c r="ET126" s="1"/>
      <c r="EU126" s="1"/>
      <c r="EV126" s="1"/>
      <c r="EW126" s="1"/>
      <c r="EX126" s="1"/>
      <c r="EY126" s="1"/>
      <c r="EZ126" s="1"/>
      <c r="FA126" s="1"/>
      <c r="FB126" s="1"/>
      <c r="FC126" s="1"/>
      <c r="FD126" s="1"/>
      <c r="FE126" s="1"/>
      <c r="FF126" s="1"/>
      <c r="FG126" s="1"/>
      <c r="FH126" s="1"/>
      <c r="FI126" s="1"/>
      <c r="FJ126" s="1"/>
      <c r="FK126" s="1"/>
      <c r="FL126" s="1"/>
      <c r="FM126" s="1"/>
      <c r="FN126" s="1"/>
      <c r="FO126" s="1"/>
      <c r="FP126" s="1"/>
      <c r="FQ126" s="1"/>
      <c r="FR126" s="1"/>
      <c r="FS126" s="1"/>
      <c r="FT126" s="1"/>
      <c r="FU126" s="1"/>
      <c r="FV126" s="1"/>
      <c r="FW126" s="1"/>
      <c r="FX126" s="1"/>
      <c r="FY126" s="1"/>
      <c r="FZ126" s="1"/>
      <c r="GA126" s="1"/>
      <c r="GB126" s="1"/>
      <c r="GC126" s="1"/>
      <c r="GD126" s="1"/>
      <c r="GE126" s="1"/>
      <c r="GF126" s="1"/>
      <c r="GG126" s="1"/>
      <c r="GH126" s="1"/>
      <c r="GI126" s="1"/>
      <c r="GJ126" s="1"/>
      <c r="GK126" s="1"/>
      <c r="GL126" s="1"/>
      <c r="GM126" s="1"/>
      <c r="GN126" s="1"/>
      <c r="GO126" s="1"/>
      <c r="GP126" s="1"/>
      <c r="GQ126" s="1"/>
      <c r="GR126" s="1"/>
      <c r="GS126" s="1"/>
      <c r="GT126" s="1"/>
      <c r="GU126" s="1"/>
      <c r="GV126" s="1"/>
      <c r="GW126" s="1"/>
      <c r="GX126" s="1"/>
      <c r="GY126" s="1"/>
      <c r="GZ126" s="1"/>
      <c r="HA126" s="1"/>
      <c r="HB126" s="1"/>
      <c r="HC126" s="1"/>
      <c r="HD126" s="1"/>
      <c r="HE126" s="1"/>
      <c r="HF126" s="1"/>
      <c r="HG126" s="1"/>
      <c r="HH126" s="1"/>
      <c r="HI126" s="1"/>
      <c r="HJ126" s="1"/>
      <c r="HK126" s="1"/>
      <c r="HL126" s="1"/>
    </row>
    <row r="127" spans="1:220" s="349" customFormat="1" ht="17.100000000000001" customHeight="1" x14ac:dyDescent="0.25">
      <c r="A127"/>
      <c r="B127" s="325"/>
      <c r="C127" s="329"/>
      <c r="D127" s="326"/>
      <c r="E127" s="330"/>
      <c r="F127" s="331"/>
      <c r="G127" s="223"/>
      <c r="H127" s="332"/>
      <c r="I127" s="109"/>
      <c r="J127" s="227"/>
      <c r="K127" s="156"/>
      <c r="L127" s="333"/>
      <c r="M127" s="343"/>
      <c r="N127" s="335"/>
      <c r="O127" s="336"/>
      <c r="P127" s="337"/>
      <c r="Q127" s="338"/>
      <c r="R127" s="339"/>
      <c r="S127" s="227"/>
      <c r="T127" s="227"/>
      <c r="U127" s="227"/>
      <c r="V127" s="227"/>
      <c r="W127" s="227"/>
      <c r="X127" s="227"/>
      <c r="Y127" s="340"/>
      <c r="Z127" s="341"/>
      <c r="AA127" s="348"/>
      <c r="AB127" s="342"/>
      <c r="AC127" s="338"/>
      <c r="AD127" s="277"/>
      <c r="AF127" s="350"/>
      <c r="AG127" s="351"/>
      <c r="AH127" s="351"/>
      <c r="AI127" s="352"/>
      <c r="AJ127" s="35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c r="EG127" s="1"/>
      <c r="EH127" s="1"/>
      <c r="EI127" s="1"/>
      <c r="EJ127" s="1"/>
      <c r="EK127" s="1"/>
      <c r="EL127" s="1"/>
      <c r="EM127" s="1"/>
      <c r="EN127" s="1"/>
      <c r="EO127" s="1"/>
      <c r="EP127" s="1"/>
      <c r="EQ127" s="1"/>
      <c r="ER127" s="1"/>
      <c r="ES127" s="1"/>
      <c r="ET127" s="1"/>
      <c r="EU127" s="1"/>
      <c r="EV127" s="1"/>
      <c r="EW127" s="1"/>
      <c r="EX127" s="1"/>
      <c r="EY127" s="1"/>
      <c r="EZ127" s="1"/>
      <c r="FA127" s="1"/>
      <c r="FB127" s="1"/>
      <c r="FC127" s="1"/>
      <c r="FD127" s="1"/>
      <c r="FE127" s="1"/>
      <c r="FF127" s="1"/>
      <c r="FG127" s="1"/>
      <c r="FH127" s="1"/>
      <c r="FI127" s="1"/>
      <c r="FJ127" s="1"/>
      <c r="FK127" s="1"/>
      <c r="FL127" s="1"/>
      <c r="FM127" s="1"/>
      <c r="FN127" s="1"/>
      <c r="FO127" s="1"/>
      <c r="FP127" s="1"/>
      <c r="FQ127" s="1"/>
      <c r="FR127" s="1"/>
      <c r="FS127" s="1"/>
      <c r="FT127" s="1"/>
      <c r="FU127" s="1"/>
      <c r="FV127" s="1"/>
      <c r="FW127" s="1"/>
      <c r="FX127" s="1"/>
      <c r="FY127" s="1"/>
      <c r="FZ127" s="1"/>
      <c r="GA127" s="1"/>
      <c r="GB127" s="1"/>
      <c r="GC127" s="1"/>
      <c r="GD127" s="1"/>
      <c r="GE127" s="1"/>
      <c r="GF127" s="1"/>
      <c r="GG127" s="1"/>
      <c r="GH127" s="1"/>
      <c r="GI127" s="1"/>
      <c r="GJ127" s="1"/>
      <c r="GK127" s="1"/>
      <c r="GL127" s="1"/>
      <c r="GM127" s="1"/>
      <c r="GN127" s="1"/>
      <c r="GO127" s="1"/>
      <c r="GP127" s="1"/>
      <c r="GQ127" s="1"/>
      <c r="GR127" s="1"/>
      <c r="GS127" s="1"/>
      <c r="GT127" s="1"/>
      <c r="GU127" s="1"/>
      <c r="GV127" s="1"/>
      <c r="GW127" s="1"/>
      <c r="GX127" s="1"/>
      <c r="GY127" s="1"/>
      <c r="GZ127" s="1"/>
      <c r="HA127" s="1"/>
      <c r="HB127" s="1"/>
      <c r="HC127" s="1"/>
      <c r="HD127" s="1"/>
      <c r="HE127" s="1"/>
      <c r="HF127" s="1"/>
      <c r="HG127" s="1"/>
      <c r="HH127" s="1"/>
      <c r="HI127" s="1"/>
      <c r="HJ127" s="1"/>
      <c r="HK127" s="1"/>
      <c r="HL127" s="1"/>
    </row>
    <row r="128" spans="1:220" s="349" customFormat="1" ht="17.100000000000001" customHeight="1" x14ac:dyDescent="0.25">
      <c r="A128"/>
      <c r="B128" s="325"/>
      <c r="C128" s="329"/>
      <c r="D128" s="326"/>
      <c r="E128" s="330"/>
      <c r="F128" s="331"/>
      <c r="G128" s="223"/>
      <c r="H128" s="332"/>
      <c r="I128" s="109"/>
      <c r="J128" s="227"/>
      <c r="K128" s="156"/>
      <c r="L128" s="333"/>
      <c r="M128" s="343"/>
      <c r="N128" s="335"/>
      <c r="O128" s="336"/>
      <c r="P128" s="337"/>
      <c r="Q128" s="338"/>
      <c r="R128" s="339"/>
      <c r="S128" s="227"/>
      <c r="T128" s="227"/>
      <c r="U128" s="227"/>
      <c r="V128" s="227"/>
      <c r="W128" s="227"/>
      <c r="X128" s="227"/>
      <c r="Y128" s="340"/>
      <c r="Z128" s="341"/>
      <c r="AA128" s="348"/>
      <c r="AB128" s="342"/>
      <c r="AC128" s="338"/>
      <c r="AD128" s="277"/>
      <c r="AF128" s="350"/>
      <c r="AG128" s="351"/>
      <c r="AH128" s="351"/>
      <c r="AI128" s="352"/>
      <c r="AJ128" s="35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c r="EG128" s="1"/>
      <c r="EH128" s="1"/>
      <c r="EI128" s="1"/>
      <c r="EJ128" s="1"/>
      <c r="EK128" s="1"/>
      <c r="EL128" s="1"/>
      <c r="EM128" s="1"/>
      <c r="EN128" s="1"/>
      <c r="EO128" s="1"/>
      <c r="EP128" s="1"/>
      <c r="EQ128" s="1"/>
      <c r="ER128" s="1"/>
      <c r="ES128" s="1"/>
      <c r="ET128" s="1"/>
      <c r="EU128" s="1"/>
      <c r="EV128" s="1"/>
      <c r="EW128" s="1"/>
      <c r="EX128" s="1"/>
      <c r="EY128" s="1"/>
      <c r="EZ128" s="1"/>
      <c r="FA128" s="1"/>
      <c r="FB128" s="1"/>
      <c r="FC128" s="1"/>
      <c r="FD128" s="1"/>
      <c r="FE128" s="1"/>
      <c r="FF128" s="1"/>
      <c r="FG128" s="1"/>
      <c r="FH128" s="1"/>
      <c r="FI128" s="1"/>
      <c r="FJ128" s="1"/>
      <c r="FK128" s="1"/>
      <c r="FL128" s="1"/>
      <c r="FM128" s="1"/>
      <c r="FN128" s="1"/>
      <c r="FO128" s="1"/>
      <c r="FP128" s="1"/>
      <c r="FQ128" s="1"/>
      <c r="FR128" s="1"/>
      <c r="FS128" s="1"/>
      <c r="FT128" s="1"/>
      <c r="FU128" s="1"/>
      <c r="FV128" s="1"/>
      <c r="FW128" s="1"/>
      <c r="FX128" s="1"/>
      <c r="FY128" s="1"/>
      <c r="FZ128" s="1"/>
      <c r="GA128" s="1"/>
      <c r="GB128" s="1"/>
      <c r="GC128" s="1"/>
      <c r="GD128" s="1"/>
      <c r="GE128" s="1"/>
      <c r="GF128" s="1"/>
      <c r="GG128" s="1"/>
      <c r="GH128" s="1"/>
      <c r="GI128" s="1"/>
      <c r="GJ128" s="1"/>
      <c r="GK128" s="1"/>
      <c r="GL128" s="1"/>
      <c r="GM128" s="1"/>
      <c r="GN128" s="1"/>
      <c r="GO128" s="1"/>
      <c r="GP128" s="1"/>
      <c r="GQ128" s="1"/>
      <c r="GR128" s="1"/>
      <c r="GS128" s="1"/>
      <c r="GT128" s="1"/>
      <c r="GU128" s="1"/>
      <c r="GV128" s="1"/>
      <c r="GW128" s="1"/>
      <c r="GX128" s="1"/>
      <c r="GY128" s="1"/>
      <c r="GZ128" s="1"/>
      <c r="HA128" s="1"/>
      <c r="HB128" s="1"/>
      <c r="HC128" s="1"/>
      <c r="HD128" s="1"/>
      <c r="HE128" s="1"/>
      <c r="HF128" s="1"/>
      <c r="HG128" s="1"/>
      <c r="HH128" s="1"/>
      <c r="HI128" s="1"/>
      <c r="HJ128" s="1"/>
      <c r="HK128" s="1"/>
      <c r="HL128" s="1"/>
    </row>
    <row r="129" spans="1:220" s="349" customFormat="1" ht="17.100000000000001" customHeight="1" x14ac:dyDescent="0.25">
      <c r="A129"/>
      <c r="B129" s="325"/>
      <c r="C129" s="329"/>
      <c r="D129" s="326"/>
      <c r="E129" s="330"/>
      <c r="F129" s="331"/>
      <c r="G129" s="223"/>
      <c r="H129" s="332"/>
      <c r="I129" s="109"/>
      <c r="J129" s="227"/>
      <c r="K129" s="156"/>
      <c r="L129" s="333"/>
      <c r="M129" s="343"/>
      <c r="N129" s="335"/>
      <c r="O129" s="336"/>
      <c r="P129" s="337"/>
      <c r="Q129" s="338"/>
      <c r="R129" s="339"/>
      <c r="S129" s="227"/>
      <c r="T129" s="227"/>
      <c r="U129" s="227"/>
      <c r="V129" s="227"/>
      <c r="W129" s="227"/>
      <c r="X129" s="227"/>
      <c r="Y129" s="340"/>
      <c r="Z129" s="341"/>
      <c r="AA129" s="348"/>
      <c r="AB129" s="342"/>
      <c r="AC129" s="338"/>
      <c r="AD129" s="277"/>
      <c r="AF129" s="350"/>
      <c r="AG129" s="351"/>
      <c r="AH129" s="351"/>
      <c r="AI129" s="352"/>
      <c r="AJ129" s="35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c r="EG129" s="1"/>
      <c r="EH129" s="1"/>
      <c r="EI129" s="1"/>
      <c r="EJ129" s="1"/>
      <c r="EK129" s="1"/>
      <c r="EL129" s="1"/>
      <c r="EM129" s="1"/>
      <c r="EN129" s="1"/>
      <c r="EO129" s="1"/>
      <c r="EP129" s="1"/>
      <c r="EQ129" s="1"/>
      <c r="ER129" s="1"/>
      <c r="ES129" s="1"/>
      <c r="ET129" s="1"/>
      <c r="EU129" s="1"/>
      <c r="EV129" s="1"/>
      <c r="EW129" s="1"/>
      <c r="EX129" s="1"/>
      <c r="EY129" s="1"/>
      <c r="EZ129" s="1"/>
      <c r="FA129" s="1"/>
      <c r="FB129" s="1"/>
      <c r="FC129" s="1"/>
      <c r="FD129" s="1"/>
      <c r="FE129" s="1"/>
      <c r="FF129" s="1"/>
      <c r="FG129" s="1"/>
      <c r="FH129" s="1"/>
      <c r="FI129" s="1"/>
      <c r="FJ129" s="1"/>
      <c r="FK129" s="1"/>
      <c r="FL129" s="1"/>
      <c r="FM129" s="1"/>
      <c r="FN129" s="1"/>
      <c r="FO129" s="1"/>
      <c r="FP129" s="1"/>
      <c r="FQ129" s="1"/>
      <c r="FR129" s="1"/>
      <c r="FS129" s="1"/>
      <c r="FT129" s="1"/>
      <c r="FU129" s="1"/>
      <c r="FV129" s="1"/>
      <c r="FW129" s="1"/>
      <c r="FX129" s="1"/>
      <c r="FY129" s="1"/>
      <c r="FZ129" s="1"/>
      <c r="GA129" s="1"/>
      <c r="GB129" s="1"/>
      <c r="GC129" s="1"/>
      <c r="GD129" s="1"/>
      <c r="GE129" s="1"/>
      <c r="GF129" s="1"/>
      <c r="GG129" s="1"/>
      <c r="GH129" s="1"/>
      <c r="GI129" s="1"/>
      <c r="GJ129" s="1"/>
      <c r="GK129" s="1"/>
      <c r="GL129" s="1"/>
      <c r="GM129" s="1"/>
      <c r="GN129" s="1"/>
      <c r="GO129" s="1"/>
      <c r="GP129" s="1"/>
      <c r="GQ129" s="1"/>
      <c r="GR129" s="1"/>
      <c r="GS129" s="1"/>
      <c r="GT129" s="1"/>
      <c r="GU129" s="1"/>
      <c r="GV129" s="1"/>
      <c r="GW129" s="1"/>
      <c r="GX129" s="1"/>
      <c r="GY129" s="1"/>
      <c r="GZ129" s="1"/>
      <c r="HA129" s="1"/>
      <c r="HB129" s="1"/>
      <c r="HC129" s="1"/>
      <c r="HD129" s="1"/>
      <c r="HE129" s="1"/>
      <c r="HF129" s="1"/>
      <c r="HG129" s="1"/>
      <c r="HH129" s="1"/>
      <c r="HI129" s="1"/>
      <c r="HJ129" s="1"/>
      <c r="HK129" s="1"/>
      <c r="HL129" s="1"/>
    </row>
    <row r="130" spans="1:220" s="349" customFormat="1" ht="17.100000000000001" customHeight="1" x14ac:dyDescent="0.25">
      <c r="A130"/>
      <c r="B130" s="325"/>
      <c r="C130" s="329"/>
      <c r="D130" s="326"/>
      <c r="E130" s="330"/>
      <c r="F130" s="331"/>
      <c r="G130" s="223"/>
      <c r="H130" s="332"/>
      <c r="I130" s="109"/>
      <c r="J130" s="227"/>
      <c r="K130" s="156"/>
      <c r="L130" s="333"/>
      <c r="M130" s="343"/>
      <c r="N130" s="335"/>
      <c r="O130" s="336"/>
      <c r="P130" s="337"/>
      <c r="Q130" s="338"/>
      <c r="R130" s="339"/>
      <c r="S130" s="227"/>
      <c r="T130" s="227"/>
      <c r="U130" s="227"/>
      <c r="V130" s="227"/>
      <c r="W130" s="227"/>
      <c r="X130" s="227"/>
      <c r="Y130" s="340"/>
      <c r="Z130" s="341"/>
      <c r="AA130" s="348"/>
      <c r="AB130" s="342"/>
      <c r="AC130" s="338"/>
      <c r="AD130" s="277"/>
      <c r="AF130" s="350"/>
      <c r="AG130" s="351"/>
      <c r="AH130" s="351"/>
      <c r="AI130" s="352"/>
      <c r="AJ130" s="35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c r="EG130" s="1"/>
      <c r="EH130" s="1"/>
      <c r="EI130" s="1"/>
      <c r="EJ130" s="1"/>
      <c r="EK130" s="1"/>
      <c r="EL130" s="1"/>
      <c r="EM130" s="1"/>
      <c r="EN130" s="1"/>
      <c r="EO130" s="1"/>
      <c r="EP130" s="1"/>
      <c r="EQ130" s="1"/>
      <c r="ER130" s="1"/>
      <c r="ES130" s="1"/>
      <c r="ET130" s="1"/>
      <c r="EU130" s="1"/>
      <c r="EV130" s="1"/>
      <c r="EW130" s="1"/>
      <c r="EX130" s="1"/>
      <c r="EY130" s="1"/>
      <c r="EZ130" s="1"/>
      <c r="FA130" s="1"/>
      <c r="FB130" s="1"/>
      <c r="FC130" s="1"/>
      <c r="FD130" s="1"/>
      <c r="FE130" s="1"/>
      <c r="FF130" s="1"/>
      <c r="FG130" s="1"/>
      <c r="FH130" s="1"/>
      <c r="FI130" s="1"/>
      <c r="FJ130" s="1"/>
      <c r="FK130" s="1"/>
      <c r="FL130" s="1"/>
      <c r="FM130" s="1"/>
      <c r="FN130" s="1"/>
      <c r="FO130" s="1"/>
      <c r="FP130" s="1"/>
      <c r="FQ130" s="1"/>
      <c r="FR130" s="1"/>
      <c r="FS130" s="1"/>
      <c r="FT130" s="1"/>
      <c r="FU130" s="1"/>
      <c r="FV130" s="1"/>
      <c r="FW130" s="1"/>
      <c r="FX130" s="1"/>
      <c r="FY130" s="1"/>
      <c r="FZ130" s="1"/>
      <c r="GA130" s="1"/>
      <c r="GB130" s="1"/>
      <c r="GC130" s="1"/>
      <c r="GD130" s="1"/>
      <c r="GE130" s="1"/>
      <c r="GF130" s="1"/>
      <c r="GG130" s="1"/>
      <c r="GH130" s="1"/>
      <c r="GI130" s="1"/>
      <c r="GJ130" s="1"/>
      <c r="GK130" s="1"/>
      <c r="GL130" s="1"/>
      <c r="GM130" s="1"/>
      <c r="GN130" s="1"/>
      <c r="GO130" s="1"/>
      <c r="GP130" s="1"/>
      <c r="GQ130" s="1"/>
      <c r="GR130" s="1"/>
      <c r="GS130" s="1"/>
      <c r="GT130" s="1"/>
      <c r="GU130" s="1"/>
      <c r="GV130" s="1"/>
      <c r="GW130" s="1"/>
      <c r="GX130" s="1"/>
      <c r="GY130" s="1"/>
      <c r="GZ130" s="1"/>
      <c r="HA130" s="1"/>
      <c r="HB130" s="1"/>
      <c r="HC130" s="1"/>
      <c r="HD130" s="1"/>
      <c r="HE130" s="1"/>
      <c r="HF130" s="1"/>
      <c r="HG130" s="1"/>
      <c r="HH130" s="1"/>
      <c r="HI130" s="1"/>
      <c r="HJ130" s="1"/>
      <c r="HK130" s="1"/>
      <c r="HL130" s="1"/>
    </row>
    <row r="131" spans="1:220" s="349" customFormat="1" ht="17.100000000000001" customHeight="1" x14ac:dyDescent="0.25">
      <c r="A131"/>
      <c r="B131" s="325"/>
      <c r="C131" s="329"/>
      <c r="D131" s="326"/>
      <c r="E131" s="330"/>
      <c r="F131" s="331"/>
      <c r="G131" s="223"/>
      <c r="H131" s="332"/>
      <c r="I131" s="109"/>
      <c r="J131" s="227"/>
      <c r="K131" s="156"/>
      <c r="L131" s="333"/>
      <c r="M131" s="343"/>
      <c r="N131" s="335"/>
      <c r="O131" s="336"/>
      <c r="P131" s="337"/>
      <c r="Q131" s="338"/>
      <c r="R131" s="339"/>
      <c r="S131" s="227"/>
      <c r="T131" s="227"/>
      <c r="U131" s="227"/>
      <c r="V131" s="227"/>
      <c r="W131" s="227"/>
      <c r="X131" s="227"/>
      <c r="Y131" s="340"/>
      <c r="Z131" s="341"/>
      <c r="AA131" s="348"/>
      <c r="AB131" s="342"/>
      <c r="AC131" s="338"/>
      <c r="AD131" s="277"/>
      <c r="AF131" s="350"/>
      <c r="AG131" s="351"/>
      <c r="AH131" s="351"/>
      <c r="AI131" s="352"/>
      <c r="AJ131" s="35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c r="EG131" s="1"/>
      <c r="EH131" s="1"/>
      <c r="EI131" s="1"/>
      <c r="EJ131" s="1"/>
      <c r="EK131" s="1"/>
      <c r="EL131" s="1"/>
      <c r="EM131" s="1"/>
      <c r="EN131" s="1"/>
      <c r="EO131" s="1"/>
      <c r="EP131" s="1"/>
      <c r="EQ131" s="1"/>
      <c r="ER131" s="1"/>
      <c r="ES131" s="1"/>
      <c r="ET131" s="1"/>
      <c r="EU131" s="1"/>
      <c r="EV131" s="1"/>
      <c r="EW131" s="1"/>
      <c r="EX131" s="1"/>
      <c r="EY131" s="1"/>
      <c r="EZ131" s="1"/>
      <c r="FA131" s="1"/>
      <c r="FB131" s="1"/>
      <c r="FC131" s="1"/>
      <c r="FD131" s="1"/>
      <c r="FE131" s="1"/>
      <c r="FF131" s="1"/>
      <c r="FG131" s="1"/>
      <c r="FH131" s="1"/>
      <c r="FI131" s="1"/>
      <c r="FJ131" s="1"/>
      <c r="FK131" s="1"/>
      <c r="FL131" s="1"/>
      <c r="FM131" s="1"/>
      <c r="FN131" s="1"/>
      <c r="FO131" s="1"/>
      <c r="FP131" s="1"/>
      <c r="FQ131" s="1"/>
      <c r="FR131" s="1"/>
      <c r="FS131" s="1"/>
      <c r="FT131" s="1"/>
      <c r="FU131" s="1"/>
      <c r="FV131" s="1"/>
      <c r="FW131" s="1"/>
      <c r="FX131" s="1"/>
      <c r="FY131" s="1"/>
      <c r="FZ131" s="1"/>
      <c r="GA131" s="1"/>
      <c r="GB131" s="1"/>
      <c r="GC131" s="1"/>
      <c r="GD131" s="1"/>
      <c r="GE131" s="1"/>
      <c r="GF131" s="1"/>
      <c r="GG131" s="1"/>
      <c r="GH131" s="1"/>
      <c r="GI131" s="1"/>
      <c r="GJ131" s="1"/>
      <c r="GK131" s="1"/>
      <c r="GL131" s="1"/>
      <c r="GM131" s="1"/>
      <c r="GN131" s="1"/>
      <c r="GO131" s="1"/>
      <c r="GP131" s="1"/>
      <c r="GQ131" s="1"/>
      <c r="GR131" s="1"/>
      <c r="GS131" s="1"/>
      <c r="GT131" s="1"/>
      <c r="GU131" s="1"/>
      <c r="GV131" s="1"/>
      <c r="GW131" s="1"/>
      <c r="GX131" s="1"/>
      <c r="GY131" s="1"/>
      <c r="GZ131" s="1"/>
      <c r="HA131" s="1"/>
      <c r="HB131" s="1"/>
      <c r="HC131" s="1"/>
      <c r="HD131" s="1"/>
      <c r="HE131" s="1"/>
      <c r="HF131" s="1"/>
      <c r="HG131" s="1"/>
      <c r="HH131" s="1"/>
      <c r="HI131" s="1"/>
      <c r="HJ131" s="1"/>
      <c r="HK131" s="1"/>
      <c r="HL131" s="1"/>
    </row>
    <row r="132" spans="1:220" s="349" customFormat="1" ht="17.100000000000001" customHeight="1" x14ac:dyDescent="0.25">
      <c r="A132"/>
      <c r="B132" s="325"/>
      <c r="C132" s="329"/>
      <c r="D132" s="326"/>
      <c r="E132" s="330"/>
      <c r="F132" s="331"/>
      <c r="G132" s="223"/>
      <c r="H132" s="332"/>
      <c r="I132" s="109"/>
      <c r="J132" s="227"/>
      <c r="K132" s="156"/>
      <c r="L132" s="333"/>
      <c r="M132" s="343"/>
      <c r="N132" s="335"/>
      <c r="O132" s="336"/>
      <c r="P132" s="337"/>
      <c r="Q132" s="338"/>
      <c r="R132" s="339"/>
      <c r="S132" s="227"/>
      <c r="T132" s="227"/>
      <c r="U132" s="227"/>
      <c r="V132" s="227"/>
      <c r="W132" s="227"/>
      <c r="X132" s="227"/>
      <c r="Y132" s="340"/>
      <c r="Z132" s="341"/>
      <c r="AA132" s="348"/>
      <c r="AB132" s="342"/>
      <c r="AC132" s="338"/>
      <c r="AD132" s="277"/>
      <c r="AF132" s="350"/>
      <c r="AG132" s="351"/>
      <c r="AH132" s="351"/>
      <c r="AI132" s="352"/>
      <c r="AJ132" s="35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c r="EG132" s="1"/>
      <c r="EH132" s="1"/>
      <c r="EI132" s="1"/>
      <c r="EJ132" s="1"/>
      <c r="EK132" s="1"/>
      <c r="EL132" s="1"/>
      <c r="EM132" s="1"/>
      <c r="EN132" s="1"/>
      <c r="EO132" s="1"/>
      <c r="EP132" s="1"/>
      <c r="EQ132" s="1"/>
      <c r="ER132" s="1"/>
      <c r="ES132" s="1"/>
      <c r="ET132" s="1"/>
      <c r="EU132" s="1"/>
      <c r="EV132" s="1"/>
      <c r="EW132" s="1"/>
      <c r="EX132" s="1"/>
      <c r="EY132" s="1"/>
      <c r="EZ132" s="1"/>
      <c r="FA132" s="1"/>
      <c r="FB132" s="1"/>
      <c r="FC132" s="1"/>
      <c r="FD132" s="1"/>
      <c r="FE132" s="1"/>
      <c r="FF132" s="1"/>
      <c r="FG132" s="1"/>
      <c r="FH132" s="1"/>
      <c r="FI132" s="1"/>
      <c r="FJ132" s="1"/>
      <c r="FK132" s="1"/>
      <c r="FL132" s="1"/>
      <c r="FM132" s="1"/>
      <c r="FN132" s="1"/>
      <c r="FO132" s="1"/>
      <c r="FP132" s="1"/>
      <c r="FQ132" s="1"/>
      <c r="FR132" s="1"/>
      <c r="FS132" s="1"/>
      <c r="FT132" s="1"/>
      <c r="FU132" s="1"/>
      <c r="FV132" s="1"/>
      <c r="FW132" s="1"/>
      <c r="FX132" s="1"/>
      <c r="FY132" s="1"/>
      <c r="FZ132" s="1"/>
      <c r="GA132" s="1"/>
      <c r="GB132" s="1"/>
      <c r="GC132" s="1"/>
      <c r="GD132" s="1"/>
      <c r="GE132" s="1"/>
      <c r="GF132" s="1"/>
      <c r="GG132" s="1"/>
      <c r="GH132" s="1"/>
      <c r="GI132" s="1"/>
      <c r="GJ132" s="1"/>
      <c r="GK132" s="1"/>
      <c r="GL132" s="1"/>
      <c r="GM132" s="1"/>
      <c r="GN132" s="1"/>
      <c r="GO132" s="1"/>
      <c r="GP132" s="1"/>
      <c r="GQ132" s="1"/>
      <c r="GR132" s="1"/>
      <c r="GS132" s="1"/>
      <c r="GT132" s="1"/>
      <c r="GU132" s="1"/>
      <c r="GV132" s="1"/>
      <c r="GW132" s="1"/>
      <c r="GX132" s="1"/>
      <c r="GY132" s="1"/>
      <c r="GZ132" s="1"/>
      <c r="HA132" s="1"/>
      <c r="HB132" s="1"/>
      <c r="HC132" s="1"/>
      <c r="HD132" s="1"/>
      <c r="HE132" s="1"/>
      <c r="HF132" s="1"/>
      <c r="HG132" s="1"/>
      <c r="HH132" s="1"/>
      <c r="HI132" s="1"/>
      <c r="HJ132" s="1"/>
      <c r="HK132" s="1"/>
      <c r="HL132" s="1"/>
    </row>
    <row r="133" spans="1:220" s="349" customFormat="1" ht="17.100000000000001" customHeight="1" x14ac:dyDescent="0.25">
      <c r="A133"/>
      <c r="B133" s="325"/>
      <c r="C133" s="329"/>
      <c r="D133" s="326"/>
      <c r="E133" s="330"/>
      <c r="F133" s="331"/>
      <c r="G133" s="223"/>
      <c r="H133" s="332"/>
      <c r="I133" s="109"/>
      <c r="J133" s="227"/>
      <c r="K133" s="156"/>
      <c r="L133" s="333"/>
      <c r="M133" s="343"/>
      <c r="N133" s="335"/>
      <c r="O133" s="336"/>
      <c r="P133" s="337"/>
      <c r="Q133" s="338"/>
      <c r="R133" s="339"/>
      <c r="S133" s="227"/>
      <c r="T133" s="227"/>
      <c r="U133" s="227"/>
      <c r="V133" s="227"/>
      <c r="W133" s="227"/>
      <c r="X133" s="227"/>
      <c r="Y133" s="340"/>
      <c r="Z133" s="341"/>
      <c r="AA133" s="348"/>
      <c r="AB133" s="342"/>
      <c r="AC133" s="338"/>
      <c r="AD133" s="277"/>
      <c r="AF133" s="350"/>
      <c r="AG133" s="351"/>
      <c r="AH133" s="351"/>
      <c r="AI133" s="352"/>
      <c r="AJ133" s="35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c r="EG133" s="1"/>
      <c r="EH133" s="1"/>
      <c r="EI133" s="1"/>
      <c r="EJ133" s="1"/>
      <c r="EK133" s="1"/>
      <c r="EL133" s="1"/>
      <c r="EM133" s="1"/>
      <c r="EN133" s="1"/>
      <c r="EO133" s="1"/>
      <c r="EP133" s="1"/>
      <c r="EQ133" s="1"/>
      <c r="ER133" s="1"/>
      <c r="ES133" s="1"/>
      <c r="ET133" s="1"/>
      <c r="EU133" s="1"/>
      <c r="EV133" s="1"/>
      <c r="EW133" s="1"/>
      <c r="EX133" s="1"/>
      <c r="EY133" s="1"/>
      <c r="EZ133" s="1"/>
      <c r="FA133" s="1"/>
      <c r="FB133" s="1"/>
      <c r="FC133" s="1"/>
      <c r="FD133" s="1"/>
      <c r="FE133" s="1"/>
      <c r="FF133" s="1"/>
      <c r="FG133" s="1"/>
      <c r="FH133" s="1"/>
      <c r="FI133" s="1"/>
      <c r="FJ133" s="1"/>
      <c r="FK133" s="1"/>
      <c r="FL133" s="1"/>
      <c r="FM133" s="1"/>
      <c r="FN133" s="1"/>
      <c r="FO133" s="1"/>
      <c r="FP133" s="1"/>
      <c r="FQ133" s="1"/>
      <c r="FR133" s="1"/>
      <c r="FS133" s="1"/>
      <c r="FT133" s="1"/>
      <c r="FU133" s="1"/>
      <c r="FV133" s="1"/>
      <c r="FW133" s="1"/>
      <c r="FX133" s="1"/>
      <c r="FY133" s="1"/>
      <c r="FZ133" s="1"/>
      <c r="GA133" s="1"/>
      <c r="GB133" s="1"/>
      <c r="GC133" s="1"/>
      <c r="GD133" s="1"/>
      <c r="GE133" s="1"/>
      <c r="GF133" s="1"/>
      <c r="GG133" s="1"/>
      <c r="GH133" s="1"/>
      <c r="GI133" s="1"/>
      <c r="GJ133" s="1"/>
      <c r="GK133" s="1"/>
      <c r="GL133" s="1"/>
      <c r="GM133" s="1"/>
      <c r="GN133" s="1"/>
      <c r="GO133" s="1"/>
      <c r="GP133" s="1"/>
      <c r="GQ133" s="1"/>
      <c r="GR133" s="1"/>
      <c r="GS133" s="1"/>
      <c r="GT133" s="1"/>
      <c r="GU133" s="1"/>
      <c r="GV133" s="1"/>
      <c r="GW133" s="1"/>
      <c r="GX133" s="1"/>
      <c r="GY133" s="1"/>
      <c r="GZ133" s="1"/>
      <c r="HA133" s="1"/>
      <c r="HB133" s="1"/>
      <c r="HC133" s="1"/>
      <c r="HD133" s="1"/>
      <c r="HE133" s="1"/>
      <c r="HF133" s="1"/>
      <c r="HG133" s="1"/>
      <c r="HH133" s="1"/>
      <c r="HI133" s="1"/>
      <c r="HJ133" s="1"/>
      <c r="HK133" s="1"/>
      <c r="HL133" s="1"/>
    </row>
    <row r="134" spans="1:220" s="349" customFormat="1" ht="17.100000000000001" customHeight="1" x14ac:dyDescent="0.25">
      <c r="A134"/>
      <c r="B134" s="325"/>
      <c r="C134" s="329"/>
      <c r="D134" s="326"/>
      <c r="E134" s="330"/>
      <c r="F134" s="331"/>
      <c r="G134" s="223"/>
      <c r="H134" s="332"/>
      <c r="I134" s="109"/>
      <c r="J134" s="227"/>
      <c r="K134" s="156"/>
      <c r="L134" s="333"/>
      <c r="M134" s="343"/>
      <c r="N134" s="335"/>
      <c r="O134" s="336"/>
      <c r="P134" s="337"/>
      <c r="Q134" s="338"/>
      <c r="R134" s="339"/>
      <c r="S134" s="227"/>
      <c r="T134" s="227"/>
      <c r="U134" s="227"/>
      <c r="V134" s="227"/>
      <c r="W134" s="227"/>
      <c r="X134" s="227"/>
      <c r="Y134" s="340"/>
      <c r="Z134" s="341"/>
      <c r="AA134" s="348"/>
      <c r="AB134" s="342"/>
      <c r="AC134" s="338"/>
      <c r="AD134" s="277"/>
      <c r="AF134" s="350"/>
      <c r="AG134" s="351"/>
      <c r="AH134" s="351"/>
      <c r="AI134" s="352"/>
      <c r="AJ134" s="35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c r="EG134" s="1"/>
      <c r="EH134" s="1"/>
      <c r="EI134" s="1"/>
      <c r="EJ134" s="1"/>
      <c r="EK134" s="1"/>
      <c r="EL134" s="1"/>
      <c r="EM134" s="1"/>
      <c r="EN134" s="1"/>
      <c r="EO134" s="1"/>
      <c r="EP134" s="1"/>
      <c r="EQ134" s="1"/>
      <c r="ER134" s="1"/>
      <c r="ES134" s="1"/>
      <c r="ET134" s="1"/>
      <c r="EU134" s="1"/>
      <c r="EV134" s="1"/>
      <c r="EW134" s="1"/>
      <c r="EX134" s="1"/>
      <c r="EY134" s="1"/>
      <c r="EZ134" s="1"/>
      <c r="FA134" s="1"/>
      <c r="FB134" s="1"/>
      <c r="FC134" s="1"/>
      <c r="FD134" s="1"/>
      <c r="FE134" s="1"/>
      <c r="FF134" s="1"/>
      <c r="FG134" s="1"/>
      <c r="FH134" s="1"/>
      <c r="FI134" s="1"/>
      <c r="FJ134" s="1"/>
      <c r="FK134" s="1"/>
      <c r="FL134" s="1"/>
      <c r="FM134" s="1"/>
      <c r="FN134" s="1"/>
      <c r="FO134" s="1"/>
      <c r="FP134" s="1"/>
      <c r="FQ134" s="1"/>
      <c r="FR134" s="1"/>
      <c r="FS134" s="1"/>
      <c r="FT134" s="1"/>
      <c r="FU134" s="1"/>
      <c r="FV134" s="1"/>
      <c r="FW134" s="1"/>
      <c r="FX134" s="1"/>
      <c r="FY134" s="1"/>
      <c r="FZ134" s="1"/>
      <c r="GA134" s="1"/>
      <c r="GB134" s="1"/>
      <c r="GC134" s="1"/>
      <c r="GD134" s="1"/>
      <c r="GE134" s="1"/>
      <c r="GF134" s="1"/>
      <c r="GG134" s="1"/>
      <c r="GH134" s="1"/>
      <c r="GI134" s="1"/>
      <c r="GJ134" s="1"/>
      <c r="GK134" s="1"/>
      <c r="GL134" s="1"/>
      <c r="GM134" s="1"/>
      <c r="GN134" s="1"/>
      <c r="GO134" s="1"/>
      <c r="GP134" s="1"/>
      <c r="GQ134" s="1"/>
      <c r="GR134" s="1"/>
      <c r="GS134" s="1"/>
      <c r="GT134" s="1"/>
      <c r="GU134" s="1"/>
      <c r="GV134" s="1"/>
      <c r="GW134" s="1"/>
      <c r="GX134" s="1"/>
      <c r="GY134" s="1"/>
      <c r="GZ134" s="1"/>
      <c r="HA134" s="1"/>
      <c r="HB134" s="1"/>
      <c r="HC134" s="1"/>
      <c r="HD134" s="1"/>
      <c r="HE134" s="1"/>
      <c r="HF134" s="1"/>
      <c r="HG134" s="1"/>
      <c r="HH134" s="1"/>
      <c r="HI134" s="1"/>
      <c r="HJ134" s="1"/>
      <c r="HK134" s="1"/>
      <c r="HL134" s="1"/>
    </row>
    <row r="135" spans="1:220" s="349" customFormat="1" ht="17.100000000000001" customHeight="1" x14ac:dyDescent="0.25">
      <c r="A135"/>
      <c r="B135" s="325"/>
      <c r="C135" s="329"/>
      <c r="D135" s="326"/>
      <c r="E135" s="330"/>
      <c r="F135" s="331"/>
      <c r="G135" s="223"/>
      <c r="H135" s="332"/>
      <c r="I135" s="109"/>
      <c r="J135" s="227"/>
      <c r="K135" s="156"/>
      <c r="L135" s="333"/>
      <c r="M135" s="343"/>
      <c r="N135" s="335"/>
      <c r="O135" s="336"/>
      <c r="P135" s="337"/>
      <c r="Q135" s="338"/>
      <c r="R135" s="339"/>
      <c r="S135" s="227"/>
      <c r="T135" s="227"/>
      <c r="U135" s="227"/>
      <c r="V135" s="227"/>
      <c r="W135" s="227"/>
      <c r="X135" s="227"/>
      <c r="Y135" s="340"/>
      <c r="Z135" s="341"/>
      <c r="AA135" s="348"/>
      <c r="AB135" s="342"/>
      <c r="AC135" s="338"/>
      <c r="AD135" s="277"/>
      <c r="AF135" s="350"/>
      <c r="AG135" s="351"/>
      <c r="AH135" s="351"/>
      <c r="AI135" s="352"/>
      <c r="AJ135" s="35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c r="EG135" s="1"/>
      <c r="EH135" s="1"/>
      <c r="EI135" s="1"/>
      <c r="EJ135" s="1"/>
      <c r="EK135" s="1"/>
      <c r="EL135" s="1"/>
      <c r="EM135" s="1"/>
      <c r="EN135" s="1"/>
      <c r="EO135" s="1"/>
      <c r="EP135" s="1"/>
      <c r="EQ135" s="1"/>
      <c r="ER135" s="1"/>
      <c r="ES135" s="1"/>
      <c r="ET135" s="1"/>
      <c r="EU135" s="1"/>
      <c r="EV135" s="1"/>
      <c r="EW135" s="1"/>
      <c r="EX135" s="1"/>
      <c r="EY135" s="1"/>
      <c r="EZ135" s="1"/>
      <c r="FA135" s="1"/>
      <c r="FB135" s="1"/>
      <c r="FC135" s="1"/>
      <c r="FD135" s="1"/>
      <c r="FE135" s="1"/>
      <c r="FF135" s="1"/>
      <c r="FG135" s="1"/>
      <c r="FH135" s="1"/>
      <c r="FI135" s="1"/>
      <c r="FJ135" s="1"/>
      <c r="FK135" s="1"/>
      <c r="FL135" s="1"/>
      <c r="FM135" s="1"/>
      <c r="FN135" s="1"/>
      <c r="FO135" s="1"/>
      <c r="FP135" s="1"/>
      <c r="FQ135" s="1"/>
      <c r="FR135" s="1"/>
      <c r="FS135" s="1"/>
      <c r="FT135" s="1"/>
      <c r="FU135" s="1"/>
      <c r="FV135" s="1"/>
      <c r="FW135" s="1"/>
      <c r="FX135" s="1"/>
      <c r="FY135" s="1"/>
      <c r="FZ135" s="1"/>
      <c r="GA135" s="1"/>
      <c r="GB135" s="1"/>
      <c r="GC135" s="1"/>
      <c r="GD135" s="1"/>
      <c r="GE135" s="1"/>
      <c r="GF135" s="1"/>
      <c r="GG135" s="1"/>
      <c r="GH135" s="1"/>
      <c r="GI135" s="1"/>
      <c r="GJ135" s="1"/>
      <c r="GK135" s="1"/>
      <c r="GL135" s="1"/>
      <c r="GM135" s="1"/>
      <c r="GN135" s="1"/>
      <c r="GO135" s="1"/>
      <c r="GP135" s="1"/>
      <c r="GQ135" s="1"/>
      <c r="GR135" s="1"/>
      <c r="GS135" s="1"/>
      <c r="GT135" s="1"/>
      <c r="GU135" s="1"/>
      <c r="GV135" s="1"/>
      <c r="GW135" s="1"/>
      <c r="GX135" s="1"/>
      <c r="GY135" s="1"/>
      <c r="GZ135" s="1"/>
      <c r="HA135" s="1"/>
      <c r="HB135" s="1"/>
      <c r="HC135" s="1"/>
      <c r="HD135" s="1"/>
      <c r="HE135" s="1"/>
      <c r="HF135" s="1"/>
      <c r="HG135" s="1"/>
      <c r="HH135" s="1"/>
      <c r="HI135" s="1"/>
      <c r="HJ135" s="1"/>
      <c r="HK135" s="1"/>
      <c r="HL135" s="1"/>
    </row>
    <row r="136" spans="1:220" s="349" customFormat="1" ht="17.100000000000001" customHeight="1" x14ac:dyDescent="0.25">
      <c r="A136"/>
      <c r="B136" s="325"/>
      <c r="C136" s="329"/>
      <c r="D136" s="326"/>
      <c r="E136" s="330"/>
      <c r="F136" s="331"/>
      <c r="G136" s="223"/>
      <c r="H136" s="332"/>
      <c r="I136" s="109"/>
      <c r="J136" s="227"/>
      <c r="K136" s="156"/>
      <c r="L136" s="333"/>
      <c r="M136" s="343"/>
      <c r="N136" s="335"/>
      <c r="O136" s="336"/>
      <c r="P136" s="337"/>
      <c r="Q136" s="338"/>
      <c r="R136" s="339"/>
      <c r="S136" s="227"/>
      <c r="T136" s="227"/>
      <c r="U136" s="227"/>
      <c r="V136" s="227"/>
      <c r="W136" s="227"/>
      <c r="X136" s="227"/>
      <c r="Y136" s="340"/>
      <c r="Z136" s="341"/>
      <c r="AA136" s="348"/>
      <c r="AB136" s="342"/>
      <c r="AC136" s="338"/>
      <c r="AD136" s="277"/>
      <c r="AF136" s="350"/>
      <c r="AG136" s="351"/>
      <c r="AH136" s="351"/>
      <c r="AI136" s="352"/>
      <c r="AJ136" s="35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c r="EG136" s="1"/>
      <c r="EH136" s="1"/>
      <c r="EI136" s="1"/>
      <c r="EJ136" s="1"/>
      <c r="EK136" s="1"/>
      <c r="EL136" s="1"/>
      <c r="EM136" s="1"/>
      <c r="EN136" s="1"/>
      <c r="EO136" s="1"/>
      <c r="EP136" s="1"/>
      <c r="EQ136" s="1"/>
      <c r="ER136" s="1"/>
      <c r="ES136" s="1"/>
      <c r="ET136" s="1"/>
      <c r="EU136" s="1"/>
      <c r="EV136" s="1"/>
      <c r="EW136" s="1"/>
      <c r="EX136" s="1"/>
      <c r="EY136" s="1"/>
      <c r="EZ136" s="1"/>
      <c r="FA136" s="1"/>
      <c r="FB136" s="1"/>
      <c r="FC136" s="1"/>
      <c r="FD136" s="1"/>
      <c r="FE136" s="1"/>
      <c r="FF136" s="1"/>
      <c r="FG136" s="1"/>
      <c r="FH136" s="1"/>
      <c r="FI136" s="1"/>
      <c r="FJ136" s="1"/>
      <c r="FK136" s="1"/>
      <c r="FL136" s="1"/>
      <c r="FM136" s="1"/>
      <c r="FN136" s="1"/>
      <c r="FO136" s="1"/>
      <c r="FP136" s="1"/>
      <c r="FQ136" s="1"/>
      <c r="FR136" s="1"/>
      <c r="FS136" s="1"/>
      <c r="FT136" s="1"/>
      <c r="FU136" s="1"/>
      <c r="FV136" s="1"/>
      <c r="FW136" s="1"/>
      <c r="FX136" s="1"/>
      <c r="FY136" s="1"/>
      <c r="FZ136" s="1"/>
      <c r="GA136" s="1"/>
      <c r="GB136" s="1"/>
      <c r="GC136" s="1"/>
      <c r="GD136" s="1"/>
      <c r="GE136" s="1"/>
      <c r="GF136" s="1"/>
      <c r="GG136" s="1"/>
      <c r="GH136" s="1"/>
      <c r="GI136" s="1"/>
      <c r="GJ136" s="1"/>
      <c r="GK136" s="1"/>
      <c r="GL136" s="1"/>
      <c r="GM136" s="1"/>
      <c r="GN136" s="1"/>
      <c r="GO136" s="1"/>
      <c r="GP136" s="1"/>
      <c r="GQ136" s="1"/>
      <c r="GR136" s="1"/>
      <c r="GS136" s="1"/>
      <c r="GT136" s="1"/>
      <c r="GU136" s="1"/>
      <c r="GV136" s="1"/>
      <c r="GW136" s="1"/>
      <c r="GX136" s="1"/>
      <c r="GY136" s="1"/>
      <c r="GZ136" s="1"/>
      <c r="HA136" s="1"/>
      <c r="HB136" s="1"/>
      <c r="HC136" s="1"/>
      <c r="HD136" s="1"/>
      <c r="HE136" s="1"/>
      <c r="HF136" s="1"/>
      <c r="HG136" s="1"/>
      <c r="HH136" s="1"/>
      <c r="HI136" s="1"/>
      <c r="HJ136" s="1"/>
      <c r="HK136" s="1"/>
      <c r="HL136" s="1"/>
    </row>
    <row r="137" spans="1:220" s="349" customFormat="1" ht="17.100000000000001" customHeight="1" x14ac:dyDescent="0.25">
      <c r="A137"/>
      <c r="B137" s="325"/>
      <c r="C137" s="329"/>
      <c r="D137" s="326"/>
      <c r="E137" s="330"/>
      <c r="F137" s="331"/>
      <c r="G137" s="223"/>
      <c r="H137" s="332"/>
      <c r="I137" s="109"/>
      <c r="J137" s="227"/>
      <c r="K137" s="156"/>
      <c r="L137" s="333"/>
      <c r="M137" s="343"/>
      <c r="N137" s="335"/>
      <c r="O137" s="336"/>
      <c r="P137" s="337"/>
      <c r="Q137" s="338"/>
      <c r="R137" s="339"/>
      <c r="S137" s="227"/>
      <c r="T137" s="227"/>
      <c r="U137" s="227"/>
      <c r="V137" s="227"/>
      <c r="W137" s="227"/>
      <c r="X137" s="227"/>
      <c r="Y137" s="340"/>
      <c r="Z137" s="341"/>
      <c r="AA137" s="348"/>
      <c r="AB137" s="342"/>
      <c r="AC137" s="338"/>
      <c r="AD137" s="277"/>
      <c r="AF137" s="350"/>
      <c r="AG137" s="351"/>
      <c r="AH137" s="351"/>
      <c r="AI137" s="352"/>
      <c r="AJ137" s="35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c r="EG137" s="1"/>
      <c r="EH137" s="1"/>
      <c r="EI137" s="1"/>
      <c r="EJ137" s="1"/>
      <c r="EK137" s="1"/>
      <c r="EL137" s="1"/>
      <c r="EM137" s="1"/>
      <c r="EN137" s="1"/>
      <c r="EO137" s="1"/>
      <c r="EP137" s="1"/>
      <c r="EQ137" s="1"/>
      <c r="ER137" s="1"/>
      <c r="ES137" s="1"/>
      <c r="ET137" s="1"/>
      <c r="EU137" s="1"/>
      <c r="EV137" s="1"/>
      <c r="EW137" s="1"/>
      <c r="EX137" s="1"/>
      <c r="EY137" s="1"/>
      <c r="EZ137" s="1"/>
      <c r="FA137" s="1"/>
      <c r="FB137" s="1"/>
      <c r="FC137" s="1"/>
      <c r="FD137" s="1"/>
      <c r="FE137" s="1"/>
      <c r="FF137" s="1"/>
      <c r="FG137" s="1"/>
      <c r="FH137" s="1"/>
      <c r="FI137" s="1"/>
      <c r="FJ137" s="1"/>
      <c r="FK137" s="1"/>
      <c r="FL137" s="1"/>
      <c r="FM137" s="1"/>
      <c r="FN137" s="1"/>
      <c r="FO137" s="1"/>
      <c r="FP137" s="1"/>
      <c r="FQ137" s="1"/>
      <c r="FR137" s="1"/>
      <c r="FS137" s="1"/>
      <c r="FT137" s="1"/>
      <c r="FU137" s="1"/>
      <c r="FV137" s="1"/>
      <c r="FW137" s="1"/>
      <c r="FX137" s="1"/>
      <c r="FY137" s="1"/>
      <c r="FZ137" s="1"/>
      <c r="GA137" s="1"/>
      <c r="GB137" s="1"/>
      <c r="GC137" s="1"/>
      <c r="GD137" s="1"/>
      <c r="GE137" s="1"/>
      <c r="GF137" s="1"/>
      <c r="GG137" s="1"/>
      <c r="GH137" s="1"/>
      <c r="GI137" s="1"/>
      <c r="GJ137" s="1"/>
      <c r="GK137" s="1"/>
      <c r="GL137" s="1"/>
      <c r="GM137" s="1"/>
      <c r="GN137" s="1"/>
      <c r="GO137" s="1"/>
      <c r="GP137" s="1"/>
      <c r="GQ137" s="1"/>
      <c r="GR137" s="1"/>
      <c r="GS137" s="1"/>
      <c r="GT137" s="1"/>
      <c r="GU137" s="1"/>
      <c r="GV137" s="1"/>
      <c r="GW137" s="1"/>
      <c r="GX137" s="1"/>
      <c r="GY137" s="1"/>
      <c r="GZ137" s="1"/>
      <c r="HA137" s="1"/>
      <c r="HB137" s="1"/>
      <c r="HC137" s="1"/>
      <c r="HD137" s="1"/>
      <c r="HE137" s="1"/>
      <c r="HF137" s="1"/>
      <c r="HG137" s="1"/>
      <c r="HH137" s="1"/>
      <c r="HI137" s="1"/>
      <c r="HJ137" s="1"/>
      <c r="HK137" s="1"/>
      <c r="HL137" s="1"/>
    </row>
    <row r="138" spans="1:220" s="349" customFormat="1" ht="17.100000000000001" customHeight="1" x14ac:dyDescent="0.25">
      <c r="A138"/>
      <c r="B138" s="325"/>
      <c r="C138" s="329"/>
      <c r="D138" s="326"/>
      <c r="E138" s="330"/>
      <c r="F138" s="331"/>
      <c r="G138" s="223"/>
      <c r="H138" s="332"/>
      <c r="I138" s="109"/>
      <c r="J138" s="227"/>
      <c r="K138" s="156"/>
      <c r="L138" s="333"/>
      <c r="M138" s="343"/>
      <c r="N138" s="335"/>
      <c r="O138" s="336"/>
      <c r="P138" s="337"/>
      <c r="Q138" s="338"/>
      <c r="R138" s="339"/>
      <c r="S138" s="227"/>
      <c r="T138" s="227"/>
      <c r="U138" s="227"/>
      <c r="V138" s="227"/>
      <c r="W138" s="227"/>
      <c r="X138" s="227"/>
      <c r="Y138" s="340"/>
      <c r="Z138" s="341"/>
      <c r="AA138" s="348"/>
      <c r="AB138" s="342"/>
      <c r="AC138" s="338"/>
      <c r="AD138" s="277"/>
      <c r="AF138" s="350"/>
      <c r="AG138" s="351"/>
      <c r="AH138" s="351"/>
      <c r="AI138" s="352"/>
      <c r="AJ138" s="35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c r="EG138" s="1"/>
      <c r="EH138" s="1"/>
      <c r="EI138" s="1"/>
      <c r="EJ138" s="1"/>
      <c r="EK138" s="1"/>
      <c r="EL138" s="1"/>
      <c r="EM138" s="1"/>
      <c r="EN138" s="1"/>
      <c r="EO138" s="1"/>
      <c r="EP138" s="1"/>
      <c r="EQ138" s="1"/>
      <c r="ER138" s="1"/>
      <c r="ES138" s="1"/>
      <c r="ET138" s="1"/>
      <c r="EU138" s="1"/>
      <c r="EV138" s="1"/>
      <c r="EW138" s="1"/>
      <c r="EX138" s="1"/>
      <c r="EY138" s="1"/>
      <c r="EZ138" s="1"/>
      <c r="FA138" s="1"/>
      <c r="FB138" s="1"/>
      <c r="FC138" s="1"/>
      <c r="FD138" s="1"/>
      <c r="FE138" s="1"/>
      <c r="FF138" s="1"/>
      <c r="FG138" s="1"/>
      <c r="FH138" s="1"/>
      <c r="FI138" s="1"/>
      <c r="FJ138" s="1"/>
      <c r="FK138" s="1"/>
      <c r="FL138" s="1"/>
      <c r="FM138" s="1"/>
      <c r="FN138" s="1"/>
      <c r="FO138" s="1"/>
      <c r="FP138" s="1"/>
      <c r="FQ138" s="1"/>
      <c r="FR138" s="1"/>
      <c r="FS138" s="1"/>
      <c r="FT138" s="1"/>
      <c r="FU138" s="1"/>
      <c r="FV138" s="1"/>
      <c r="FW138" s="1"/>
      <c r="FX138" s="1"/>
      <c r="FY138" s="1"/>
      <c r="FZ138" s="1"/>
      <c r="GA138" s="1"/>
      <c r="GB138" s="1"/>
      <c r="GC138" s="1"/>
      <c r="GD138" s="1"/>
      <c r="GE138" s="1"/>
      <c r="GF138" s="1"/>
      <c r="GG138" s="1"/>
      <c r="GH138" s="1"/>
      <c r="GI138" s="1"/>
      <c r="GJ138" s="1"/>
      <c r="GK138" s="1"/>
      <c r="GL138" s="1"/>
      <c r="GM138" s="1"/>
      <c r="GN138" s="1"/>
      <c r="GO138" s="1"/>
      <c r="GP138" s="1"/>
      <c r="GQ138" s="1"/>
      <c r="GR138" s="1"/>
      <c r="GS138" s="1"/>
      <c r="GT138" s="1"/>
      <c r="GU138" s="1"/>
      <c r="GV138" s="1"/>
      <c r="GW138" s="1"/>
      <c r="GX138" s="1"/>
      <c r="GY138" s="1"/>
      <c r="GZ138" s="1"/>
      <c r="HA138" s="1"/>
      <c r="HB138" s="1"/>
      <c r="HC138" s="1"/>
      <c r="HD138" s="1"/>
      <c r="HE138" s="1"/>
      <c r="HF138" s="1"/>
      <c r="HG138" s="1"/>
      <c r="HH138" s="1"/>
      <c r="HI138" s="1"/>
      <c r="HJ138" s="1"/>
      <c r="HK138" s="1"/>
      <c r="HL138" s="1"/>
    </row>
    <row r="139" spans="1:220" s="349" customFormat="1" ht="17.100000000000001" customHeight="1" x14ac:dyDescent="0.25">
      <c r="A139"/>
      <c r="B139" s="325"/>
      <c r="C139" s="329"/>
      <c r="D139" s="326"/>
      <c r="E139" s="330"/>
      <c r="F139" s="331"/>
      <c r="G139" s="223"/>
      <c r="H139" s="332"/>
      <c r="I139" s="109"/>
      <c r="J139" s="227"/>
      <c r="K139" s="156"/>
      <c r="L139" s="333"/>
      <c r="M139" s="343"/>
      <c r="N139" s="335"/>
      <c r="O139" s="336"/>
      <c r="P139" s="337"/>
      <c r="Q139" s="338"/>
      <c r="R139" s="339"/>
      <c r="S139" s="227"/>
      <c r="T139" s="227"/>
      <c r="U139" s="227"/>
      <c r="V139" s="227"/>
      <c r="W139" s="227"/>
      <c r="X139" s="227"/>
      <c r="Y139" s="340"/>
      <c r="Z139" s="341"/>
      <c r="AA139" s="348"/>
      <c r="AB139" s="342"/>
      <c r="AC139" s="338"/>
      <c r="AD139" s="277"/>
      <c r="AF139" s="350"/>
      <c r="AG139" s="351"/>
      <c r="AH139" s="351"/>
      <c r="AI139" s="352"/>
      <c r="AJ139" s="35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c r="EG139" s="1"/>
      <c r="EH139" s="1"/>
      <c r="EI139" s="1"/>
      <c r="EJ139" s="1"/>
      <c r="EK139" s="1"/>
      <c r="EL139" s="1"/>
      <c r="EM139" s="1"/>
      <c r="EN139" s="1"/>
      <c r="EO139" s="1"/>
      <c r="EP139" s="1"/>
      <c r="EQ139" s="1"/>
      <c r="ER139" s="1"/>
      <c r="ES139" s="1"/>
      <c r="ET139" s="1"/>
      <c r="EU139" s="1"/>
      <c r="EV139" s="1"/>
      <c r="EW139" s="1"/>
      <c r="EX139" s="1"/>
      <c r="EY139" s="1"/>
      <c r="EZ139" s="1"/>
      <c r="FA139" s="1"/>
      <c r="FB139" s="1"/>
      <c r="FC139" s="1"/>
      <c r="FD139" s="1"/>
      <c r="FE139" s="1"/>
      <c r="FF139" s="1"/>
      <c r="FG139" s="1"/>
      <c r="FH139" s="1"/>
      <c r="FI139" s="1"/>
      <c r="FJ139" s="1"/>
      <c r="FK139" s="1"/>
      <c r="FL139" s="1"/>
      <c r="FM139" s="1"/>
      <c r="FN139" s="1"/>
      <c r="FO139" s="1"/>
      <c r="FP139" s="1"/>
      <c r="FQ139" s="1"/>
      <c r="FR139" s="1"/>
      <c r="FS139" s="1"/>
      <c r="FT139" s="1"/>
      <c r="FU139" s="1"/>
      <c r="FV139" s="1"/>
      <c r="FW139" s="1"/>
      <c r="FX139" s="1"/>
      <c r="FY139" s="1"/>
      <c r="FZ139" s="1"/>
      <c r="GA139" s="1"/>
      <c r="GB139" s="1"/>
      <c r="GC139" s="1"/>
      <c r="GD139" s="1"/>
      <c r="GE139" s="1"/>
      <c r="GF139" s="1"/>
      <c r="GG139" s="1"/>
      <c r="GH139" s="1"/>
      <c r="GI139" s="1"/>
      <c r="GJ139" s="1"/>
      <c r="GK139" s="1"/>
      <c r="GL139" s="1"/>
      <c r="GM139" s="1"/>
      <c r="GN139" s="1"/>
      <c r="GO139" s="1"/>
      <c r="GP139" s="1"/>
      <c r="GQ139" s="1"/>
      <c r="GR139" s="1"/>
      <c r="GS139" s="1"/>
      <c r="GT139" s="1"/>
      <c r="GU139" s="1"/>
      <c r="GV139" s="1"/>
      <c r="GW139" s="1"/>
      <c r="GX139" s="1"/>
      <c r="GY139" s="1"/>
      <c r="GZ139" s="1"/>
      <c r="HA139" s="1"/>
      <c r="HB139" s="1"/>
      <c r="HC139" s="1"/>
      <c r="HD139" s="1"/>
      <c r="HE139" s="1"/>
      <c r="HF139" s="1"/>
      <c r="HG139" s="1"/>
      <c r="HH139" s="1"/>
      <c r="HI139" s="1"/>
      <c r="HJ139" s="1"/>
      <c r="HK139" s="1"/>
      <c r="HL139" s="1"/>
    </row>
    <row r="140" spans="1:220" s="349" customFormat="1" ht="17.100000000000001" customHeight="1" x14ac:dyDescent="0.25">
      <c r="A140"/>
      <c r="B140" s="325"/>
      <c r="C140" s="329"/>
      <c r="D140" s="326"/>
      <c r="E140" s="330"/>
      <c r="F140" s="331"/>
      <c r="G140" s="223"/>
      <c r="H140" s="332"/>
      <c r="I140" s="109"/>
      <c r="J140" s="227"/>
      <c r="K140" s="156"/>
      <c r="L140" s="333"/>
      <c r="M140" s="343"/>
      <c r="N140" s="335"/>
      <c r="O140" s="336"/>
      <c r="P140" s="337"/>
      <c r="Q140" s="338"/>
      <c r="R140" s="339"/>
      <c r="S140" s="227"/>
      <c r="T140" s="227"/>
      <c r="U140" s="227"/>
      <c r="V140" s="227"/>
      <c r="W140" s="227"/>
      <c r="X140" s="227"/>
      <c r="Y140" s="340"/>
      <c r="Z140" s="341"/>
      <c r="AA140" s="348"/>
      <c r="AB140" s="342"/>
      <c r="AC140" s="338"/>
      <c r="AD140" s="277"/>
      <c r="AF140" s="350"/>
      <c r="AG140" s="351"/>
      <c r="AH140" s="351"/>
      <c r="AI140" s="352"/>
      <c r="AJ140" s="35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c r="EG140" s="1"/>
      <c r="EH140" s="1"/>
      <c r="EI140" s="1"/>
      <c r="EJ140" s="1"/>
      <c r="EK140" s="1"/>
      <c r="EL140" s="1"/>
      <c r="EM140" s="1"/>
      <c r="EN140" s="1"/>
      <c r="EO140" s="1"/>
      <c r="EP140" s="1"/>
      <c r="EQ140" s="1"/>
      <c r="ER140" s="1"/>
      <c r="ES140" s="1"/>
      <c r="ET140" s="1"/>
      <c r="EU140" s="1"/>
      <c r="EV140" s="1"/>
      <c r="EW140" s="1"/>
      <c r="EX140" s="1"/>
      <c r="EY140" s="1"/>
      <c r="EZ140" s="1"/>
      <c r="FA140" s="1"/>
      <c r="FB140" s="1"/>
      <c r="FC140" s="1"/>
      <c r="FD140" s="1"/>
      <c r="FE140" s="1"/>
      <c r="FF140" s="1"/>
      <c r="FG140" s="1"/>
      <c r="FH140" s="1"/>
      <c r="FI140" s="1"/>
      <c r="FJ140" s="1"/>
      <c r="FK140" s="1"/>
      <c r="FL140" s="1"/>
      <c r="FM140" s="1"/>
      <c r="FN140" s="1"/>
      <c r="FO140" s="1"/>
      <c r="FP140" s="1"/>
      <c r="FQ140" s="1"/>
      <c r="FR140" s="1"/>
      <c r="FS140" s="1"/>
      <c r="FT140" s="1"/>
      <c r="FU140" s="1"/>
      <c r="FV140" s="1"/>
      <c r="FW140" s="1"/>
      <c r="FX140" s="1"/>
      <c r="FY140" s="1"/>
      <c r="FZ140" s="1"/>
      <c r="GA140" s="1"/>
      <c r="GB140" s="1"/>
      <c r="GC140" s="1"/>
      <c r="GD140" s="1"/>
      <c r="GE140" s="1"/>
      <c r="GF140" s="1"/>
      <c r="GG140" s="1"/>
      <c r="GH140" s="1"/>
      <c r="GI140" s="1"/>
      <c r="GJ140" s="1"/>
      <c r="GK140" s="1"/>
      <c r="GL140" s="1"/>
      <c r="GM140" s="1"/>
      <c r="GN140" s="1"/>
      <c r="GO140" s="1"/>
      <c r="GP140" s="1"/>
      <c r="GQ140" s="1"/>
      <c r="GR140" s="1"/>
      <c r="GS140" s="1"/>
      <c r="GT140" s="1"/>
      <c r="GU140" s="1"/>
      <c r="GV140" s="1"/>
      <c r="GW140" s="1"/>
      <c r="GX140" s="1"/>
      <c r="GY140" s="1"/>
      <c r="GZ140" s="1"/>
      <c r="HA140" s="1"/>
      <c r="HB140" s="1"/>
      <c r="HC140" s="1"/>
      <c r="HD140" s="1"/>
      <c r="HE140" s="1"/>
      <c r="HF140" s="1"/>
      <c r="HG140" s="1"/>
      <c r="HH140" s="1"/>
      <c r="HI140" s="1"/>
      <c r="HJ140" s="1"/>
      <c r="HK140" s="1"/>
      <c r="HL140" s="1"/>
    </row>
    <row r="141" spans="1:220" s="349" customFormat="1" ht="17.100000000000001" customHeight="1" x14ac:dyDescent="0.25">
      <c r="A141"/>
      <c r="B141" s="325"/>
      <c r="C141" s="329"/>
      <c r="D141" s="326"/>
      <c r="E141" s="330"/>
      <c r="F141" s="331"/>
      <c r="G141" s="223"/>
      <c r="H141" s="332"/>
      <c r="I141" s="109"/>
      <c r="J141" s="227"/>
      <c r="K141" s="156"/>
      <c r="L141" s="333"/>
      <c r="M141" s="343"/>
      <c r="N141" s="335"/>
      <c r="O141" s="336"/>
      <c r="P141" s="337"/>
      <c r="Q141" s="338"/>
      <c r="R141" s="339"/>
      <c r="S141" s="227"/>
      <c r="T141" s="227"/>
      <c r="U141" s="227"/>
      <c r="V141" s="227"/>
      <c r="W141" s="227"/>
      <c r="X141" s="227"/>
      <c r="Y141" s="340"/>
      <c r="Z141" s="341"/>
      <c r="AA141" s="348"/>
      <c r="AB141" s="342"/>
      <c r="AC141" s="338"/>
      <c r="AD141" s="277"/>
      <c r="AF141" s="350"/>
      <c r="AG141" s="351"/>
      <c r="AH141" s="351"/>
      <c r="AI141" s="352"/>
      <c r="AJ141" s="35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c r="EG141" s="1"/>
      <c r="EH141" s="1"/>
      <c r="EI141" s="1"/>
      <c r="EJ141" s="1"/>
      <c r="EK141" s="1"/>
      <c r="EL141" s="1"/>
      <c r="EM141" s="1"/>
      <c r="EN141" s="1"/>
      <c r="EO141" s="1"/>
      <c r="EP141" s="1"/>
      <c r="EQ141" s="1"/>
      <c r="ER141" s="1"/>
      <c r="ES141" s="1"/>
      <c r="ET141" s="1"/>
      <c r="EU141" s="1"/>
      <c r="EV141" s="1"/>
      <c r="EW141" s="1"/>
      <c r="EX141" s="1"/>
      <c r="EY141" s="1"/>
      <c r="EZ141" s="1"/>
      <c r="FA141" s="1"/>
      <c r="FB141" s="1"/>
      <c r="FC141" s="1"/>
      <c r="FD141" s="1"/>
      <c r="FE141" s="1"/>
      <c r="FF141" s="1"/>
      <c r="FG141" s="1"/>
      <c r="FH141" s="1"/>
      <c r="FI141" s="1"/>
      <c r="FJ141" s="1"/>
      <c r="FK141" s="1"/>
      <c r="FL141" s="1"/>
      <c r="FM141" s="1"/>
      <c r="FN141" s="1"/>
      <c r="FO141" s="1"/>
      <c r="FP141" s="1"/>
      <c r="FQ141" s="1"/>
      <c r="FR141" s="1"/>
      <c r="FS141" s="1"/>
      <c r="FT141" s="1"/>
      <c r="FU141" s="1"/>
      <c r="FV141" s="1"/>
      <c r="FW141" s="1"/>
      <c r="FX141" s="1"/>
      <c r="FY141" s="1"/>
      <c r="FZ141" s="1"/>
      <c r="GA141" s="1"/>
      <c r="GB141" s="1"/>
      <c r="GC141" s="1"/>
      <c r="GD141" s="1"/>
      <c r="GE141" s="1"/>
      <c r="GF141" s="1"/>
      <c r="GG141" s="1"/>
      <c r="GH141" s="1"/>
      <c r="GI141" s="1"/>
      <c r="GJ141" s="1"/>
      <c r="GK141" s="1"/>
      <c r="GL141" s="1"/>
      <c r="GM141" s="1"/>
      <c r="GN141" s="1"/>
      <c r="GO141" s="1"/>
      <c r="GP141" s="1"/>
      <c r="GQ141" s="1"/>
      <c r="GR141" s="1"/>
      <c r="GS141" s="1"/>
      <c r="GT141" s="1"/>
      <c r="GU141" s="1"/>
      <c r="GV141" s="1"/>
      <c r="GW141" s="1"/>
      <c r="GX141" s="1"/>
      <c r="GY141" s="1"/>
      <c r="GZ141" s="1"/>
      <c r="HA141" s="1"/>
      <c r="HB141" s="1"/>
      <c r="HC141" s="1"/>
      <c r="HD141" s="1"/>
      <c r="HE141" s="1"/>
      <c r="HF141" s="1"/>
      <c r="HG141" s="1"/>
      <c r="HH141" s="1"/>
      <c r="HI141" s="1"/>
      <c r="HJ141" s="1"/>
      <c r="HK141" s="1"/>
      <c r="HL141" s="1"/>
    </row>
    <row r="142" spans="1:220" s="349" customFormat="1" ht="17.100000000000001" customHeight="1" x14ac:dyDescent="0.25">
      <c r="A142"/>
      <c r="B142" s="325"/>
      <c r="C142" s="329"/>
      <c r="D142" s="326"/>
      <c r="E142" s="330"/>
      <c r="F142" s="331"/>
      <c r="G142" s="223"/>
      <c r="H142" s="332"/>
      <c r="I142" s="109"/>
      <c r="J142" s="227"/>
      <c r="K142" s="156"/>
      <c r="L142" s="333"/>
      <c r="M142" s="343"/>
      <c r="N142" s="335"/>
      <c r="O142" s="336"/>
      <c r="P142" s="337"/>
      <c r="Q142" s="338"/>
      <c r="R142" s="339"/>
      <c r="S142" s="227"/>
      <c r="T142" s="227"/>
      <c r="U142" s="227"/>
      <c r="V142" s="227"/>
      <c r="W142" s="227"/>
      <c r="X142" s="227"/>
      <c r="Y142" s="340"/>
      <c r="Z142" s="341"/>
      <c r="AA142" s="348"/>
      <c r="AB142" s="342"/>
      <c r="AC142" s="338"/>
      <c r="AD142" s="277"/>
      <c r="AF142" s="350"/>
      <c r="AG142" s="351"/>
      <c r="AH142" s="351"/>
      <c r="AI142" s="352"/>
      <c r="AJ142" s="35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c r="EG142" s="1"/>
      <c r="EH142" s="1"/>
      <c r="EI142" s="1"/>
      <c r="EJ142" s="1"/>
      <c r="EK142" s="1"/>
      <c r="EL142" s="1"/>
      <c r="EM142" s="1"/>
      <c r="EN142" s="1"/>
      <c r="EO142" s="1"/>
      <c r="EP142" s="1"/>
      <c r="EQ142" s="1"/>
      <c r="ER142" s="1"/>
      <c r="ES142" s="1"/>
      <c r="ET142" s="1"/>
      <c r="EU142" s="1"/>
      <c r="EV142" s="1"/>
      <c r="EW142" s="1"/>
      <c r="EX142" s="1"/>
      <c r="EY142" s="1"/>
      <c r="EZ142" s="1"/>
      <c r="FA142" s="1"/>
      <c r="FB142" s="1"/>
      <c r="FC142" s="1"/>
      <c r="FD142" s="1"/>
      <c r="FE142" s="1"/>
      <c r="FF142" s="1"/>
      <c r="FG142" s="1"/>
      <c r="FH142" s="1"/>
      <c r="FI142" s="1"/>
      <c r="FJ142" s="1"/>
      <c r="FK142" s="1"/>
      <c r="FL142" s="1"/>
      <c r="FM142" s="1"/>
      <c r="FN142" s="1"/>
      <c r="FO142" s="1"/>
      <c r="FP142" s="1"/>
      <c r="FQ142" s="1"/>
      <c r="FR142" s="1"/>
      <c r="FS142" s="1"/>
      <c r="FT142" s="1"/>
      <c r="FU142" s="1"/>
      <c r="FV142" s="1"/>
      <c r="FW142" s="1"/>
      <c r="FX142" s="1"/>
      <c r="FY142" s="1"/>
      <c r="FZ142" s="1"/>
      <c r="GA142" s="1"/>
      <c r="GB142" s="1"/>
      <c r="GC142" s="1"/>
      <c r="GD142" s="1"/>
      <c r="GE142" s="1"/>
      <c r="GF142" s="1"/>
      <c r="GG142" s="1"/>
      <c r="GH142" s="1"/>
      <c r="GI142" s="1"/>
      <c r="GJ142" s="1"/>
      <c r="GK142" s="1"/>
      <c r="GL142" s="1"/>
      <c r="GM142" s="1"/>
      <c r="GN142" s="1"/>
      <c r="GO142" s="1"/>
      <c r="GP142" s="1"/>
      <c r="GQ142" s="1"/>
      <c r="GR142" s="1"/>
      <c r="GS142" s="1"/>
      <c r="GT142" s="1"/>
      <c r="GU142" s="1"/>
      <c r="GV142" s="1"/>
      <c r="GW142" s="1"/>
      <c r="GX142" s="1"/>
      <c r="GY142" s="1"/>
      <c r="GZ142" s="1"/>
      <c r="HA142" s="1"/>
      <c r="HB142" s="1"/>
      <c r="HC142" s="1"/>
      <c r="HD142" s="1"/>
      <c r="HE142" s="1"/>
      <c r="HF142" s="1"/>
      <c r="HG142" s="1"/>
      <c r="HH142" s="1"/>
      <c r="HI142" s="1"/>
      <c r="HJ142" s="1"/>
      <c r="HK142" s="1"/>
      <c r="HL142" s="1"/>
    </row>
    <row r="143" spans="1:220" s="349" customFormat="1" ht="17.100000000000001" customHeight="1" x14ac:dyDescent="0.25">
      <c r="A143"/>
      <c r="B143" s="325"/>
      <c r="C143" s="329"/>
      <c r="D143" s="326"/>
      <c r="E143" s="330"/>
      <c r="F143" s="331"/>
      <c r="G143" s="223"/>
      <c r="H143" s="332"/>
      <c r="I143" s="109"/>
      <c r="J143" s="227"/>
      <c r="K143" s="156"/>
      <c r="L143" s="333"/>
      <c r="M143" s="343"/>
      <c r="N143" s="335"/>
      <c r="O143" s="336"/>
      <c r="P143" s="337"/>
      <c r="Q143" s="338"/>
      <c r="R143" s="339"/>
      <c r="S143" s="227"/>
      <c r="T143" s="227"/>
      <c r="U143" s="227"/>
      <c r="V143" s="227"/>
      <c r="W143" s="227"/>
      <c r="X143" s="227"/>
      <c r="Y143" s="340"/>
      <c r="Z143" s="341"/>
      <c r="AA143" s="348"/>
      <c r="AB143" s="342"/>
      <c r="AC143" s="338"/>
      <c r="AD143" s="277"/>
      <c r="AF143" s="350"/>
      <c r="AG143" s="351"/>
      <c r="AH143" s="351"/>
      <c r="AI143" s="352"/>
      <c r="AJ143" s="35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c r="EG143" s="1"/>
      <c r="EH143" s="1"/>
      <c r="EI143" s="1"/>
      <c r="EJ143" s="1"/>
      <c r="EK143" s="1"/>
      <c r="EL143" s="1"/>
      <c r="EM143" s="1"/>
      <c r="EN143" s="1"/>
      <c r="EO143" s="1"/>
      <c r="EP143" s="1"/>
      <c r="EQ143" s="1"/>
      <c r="ER143" s="1"/>
      <c r="ES143" s="1"/>
      <c r="ET143" s="1"/>
      <c r="EU143" s="1"/>
      <c r="EV143" s="1"/>
      <c r="EW143" s="1"/>
      <c r="EX143" s="1"/>
      <c r="EY143" s="1"/>
      <c r="EZ143" s="1"/>
      <c r="FA143" s="1"/>
      <c r="FB143" s="1"/>
      <c r="FC143" s="1"/>
      <c r="FD143" s="1"/>
      <c r="FE143" s="1"/>
      <c r="FF143" s="1"/>
      <c r="FG143" s="1"/>
      <c r="FH143" s="1"/>
      <c r="FI143" s="1"/>
      <c r="FJ143" s="1"/>
      <c r="FK143" s="1"/>
      <c r="FL143" s="1"/>
      <c r="FM143" s="1"/>
      <c r="FN143" s="1"/>
      <c r="FO143" s="1"/>
      <c r="FP143" s="1"/>
      <c r="FQ143" s="1"/>
      <c r="FR143" s="1"/>
      <c r="FS143" s="1"/>
      <c r="FT143" s="1"/>
      <c r="FU143" s="1"/>
      <c r="FV143" s="1"/>
      <c r="FW143" s="1"/>
      <c r="FX143" s="1"/>
      <c r="FY143" s="1"/>
      <c r="FZ143" s="1"/>
      <c r="GA143" s="1"/>
      <c r="GB143" s="1"/>
      <c r="GC143" s="1"/>
      <c r="GD143" s="1"/>
      <c r="GE143" s="1"/>
      <c r="GF143" s="1"/>
      <c r="GG143" s="1"/>
      <c r="GH143" s="1"/>
      <c r="GI143" s="1"/>
      <c r="GJ143" s="1"/>
      <c r="GK143" s="1"/>
      <c r="GL143" s="1"/>
      <c r="GM143" s="1"/>
      <c r="GN143" s="1"/>
      <c r="GO143" s="1"/>
      <c r="GP143" s="1"/>
      <c r="GQ143" s="1"/>
      <c r="GR143" s="1"/>
      <c r="GS143" s="1"/>
      <c r="GT143" s="1"/>
      <c r="GU143" s="1"/>
      <c r="GV143" s="1"/>
      <c r="GW143" s="1"/>
      <c r="GX143" s="1"/>
      <c r="GY143" s="1"/>
      <c r="GZ143" s="1"/>
      <c r="HA143" s="1"/>
      <c r="HB143" s="1"/>
      <c r="HC143" s="1"/>
      <c r="HD143" s="1"/>
      <c r="HE143" s="1"/>
      <c r="HF143" s="1"/>
      <c r="HG143" s="1"/>
      <c r="HH143" s="1"/>
      <c r="HI143" s="1"/>
      <c r="HJ143" s="1"/>
      <c r="HK143" s="1"/>
      <c r="HL143" s="1"/>
    </row>
    <row r="144" spans="1:220" s="349" customFormat="1" ht="17.100000000000001" customHeight="1" x14ac:dyDescent="0.25">
      <c r="A144"/>
      <c r="B144" s="325"/>
      <c r="C144" s="329"/>
      <c r="D144" s="326"/>
      <c r="E144" s="330"/>
      <c r="F144" s="331"/>
      <c r="G144" s="223"/>
      <c r="H144" s="332"/>
      <c r="I144" s="109"/>
      <c r="J144" s="227"/>
      <c r="K144" s="156"/>
      <c r="L144" s="333"/>
      <c r="M144" s="343"/>
      <c r="N144" s="335"/>
      <c r="O144" s="336"/>
      <c r="P144" s="337"/>
      <c r="Q144" s="338"/>
      <c r="R144" s="339"/>
      <c r="S144" s="227"/>
      <c r="T144" s="227"/>
      <c r="U144" s="227"/>
      <c r="V144" s="227"/>
      <c r="W144" s="227"/>
      <c r="X144" s="227"/>
      <c r="Y144" s="340"/>
      <c r="Z144" s="341"/>
      <c r="AA144" s="348"/>
      <c r="AB144" s="342"/>
      <c r="AC144" s="338"/>
      <c r="AD144" s="277"/>
      <c r="AF144" s="350"/>
      <c r="AG144" s="351"/>
      <c r="AH144" s="351"/>
      <c r="AI144" s="352"/>
      <c r="AJ144" s="35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c r="EG144" s="1"/>
      <c r="EH144" s="1"/>
      <c r="EI144" s="1"/>
      <c r="EJ144" s="1"/>
      <c r="EK144" s="1"/>
      <c r="EL144" s="1"/>
      <c r="EM144" s="1"/>
      <c r="EN144" s="1"/>
      <c r="EO144" s="1"/>
      <c r="EP144" s="1"/>
      <c r="EQ144" s="1"/>
      <c r="ER144" s="1"/>
      <c r="ES144" s="1"/>
      <c r="ET144" s="1"/>
      <c r="EU144" s="1"/>
      <c r="EV144" s="1"/>
      <c r="EW144" s="1"/>
      <c r="EX144" s="1"/>
      <c r="EY144" s="1"/>
      <c r="EZ144" s="1"/>
      <c r="FA144" s="1"/>
      <c r="FB144" s="1"/>
      <c r="FC144" s="1"/>
      <c r="FD144" s="1"/>
      <c r="FE144" s="1"/>
      <c r="FF144" s="1"/>
      <c r="FG144" s="1"/>
      <c r="FH144" s="1"/>
      <c r="FI144" s="1"/>
      <c r="FJ144" s="1"/>
      <c r="FK144" s="1"/>
      <c r="FL144" s="1"/>
      <c r="FM144" s="1"/>
      <c r="FN144" s="1"/>
      <c r="FO144" s="1"/>
      <c r="FP144" s="1"/>
      <c r="FQ144" s="1"/>
      <c r="FR144" s="1"/>
      <c r="FS144" s="1"/>
      <c r="FT144" s="1"/>
      <c r="FU144" s="1"/>
      <c r="FV144" s="1"/>
      <c r="FW144" s="1"/>
      <c r="FX144" s="1"/>
      <c r="FY144" s="1"/>
      <c r="FZ144" s="1"/>
      <c r="GA144" s="1"/>
      <c r="GB144" s="1"/>
      <c r="GC144" s="1"/>
      <c r="GD144" s="1"/>
      <c r="GE144" s="1"/>
      <c r="GF144" s="1"/>
      <c r="GG144" s="1"/>
      <c r="GH144" s="1"/>
      <c r="GI144" s="1"/>
      <c r="GJ144" s="1"/>
      <c r="GK144" s="1"/>
      <c r="GL144" s="1"/>
      <c r="GM144" s="1"/>
      <c r="GN144" s="1"/>
      <c r="GO144" s="1"/>
      <c r="GP144" s="1"/>
      <c r="GQ144" s="1"/>
      <c r="GR144" s="1"/>
      <c r="GS144" s="1"/>
      <c r="GT144" s="1"/>
      <c r="GU144" s="1"/>
      <c r="GV144" s="1"/>
      <c r="GW144" s="1"/>
      <c r="GX144" s="1"/>
      <c r="GY144" s="1"/>
      <c r="GZ144" s="1"/>
      <c r="HA144" s="1"/>
      <c r="HB144" s="1"/>
      <c r="HC144" s="1"/>
      <c r="HD144" s="1"/>
      <c r="HE144" s="1"/>
      <c r="HF144" s="1"/>
      <c r="HG144" s="1"/>
      <c r="HH144" s="1"/>
      <c r="HI144" s="1"/>
      <c r="HJ144" s="1"/>
      <c r="HK144" s="1"/>
      <c r="HL144" s="1"/>
    </row>
    <row r="145" spans="1:220" s="349" customFormat="1" ht="17.100000000000001" customHeight="1" x14ac:dyDescent="0.25">
      <c r="A145"/>
      <c r="B145" s="325"/>
      <c r="C145" s="329"/>
      <c r="D145" s="326"/>
      <c r="E145" s="330"/>
      <c r="F145" s="331"/>
      <c r="G145" s="223"/>
      <c r="H145" s="332"/>
      <c r="I145" s="109"/>
      <c r="J145" s="227"/>
      <c r="K145" s="156"/>
      <c r="L145" s="333"/>
      <c r="M145" s="343"/>
      <c r="N145" s="335"/>
      <c r="O145" s="336"/>
      <c r="P145" s="337"/>
      <c r="Q145" s="338"/>
      <c r="R145" s="339"/>
      <c r="S145" s="227"/>
      <c r="T145" s="227"/>
      <c r="U145" s="227"/>
      <c r="V145" s="227"/>
      <c r="W145" s="227"/>
      <c r="X145" s="227"/>
      <c r="Y145" s="340"/>
      <c r="Z145" s="341"/>
      <c r="AA145" s="348"/>
      <c r="AB145" s="342"/>
      <c r="AC145" s="338"/>
      <c r="AD145" s="277"/>
      <c r="AF145" s="350"/>
      <c r="AG145" s="351"/>
      <c r="AH145" s="351"/>
      <c r="AI145" s="352"/>
      <c r="AJ145" s="35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c r="EG145" s="1"/>
      <c r="EH145" s="1"/>
      <c r="EI145" s="1"/>
      <c r="EJ145" s="1"/>
      <c r="EK145" s="1"/>
      <c r="EL145" s="1"/>
      <c r="EM145" s="1"/>
      <c r="EN145" s="1"/>
      <c r="EO145" s="1"/>
      <c r="EP145" s="1"/>
      <c r="EQ145" s="1"/>
      <c r="ER145" s="1"/>
      <c r="ES145" s="1"/>
      <c r="ET145" s="1"/>
      <c r="EU145" s="1"/>
      <c r="EV145" s="1"/>
      <c r="EW145" s="1"/>
      <c r="EX145" s="1"/>
      <c r="EY145" s="1"/>
      <c r="EZ145" s="1"/>
      <c r="FA145" s="1"/>
      <c r="FB145" s="1"/>
      <c r="FC145" s="1"/>
      <c r="FD145" s="1"/>
      <c r="FE145" s="1"/>
      <c r="FF145" s="1"/>
      <c r="FG145" s="1"/>
      <c r="FH145" s="1"/>
      <c r="FI145" s="1"/>
      <c r="FJ145" s="1"/>
      <c r="FK145" s="1"/>
      <c r="FL145" s="1"/>
      <c r="FM145" s="1"/>
      <c r="FN145" s="1"/>
      <c r="FO145" s="1"/>
      <c r="FP145" s="1"/>
      <c r="FQ145" s="1"/>
      <c r="FR145" s="1"/>
      <c r="FS145" s="1"/>
      <c r="FT145" s="1"/>
      <c r="FU145" s="1"/>
      <c r="FV145" s="1"/>
      <c r="FW145" s="1"/>
      <c r="FX145" s="1"/>
      <c r="FY145" s="1"/>
      <c r="FZ145" s="1"/>
      <c r="GA145" s="1"/>
      <c r="GB145" s="1"/>
      <c r="GC145" s="1"/>
      <c r="GD145" s="1"/>
      <c r="GE145" s="1"/>
      <c r="GF145" s="1"/>
      <c r="GG145" s="1"/>
      <c r="GH145" s="1"/>
      <c r="GI145" s="1"/>
      <c r="GJ145" s="1"/>
      <c r="GK145" s="1"/>
      <c r="GL145" s="1"/>
      <c r="GM145" s="1"/>
      <c r="GN145" s="1"/>
      <c r="GO145" s="1"/>
      <c r="GP145" s="1"/>
      <c r="GQ145" s="1"/>
      <c r="GR145" s="1"/>
      <c r="GS145" s="1"/>
      <c r="GT145" s="1"/>
      <c r="GU145" s="1"/>
      <c r="GV145" s="1"/>
      <c r="GW145" s="1"/>
      <c r="GX145" s="1"/>
      <c r="GY145" s="1"/>
      <c r="GZ145" s="1"/>
      <c r="HA145" s="1"/>
      <c r="HB145" s="1"/>
      <c r="HC145" s="1"/>
      <c r="HD145" s="1"/>
      <c r="HE145" s="1"/>
      <c r="HF145" s="1"/>
      <c r="HG145" s="1"/>
      <c r="HH145" s="1"/>
      <c r="HI145" s="1"/>
      <c r="HJ145" s="1"/>
      <c r="HK145" s="1"/>
      <c r="HL145" s="1"/>
    </row>
    <row r="146" spans="1:220" s="349" customFormat="1" ht="17.100000000000001" customHeight="1" x14ac:dyDescent="0.25">
      <c r="A146"/>
      <c r="B146" s="325"/>
      <c r="C146" s="329"/>
      <c r="D146" s="326"/>
      <c r="E146" s="330"/>
      <c r="F146" s="331"/>
      <c r="G146" s="223"/>
      <c r="H146" s="332"/>
      <c r="I146" s="109"/>
      <c r="J146" s="227"/>
      <c r="K146" s="156"/>
      <c r="L146" s="333"/>
      <c r="M146" s="343"/>
      <c r="N146" s="335"/>
      <c r="O146" s="336"/>
      <c r="P146" s="337"/>
      <c r="Q146" s="338"/>
      <c r="R146" s="339"/>
      <c r="S146" s="227"/>
      <c r="T146" s="227"/>
      <c r="U146" s="227"/>
      <c r="V146" s="227"/>
      <c r="W146" s="227"/>
      <c r="X146" s="227"/>
      <c r="Y146" s="340"/>
      <c r="Z146" s="341"/>
      <c r="AA146" s="348"/>
      <c r="AB146" s="342"/>
      <c r="AC146" s="338"/>
      <c r="AD146" s="277"/>
      <c r="AF146" s="350"/>
      <c r="AG146" s="351"/>
      <c r="AH146" s="351"/>
      <c r="AI146" s="352"/>
      <c r="AJ146" s="35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c r="EG146" s="1"/>
      <c r="EH146" s="1"/>
      <c r="EI146" s="1"/>
      <c r="EJ146" s="1"/>
      <c r="EK146" s="1"/>
      <c r="EL146" s="1"/>
      <c r="EM146" s="1"/>
      <c r="EN146" s="1"/>
      <c r="EO146" s="1"/>
      <c r="EP146" s="1"/>
      <c r="EQ146" s="1"/>
      <c r="ER146" s="1"/>
      <c r="ES146" s="1"/>
      <c r="ET146" s="1"/>
      <c r="EU146" s="1"/>
      <c r="EV146" s="1"/>
      <c r="EW146" s="1"/>
      <c r="EX146" s="1"/>
      <c r="EY146" s="1"/>
      <c r="EZ146" s="1"/>
      <c r="FA146" s="1"/>
      <c r="FB146" s="1"/>
      <c r="FC146" s="1"/>
      <c r="FD146" s="1"/>
      <c r="FE146" s="1"/>
      <c r="FF146" s="1"/>
      <c r="FG146" s="1"/>
      <c r="FH146" s="1"/>
      <c r="FI146" s="1"/>
      <c r="FJ146" s="1"/>
      <c r="FK146" s="1"/>
      <c r="FL146" s="1"/>
      <c r="FM146" s="1"/>
      <c r="FN146" s="1"/>
      <c r="FO146" s="1"/>
      <c r="FP146" s="1"/>
      <c r="FQ146" s="1"/>
      <c r="FR146" s="1"/>
      <c r="FS146" s="1"/>
      <c r="FT146" s="1"/>
      <c r="FU146" s="1"/>
      <c r="FV146" s="1"/>
      <c r="FW146" s="1"/>
      <c r="FX146" s="1"/>
      <c r="FY146" s="1"/>
      <c r="FZ146" s="1"/>
      <c r="GA146" s="1"/>
      <c r="GB146" s="1"/>
      <c r="GC146" s="1"/>
      <c r="GD146" s="1"/>
      <c r="GE146" s="1"/>
      <c r="GF146" s="1"/>
      <c r="GG146" s="1"/>
      <c r="GH146" s="1"/>
      <c r="GI146" s="1"/>
      <c r="GJ146" s="1"/>
      <c r="GK146" s="1"/>
      <c r="GL146" s="1"/>
      <c r="GM146" s="1"/>
      <c r="GN146" s="1"/>
      <c r="GO146" s="1"/>
      <c r="GP146" s="1"/>
      <c r="GQ146" s="1"/>
      <c r="GR146" s="1"/>
      <c r="GS146" s="1"/>
      <c r="GT146" s="1"/>
      <c r="GU146" s="1"/>
      <c r="GV146" s="1"/>
      <c r="GW146" s="1"/>
      <c r="GX146" s="1"/>
      <c r="GY146" s="1"/>
      <c r="GZ146" s="1"/>
      <c r="HA146" s="1"/>
      <c r="HB146" s="1"/>
      <c r="HC146" s="1"/>
      <c r="HD146" s="1"/>
      <c r="HE146" s="1"/>
      <c r="HF146" s="1"/>
      <c r="HG146" s="1"/>
      <c r="HH146" s="1"/>
      <c r="HI146" s="1"/>
      <c r="HJ146" s="1"/>
      <c r="HK146" s="1"/>
      <c r="HL146" s="1"/>
    </row>
    <row r="147" spans="1:220" s="349" customFormat="1" ht="17.100000000000001" customHeight="1" x14ac:dyDescent="0.25">
      <c r="A147"/>
      <c r="B147" s="325"/>
      <c r="C147" s="329"/>
      <c r="D147" s="326"/>
      <c r="E147" s="330"/>
      <c r="F147" s="331"/>
      <c r="G147" s="223"/>
      <c r="H147" s="332"/>
      <c r="I147" s="109"/>
      <c r="J147" s="227"/>
      <c r="K147" s="156"/>
      <c r="L147" s="333"/>
      <c r="M147" s="343"/>
      <c r="N147" s="335"/>
      <c r="O147" s="336"/>
      <c r="P147" s="337"/>
      <c r="Q147" s="338"/>
      <c r="R147" s="339"/>
      <c r="S147" s="227"/>
      <c r="T147" s="227"/>
      <c r="U147" s="227"/>
      <c r="V147" s="227"/>
      <c r="W147" s="227"/>
      <c r="X147" s="227"/>
      <c r="Y147" s="340"/>
      <c r="Z147" s="341"/>
      <c r="AA147" s="348"/>
      <c r="AB147" s="342"/>
      <c r="AC147" s="338"/>
      <c r="AD147" s="277"/>
      <c r="AF147" s="350"/>
      <c r="AG147" s="351"/>
      <c r="AH147" s="351"/>
      <c r="AI147" s="352"/>
      <c r="AJ147" s="35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c r="EG147" s="1"/>
      <c r="EH147" s="1"/>
      <c r="EI147" s="1"/>
      <c r="EJ147" s="1"/>
      <c r="EK147" s="1"/>
      <c r="EL147" s="1"/>
      <c r="EM147" s="1"/>
      <c r="EN147" s="1"/>
      <c r="EO147" s="1"/>
      <c r="EP147" s="1"/>
      <c r="EQ147" s="1"/>
      <c r="ER147" s="1"/>
      <c r="ES147" s="1"/>
      <c r="ET147" s="1"/>
      <c r="EU147" s="1"/>
      <c r="EV147" s="1"/>
      <c r="EW147" s="1"/>
      <c r="EX147" s="1"/>
      <c r="EY147" s="1"/>
      <c r="EZ147" s="1"/>
      <c r="FA147" s="1"/>
      <c r="FB147" s="1"/>
      <c r="FC147" s="1"/>
      <c r="FD147" s="1"/>
      <c r="FE147" s="1"/>
      <c r="FF147" s="1"/>
      <c r="FG147" s="1"/>
      <c r="FH147" s="1"/>
      <c r="FI147" s="1"/>
      <c r="FJ147" s="1"/>
      <c r="FK147" s="1"/>
      <c r="FL147" s="1"/>
      <c r="FM147" s="1"/>
      <c r="FN147" s="1"/>
      <c r="FO147" s="1"/>
      <c r="FP147" s="1"/>
      <c r="FQ147" s="1"/>
      <c r="FR147" s="1"/>
      <c r="FS147" s="1"/>
      <c r="FT147" s="1"/>
      <c r="FU147" s="1"/>
      <c r="FV147" s="1"/>
      <c r="FW147" s="1"/>
      <c r="FX147" s="1"/>
      <c r="FY147" s="1"/>
      <c r="FZ147" s="1"/>
      <c r="GA147" s="1"/>
      <c r="GB147" s="1"/>
      <c r="GC147" s="1"/>
      <c r="GD147" s="1"/>
      <c r="GE147" s="1"/>
      <c r="GF147" s="1"/>
      <c r="GG147" s="1"/>
      <c r="GH147" s="1"/>
      <c r="GI147" s="1"/>
      <c r="GJ147" s="1"/>
      <c r="GK147" s="1"/>
      <c r="GL147" s="1"/>
      <c r="GM147" s="1"/>
      <c r="GN147" s="1"/>
      <c r="GO147" s="1"/>
      <c r="GP147" s="1"/>
      <c r="GQ147" s="1"/>
      <c r="GR147" s="1"/>
      <c r="GS147" s="1"/>
      <c r="GT147" s="1"/>
      <c r="GU147" s="1"/>
      <c r="GV147" s="1"/>
      <c r="GW147" s="1"/>
      <c r="GX147" s="1"/>
      <c r="GY147" s="1"/>
      <c r="GZ147" s="1"/>
      <c r="HA147" s="1"/>
      <c r="HB147" s="1"/>
      <c r="HC147" s="1"/>
      <c r="HD147" s="1"/>
      <c r="HE147" s="1"/>
      <c r="HF147" s="1"/>
      <c r="HG147" s="1"/>
      <c r="HH147" s="1"/>
      <c r="HI147" s="1"/>
      <c r="HJ147" s="1"/>
      <c r="HK147" s="1"/>
      <c r="HL147" s="1"/>
    </row>
    <row r="148" spans="1:220" s="349" customFormat="1" ht="17.100000000000001" customHeight="1" x14ac:dyDescent="0.25">
      <c r="A148"/>
      <c r="B148" s="325"/>
      <c r="C148" s="329"/>
      <c r="D148" s="326"/>
      <c r="E148" s="330"/>
      <c r="F148" s="331"/>
      <c r="G148" s="223"/>
      <c r="H148" s="332"/>
      <c r="I148" s="109"/>
      <c r="J148" s="227"/>
      <c r="K148" s="156"/>
      <c r="L148" s="333"/>
      <c r="M148" s="343"/>
      <c r="N148" s="335"/>
      <c r="O148" s="336"/>
      <c r="P148" s="337"/>
      <c r="Q148" s="338"/>
      <c r="R148" s="339"/>
      <c r="S148" s="227"/>
      <c r="T148" s="227"/>
      <c r="U148" s="227"/>
      <c r="V148" s="227"/>
      <c r="W148" s="227"/>
      <c r="X148" s="227"/>
      <c r="Y148" s="340"/>
      <c r="Z148" s="341"/>
      <c r="AA148" s="348"/>
      <c r="AB148" s="342"/>
      <c r="AC148" s="338"/>
      <c r="AD148" s="277"/>
      <c r="AF148" s="350"/>
      <c r="AG148" s="351"/>
      <c r="AH148" s="351"/>
      <c r="AI148" s="352"/>
      <c r="AJ148" s="35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c r="EG148" s="1"/>
      <c r="EH148" s="1"/>
      <c r="EI148" s="1"/>
      <c r="EJ148" s="1"/>
      <c r="EK148" s="1"/>
      <c r="EL148" s="1"/>
      <c r="EM148" s="1"/>
      <c r="EN148" s="1"/>
      <c r="EO148" s="1"/>
      <c r="EP148" s="1"/>
      <c r="EQ148" s="1"/>
      <c r="ER148" s="1"/>
      <c r="ES148" s="1"/>
      <c r="ET148" s="1"/>
      <c r="EU148" s="1"/>
      <c r="EV148" s="1"/>
      <c r="EW148" s="1"/>
      <c r="EX148" s="1"/>
      <c r="EY148" s="1"/>
      <c r="EZ148" s="1"/>
      <c r="FA148" s="1"/>
      <c r="FB148" s="1"/>
      <c r="FC148" s="1"/>
      <c r="FD148" s="1"/>
      <c r="FE148" s="1"/>
      <c r="FF148" s="1"/>
      <c r="FG148" s="1"/>
      <c r="FH148" s="1"/>
      <c r="FI148" s="1"/>
      <c r="FJ148" s="1"/>
      <c r="FK148" s="1"/>
      <c r="FL148" s="1"/>
      <c r="FM148" s="1"/>
      <c r="FN148" s="1"/>
      <c r="FO148" s="1"/>
      <c r="FP148" s="1"/>
      <c r="FQ148" s="1"/>
      <c r="FR148" s="1"/>
      <c r="FS148" s="1"/>
      <c r="FT148" s="1"/>
      <c r="FU148" s="1"/>
      <c r="FV148" s="1"/>
      <c r="FW148" s="1"/>
      <c r="FX148" s="1"/>
      <c r="FY148" s="1"/>
      <c r="FZ148" s="1"/>
      <c r="GA148" s="1"/>
      <c r="GB148" s="1"/>
      <c r="GC148" s="1"/>
      <c r="GD148" s="1"/>
      <c r="GE148" s="1"/>
      <c r="GF148" s="1"/>
      <c r="GG148" s="1"/>
      <c r="GH148" s="1"/>
      <c r="GI148" s="1"/>
      <c r="GJ148" s="1"/>
      <c r="GK148" s="1"/>
      <c r="GL148" s="1"/>
      <c r="GM148" s="1"/>
      <c r="GN148" s="1"/>
      <c r="GO148" s="1"/>
      <c r="GP148" s="1"/>
      <c r="GQ148" s="1"/>
      <c r="GR148" s="1"/>
      <c r="GS148" s="1"/>
      <c r="GT148" s="1"/>
      <c r="GU148" s="1"/>
      <c r="GV148" s="1"/>
      <c r="GW148" s="1"/>
      <c r="GX148" s="1"/>
      <c r="GY148" s="1"/>
      <c r="GZ148" s="1"/>
      <c r="HA148" s="1"/>
      <c r="HB148" s="1"/>
      <c r="HC148" s="1"/>
      <c r="HD148" s="1"/>
      <c r="HE148" s="1"/>
      <c r="HF148" s="1"/>
      <c r="HG148" s="1"/>
      <c r="HH148" s="1"/>
      <c r="HI148" s="1"/>
      <c r="HJ148" s="1"/>
      <c r="HK148" s="1"/>
      <c r="HL148" s="1"/>
    </row>
    <row r="149" spans="1:220" s="349" customFormat="1" ht="17.100000000000001" customHeight="1" x14ac:dyDescent="0.25">
      <c r="A149"/>
      <c r="B149" s="325"/>
      <c r="C149" s="329"/>
      <c r="D149" s="326"/>
      <c r="E149" s="330"/>
      <c r="F149" s="331"/>
      <c r="G149" s="223"/>
      <c r="H149" s="332"/>
      <c r="I149" s="109"/>
      <c r="J149" s="227"/>
      <c r="K149" s="156"/>
      <c r="L149" s="333"/>
      <c r="M149" s="343"/>
      <c r="N149" s="335"/>
      <c r="O149" s="336"/>
      <c r="P149" s="337"/>
      <c r="Q149" s="338"/>
      <c r="R149" s="339"/>
      <c r="S149" s="227"/>
      <c r="T149" s="227"/>
      <c r="U149" s="227"/>
      <c r="V149" s="227"/>
      <c r="W149" s="227"/>
      <c r="X149" s="227"/>
      <c r="Y149" s="340"/>
      <c r="Z149" s="341"/>
      <c r="AA149" s="348"/>
      <c r="AB149" s="342"/>
      <c r="AC149" s="338"/>
      <c r="AD149" s="277"/>
      <c r="AF149" s="350"/>
      <c r="AG149" s="351"/>
      <c r="AH149" s="351"/>
      <c r="AI149" s="352"/>
      <c r="AJ149" s="35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c r="EG149" s="1"/>
      <c r="EH149" s="1"/>
      <c r="EI149" s="1"/>
      <c r="EJ149" s="1"/>
      <c r="EK149" s="1"/>
      <c r="EL149" s="1"/>
      <c r="EM149" s="1"/>
      <c r="EN149" s="1"/>
      <c r="EO149" s="1"/>
      <c r="EP149" s="1"/>
      <c r="EQ149" s="1"/>
      <c r="ER149" s="1"/>
      <c r="ES149" s="1"/>
      <c r="ET149" s="1"/>
      <c r="EU149" s="1"/>
      <c r="EV149" s="1"/>
      <c r="EW149" s="1"/>
      <c r="EX149" s="1"/>
      <c r="EY149" s="1"/>
      <c r="EZ149" s="1"/>
      <c r="FA149" s="1"/>
      <c r="FB149" s="1"/>
      <c r="FC149" s="1"/>
      <c r="FD149" s="1"/>
      <c r="FE149" s="1"/>
      <c r="FF149" s="1"/>
      <c r="FG149" s="1"/>
      <c r="FH149" s="1"/>
      <c r="FI149" s="1"/>
      <c r="FJ149" s="1"/>
      <c r="FK149" s="1"/>
      <c r="FL149" s="1"/>
      <c r="FM149" s="1"/>
      <c r="FN149" s="1"/>
      <c r="FO149" s="1"/>
      <c r="FP149" s="1"/>
      <c r="FQ149" s="1"/>
      <c r="FR149" s="1"/>
      <c r="FS149" s="1"/>
      <c r="FT149" s="1"/>
      <c r="FU149" s="1"/>
      <c r="FV149" s="1"/>
      <c r="FW149" s="1"/>
      <c r="FX149" s="1"/>
      <c r="FY149" s="1"/>
      <c r="FZ149" s="1"/>
      <c r="GA149" s="1"/>
      <c r="GB149" s="1"/>
      <c r="GC149" s="1"/>
      <c r="GD149" s="1"/>
      <c r="GE149" s="1"/>
      <c r="GF149" s="1"/>
      <c r="GG149" s="1"/>
      <c r="GH149" s="1"/>
      <c r="GI149" s="1"/>
      <c r="GJ149" s="1"/>
      <c r="GK149" s="1"/>
      <c r="GL149" s="1"/>
      <c r="GM149" s="1"/>
      <c r="GN149" s="1"/>
      <c r="GO149" s="1"/>
      <c r="GP149" s="1"/>
      <c r="GQ149" s="1"/>
      <c r="GR149" s="1"/>
      <c r="GS149" s="1"/>
      <c r="GT149" s="1"/>
      <c r="GU149" s="1"/>
      <c r="GV149" s="1"/>
      <c r="GW149" s="1"/>
      <c r="GX149" s="1"/>
      <c r="GY149" s="1"/>
      <c r="GZ149" s="1"/>
      <c r="HA149" s="1"/>
      <c r="HB149" s="1"/>
      <c r="HC149" s="1"/>
      <c r="HD149" s="1"/>
      <c r="HE149" s="1"/>
      <c r="HF149" s="1"/>
      <c r="HG149" s="1"/>
      <c r="HH149" s="1"/>
      <c r="HI149" s="1"/>
      <c r="HJ149" s="1"/>
      <c r="HK149" s="1"/>
      <c r="HL149" s="1"/>
    </row>
    <row r="150" spans="1:220" s="349" customFormat="1" ht="17.100000000000001" customHeight="1" x14ac:dyDescent="0.25">
      <c r="A150"/>
      <c r="B150" s="325"/>
      <c r="C150" s="329"/>
      <c r="D150" s="326"/>
      <c r="E150" s="330"/>
      <c r="F150" s="331"/>
      <c r="G150" s="223"/>
      <c r="H150" s="332"/>
      <c r="I150" s="109"/>
      <c r="J150" s="227"/>
      <c r="K150" s="156"/>
      <c r="L150" s="333"/>
      <c r="M150" s="343"/>
      <c r="N150" s="335"/>
      <c r="O150" s="336"/>
      <c r="P150" s="337"/>
      <c r="Q150" s="338"/>
      <c r="R150" s="339"/>
      <c r="S150" s="227"/>
      <c r="T150" s="227"/>
      <c r="U150" s="227"/>
      <c r="V150" s="227"/>
      <c r="W150" s="227"/>
      <c r="X150" s="227"/>
      <c r="Y150" s="340"/>
      <c r="Z150" s="341"/>
      <c r="AA150" s="348"/>
      <c r="AB150" s="342"/>
      <c r="AC150" s="338"/>
      <c r="AD150" s="277"/>
      <c r="AF150" s="350"/>
      <c r="AG150" s="351"/>
      <c r="AH150" s="351"/>
      <c r="AI150" s="352"/>
      <c r="AJ150" s="35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c r="EG150" s="1"/>
      <c r="EH150" s="1"/>
      <c r="EI150" s="1"/>
      <c r="EJ150" s="1"/>
      <c r="EK150" s="1"/>
      <c r="EL150" s="1"/>
      <c r="EM150" s="1"/>
      <c r="EN150" s="1"/>
      <c r="EO150" s="1"/>
      <c r="EP150" s="1"/>
      <c r="EQ150" s="1"/>
      <c r="ER150" s="1"/>
      <c r="ES150" s="1"/>
      <c r="ET150" s="1"/>
      <c r="EU150" s="1"/>
      <c r="EV150" s="1"/>
      <c r="EW150" s="1"/>
      <c r="EX150" s="1"/>
      <c r="EY150" s="1"/>
      <c r="EZ150" s="1"/>
      <c r="FA150" s="1"/>
      <c r="FB150" s="1"/>
      <c r="FC150" s="1"/>
      <c r="FD150" s="1"/>
      <c r="FE150" s="1"/>
      <c r="FF150" s="1"/>
      <c r="FG150" s="1"/>
      <c r="FH150" s="1"/>
      <c r="FI150" s="1"/>
      <c r="FJ150" s="1"/>
      <c r="FK150" s="1"/>
      <c r="FL150" s="1"/>
      <c r="FM150" s="1"/>
      <c r="FN150" s="1"/>
      <c r="FO150" s="1"/>
      <c r="FP150" s="1"/>
      <c r="FQ150" s="1"/>
      <c r="FR150" s="1"/>
      <c r="FS150" s="1"/>
      <c r="FT150" s="1"/>
      <c r="FU150" s="1"/>
      <c r="FV150" s="1"/>
      <c r="FW150" s="1"/>
      <c r="FX150" s="1"/>
      <c r="FY150" s="1"/>
      <c r="FZ150" s="1"/>
      <c r="GA150" s="1"/>
      <c r="GB150" s="1"/>
      <c r="GC150" s="1"/>
      <c r="GD150" s="1"/>
      <c r="GE150" s="1"/>
      <c r="GF150" s="1"/>
      <c r="GG150" s="1"/>
      <c r="GH150" s="1"/>
      <c r="GI150" s="1"/>
      <c r="GJ150" s="1"/>
      <c r="GK150" s="1"/>
      <c r="GL150" s="1"/>
      <c r="GM150" s="1"/>
      <c r="GN150" s="1"/>
      <c r="GO150" s="1"/>
      <c r="GP150" s="1"/>
      <c r="GQ150" s="1"/>
      <c r="GR150" s="1"/>
      <c r="GS150" s="1"/>
      <c r="GT150" s="1"/>
      <c r="GU150" s="1"/>
      <c r="GV150" s="1"/>
      <c r="GW150" s="1"/>
      <c r="GX150" s="1"/>
      <c r="GY150" s="1"/>
      <c r="GZ150" s="1"/>
      <c r="HA150" s="1"/>
      <c r="HB150" s="1"/>
      <c r="HC150" s="1"/>
      <c r="HD150" s="1"/>
      <c r="HE150" s="1"/>
      <c r="HF150" s="1"/>
      <c r="HG150" s="1"/>
      <c r="HH150" s="1"/>
      <c r="HI150" s="1"/>
      <c r="HJ150" s="1"/>
      <c r="HK150" s="1"/>
      <c r="HL150" s="1"/>
    </row>
    <row r="151" spans="1:220" s="349" customFormat="1" ht="17.100000000000001" customHeight="1" x14ac:dyDescent="0.25">
      <c r="A151"/>
      <c r="B151" s="325"/>
      <c r="C151" s="329"/>
      <c r="D151" s="326"/>
      <c r="E151" s="330"/>
      <c r="F151" s="331"/>
      <c r="G151" s="223"/>
      <c r="H151" s="332"/>
      <c r="I151" s="109"/>
      <c r="J151" s="227"/>
      <c r="K151" s="156"/>
      <c r="L151" s="333"/>
      <c r="M151" s="343"/>
      <c r="N151" s="335"/>
      <c r="O151" s="336"/>
      <c r="P151" s="337"/>
      <c r="Q151" s="338"/>
      <c r="R151" s="339"/>
      <c r="S151" s="227"/>
      <c r="T151" s="227"/>
      <c r="U151" s="227"/>
      <c r="V151" s="227"/>
      <c r="W151" s="227"/>
      <c r="X151" s="227"/>
      <c r="Y151" s="340"/>
      <c r="Z151" s="341"/>
      <c r="AA151" s="348"/>
      <c r="AB151" s="342"/>
      <c r="AC151" s="338"/>
      <c r="AD151" s="277"/>
      <c r="AF151" s="350"/>
      <c r="AG151" s="351"/>
      <c r="AH151" s="351"/>
      <c r="AI151" s="352"/>
      <c r="AJ151" s="35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c r="EG151" s="1"/>
      <c r="EH151" s="1"/>
      <c r="EI151" s="1"/>
      <c r="EJ151" s="1"/>
      <c r="EK151" s="1"/>
      <c r="EL151" s="1"/>
      <c r="EM151" s="1"/>
      <c r="EN151" s="1"/>
      <c r="EO151" s="1"/>
      <c r="EP151" s="1"/>
      <c r="EQ151" s="1"/>
      <c r="ER151" s="1"/>
      <c r="ES151" s="1"/>
      <c r="ET151" s="1"/>
      <c r="EU151" s="1"/>
      <c r="EV151" s="1"/>
      <c r="EW151" s="1"/>
      <c r="EX151" s="1"/>
      <c r="EY151" s="1"/>
      <c r="EZ151" s="1"/>
      <c r="FA151" s="1"/>
      <c r="FB151" s="1"/>
      <c r="FC151" s="1"/>
      <c r="FD151" s="1"/>
      <c r="FE151" s="1"/>
      <c r="FF151" s="1"/>
      <c r="FG151" s="1"/>
      <c r="FH151" s="1"/>
      <c r="FI151" s="1"/>
      <c r="FJ151" s="1"/>
      <c r="FK151" s="1"/>
      <c r="FL151" s="1"/>
      <c r="FM151" s="1"/>
      <c r="FN151" s="1"/>
      <c r="FO151" s="1"/>
      <c r="FP151" s="1"/>
      <c r="FQ151" s="1"/>
      <c r="FR151" s="1"/>
      <c r="FS151" s="1"/>
      <c r="FT151" s="1"/>
      <c r="FU151" s="1"/>
      <c r="FV151" s="1"/>
      <c r="FW151" s="1"/>
      <c r="FX151" s="1"/>
      <c r="FY151" s="1"/>
      <c r="FZ151" s="1"/>
      <c r="GA151" s="1"/>
      <c r="GB151" s="1"/>
      <c r="GC151" s="1"/>
      <c r="GD151" s="1"/>
      <c r="GE151" s="1"/>
      <c r="GF151" s="1"/>
      <c r="GG151" s="1"/>
      <c r="GH151" s="1"/>
      <c r="GI151" s="1"/>
      <c r="GJ151" s="1"/>
      <c r="GK151" s="1"/>
      <c r="GL151" s="1"/>
      <c r="GM151" s="1"/>
      <c r="GN151" s="1"/>
      <c r="GO151" s="1"/>
      <c r="GP151" s="1"/>
      <c r="GQ151" s="1"/>
      <c r="GR151" s="1"/>
      <c r="GS151" s="1"/>
      <c r="GT151" s="1"/>
      <c r="GU151" s="1"/>
      <c r="GV151" s="1"/>
      <c r="GW151" s="1"/>
      <c r="GX151" s="1"/>
      <c r="GY151" s="1"/>
      <c r="GZ151" s="1"/>
      <c r="HA151" s="1"/>
      <c r="HB151" s="1"/>
      <c r="HC151" s="1"/>
      <c r="HD151" s="1"/>
      <c r="HE151" s="1"/>
      <c r="HF151" s="1"/>
      <c r="HG151" s="1"/>
      <c r="HH151" s="1"/>
      <c r="HI151" s="1"/>
      <c r="HJ151" s="1"/>
      <c r="HK151" s="1"/>
      <c r="HL151" s="1"/>
    </row>
    <row r="152" spans="1:220" s="349" customFormat="1" ht="17.100000000000001" customHeight="1" x14ac:dyDescent="0.25">
      <c r="A152"/>
      <c r="B152" s="325"/>
      <c r="C152" s="329"/>
      <c r="D152" s="326"/>
      <c r="E152" s="330"/>
      <c r="F152" s="331"/>
      <c r="G152" s="223"/>
      <c r="H152" s="332"/>
      <c r="I152" s="109"/>
      <c r="J152" s="227"/>
      <c r="K152" s="156"/>
      <c r="L152" s="333"/>
      <c r="M152" s="343"/>
      <c r="N152" s="335"/>
      <c r="O152" s="336"/>
      <c r="P152" s="337"/>
      <c r="Q152" s="338"/>
      <c r="R152" s="339"/>
      <c r="S152" s="227"/>
      <c r="T152" s="227"/>
      <c r="U152" s="227"/>
      <c r="V152" s="227"/>
      <c r="W152" s="227"/>
      <c r="X152" s="227"/>
      <c r="Y152" s="340"/>
      <c r="Z152" s="341"/>
      <c r="AA152" s="348"/>
      <c r="AB152" s="342"/>
      <c r="AC152" s="338"/>
      <c r="AD152" s="277"/>
      <c r="AF152" s="350"/>
      <c r="AG152" s="351"/>
      <c r="AH152" s="351"/>
      <c r="AI152" s="352"/>
      <c r="AJ152" s="35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c r="EG152" s="1"/>
      <c r="EH152" s="1"/>
      <c r="EI152" s="1"/>
      <c r="EJ152" s="1"/>
      <c r="EK152" s="1"/>
      <c r="EL152" s="1"/>
      <c r="EM152" s="1"/>
      <c r="EN152" s="1"/>
      <c r="EO152" s="1"/>
      <c r="EP152" s="1"/>
      <c r="EQ152" s="1"/>
      <c r="ER152" s="1"/>
      <c r="ES152" s="1"/>
      <c r="ET152" s="1"/>
      <c r="EU152" s="1"/>
      <c r="EV152" s="1"/>
      <c r="EW152" s="1"/>
      <c r="EX152" s="1"/>
      <c r="EY152" s="1"/>
      <c r="EZ152" s="1"/>
      <c r="FA152" s="1"/>
      <c r="FB152" s="1"/>
      <c r="FC152" s="1"/>
      <c r="FD152" s="1"/>
      <c r="FE152" s="1"/>
      <c r="FF152" s="1"/>
      <c r="FG152" s="1"/>
      <c r="FH152" s="1"/>
      <c r="FI152" s="1"/>
      <c r="FJ152" s="1"/>
      <c r="FK152" s="1"/>
      <c r="FL152" s="1"/>
      <c r="FM152" s="1"/>
      <c r="FN152" s="1"/>
      <c r="FO152" s="1"/>
      <c r="FP152" s="1"/>
      <c r="FQ152" s="1"/>
      <c r="FR152" s="1"/>
      <c r="FS152" s="1"/>
      <c r="FT152" s="1"/>
      <c r="FU152" s="1"/>
      <c r="FV152" s="1"/>
      <c r="FW152" s="1"/>
      <c r="FX152" s="1"/>
      <c r="FY152" s="1"/>
      <c r="FZ152" s="1"/>
      <c r="GA152" s="1"/>
      <c r="GB152" s="1"/>
      <c r="GC152" s="1"/>
      <c r="GD152" s="1"/>
      <c r="GE152" s="1"/>
      <c r="GF152" s="1"/>
      <c r="GG152" s="1"/>
      <c r="GH152" s="1"/>
      <c r="GI152" s="1"/>
      <c r="GJ152" s="1"/>
      <c r="GK152" s="1"/>
      <c r="GL152" s="1"/>
      <c r="GM152" s="1"/>
      <c r="GN152" s="1"/>
      <c r="GO152" s="1"/>
      <c r="GP152" s="1"/>
      <c r="GQ152" s="1"/>
      <c r="GR152" s="1"/>
      <c r="GS152" s="1"/>
      <c r="GT152" s="1"/>
      <c r="GU152" s="1"/>
      <c r="GV152" s="1"/>
      <c r="GW152" s="1"/>
      <c r="GX152" s="1"/>
      <c r="GY152" s="1"/>
      <c r="GZ152" s="1"/>
      <c r="HA152" s="1"/>
      <c r="HB152" s="1"/>
      <c r="HC152" s="1"/>
      <c r="HD152" s="1"/>
      <c r="HE152" s="1"/>
      <c r="HF152" s="1"/>
      <c r="HG152" s="1"/>
      <c r="HH152" s="1"/>
      <c r="HI152" s="1"/>
      <c r="HJ152" s="1"/>
      <c r="HK152" s="1"/>
      <c r="HL152" s="1"/>
    </row>
    <row r="153" spans="1:220" s="349" customFormat="1" ht="17.100000000000001" customHeight="1" x14ac:dyDescent="0.25">
      <c r="A153"/>
      <c r="B153" s="325"/>
      <c r="C153" s="329"/>
      <c r="D153" s="326"/>
      <c r="E153" s="330"/>
      <c r="F153" s="331"/>
      <c r="G153" s="223"/>
      <c r="H153" s="332"/>
      <c r="I153" s="109"/>
      <c r="J153" s="227"/>
      <c r="K153" s="156"/>
      <c r="L153" s="333"/>
      <c r="M153" s="343"/>
      <c r="N153" s="335"/>
      <c r="O153" s="336"/>
      <c r="P153" s="337"/>
      <c r="Q153" s="338"/>
      <c r="R153" s="339"/>
      <c r="S153" s="227"/>
      <c r="T153" s="227"/>
      <c r="U153" s="227"/>
      <c r="V153" s="227"/>
      <c r="W153" s="227"/>
      <c r="X153" s="227"/>
      <c r="Y153" s="340"/>
      <c r="Z153" s="341"/>
      <c r="AA153" s="348"/>
      <c r="AB153" s="342"/>
      <c r="AC153" s="338"/>
      <c r="AD153" s="277"/>
      <c r="AF153" s="350"/>
      <c r="AG153" s="351"/>
      <c r="AH153" s="351"/>
      <c r="AI153" s="352"/>
      <c r="AJ153" s="35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c r="EG153" s="1"/>
      <c r="EH153" s="1"/>
      <c r="EI153" s="1"/>
      <c r="EJ153" s="1"/>
      <c r="EK153" s="1"/>
      <c r="EL153" s="1"/>
      <c r="EM153" s="1"/>
      <c r="EN153" s="1"/>
      <c r="EO153" s="1"/>
      <c r="EP153" s="1"/>
      <c r="EQ153" s="1"/>
      <c r="ER153" s="1"/>
      <c r="ES153" s="1"/>
      <c r="ET153" s="1"/>
      <c r="EU153" s="1"/>
      <c r="EV153" s="1"/>
      <c r="EW153" s="1"/>
      <c r="EX153" s="1"/>
      <c r="EY153" s="1"/>
      <c r="EZ153" s="1"/>
      <c r="FA153" s="1"/>
      <c r="FB153" s="1"/>
      <c r="FC153" s="1"/>
      <c r="FD153" s="1"/>
      <c r="FE153" s="1"/>
      <c r="FF153" s="1"/>
      <c r="FG153" s="1"/>
      <c r="FH153" s="1"/>
      <c r="FI153" s="1"/>
      <c r="FJ153" s="1"/>
      <c r="FK153" s="1"/>
      <c r="FL153" s="1"/>
      <c r="FM153" s="1"/>
      <c r="FN153" s="1"/>
      <c r="FO153" s="1"/>
      <c r="FP153" s="1"/>
      <c r="FQ153" s="1"/>
      <c r="FR153" s="1"/>
      <c r="FS153" s="1"/>
      <c r="FT153" s="1"/>
      <c r="FU153" s="1"/>
      <c r="FV153" s="1"/>
      <c r="FW153" s="1"/>
      <c r="FX153" s="1"/>
      <c r="FY153" s="1"/>
      <c r="FZ153" s="1"/>
      <c r="GA153" s="1"/>
      <c r="GB153" s="1"/>
      <c r="GC153" s="1"/>
      <c r="GD153" s="1"/>
      <c r="GE153" s="1"/>
      <c r="GF153" s="1"/>
      <c r="GG153" s="1"/>
      <c r="GH153" s="1"/>
      <c r="GI153" s="1"/>
      <c r="GJ153" s="1"/>
      <c r="GK153" s="1"/>
      <c r="GL153" s="1"/>
      <c r="GM153" s="1"/>
      <c r="GN153" s="1"/>
      <c r="GO153" s="1"/>
      <c r="GP153" s="1"/>
      <c r="GQ153" s="1"/>
      <c r="GR153" s="1"/>
      <c r="GS153" s="1"/>
      <c r="GT153" s="1"/>
      <c r="GU153" s="1"/>
      <c r="GV153" s="1"/>
      <c r="GW153" s="1"/>
      <c r="GX153" s="1"/>
      <c r="GY153" s="1"/>
      <c r="GZ153" s="1"/>
      <c r="HA153" s="1"/>
      <c r="HB153" s="1"/>
      <c r="HC153" s="1"/>
      <c r="HD153" s="1"/>
      <c r="HE153" s="1"/>
      <c r="HF153" s="1"/>
      <c r="HG153" s="1"/>
      <c r="HH153" s="1"/>
      <c r="HI153" s="1"/>
      <c r="HJ153" s="1"/>
      <c r="HK153" s="1"/>
      <c r="HL153" s="1"/>
    </row>
    <row r="154" spans="1:220" s="349" customFormat="1" ht="17.100000000000001" customHeight="1" x14ac:dyDescent="0.25">
      <c r="A154"/>
      <c r="B154" s="325"/>
      <c r="C154" s="329"/>
      <c r="D154" s="326"/>
      <c r="E154" s="330"/>
      <c r="F154" s="331"/>
      <c r="G154" s="223"/>
      <c r="H154" s="332"/>
      <c r="I154" s="109"/>
      <c r="J154" s="227"/>
      <c r="K154" s="156"/>
      <c r="L154" s="333"/>
      <c r="M154" s="343"/>
      <c r="N154" s="335"/>
      <c r="O154" s="336"/>
      <c r="P154" s="337"/>
      <c r="Q154" s="338"/>
      <c r="R154" s="339"/>
      <c r="S154" s="227"/>
      <c r="T154" s="227"/>
      <c r="U154" s="227"/>
      <c r="V154" s="227"/>
      <c r="W154" s="227"/>
      <c r="X154" s="227"/>
      <c r="Y154" s="340"/>
      <c r="Z154" s="341"/>
      <c r="AA154" s="348"/>
      <c r="AB154" s="342"/>
      <c r="AC154" s="338"/>
      <c r="AD154" s="277"/>
      <c r="AF154" s="350"/>
      <c r="AG154" s="351"/>
      <c r="AH154" s="351"/>
      <c r="AI154" s="352"/>
      <c r="AJ154" s="35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c r="EG154" s="1"/>
      <c r="EH154" s="1"/>
      <c r="EI154" s="1"/>
      <c r="EJ154" s="1"/>
      <c r="EK154" s="1"/>
      <c r="EL154" s="1"/>
      <c r="EM154" s="1"/>
      <c r="EN154" s="1"/>
      <c r="EO154" s="1"/>
      <c r="EP154" s="1"/>
      <c r="EQ154" s="1"/>
      <c r="ER154" s="1"/>
      <c r="ES154" s="1"/>
      <c r="ET154" s="1"/>
      <c r="EU154" s="1"/>
      <c r="EV154" s="1"/>
      <c r="EW154" s="1"/>
      <c r="EX154" s="1"/>
      <c r="EY154" s="1"/>
      <c r="EZ154" s="1"/>
      <c r="FA154" s="1"/>
      <c r="FB154" s="1"/>
      <c r="FC154" s="1"/>
      <c r="FD154" s="1"/>
      <c r="FE154" s="1"/>
      <c r="FF154" s="1"/>
      <c r="FG154" s="1"/>
      <c r="FH154" s="1"/>
      <c r="FI154" s="1"/>
      <c r="FJ154" s="1"/>
      <c r="FK154" s="1"/>
      <c r="FL154" s="1"/>
      <c r="FM154" s="1"/>
      <c r="FN154" s="1"/>
      <c r="FO154" s="1"/>
      <c r="FP154" s="1"/>
      <c r="FQ154" s="1"/>
      <c r="FR154" s="1"/>
      <c r="FS154" s="1"/>
      <c r="FT154" s="1"/>
      <c r="FU154" s="1"/>
      <c r="FV154" s="1"/>
      <c r="FW154" s="1"/>
      <c r="FX154" s="1"/>
      <c r="FY154" s="1"/>
      <c r="FZ154" s="1"/>
      <c r="GA154" s="1"/>
      <c r="GB154" s="1"/>
      <c r="GC154" s="1"/>
      <c r="GD154" s="1"/>
      <c r="GE154" s="1"/>
      <c r="GF154" s="1"/>
      <c r="GG154" s="1"/>
      <c r="GH154" s="1"/>
      <c r="GI154" s="1"/>
      <c r="GJ154" s="1"/>
      <c r="GK154" s="1"/>
      <c r="GL154" s="1"/>
      <c r="GM154" s="1"/>
      <c r="GN154" s="1"/>
      <c r="GO154" s="1"/>
      <c r="GP154" s="1"/>
      <c r="GQ154" s="1"/>
      <c r="GR154" s="1"/>
      <c r="GS154" s="1"/>
      <c r="GT154" s="1"/>
      <c r="GU154" s="1"/>
      <c r="GV154" s="1"/>
      <c r="GW154" s="1"/>
      <c r="GX154" s="1"/>
      <c r="GY154" s="1"/>
      <c r="GZ154" s="1"/>
      <c r="HA154" s="1"/>
      <c r="HB154" s="1"/>
      <c r="HC154" s="1"/>
      <c r="HD154" s="1"/>
      <c r="HE154" s="1"/>
      <c r="HF154" s="1"/>
      <c r="HG154" s="1"/>
      <c r="HH154" s="1"/>
      <c r="HI154" s="1"/>
      <c r="HJ154" s="1"/>
      <c r="HK154" s="1"/>
      <c r="HL154" s="1"/>
    </row>
    <row r="155" spans="1:220" s="349" customFormat="1" ht="17.100000000000001" customHeight="1" x14ac:dyDescent="0.25">
      <c r="A155"/>
      <c r="B155" s="325"/>
      <c r="C155" s="329"/>
      <c r="D155" s="326"/>
      <c r="E155" s="330"/>
      <c r="F155" s="331"/>
      <c r="G155" s="223"/>
      <c r="H155" s="332"/>
      <c r="I155" s="109"/>
      <c r="J155" s="227"/>
      <c r="K155" s="156"/>
      <c r="L155" s="333"/>
      <c r="M155" s="343"/>
      <c r="N155" s="335"/>
      <c r="O155" s="336"/>
      <c r="P155" s="337"/>
      <c r="Q155" s="338"/>
      <c r="R155" s="339"/>
      <c r="S155" s="227"/>
      <c r="T155" s="227"/>
      <c r="U155" s="227"/>
      <c r="V155" s="227"/>
      <c r="W155" s="227"/>
      <c r="X155" s="227"/>
      <c r="Y155" s="340"/>
      <c r="Z155" s="341"/>
      <c r="AA155" s="348"/>
      <c r="AB155" s="342"/>
      <c r="AC155" s="338"/>
      <c r="AD155" s="277"/>
      <c r="AF155" s="350"/>
      <c r="AG155" s="351"/>
      <c r="AH155" s="351"/>
      <c r="AI155" s="352"/>
      <c r="AJ155" s="35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c r="EG155" s="1"/>
      <c r="EH155" s="1"/>
      <c r="EI155" s="1"/>
      <c r="EJ155" s="1"/>
      <c r="EK155" s="1"/>
      <c r="EL155" s="1"/>
      <c r="EM155" s="1"/>
      <c r="EN155" s="1"/>
      <c r="EO155" s="1"/>
      <c r="EP155" s="1"/>
      <c r="EQ155" s="1"/>
      <c r="ER155" s="1"/>
      <c r="ES155" s="1"/>
      <c r="ET155" s="1"/>
      <c r="EU155" s="1"/>
      <c r="EV155" s="1"/>
      <c r="EW155" s="1"/>
      <c r="EX155" s="1"/>
      <c r="EY155" s="1"/>
      <c r="EZ155" s="1"/>
      <c r="FA155" s="1"/>
      <c r="FB155" s="1"/>
      <c r="FC155" s="1"/>
      <c r="FD155" s="1"/>
      <c r="FE155" s="1"/>
      <c r="FF155" s="1"/>
      <c r="FG155" s="1"/>
      <c r="FH155" s="1"/>
      <c r="FI155" s="1"/>
      <c r="FJ155" s="1"/>
      <c r="FK155" s="1"/>
      <c r="FL155" s="1"/>
      <c r="FM155" s="1"/>
      <c r="FN155" s="1"/>
      <c r="FO155" s="1"/>
      <c r="FP155" s="1"/>
      <c r="FQ155" s="1"/>
      <c r="FR155" s="1"/>
      <c r="FS155" s="1"/>
      <c r="FT155" s="1"/>
      <c r="FU155" s="1"/>
      <c r="FV155" s="1"/>
      <c r="FW155" s="1"/>
      <c r="FX155" s="1"/>
      <c r="FY155" s="1"/>
      <c r="FZ155" s="1"/>
      <c r="GA155" s="1"/>
      <c r="GB155" s="1"/>
      <c r="GC155" s="1"/>
      <c r="GD155" s="1"/>
      <c r="GE155" s="1"/>
      <c r="GF155" s="1"/>
      <c r="GG155" s="1"/>
      <c r="GH155" s="1"/>
      <c r="GI155" s="1"/>
      <c r="GJ155" s="1"/>
      <c r="GK155" s="1"/>
      <c r="GL155" s="1"/>
      <c r="GM155" s="1"/>
      <c r="GN155" s="1"/>
      <c r="GO155" s="1"/>
      <c r="GP155" s="1"/>
      <c r="GQ155" s="1"/>
      <c r="GR155" s="1"/>
      <c r="GS155" s="1"/>
      <c r="GT155" s="1"/>
      <c r="GU155" s="1"/>
      <c r="GV155" s="1"/>
      <c r="GW155" s="1"/>
      <c r="GX155" s="1"/>
      <c r="GY155" s="1"/>
      <c r="GZ155" s="1"/>
      <c r="HA155" s="1"/>
      <c r="HB155" s="1"/>
      <c r="HC155" s="1"/>
      <c r="HD155" s="1"/>
      <c r="HE155" s="1"/>
      <c r="HF155" s="1"/>
      <c r="HG155" s="1"/>
      <c r="HH155" s="1"/>
      <c r="HI155" s="1"/>
      <c r="HJ155" s="1"/>
      <c r="HK155" s="1"/>
      <c r="HL155" s="1"/>
    </row>
    <row r="156" spans="1:220" s="349" customFormat="1" ht="17.100000000000001" customHeight="1" x14ac:dyDescent="0.25">
      <c r="A156"/>
      <c r="B156" s="325"/>
      <c r="C156" s="329"/>
      <c r="D156" s="326"/>
      <c r="E156" s="330"/>
      <c r="F156" s="331"/>
      <c r="G156" s="223"/>
      <c r="H156" s="332"/>
      <c r="I156" s="109"/>
      <c r="J156" s="227"/>
      <c r="K156" s="156"/>
      <c r="L156" s="333"/>
      <c r="M156" s="343"/>
      <c r="N156" s="335"/>
      <c r="O156" s="336"/>
      <c r="P156" s="337"/>
      <c r="Q156" s="338"/>
      <c r="R156" s="339"/>
      <c r="S156" s="227"/>
      <c r="T156" s="227"/>
      <c r="U156" s="227"/>
      <c r="V156" s="227"/>
      <c r="W156" s="227"/>
      <c r="X156" s="227"/>
      <c r="Y156" s="340"/>
      <c r="Z156" s="341"/>
      <c r="AA156" s="348"/>
      <c r="AB156" s="342"/>
      <c r="AC156" s="338"/>
      <c r="AD156" s="277"/>
      <c r="AF156" s="350"/>
      <c r="AG156" s="351"/>
      <c r="AH156" s="351"/>
      <c r="AI156" s="352"/>
      <c r="AJ156" s="35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c r="EG156" s="1"/>
      <c r="EH156" s="1"/>
      <c r="EI156" s="1"/>
      <c r="EJ156" s="1"/>
      <c r="EK156" s="1"/>
      <c r="EL156" s="1"/>
      <c r="EM156" s="1"/>
      <c r="EN156" s="1"/>
      <c r="EO156" s="1"/>
      <c r="EP156" s="1"/>
      <c r="EQ156" s="1"/>
      <c r="ER156" s="1"/>
      <c r="ES156" s="1"/>
      <c r="ET156" s="1"/>
      <c r="EU156" s="1"/>
      <c r="EV156" s="1"/>
      <c r="EW156" s="1"/>
      <c r="EX156" s="1"/>
      <c r="EY156" s="1"/>
      <c r="EZ156" s="1"/>
      <c r="FA156" s="1"/>
      <c r="FB156" s="1"/>
      <c r="FC156" s="1"/>
      <c r="FD156" s="1"/>
      <c r="FE156" s="1"/>
      <c r="FF156" s="1"/>
      <c r="FG156" s="1"/>
      <c r="FH156" s="1"/>
      <c r="FI156" s="1"/>
      <c r="FJ156" s="1"/>
      <c r="FK156" s="1"/>
      <c r="FL156" s="1"/>
      <c r="FM156" s="1"/>
      <c r="FN156" s="1"/>
      <c r="FO156" s="1"/>
      <c r="FP156" s="1"/>
      <c r="FQ156" s="1"/>
      <c r="FR156" s="1"/>
      <c r="FS156" s="1"/>
      <c r="FT156" s="1"/>
      <c r="FU156" s="1"/>
      <c r="FV156" s="1"/>
      <c r="FW156" s="1"/>
      <c r="FX156" s="1"/>
      <c r="FY156" s="1"/>
      <c r="FZ156" s="1"/>
      <c r="GA156" s="1"/>
      <c r="GB156" s="1"/>
      <c r="GC156" s="1"/>
      <c r="GD156" s="1"/>
      <c r="GE156" s="1"/>
      <c r="GF156" s="1"/>
      <c r="GG156" s="1"/>
      <c r="GH156" s="1"/>
      <c r="GI156" s="1"/>
      <c r="GJ156" s="1"/>
      <c r="GK156" s="1"/>
      <c r="GL156" s="1"/>
      <c r="GM156" s="1"/>
      <c r="GN156" s="1"/>
      <c r="GO156" s="1"/>
      <c r="GP156" s="1"/>
      <c r="GQ156" s="1"/>
      <c r="GR156" s="1"/>
      <c r="GS156" s="1"/>
      <c r="GT156" s="1"/>
      <c r="GU156" s="1"/>
      <c r="GV156" s="1"/>
      <c r="GW156" s="1"/>
      <c r="GX156" s="1"/>
      <c r="GY156" s="1"/>
      <c r="GZ156" s="1"/>
      <c r="HA156" s="1"/>
      <c r="HB156" s="1"/>
      <c r="HC156" s="1"/>
      <c r="HD156" s="1"/>
      <c r="HE156" s="1"/>
      <c r="HF156" s="1"/>
      <c r="HG156" s="1"/>
      <c r="HH156" s="1"/>
      <c r="HI156" s="1"/>
      <c r="HJ156" s="1"/>
      <c r="HK156" s="1"/>
      <c r="HL156" s="1"/>
    </row>
    <row r="157" spans="1:220" s="349" customFormat="1" ht="17.100000000000001" customHeight="1" x14ac:dyDescent="0.25">
      <c r="A157"/>
      <c r="B157" s="325"/>
      <c r="C157" s="329"/>
      <c r="D157" s="326"/>
      <c r="E157" s="330"/>
      <c r="F157" s="331"/>
      <c r="G157" s="223"/>
      <c r="H157" s="332"/>
      <c r="I157" s="109"/>
      <c r="J157" s="227"/>
      <c r="K157" s="156"/>
      <c r="L157" s="333"/>
      <c r="M157" s="343"/>
      <c r="N157" s="335"/>
      <c r="O157" s="336"/>
      <c r="P157" s="337"/>
      <c r="Q157" s="338"/>
      <c r="R157" s="339"/>
      <c r="S157" s="227"/>
      <c r="T157" s="227"/>
      <c r="U157" s="227"/>
      <c r="V157" s="227"/>
      <c r="W157" s="227"/>
      <c r="X157" s="227"/>
      <c r="Y157" s="340"/>
      <c r="Z157" s="341"/>
      <c r="AA157" s="348"/>
      <c r="AB157" s="342"/>
      <c r="AC157" s="338"/>
      <c r="AD157" s="277"/>
      <c r="AF157" s="350"/>
      <c r="AG157" s="351"/>
      <c r="AH157" s="351"/>
      <c r="AI157" s="352"/>
      <c r="AJ157" s="35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c r="EG157" s="1"/>
      <c r="EH157" s="1"/>
      <c r="EI157" s="1"/>
      <c r="EJ157" s="1"/>
      <c r="EK157" s="1"/>
      <c r="EL157" s="1"/>
      <c r="EM157" s="1"/>
      <c r="EN157" s="1"/>
      <c r="EO157" s="1"/>
      <c r="EP157" s="1"/>
      <c r="EQ157" s="1"/>
      <c r="ER157" s="1"/>
      <c r="ES157" s="1"/>
      <c r="ET157" s="1"/>
      <c r="EU157" s="1"/>
      <c r="EV157" s="1"/>
      <c r="EW157" s="1"/>
      <c r="EX157" s="1"/>
      <c r="EY157" s="1"/>
      <c r="EZ157" s="1"/>
      <c r="FA157" s="1"/>
      <c r="FB157" s="1"/>
      <c r="FC157" s="1"/>
      <c r="FD157" s="1"/>
      <c r="FE157" s="1"/>
      <c r="FF157" s="1"/>
      <c r="FG157" s="1"/>
      <c r="FH157" s="1"/>
      <c r="FI157" s="1"/>
      <c r="FJ157" s="1"/>
      <c r="FK157" s="1"/>
      <c r="FL157" s="1"/>
      <c r="FM157" s="1"/>
      <c r="FN157" s="1"/>
      <c r="FO157" s="1"/>
      <c r="FP157" s="1"/>
      <c r="FQ157" s="1"/>
      <c r="FR157" s="1"/>
      <c r="FS157" s="1"/>
      <c r="FT157" s="1"/>
      <c r="FU157" s="1"/>
      <c r="FV157" s="1"/>
      <c r="FW157" s="1"/>
      <c r="FX157" s="1"/>
      <c r="FY157" s="1"/>
      <c r="FZ157" s="1"/>
      <c r="GA157" s="1"/>
      <c r="GB157" s="1"/>
      <c r="GC157" s="1"/>
      <c r="GD157" s="1"/>
      <c r="GE157" s="1"/>
      <c r="GF157" s="1"/>
      <c r="GG157" s="1"/>
      <c r="GH157" s="1"/>
      <c r="GI157" s="1"/>
      <c r="GJ157" s="1"/>
      <c r="GK157" s="1"/>
      <c r="GL157" s="1"/>
      <c r="GM157" s="1"/>
      <c r="GN157" s="1"/>
      <c r="GO157" s="1"/>
      <c r="GP157" s="1"/>
      <c r="GQ157" s="1"/>
      <c r="GR157" s="1"/>
      <c r="GS157" s="1"/>
      <c r="GT157" s="1"/>
      <c r="GU157" s="1"/>
      <c r="GV157" s="1"/>
      <c r="GW157" s="1"/>
      <c r="GX157" s="1"/>
      <c r="GY157" s="1"/>
      <c r="GZ157" s="1"/>
      <c r="HA157" s="1"/>
      <c r="HB157" s="1"/>
      <c r="HC157" s="1"/>
      <c r="HD157" s="1"/>
      <c r="HE157" s="1"/>
      <c r="HF157" s="1"/>
      <c r="HG157" s="1"/>
      <c r="HH157" s="1"/>
      <c r="HI157" s="1"/>
      <c r="HJ157" s="1"/>
      <c r="HK157" s="1"/>
      <c r="HL157" s="1"/>
    </row>
    <row r="158" spans="1:220" s="349" customFormat="1" ht="17.100000000000001" customHeight="1" x14ac:dyDescent="0.25">
      <c r="A158"/>
      <c r="B158" s="325"/>
      <c r="C158" s="329"/>
      <c r="D158" s="326"/>
      <c r="E158" s="330"/>
      <c r="F158" s="331"/>
      <c r="G158" s="223"/>
      <c r="H158" s="332"/>
      <c r="I158" s="109"/>
      <c r="J158" s="227"/>
      <c r="K158" s="156"/>
      <c r="L158" s="333"/>
      <c r="M158" s="343"/>
      <c r="N158" s="335"/>
      <c r="O158" s="336"/>
      <c r="P158" s="337"/>
      <c r="Q158" s="338"/>
      <c r="R158" s="339"/>
      <c r="S158" s="227"/>
      <c r="T158" s="227"/>
      <c r="U158" s="227"/>
      <c r="V158" s="227"/>
      <c r="W158" s="227"/>
      <c r="X158" s="227"/>
      <c r="Y158" s="340"/>
      <c r="Z158" s="341"/>
      <c r="AA158" s="348"/>
      <c r="AB158" s="342"/>
      <c r="AC158" s="338"/>
      <c r="AD158" s="277"/>
      <c r="AF158" s="350"/>
      <c r="AG158" s="351"/>
      <c r="AH158" s="351"/>
      <c r="AI158" s="352"/>
      <c r="AJ158" s="35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c r="EG158" s="1"/>
      <c r="EH158" s="1"/>
      <c r="EI158" s="1"/>
      <c r="EJ158" s="1"/>
      <c r="EK158" s="1"/>
      <c r="EL158" s="1"/>
      <c r="EM158" s="1"/>
      <c r="EN158" s="1"/>
      <c r="EO158" s="1"/>
      <c r="EP158" s="1"/>
      <c r="EQ158" s="1"/>
      <c r="ER158" s="1"/>
      <c r="ES158" s="1"/>
      <c r="ET158" s="1"/>
      <c r="EU158" s="1"/>
      <c r="EV158" s="1"/>
      <c r="EW158" s="1"/>
      <c r="EX158" s="1"/>
      <c r="EY158" s="1"/>
      <c r="EZ158" s="1"/>
      <c r="FA158" s="1"/>
      <c r="FB158" s="1"/>
      <c r="FC158" s="1"/>
      <c r="FD158" s="1"/>
      <c r="FE158" s="1"/>
      <c r="FF158" s="1"/>
      <c r="FG158" s="1"/>
      <c r="FH158" s="1"/>
      <c r="FI158" s="1"/>
      <c r="FJ158" s="1"/>
      <c r="FK158" s="1"/>
      <c r="FL158" s="1"/>
      <c r="FM158" s="1"/>
      <c r="FN158" s="1"/>
      <c r="FO158" s="1"/>
      <c r="FP158" s="1"/>
      <c r="FQ158" s="1"/>
      <c r="FR158" s="1"/>
      <c r="FS158" s="1"/>
      <c r="FT158" s="1"/>
      <c r="FU158" s="1"/>
      <c r="FV158" s="1"/>
      <c r="FW158" s="1"/>
      <c r="FX158" s="1"/>
      <c r="FY158" s="1"/>
      <c r="FZ158" s="1"/>
      <c r="GA158" s="1"/>
      <c r="GB158" s="1"/>
      <c r="GC158" s="1"/>
      <c r="GD158" s="1"/>
      <c r="GE158" s="1"/>
      <c r="GF158" s="1"/>
      <c r="GG158" s="1"/>
      <c r="GH158" s="1"/>
      <c r="GI158" s="1"/>
      <c r="GJ158" s="1"/>
      <c r="GK158" s="1"/>
      <c r="GL158" s="1"/>
      <c r="GM158" s="1"/>
      <c r="GN158" s="1"/>
      <c r="GO158" s="1"/>
      <c r="GP158" s="1"/>
      <c r="GQ158" s="1"/>
      <c r="GR158" s="1"/>
      <c r="GS158" s="1"/>
      <c r="GT158" s="1"/>
      <c r="GU158" s="1"/>
      <c r="GV158" s="1"/>
      <c r="GW158" s="1"/>
      <c r="GX158" s="1"/>
      <c r="GY158" s="1"/>
      <c r="GZ158" s="1"/>
      <c r="HA158" s="1"/>
      <c r="HB158" s="1"/>
      <c r="HC158" s="1"/>
      <c r="HD158" s="1"/>
      <c r="HE158" s="1"/>
      <c r="HF158" s="1"/>
      <c r="HG158" s="1"/>
      <c r="HH158" s="1"/>
      <c r="HI158" s="1"/>
      <c r="HJ158" s="1"/>
      <c r="HK158" s="1"/>
      <c r="HL158" s="1"/>
    </row>
    <row r="159" spans="1:220" s="349" customFormat="1" ht="17.100000000000001" customHeight="1" x14ac:dyDescent="0.25">
      <c r="A159"/>
      <c r="B159" s="325"/>
      <c r="C159" s="329"/>
      <c r="D159" s="326"/>
      <c r="E159" s="330"/>
      <c r="F159" s="331"/>
      <c r="G159" s="223"/>
      <c r="H159" s="332"/>
      <c r="I159" s="109"/>
      <c r="J159" s="227"/>
      <c r="K159" s="156"/>
      <c r="L159" s="333"/>
      <c r="M159" s="343"/>
      <c r="N159" s="335"/>
      <c r="O159" s="336"/>
      <c r="P159" s="337"/>
      <c r="Q159" s="338"/>
      <c r="R159" s="339"/>
      <c r="S159" s="227"/>
      <c r="T159" s="227"/>
      <c r="U159" s="227"/>
      <c r="V159" s="227"/>
      <c r="W159" s="227"/>
      <c r="X159" s="227"/>
      <c r="Y159" s="340"/>
      <c r="Z159" s="341"/>
      <c r="AA159" s="348"/>
      <c r="AB159" s="342"/>
      <c r="AC159" s="338"/>
      <c r="AD159" s="277"/>
      <c r="AF159" s="350"/>
      <c r="AG159" s="351"/>
      <c r="AH159" s="351"/>
      <c r="AI159" s="352"/>
      <c r="AJ159" s="35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c r="EG159" s="1"/>
      <c r="EH159" s="1"/>
      <c r="EI159" s="1"/>
      <c r="EJ159" s="1"/>
      <c r="EK159" s="1"/>
      <c r="EL159" s="1"/>
      <c r="EM159" s="1"/>
      <c r="EN159" s="1"/>
      <c r="EO159" s="1"/>
      <c r="EP159" s="1"/>
      <c r="EQ159" s="1"/>
      <c r="ER159" s="1"/>
      <c r="ES159" s="1"/>
      <c r="ET159" s="1"/>
      <c r="EU159" s="1"/>
      <c r="EV159" s="1"/>
      <c r="EW159" s="1"/>
      <c r="EX159" s="1"/>
      <c r="EY159" s="1"/>
      <c r="EZ159" s="1"/>
      <c r="FA159" s="1"/>
      <c r="FB159" s="1"/>
      <c r="FC159" s="1"/>
      <c r="FD159" s="1"/>
      <c r="FE159" s="1"/>
      <c r="FF159" s="1"/>
      <c r="FG159" s="1"/>
      <c r="FH159" s="1"/>
      <c r="FI159" s="1"/>
      <c r="FJ159" s="1"/>
      <c r="FK159" s="1"/>
      <c r="FL159" s="1"/>
      <c r="FM159" s="1"/>
      <c r="FN159" s="1"/>
      <c r="FO159" s="1"/>
      <c r="FP159" s="1"/>
      <c r="FQ159" s="1"/>
      <c r="FR159" s="1"/>
      <c r="FS159" s="1"/>
      <c r="FT159" s="1"/>
      <c r="FU159" s="1"/>
      <c r="FV159" s="1"/>
      <c r="FW159" s="1"/>
      <c r="FX159" s="1"/>
      <c r="FY159" s="1"/>
      <c r="FZ159" s="1"/>
      <c r="GA159" s="1"/>
      <c r="GB159" s="1"/>
      <c r="GC159" s="1"/>
      <c r="GD159" s="1"/>
      <c r="GE159" s="1"/>
      <c r="GF159" s="1"/>
      <c r="GG159" s="1"/>
      <c r="GH159" s="1"/>
      <c r="GI159" s="1"/>
      <c r="GJ159" s="1"/>
      <c r="GK159" s="1"/>
      <c r="GL159" s="1"/>
      <c r="GM159" s="1"/>
      <c r="GN159" s="1"/>
      <c r="GO159" s="1"/>
      <c r="GP159" s="1"/>
      <c r="GQ159" s="1"/>
      <c r="GR159" s="1"/>
      <c r="GS159" s="1"/>
      <c r="GT159" s="1"/>
      <c r="GU159" s="1"/>
      <c r="GV159" s="1"/>
      <c r="GW159" s="1"/>
      <c r="GX159" s="1"/>
      <c r="GY159" s="1"/>
      <c r="GZ159" s="1"/>
      <c r="HA159" s="1"/>
      <c r="HB159" s="1"/>
      <c r="HC159" s="1"/>
      <c r="HD159" s="1"/>
      <c r="HE159" s="1"/>
      <c r="HF159" s="1"/>
      <c r="HG159" s="1"/>
      <c r="HH159" s="1"/>
      <c r="HI159" s="1"/>
      <c r="HJ159" s="1"/>
      <c r="HK159" s="1"/>
      <c r="HL159" s="1"/>
    </row>
    <row r="160" spans="1:220" s="349" customFormat="1" ht="17.100000000000001" customHeight="1" x14ac:dyDescent="0.25">
      <c r="A160"/>
      <c r="B160" s="325"/>
      <c r="C160" s="329"/>
      <c r="D160" s="326"/>
      <c r="E160" s="330"/>
      <c r="F160" s="331"/>
      <c r="G160" s="223"/>
      <c r="H160" s="332"/>
      <c r="I160" s="109"/>
      <c r="J160" s="227"/>
      <c r="K160" s="156"/>
      <c r="L160" s="333"/>
      <c r="M160" s="343"/>
      <c r="N160" s="335"/>
      <c r="O160" s="336"/>
      <c r="P160" s="337"/>
      <c r="Q160" s="338"/>
      <c r="R160" s="339"/>
      <c r="S160" s="227"/>
      <c r="T160" s="227"/>
      <c r="U160" s="227"/>
      <c r="V160" s="227"/>
      <c r="W160" s="227"/>
      <c r="X160" s="227"/>
      <c r="Y160" s="340"/>
      <c r="Z160" s="341"/>
      <c r="AA160" s="348"/>
      <c r="AB160" s="342"/>
      <c r="AC160" s="338"/>
      <c r="AD160" s="277"/>
      <c r="AF160" s="350"/>
      <c r="AG160" s="351"/>
      <c r="AH160" s="351"/>
      <c r="AI160" s="352"/>
      <c r="AJ160" s="35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c r="EG160" s="1"/>
      <c r="EH160" s="1"/>
      <c r="EI160" s="1"/>
      <c r="EJ160" s="1"/>
      <c r="EK160" s="1"/>
      <c r="EL160" s="1"/>
      <c r="EM160" s="1"/>
      <c r="EN160" s="1"/>
      <c r="EO160" s="1"/>
      <c r="EP160" s="1"/>
      <c r="EQ160" s="1"/>
      <c r="ER160" s="1"/>
      <c r="ES160" s="1"/>
      <c r="ET160" s="1"/>
      <c r="EU160" s="1"/>
      <c r="EV160" s="1"/>
      <c r="EW160" s="1"/>
      <c r="EX160" s="1"/>
      <c r="EY160" s="1"/>
      <c r="EZ160" s="1"/>
      <c r="FA160" s="1"/>
      <c r="FB160" s="1"/>
      <c r="FC160" s="1"/>
      <c r="FD160" s="1"/>
      <c r="FE160" s="1"/>
      <c r="FF160" s="1"/>
      <c r="FG160" s="1"/>
      <c r="FH160" s="1"/>
      <c r="FI160" s="1"/>
      <c r="FJ160" s="1"/>
      <c r="FK160" s="1"/>
      <c r="FL160" s="1"/>
      <c r="FM160" s="1"/>
      <c r="FN160" s="1"/>
      <c r="FO160" s="1"/>
      <c r="FP160" s="1"/>
      <c r="FQ160" s="1"/>
      <c r="FR160" s="1"/>
      <c r="FS160" s="1"/>
      <c r="FT160" s="1"/>
      <c r="FU160" s="1"/>
      <c r="FV160" s="1"/>
      <c r="FW160" s="1"/>
      <c r="FX160" s="1"/>
      <c r="FY160" s="1"/>
      <c r="FZ160" s="1"/>
      <c r="GA160" s="1"/>
      <c r="GB160" s="1"/>
      <c r="GC160" s="1"/>
      <c r="GD160" s="1"/>
      <c r="GE160" s="1"/>
      <c r="GF160" s="1"/>
      <c r="GG160" s="1"/>
      <c r="GH160" s="1"/>
      <c r="GI160" s="1"/>
      <c r="GJ160" s="1"/>
      <c r="GK160" s="1"/>
      <c r="GL160" s="1"/>
      <c r="GM160" s="1"/>
      <c r="GN160" s="1"/>
      <c r="GO160" s="1"/>
      <c r="GP160" s="1"/>
      <c r="GQ160" s="1"/>
      <c r="GR160" s="1"/>
      <c r="GS160" s="1"/>
      <c r="GT160" s="1"/>
      <c r="GU160" s="1"/>
      <c r="GV160" s="1"/>
      <c r="GW160" s="1"/>
      <c r="GX160" s="1"/>
      <c r="GY160" s="1"/>
      <c r="GZ160" s="1"/>
      <c r="HA160" s="1"/>
      <c r="HB160" s="1"/>
      <c r="HC160" s="1"/>
      <c r="HD160" s="1"/>
      <c r="HE160" s="1"/>
      <c r="HF160" s="1"/>
      <c r="HG160" s="1"/>
      <c r="HH160" s="1"/>
      <c r="HI160" s="1"/>
      <c r="HJ160" s="1"/>
      <c r="HK160" s="1"/>
      <c r="HL160" s="1"/>
    </row>
    <row r="161" spans="1:220" s="349" customFormat="1" ht="17.100000000000001" customHeight="1" x14ac:dyDescent="0.25">
      <c r="A161"/>
      <c r="B161" s="325"/>
      <c r="C161" s="329"/>
      <c r="D161" s="326"/>
      <c r="E161" s="330"/>
      <c r="F161" s="331"/>
      <c r="G161" s="223"/>
      <c r="H161" s="332"/>
      <c r="I161" s="109"/>
      <c r="J161" s="227"/>
      <c r="K161" s="156"/>
      <c r="L161" s="333"/>
      <c r="M161" s="343"/>
      <c r="N161" s="335"/>
      <c r="O161" s="336"/>
      <c r="P161" s="337"/>
      <c r="Q161" s="338"/>
      <c r="R161" s="339"/>
      <c r="S161" s="227"/>
      <c r="T161" s="227"/>
      <c r="U161" s="227"/>
      <c r="V161" s="227"/>
      <c r="W161" s="227"/>
      <c r="X161" s="227"/>
      <c r="Y161" s="340"/>
      <c r="Z161" s="341"/>
      <c r="AA161" s="348"/>
      <c r="AB161" s="342"/>
      <c r="AC161" s="338"/>
      <c r="AD161" s="277"/>
      <c r="AF161" s="350"/>
      <c r="AG161" s="351"/>
      <c r="AH161" s="351"/>
      <c r="AI161" s="352"/>
      <c r="AJ161" s="35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c r="EG161" s="1"/>
      <c r="EH161" s="1"/>
      <c r="EI161" s="1"/>
      <c r="EJ161" s="1"/>
      <c r="EK161" s="1"/>
      <c r="EL161" s="1"/>
      <c r="EM161" s="1"/>
      <c r="EN161" s="1"/>
      <c r="EO161" s="1"/>
      <c r="EP161" s="1"/>
      <c r="EQ161" s="1"/>
      <c r="ER161" s="1"/>
      <c r="ES161" s="1"/>
      <c r="ET161" s="1"/>
      <c r="EU161" s="1"/>
      <c r="EV161" s="1"/>
      <c r="EW161" s="1"/>
      <c r="EX161" s="1"/>
      <c r="EY161" s="1"/>
      <c r="EZ161" s="1"/>
      <c r="FA161" s="1"/>
      <c r="FB161" s="1"/>
      <c r="FC161" s="1"/>
      <c r="FD161" s="1"/>
      <c r="FE161" s="1"/>
      <c r="FF161" s="1"/>
      <c r="FG161" s="1"/>
      <c r="FH161" s="1"/>
      <c r="FI161" s="1"/>
      <c r="FJ161" s="1"/>
      <c r="FK161" s="1"/>
      <c r="FL161" s="1"/>
      <c r="FM161" s="1"/>
      <c r="FN161" s="1"/>
      <c r="FO161" s="1"/>
      <c r="FP161" s="1"/>
      <c r="FQ161" s="1"/>
      <c r="FR161" s="1"/>
      <c r="FS161" s="1"/>
      <c r="FT161" s="1"/>
      <c r="FU161" s="1"/>
      <c r="FV161" s="1"/>
      <c r="FW161" s="1"/>
      <c r="FX161" s="1"/>
      <c r="FY161" s="1"/>
      <c r="FZ161" s="1"/>
      <c r="GA161" s="1"/>
      <c r="GB161" s="1"/>
      <c r="GC161" s="1"/>
      <c r="GD161" s="1"/>
      <c r="GE161" s="1"/>
      <c r="GF161" s="1"/>
      <c r="GG161" s="1"/>
      <c r="GH161" s="1"/>
      <c r="GI161" s="1"/>
      <c r="GJ161" s="1"/>
      <c r="GK161" s="1"/>
      <c r="GL161" s="1"/>
      <c r="GM161" s="1"/>
      <c r="GN161" s="1"/>
      <c r="GO161" s="1"/>
      <c r="GP161" s="1"/>
      <c r="GQ161" s="1"/>
      <c r="GR161" s="1"/>
      <c r="GS161" s="1"/>
      <c r="GT161" s="1"/>
      <c r="GU161" s="1"/>
      <c r="GV161" s="1"/>
      <c r="GW161" s="1"/>
      <c r="GX161" s="1"/>
      <c r="GY161" s="1"/>
      <c r="GZ161" s="1"/>
      <c r="HA161" s="1"/>
      <c r="HB161" s="1"/>
      <c r="HC161" s="1"/>
      <c r="HD161" s="1"/>
      <c r="HE161" s="1"/>
      <c r="HF161" s="1"/>
      <c r="HG161" s="1"/>
      <c r="HH161" s="1"/>
      <c r="HI161" s="1"/>
      <c r="HJ161" s="1"/>
      <c r="HK161" s="1"/>
      <c r="HL161" s="1"/>
    </row>
    <row r="162" spans="1:220" s="349" customFormat="1" ht="17.100000000000001" customHeight="1" x14ac:dyDescent="0.25">
      <c r="A162"/>
      <c r="B162" s="325"/>
      <c r="C162" s="329"/>
      <c r="D162" s="326"/>
      <c r="E162" s="330"/>
      <c r="F162" s="331"/>
      <c r="G162" s="223"/>
      <c r="H162" s="332"/>
      <c r="I162" s="109"/>
      <c r="J162" s="227"/>
      <c r="K162" s="156"/>
      <c r="L162" s="333"/>
      <c r="M162" s="343"/>
      <c r="N162" s="335"/>
      <c r="O162" s="336"/>
      <c r="P162" s="337"/>
      <c r="Q162" s="338"/>
      <c r="R162" s="339"/>
      <c r="S162" s="227"/>
      <c r="T162" s="227"/>
      <c r="U162" s="227"/>
      <c r="V162" s="227"/>
      <c r="W162" s="227"/>
      <c r="X162" s="227"/>
      <c r="Y162" s="340"/>
      <c r="Z162" s="341"/>
      <c r="AA162" s="348"/>
      <c r="AB162" s="342"/>
      <c r="AC162" s="338"/>
      <c r="AD162" s="277"/>
      <c r="AF162" s="350"/>
      <c r="AG162" s="351"/>
      <c r="AH162" s="351"/>
      <c r="AI162" s="352"/>
      <c r="AJ162" s="35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c r="EG162" s="1"/>
      <c r="EH162" s="1"/>
      <c r="EI162" s="1"/>
      <c r="EJ162" s="1"/>
      <c r="EK162" s="1"/>
      <c r="EL162" s="1"/>
      <c r="EM162" s="1"/>
      <c r="EN162" s="1"/>
      <c r="EO162" s="1"/>
      <c r="EP162" s="1"/>
      <c r="EQ162" s="1"/>
      <c r="ER162" s="1"/>
      <c r="ES162" s="1"/>
      <c r="ET162" s="1"/>
      <c r="EU162" s="1"/>
      <c r="EV162" s="1"/>
      <c r="EW162" s="1"/>
      <c r="EX162" s="1"/>
      <c r="EY162" s="1"/>
      <c r="EZ162" s="1"/>
      <c r="FA162" s="1"/>
      <c r="FB162" s="1"/>
      <c r="FC162" s="1"/>
      <c r="FD162" s="1"/>
      <c r="FE162" s="1"/>
      <c r="FF162" s="1"/>
      <c r="FG162" s="1"/>
      <c r="FH162" s="1"/>
      <c r="FI162" s="1"/>
      <c r="FJ162" s="1"/>
      <c r="FK162" s="1"/>
      <c r="FL162" s="1"/>
      <c r="FM162" s="1"/>
      <c r="FN162" s="1"/>
      <c r="FO162" s="1"/>
      <c r="FP162" s="1"/>
      <c r="FQ162" s="1"/>
      <c r="FR162" s="1"/>
      <c r="FS162" s="1"/>
      <c r="FT162" s="1"/>
      <c r="FU162" s="1"/>
      <c r="FV162" s="1"/>
      <c r="FW162" s="1"/>
      <c r="FX162" s="1"/>
      <c r="FY162" s="1"/>
      <c r="FZ162" s="1"/>
      <c r="GA162" s="1"/>
      <c r="GB162" s="1"/>
      <c r="GC162" s="1"/>
      <c r="GD162" s="1"/>
      <c r="GE162" s="1"/>
      <c r="GF162" s="1"/>
      <c r="GG162" s="1"/>
      <c r="GH162" s="1"/>
      <c r="GI162" s="1"/>
      <c r="GJ162" s="1"/>
      <c r="GK162" s="1"/>
      <c r="GL162" s="1"/>
      <c r="GM162" s="1"/>
      <c r="GN162" s="1"/>
      <c r="GO162" s="1"/>
      <c r="GP162" s="1"/>
      <c r="GQ162" s="1"/>
      <c r="GR162" s="1"/>
      <c r="GS162" s="1"/>
      <c r="GT162" s="1"/>
      <c r="GU162" s="1"/>
      <c r="GV162" s="1"/>
      <c r="GW162" s="1"/>
      <c r="GX162" s="1"/>
      <c r="GY162" s="1"/>
      <c r="GZ162" s="1"/>
      <c r="HA162" s="1"/>
      <c r="HB162" s="1"/>
      <c r="HC162" s="1"/>
      <c r="HD162" s="1"/>
      <c r="HE162" s="1"/>
      <c r="HF162" s="1"/>
      <c r="HG162" s="1"/>
      <c r="HH162" s="1"/>
      <c r="HI162" s="1"/>
      <c r="HJ162" s="1"/>
      <c r="HK162" s="1"/>
      <c r="HL162" s="1"/>
    </row>
    <row r="163" spans="1:220" s="349" customFormat="1" ht="17.100000000000001" customHeight="1" x14ac:dyDescent="0.25">
      <c r="A163"/>
      <c r="B163" s="325"/>
      <c r="C163" s="329"/>
      <c r="D163" s="326"/>
      <c r="E163" s="330"/>
      <c r="F163" s="331"/>
      <c r="G163" s="223"/>
      <c r="H163" s="332"/>
      <c r="I163" s="109"/>
      <c r="J163" s="227"/>
      <c r="K163" s="156"/>
      <c r="L163" s="333"/>
      <c r="M163" s="343"/>
      <c r="N163" s="335"/>
      <c r="O163" s="336"/>
      <c r="P163" s="337"/>
      <c r="Q163" s="338"/>
      <c r="R163" s="339"/>
      <c r="S163" s="227"/>
      <c r="T163" s="227"/>
      <c r="U163" s="227"/>
      <c r="V163" s="227"/>
      <c r="W163" s="227"/>
      <c r="X163" s="227"/>
      <c r="Y163" s="340"/>
      <c r="Z163" s="341"/>
      <c r="AA163" s="348"/>
      <c r="AB163" s="342"/>
      <c r="AC163" s="338"/>
      <c r="AD163" s="277"/>
      <c r="AF163" s="350"/>
      <c r="AG163" s="351"/>
      <c r="AH163" s="351"/>
      <c r="AI163" s="352"/>
      <c r="AJ163" s="35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c r="EG163" s="1"/>
      <c r="EH163" s="1"/>
      <c r="EI163" s="1"/>
      <c r="EJ163" s="1"/>
      <c r="EK163" s="1"/>
      <c r="EL163" s="1"/>
      <c r="EM163" s="1"/>
      <c r="EN163" s="1"/>
      <c r="EO163" s="1"/>
      <c r="EP163" s="1"/>
      <c r="EQ163" s="1"/>
      <c r="ER163" s="1"/>
      <c r="ES163" s="1"/>
      <c r="ET163" s="1"/>
      <c r="EU163" s="1"/>
      <c r="EV163" s="1"/>
      <c r="EW163" s="1"/>
      <c r="EX163" s="1"/>
      <c r="EY163" s="1"/>
      <c r="EZ163" s="1"/>
      <c r="FA163" s="1"/>
      <c r="FB163" s="1"/>
      <c r="FC163" s="1"/>
      <c r="FD163" s="1"/>
      <c r="FE163" s="1"/>
      <c r="FF163" s="1"/>
      <c r="FG163" s="1"/>
      <c r="FH163" s="1"/>
      <c r="FI163" s="1"/>
      <c r="FJ163" s="1"/>
      <c r="FK163" s="1"/>
      <c r="FL163" s="1"/>
      <c r="FM163" s="1"/>
      <c r="FN163" s="1"/>
      <c r="FO163" s="1"/>
      <c r="FP163" s="1"/>
      <c r="FQ163" s="1"/>
      <c r="FR163" s="1"/>
      <c r="FS163" s="1"/>
      <c r="FT163" s="1"/>
      <c r="FU163" s="1"/>
      <c r="FV163" s="1"/>
      <c r="FW163" s="1"/>
      <c r="FX163" s="1"/>
      <c r="FY163" s="1"/>
      <c r="FZ163" s="1"/>
      <c r="GA163" s="1"/>
      <c r="GB163" s="1"/>
      <c r="GC163" s="1"/>
      <c r="GD163" s="1"/>
      <c r="GE163" s="1"/>
      <c r="GF163" s="1"/>
      <c r="GG163" s="1"/>
      <c r="GH163" s="1"/>
      <c r="GI163" s="1"/>
      <c r="GJ163" s="1"/>
      <c r="GK163" s="1"/>
      <c r="GL163" s="1"/>
      <c r="GM163" s="1"/>
      <c r="GN163" s="1"/>
      <c r="GO163" s="1"/>
      <c r="GP163" s="1"/>
      <c r="GQ163" s="1"/>
      <c r="GR163" s="1"/>
      <c r="GS163" s="1"/>
      <c r="GT163" s="1"/>
      <c r="GU163" s="1"/>
      <c r="GV163" s="1"/>
      <c r="GW163" s="1"/>
      <c r="GX163" s="1"/>
      <c r="GY163" s="1"/>
      <c r="GZ163" s="1"/>
      <c r="HA163" s="1"/>
      <c r="HB163" s="1"/>
      <c r="HC163" s="1"/>
      <c r="HD163" s="1"/>
      <c r="HE163" s="1"/>
      <c r="HF163" s="1"/>
      <c r="HG163" s="1"/>
      <c r="HH163" s="1"/>
      <c r="HI163" s="1"/>
      <c r="HJ163" s="1"/>
      <c r="HK163" s="1"/>
      <c r="HL163" s="1"/>
    </row>
    <row r="164" spans="1:220" s="349" customFormat="1" ht="17.100000000000001" customHeight="1" x14ac:dyDescent="0.25">
      <c r="A164"/>
      <c r="B164" s="325"/>
      <c r="C164" s="329"/>
      <c r="D164" s="326"/>
      <c r="E164" s="330"/>
      <c r="F164" s="331"/>
      <c r="G164" s="223"/>
      <c r="H164" s="332"/>
      <c r="I164" s="109"/>
      <c r="J164" s="227"/>
      <c r="K164" s="156"/>
      <c r="L164" s="333"/>
      <c r="M164" s="343"/>
      <c r="N164" s="335"/>
      <c r="O164" s="336"/>
      <c r="P164" s="337"/>
      <c r="Q164" s="338"/>
      <c r="R164" s="339"/>
      <c r="S164" s="227"/>
      <c r="T164" s="227"/>
      <c r="U164" s="227"/>
      <c r="V164" s="227"/>
      <c r="W164" s="227"/>
      <c r="X164" s="227"/>
      <c r="Y164" s="340"/>
      <c r="Z164" s="341"/>
      <c r="AA164" s="348"/>
      <c r="AB164" s="342"/>
      <c r="AC164" s="338"/>
      <c r="AD164" s="277"/>
      <c r="AF164" s="350"/>
      <c r="AG164" s="351"/>
      <c r="AH164" s="351"/>
      <c r="AI164" s="352"/>
      <c r="AJ164" s="35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c r="EG164" s="1"/>
      <c r="EH164" s="1"/>
      <c r="EI164" s="1"/>
      <c r="EJ164" s="1"/>
      <c r="EK164" s="1"/>
      <c r="EL164" s="1"/>
      <c r="EM164" s="1"/>
      <c r="EN164" s="1"/>
      <c r="EO164" s="1"/>
      <c r="EP164" s="1"/>
      <c r="EQ164" s="1"/>
      <c r="ER164" s="1"/>
      <c r="ES164" s="1"/>
      <c r="ET164" s="1"/>
      <c r="EU164" s="1"/>
      <c r="EV164" s="1"/>
      <c r="EW164" s="1"/>
      <c r="EX164" s="1"/>
      <c r="EY164" s="1"/>
      <c r="EZ164" s="1"/>
      <c r="FA164" s="1"/>
      <c r="FB164" s="1"/>
      <c r="FC164" s="1"/>
      <c r="FD164" s="1"/>
      <c r="FE164" s="1"/>
      <c r="FF164" s="1"/>
      <c r="FG164" s="1"/>
      <c r="FH164" s="1"/>
      <c r="FI164" s="1"/>
      <c r="FJ164" s="1"/>
      <c r="FK164" s="1"/>
      <c r="FL164" s="1"/>
      <c r="FM164" s="1"/>
      <c r="FN164" s="1"/>
      <c r="FO164" s="1"/>
      <c r="FP164" s="1"/>
      <c r="FQ164" s="1"/>
      <c r="FR164" s="1"/>
      <c r="FS164" s="1"/>
      <c r="FT164" s="1"/>
      <c r="FU164" s="1"/>
      <c r="FV164" s="1"/>
      <c r="FW164" s="1"/>
      <c r="FX164" s="1"/>
      <c r="FY164" s="1"/>
      <c r="FZ164" s="1"/>
      <c r="GA164" s="1"/>
      <c r="GB164" s="1"/>
      <c r="GC164" s="1"/>
      <c r="GD164" s="1"/>
      <c r="GE164" s="1"/>
      <c r="GF164" s="1"/>
      <c r="GG164" s="1"/>
      <c r="GH164" s="1"/>
      <c r="GI164" s="1"/>
      <c r="GJ164" s="1"/>
      <c r="GK164" s="1"/>
      <c r="GL164" s="1"/>
      <c r="GM164" s="1"/>
      <c r="GN164" s="1"/>
      <c r="GO164" s="1"/>
      <c r="GP164" s="1"/>
      <c r="GQ164" s="1"/>
      <c r="GR164" s="1"/>
      <c r="GS164" s="1"/>
      <c r="GT164" s="1"/>
      <c r="GU164" s="1"/>
      <c r="GV164" s="1"/>
      <c r="GW164" s="1"/>
      <c r="GX164" s="1"/>
      <c r="GY164" s="1"/>
      <c r="GZ164" s="1"/>
      <c r="HA164" s="1"/>
      <c r="HB164" s="1"/>
      <c r="HC164" s="1"/>
      <c r="HD164" s="1"/>
      <c r="HE164" s="1"/>
      <c r="HF164" s="1"/>
      <c r="HG164" s="1"/>
      <c r="HH164" s="1"/>
      <c r="HI164" s="1"/>
      <c r="HJ164" s="1"/>
      <c r="HK164" s="1"/>
      <c r="HL164" s="1"/>
    </row>
    <row r="165" spans="1:220" s="349" customFormat="1" ht="17.100000000000001" customHeight="1" x14ac:dyDescent="0.25">
      <c r="A165"/>
      <c r="B165" s="325"/>
      <c r="C165" s="329"/>
      <c r="D165" s="326"/>
      <c r="E165" s="330"/>
      <c r="F165" s="331"/>
      <c r="G165" s="223"/>
      <c r="H165" s="332"/>
      <c r="I165" s="109"/>
      <c r="J165" s="227"/>
      <c r="K165" s="156"/>
      <c r="L165" s="333"/>
      <c r="M165" s="343"/>
      <c r="N165" s="335"/>
      <c r="O165" s="336"/>
      <c r="P165" s="337"/>
      <c r="Q165" s="338"/>
      <c r="R165" s="339"/>
      <c r="S165" s="227"/>
      <c r="T165" s="227"/>
      <c r="U165" s="227"/>
      <c r="V165" s="227"/>
      <c r="W165" s="227"/>
      <c r="X165" s="227"/>
      <c r="Y165" s="340"/>
      <c r="Z165" s="341"/>
      <c r="AA165" s="348"/>
      <c r="AB165" s="342"/>
      <c r="AC165" s="338"/>
      <c r="AD165" s="277"/>
      <c r="AF165" s="350"/>
      <c r="AG165" s="351"/>
      <c r="AH165" s="351"/>
      <c r="AI165" s="352"/>
      <c r="AJ165" s="35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c r="EG165" s="1"/>
      <c r="EH165" s="1"/>
      <c r="EI165" s="1"/>
      <c r="EJ165" s="1"/>
      <c r="EK165" s="1"/>
      <c r="EL165" s="1"/>
      <c r="EM165" s="1"/>
      <c r="EN165" s="1"/>
      <c r="EO165" s="1"/>
      <c r="EP165" s="1"/>
      <c r="EQ165" s="1"/>
      <c r="ER165" s="1"/>
      <c r="ES165" s="1"/>
      <c r="ET165" s="1"/>
      <c r="EU165" s="1"/>
      <c r="EV165" s="1"/>
      <c r="EW165" s="1"/>
      <c r="EX165" s="1"/>
      <c r="EY165" s="1"/>
      <c r="EZ165" s="1"/>
      <c r="FA165" s="1"/>
      <c r="FB165" s="1"/>
      <c r="FC165" s="1"/>
      <c r="FD165" s="1"/>
      <c r="FE165" s="1"/>
      <c r="FF165" s="1"/>
      <c r="FG165" s="1"/>
      <c r="FH165" s="1"/>
      <c r="FI165" s="1"/>
      <c r="FJ165" s="1"/>
      <c r="FK165" s="1"/>
      <c r="FL165" s="1"/>
      <c r="FM165" s="1"/>
      <c r="FN165" s="1"/>
      <c r="FO165" s="1"/>
      <c r="FP165" s="1"/>
      <c r="FQ165" s="1"/>
      <c r="FR165" s="1"/>
      <c r="FS165" s="1"/>
      <c r="FT165" s="1"/>
      <c r="FU165" s="1"/>
      <c r="FV165" s="1"/>
      <c r="FW165" s="1"/>
      <c r="FX165" s="1"/>
      <c r="FY165" s="1"/>
      <c r="FZ165" s="1"/>
      <c r="GA165" s="1"/>
      <c r="GB165" s="1"/>
      <c r="GC165" s="1"/>
      <c r="GD165" s="1"/>
      <c r="GE165" s="1"/>
      <c r="GF165" s="1"/>
      <c r="GG165" s="1"/>
      <c r="GH165" s="1"/>
      <c r="GI165" s="1"/>
      <c r="GJ165" s="1"/>
      <c r="GK165" s="1"/>
      <c r="GL165" s="1"/>
      <c r="GM165" s="1"/>
      <c r="GN165" s="1"/>
      <c r="GO165" s="1"/>
      <c r="GP165" s="1"/>
      <c r="GQ165" s="1"/>
      <c r="GR165" s="1"/>
      <c r="GS165" s="1"/>
      <c r="GT165" s="1"/>
      <c r="GU165" s="1"/>
      <c r="GV165" s="1"/>
      <c r="GW165" s="1"/>
      <c r="GX165" s="1"/>
      <c r="GY165" s="1"/>
      <c r="GZ165" s="1"/>
      <c r="HA165" s="1"/>
      <c r="HB165" s="1"/>
      <c r="HC165" s="1"/>
      <c r="HD165" s="1"/>
      <c r="HE165" s="1"/>
      <c r="HF165" s="1"/>
      <c r="HG165" s="1"/>
      <c r="HH165" s="1"/>
      <c r="HI165" s="1"/>
      <c r="HJ165" s="1"/>
      <c r="HK165" s="1"/>
      <c r="HL165" s="1"/>
    </row>
    <row r="166" spans="1:220" s="349" customFormat="1" ht="17.100000000000001" customHeight="1" x14ac:dyDescent="0.25">
      <c r="A166"/>
      <c r="B166" s="325"/>
      <c r="C166" s="329"/>
      <c r="D166" s="326"/>
      <c r="E166" s="330"/>
      <c r="F166" s="331"/>
      <c r="G166" s="223"/>
      <c r="H166" s="332"/>
      <c r="I166" s="109"/>
      <c r="J166" s="227"/>
      <c r="K166" s="156"/>
      <c r="L166" s="333"/>
      <c r="M166" s="343"/>
      <c r="N166" s="335"/>
      <c r="O166" s="336"/>
      <c r="P166" s="337"/>
      <c r="Q166" s="338"/>
      <c r="R166" s="339"/>
      <c r="S166" s="227"/>
      <c r="T166" s="227"/>
      <c r="U166" s="227"/>
      <c r="V166" s="227"/>
      <c r="W166" s="227"/>
      <c r="X166" s="227"/>
      <c r="Y166" s="340"/>
      <c r="Z166" s="341"/>
      <c r="AA166" s="348"/>
      <c r="AB166" s="342"/>
      <c r="AC166" s="338"/>
      <c r="AD166" s="277"/>
      <c r="AF166" s="350"/>
      <c r="AG166" s="351"/>
      <c r="AH166" s="351"/>
      <c r="AI166" s="352"/>
      <c r="AJ166" s="35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EG166" s="1"/>
      <c r="EH166" s="1"/>
      <c r="EI166" s="1"/>
      <c r="EJ166" s="1"/>
      <c r="EK166" s="1"/>
      <c r="EL166" s="1"/>
      <c r="EM166" s="1"/>
      <c r="EN166" s="1"/>
      <c r="EO166" s="1"/>
      <c r="EP166" s="1"/>
      <c r="EQ166" s="1"/>
      <c r="ER166" s="1"/>
      <c r="ES166" s="1"/>
      <c r="ET166" s="1"/>
      <c r="EU166" s="1"/>
      <c r="EV166" s="1"/>
      <c r="EW166" s="1"/>
      <c r="EX166" s="1"/>
      <c r="EY166" s="1"/>
      <c r="EZ166" s="1"/>
      <c r="FA166" s="1"/>
      <c r="FB166" s="1"/>
      <c r="FC166" s="1"/>
      <c r="FD166" s="1"/>
      <c r="FE166" s="1"/>
      <c r="FF166" s="1"/>
      <c r="FG166" s="1"/>
      <c r="FH166" s="1"/>
      <c r="FI166" s="1"/>
      <c r="FJ166" s="1"/>
      <c r="FK166" s="1"/>
      <c r="FL166" s="1"/>
      <c r="FM166" s="1"/>
      <c r="FN166" s="1"/>
      <c r="FO166" s="1"/>
      <c r="FP166" s="1"/>
      <c r="FQ166" s="1"/>
      <c r="FR166" s="1"/>
      <c r="FS166" s="1"/>
      <c r="FT166" s="1"/>
      <c r="FU166" s="1"/>
      <c r="FV166" s="1"/>
      <c r="FW166" s="1"/>
      <c r="FX166" s="1"/>
      <c r="FY166" s="1"/>
      <c r="FZ166" s="1"/>
      <c r="GA166" s="1"/>
      <c r="GB166" s="1"/>
      <c r="GC166" s="1"/>
      <c r="GD166" s="1"/>
      <c r="GE166" s="1"/>
      <c r="GF166" s="1"/>
      <c r="GG166" s="1"/>
      <c r="GH166" s="1"/>
      <c r="GI166" s="1"/>
      <c r="GJ166" s="1"/>
      <c r="GK166" s="1"/>
      <c r="GL166" s="1"/>
      <c r="GM166" s="1"/>
      <c r="GN166" s="1"/>
      <c r="GO166" s="1"/>
      <c r="GP166" s="1"/>
      <c r="GQ166" s="1"/>
      <c r="GR166" s="1"/>
      <c r="GS166" s="1"/>
      <c r="GT166" s="1"/>
      <c r="GU166" s="1"/>
      <c r="GV166" s="1"/>
      <c r="GW166" s="1"/>
      <c r="GX166" s="1"/>
      <c r="GY166" s="1"/>
      <c r="GZ166" s="1"/>
      <c r="HA166" s="1"/>
      <c r="HB166" s="1"/>
      <c r="HC166" s="1"/>
      <c r="HD166" s="1"/>
      <c r="HE166" s="1"/>
      <c r="HF166" s="1"/>
      <c r="HG166" s="1"/>
      <c r="HH166" s="1"/>
      <c r="HI166" s="1"/>
      <c r="HJ166" s="1"/>
      <c r="HK166" s="1"/>
      <c r="HL166" s="1"/>
    </row>
    <row r="167" spans="1:220" s="349" customFormat="1" ht="17.100000000000001" customHeight="1" x14ac:dyDescent="0.25">
      <c r="A167"/>
      <c r="B167" s="325"/>
      <c r="C167" s="329"/>
      <c r="D167" s="326"/>
      <c r="E167" s="330"/>
      <c r="F167" s="331"/>
      <c r="G167" s="223"/>
      <c r="H167" s="332"/>
      <c r="I167" s="109"/>
      <c r="J167" s="227"/>
      <c r="K167" s="156"/>
      <c r="L167" s="333"/>
      <c r="M167" s="343"/>
      <c r="N167" s="335"/>
      <c r="O167" s="336"/>
      <c r="P167" s="337"/>
      <c r="Q167" s="338"/>
      <c r="R167" s="339"/>
      <c r="S167" s="227"/>
      <c r="T167" s="227"/>
      <c r="U167" s="227"/>
      <c r="V167" s="227"/>
      <c r="W167" s="227"/>
      <c r="X167" s="227"/>
      <c r="Y167" s="340"/>
      <c r="Z167" s="341"/>
      <c r="AA167" s="348"/>
      <c r="AB167" s="342"/>
      <c r="AC167" s="338"/>
      <c r="AD167" s="277"/>
      <c r="AF167" s="350"/>
      <c r="AG167" s="351"/>
      <c r="AH167" s="351"/>
      <c r="AI167" s="352"/>
      <c r="AJ167" s="35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c r="EG167" s="1"/>
      <c r="EH167" s="1"/>
      <c r="EI167" s="1"/>
      <c r="EJ167" s="1"/>
      <c r="EK167" s="1"/>
      <c r="EL167" s="1"/>
      <c r="EM167" s="1"/>
      <c r="EN167" s="1"/>
      <c r="EO167" s="1"/>
      <c r="EP167" s="1"/>
      <c r="EQ167" s="1"/>
      <c r="ER167" s="1"/>
      <c r="ES167" s="1"/>
      <c r="ET167" s="1"/>
      <c r="EU167" s="1"/>
      <c r="EV167" s="1"/>
      <c r="EW167" s="1"/>
      <c r="EX167" s="1"/>
      <c r="EY167" s="1"/>
      <c r="EZ167" s="1"/>
      <c r="FA167" s="1"/>
      <c r="FB167" s="1"/>
      <c r="FC167" s="1"/>
      <c r="FD167" s="1"/>
      <c r="FE167" s="1"/>
      <c r="FF167" s="1"/>
      <c r="FG167" s="1"/>
      <c r="FH167" s="1"/>
      <c r="FI167" s="1"/>
      <c r="FJ167" s="1"/>
      <c r="FK167" s="1"/>
      <c r="FL167" s="1"/>
      <c r="FM167" s="1"/>
      <c r="FN167" s="1"/>
      <c r="FO167" s="1"/>
      <c r="FP167" s="1"/>
      <c r="FQ167" s="1"/>
      <c r="FR167" s="1"/>
      <c r="FS167" s="1"/>
      <c r="FT167" s="1"/>
      <c r="FU167" s="1"/>
      <c r="FV167" s="1"/>
      <c r="FW167" s="1"/>
      <c r="FX167" s="1"/>
      <c r="FY167" s="1"/>
      <c r="FZ167" s="1"/>
      <c r="GA167" s="1"/>
      <c r="GB167" s="1"/>
      <c r="GC167" s="1"/>
      <c r="GD167" s="1"/>
      <c r="GE167" s="1"/>
      <c r="GF167" s="1"/>
      <c r="GG167" s="1"/>
      <c r="GH167" s="1"/>
      <c r="GI167" s="1"/>
      <c r="GJ167" s="1"/>
      <c r="GK167" s="1"/>
      <c r="GL167" s="1"/>
      <c r="GM167" s="1"/>
      <c r="GN167" s="1"/>
      <c r="GO167" s="1"/>
      <c r="GP167" s="1"/>
      <c r="GQ167" s="1"/>
      <c r="GR167" s="1"/>
      <c r="GS167" s="1"/>
      <c r="GT167" s="1"/>
      <c r="GU167" s="1"/>
      <c r="GV167" s="1"/>
      <c r="GW167" s="1"/>
      <c r="GX167" s="1"/>
      <c r="GY167" s="1"/>
      <c r="GZ167" s="1"/>
      <c r="HA167" s="1"/>
      <c r="HB167" s="1"/>
      <c r="HC167" s="1"/>
      <c r="HD167" s="1"/>
      <c r="HE167" s="1"/>
      <c r="HF167" s="1"/>
      <c r="HG167" s="1"/>
      <c r="HH167" s="1"/>
      <c r="HI167" s="1"/>
      <c r="HJ167" s="1"/>
      <c r="HK167" s="1"/>
      <c r="HL167" s="1"/>
    </row>
    <row r="168" spans="1:220" s="349" customFormat="1" ht="17.100000000000001" customHeight="1" x14ac:dyDescent="0.25">
      <c r="A168"/>
      <c r="B168" s="325"/>
      <c r="C168" s="329"/>
      <c r="D168" s="326"/>
      <c r="E168" s="330"/>
      <c r="F168" s="331"/>
      <c r="G168" s="223"/>
      <c r="H168" s="332"/>
      <c r="I168" s="109"/>
      <c r="J168" s="227"/>
      <c r="K168" s="156"/>
      <c r="L168" s="333"/>
      <c r="M168" s="343"/>
      <c r="N168" s="335"/>
      <c r="O168" s="336"/>
      <c r="P168" s="337"/>
      <c r="Q168" s="338"/>
      <c r="R168" s="339"/>
      <c r="S168" s="227"/>
      <c r="T168" s="227"/>
      <c r="U168" s="227"/>
      <c r="V168" s="227"/>
      <c r="W168" s="227"/>
      <c r="X168" s="227"/>
      <c r="Y168" s="340"/>
      <c r="Z168" s="341"/>
      <c r="AA168" s="348"/>
      <c r="AB168" s="342"/>
      <c r="AC168" s="338"/>
      <c r="AD168" s="277"/>
      <c r="AF168" s="350"/>
      <c r="AG168" s="351"/>
      <c r="AH168" s="351"/>
      <c r="AI168" s="352"/>
      <c r="AJ168" s="35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c r="EG168" s="1"/>
      <c r="EH168" s="1"/>
      <c r="EI168" s="1"/>
      <c r="EJ168" s="1"/>
      <c r="EK168" s="1"/>
      <c r="EL168" s="1"/>
      <c r="EM168" s="1"/>
      <c r="EN168" s="1"/>
      <c r="EO168" s="1"/>
      <c r="EP168" s="1"/>
      <c r="EQ168" s="1"/>
      <c r="ER168" s="1"/>
      <c r="ES168" s="1"/>
      <c r="ET168" s="1"/>
      <c r="EU168" s="1"/>
      <c r="EV168" s="1"/>
      <c r="EW168" s="1"/>
      <c r="EX168" s="1"/>
      <c r="EY168" s="1"/>
      <c r="EZ168" s="1"/>
      <c r="FA168" s="1"/>
      <c r="FB168" s="1"/>
      <c r="FC168" s="1"/>
      <c r="FD168" s="1"/>
      <c r="FE168" s="1"/>
      <c r="FF168" s="1"/>
      <c r="FG168" s="1"/>
      <c r="FH168" s="1"/>
      <c r="FI168" s="1"/>
      <c r="FJ168" s="1"/>
      <c r="FK168" s="1"/>
      <c r="FL168" s="1"/>
      <c r="FM168" s="1"/>
      <c r="FN168" s="1"/>
      <c r="FO168" s="1"/>
      <c r="FP168" s="1"/>
      <c r="FQ168" s="1"/>
      <c r="FR168" s="1"/>
      <c r="FS168" s="1"/>
      <c r="FT168" s="1"/>
      <c r="FU168" s="1"/>
      <c r="FV168" s="1"/>
      <c r="FW168" s="1"/>
      <c r="FX168" s="1"/>
      <c r="FY168" s="1"/>
      <c r="FZ168" s="1"/>
      <c r="GA168" s="1"/>
      <c r="GB168" s="1"/>
      <c r="GC168" s="1"/>
      <c r="GD168" s="1"/>
      <c r="GE168" s="1"/>
      <c r="GF168" s="1"/>
      <c r="GG168" s="1"/>
      <c r="GH168" s="1"/>
      <c r="GI168" s="1"/>
      <c r="GJ168" s="1"/>
      <c r="GK168" s="1"/>
      <c r="GL168" s="1"/>
      <c r="GM168" s="1"/>
      <c r="GN168" s="1"/>
      <c r="GO168" s="1"/>
      <c r="GP168" s="1"/>
      <c r="GQ168" s="1"/>
      <c r="GR168" s="1"/>
      <c r="GS168" s="1"/>
      <c r="GT168" s="1"/>
      <c r="GU168" s="1"/>
      <c r="GV168" s="1"/>
      <c r="GW168" s="1"/>
      <c r="GX168" s="1"/>
      <c r="GY168" s="1"/>
      <c r="GZ168" s="1"/>
      <c r="HA168" s="1"/>
      <c r="HB168" s="1"/>
      <c r="HC168" s="1"/>
      <c r="HD168" s="1"/>
      <c r="HE168" s="1"/>
      <c r="HF168" s="1"/>
      <c r="HG168" s="1"/>
      <c r="HH168" s="1"/>
      <c r="HI168" s="1"/>
      <c r="HJ168" s="1"/>
      <c r="HK168" s="1"/>
      <c r="HL168" s="1"/>
    </row>
    <row r="169" spans="1:220" s="349" customFormat="1" ht="17.100000000000001" customHeight="1" x14ac:dyDescent="0.25">
      <c r="A169"/>
      <c r="B169" s="325"/>
      <c r="C169" s="329"/>
      <c r="D169" s="326"/>
      <c r="E169" s="330"/>
      <c r="F169" s="331"/>
      <c r="G169" s="223"/>
      <c r="H169" s="332"/>
      <c r="I169" s="109"/>
      <c r="J169" s="227"/>
      <c r="K169" s="156"/>
      <c r="L169" s="333"/>
      <c r="M169" s="343"/>
      <c r="N169" s="335"/>
      <c r="O169" s="336"/>
      <c r="P169" s="337"/>
      <c r="Q169" s="338"/>
      <c r="R169" s="339"/>
      <c r="S169" s="227"/>
      <c r="T169" s="227"/>
      <c r="U169" s="227"/>
      <c r="V169" s="227"/>
      <c r="W169" s="227"/>
      <c r="X169" s="227"/>
      <c r="Y169" s="340"/>
      <c r="Z169" s="341"/>
      <c r="AA169" s="348"/>
      <c r="AB169" s="342"/>
      <c r="AC169" s="338"/>
      <c r="AD169" s="277"/>
      <c r="AF169" s="350"/>
      <c r="AG169" s="351"/>
      <c r="AH169" s="351"/>
      <c r="AI169" s="352"/>
      <c r="AJ169" s="35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c r="EG169" s="1"/>
      <c r="EH169" s="1"/>
      <c r="EI169" s="1"/>
      <c r="EJ169" s="1"/>
      <c r="EK169" s="1"/>
      <c r="EL169" s="1"/>
      <c r="EM169" s="1"/>
      <c r="EN169" s="1"/>
      <c r="EO169" s="1"/>
      <c r="EP169" s="1"/>
      <c r="EQ169" s="1"/>
      <c r="ER169" s="1"/>
      <c r="ES169" s="1"/>
      <c r="ET169" s="1"/>
      <c r="EU169" s="1"/>
      <c r="EV169" s="1"/>
      <c r="EW169" s="1"/>
      <c r="EX169" s="1"/>
      <c r="EY169" s="1"/>
      <c r="EZ169" s="1"/>
      <c r="FA169" s="1"/>
      <c r="FB169" s="1"/>
      <c r="FC169" s="1"/>
      <c r="FD169" s="1"/>
      <c r="FE169" s="1"/>
      <c r="FF169" s="1"/>
      <c r="FG169" s="1"/>
      <c r="FH169" s="1"/>
      <c r="FI169" s="1"/>
      <c r="FJ169" s="1"/>
      <c r="FK169" s="1"/>
      <c r="FL169" s="1"/>
      <c r="FM169" s="1"/>
      <c r="FN169" s="1"/>
      <c r="FO169" s="1"/>
      <c r="FP169" s="1"/>
      <c r="FQ169" s="1"/>
      <c r="FR169" s="1"/>
      <c r="FS169" s="1"/>
      <c r="FT169" s="1"/>
      <c r="FU169" s="1"/>
      <c r="FV169" s="1"/>
      <c r="FW169" s="1"/>
      <c r="FX169" s="1"/>
      <c r="FY169" s="1"/>
      <c r="FZ169" s="1"/>
      <c r="GA169" s="1"/>
      <c r="GB169" s="1"/>
      <c r="GC169" s="1"/>
      <c r="GD169" s="1"/>
      <c r="GE169" s="1"/>
      <c r="GF169" s="1"/>
      <c r="GG169" s="1"/>
      <c r="GH169" s="1"/>
      <c r="GI169" s="1"/>
      <c r="GJ169" s="1"/>
      <c r="GK169" s="1"/>
      <c r="GL169" s="1"/>
      <c r="GM169" s="1"/>
      <c r="GN169" s="1"/>
      <c r="GO169" s="1"/>
      <c r="GP169" s="1"/>
      <c r="GQ169" s="1"/>
      <c r="GR169" s="1"/>
      <c r="GS169" s="1"/>
      <c r="GT169" s="1"/>
      <c r="GU169" s="1"/>
      <c r="GV169" s="1"/>
      <c r="GW169" s="1"/>
      <c r="GX169" s="1"/>
      <c r="GY169" s="1"/>
      <c r="GZ169" s="1"/>
      <c r="HA169" s="1"/>
      <c r="HB169" s="1"/>
      <c r="HC169" s="1"/>
      <c r="HD169" s="1"/>
      <c r="HE169" s="1"/>
      <c r="HF169" s="1"/>
      <c r="HG169" s="1"/>
      <c r="HH169" s="1"/>
      <c r="HI169" s="1"/>
      <c r="HJ169" s="1"/>
      <c r="HK169" s="1"/>
      <c r="HL169" s="1"/>
    </row>
    <row r="170" spans="1:220" s="349" customFormat="1" ht="17.100000000000001" customHeight="1" x14ac:dyDescent="0.25">
      <c r="A170"/>
      <c r="B170" s="325"/>
      <c r="C170" s="329"/>
      <c r="D170" s="326"/>
      <c r="E170" s="330"/>
      <c r="F170" s="331"/>
      <c r="G170" s="223"/>
      <c r="H170" s="332"/>
      <c r="I170" s="109"/>
      <c r="J170" s="227"/>
      <c r="K170" s="156"/>
      <c r="L170" s="333"/>
      <c r="M170" s="343"/>
      <c r="N170" s="335"/>
      <c r="O170" s="336"/>
      <c r="P170" s="337"/>
      <c r="Q170" s="338"/>
      <c r="R170" s="339"/>
      <c r="S170" s="227"/>
      <c r="T170" s="227"/>
      <c r="U170" s="227"/>
      <c r="V170" s="227"/>
      <c r="W170" s="227"/>
      <c r="X170" s="227"/>
      <c r="Y170" s="340"/>
      <c r="Z170" s="341"/>
      <c r="AA170" s="348"/>
      <c r="AB170" s="342"/>
      <c r="AC170" s="338"/>
      <c r="AD170" s="277"/>
      <c r="AF170" s="350"/>
      <c r="AG170" s="351"/>
      <c r="AH170" s="351"/>
      <c r="AI170" s="352"/>
      <c r="AJ170" s="35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c r="EG170" s="1"/>
      <c r="EH170" s="1"/>
      <c r="EI170" s="1"/>
      <c r="EJ170" s="1"/>
      <c r="EK170" s="1"/>
      <c r="EL170" s="1"/>
      <c r="EM170" s="1"/>
      <c r="EN170" s="1"/>
      <c r="EO170" s="1"/>
      <c r="EP170" s="1"/>
      <c r="EQ170" s="1"/>
      <c r="ER170" s="1"/>
      <c r="ES170" s="1"/>
      <c r="ET170" s="1"/>
      <c r="EU170" s="1"/>
      <c r="EV170" s="1"/>
      <c r="EW170" s="1"/>
      <c r="EX170" s="1"/>
      <c r="EY170" s="1"/>
      <c r="EZ170" s="1"/>
      <c r="FA170" s="1"/>
      <c r="FB170" s="1"/>
      <c r="FC170" s="1"/>
      <c r="FD170" s="1"/>
      <c r="FE170" s="1"/>
      <c r="FF170" s="1"/>
      <c r="FG170" s="1"/>
      <c r="FH170" s="1"/>
      <c r="FI170" s="1"/>
      <c r="FJ170" s="1"/>
      <c r="FK170" s="1"/>
      <c r="FL170" s="1"/>
      <c r="FM170" s="1"/>
      <c r="FN170" s="1"/>
      <c r="FO170" s="1"/>
      <c r="FP170" s="1"/>
      <c r="FQ170" s="1"/>
      <c r="FR170" s="1"/>
      <c r="FS170" s="1"/>
      <c r="FT170" s="1"/>
      <c r="FU170" s="1"/>
      <c r="FV170" s="1"/>
      <c r="FW170" s="1"/>
      <c r="FX170" s="1"/>
      <c r="FY170" s="1"/>
      <c r="FZ170" s="1"/>
      <c r="GA170" s="1"/>
      <c r="GB170" s="1"/>
      <c r="GC170" s="1"/>
      <c r="GD170" s="1"/>
      <c r="GE170" s="1"/>
      <c r="GF170" s="1"/>
      <c r="GG170" s="1"/>
      <c r="GH170" s="1"/>
      <c r="GI170" s="1"/>
      <c r="GJ170" s="1"/>
      <c r="GK170" s="1"/>
      <c r="GL170" s="1"/>
      <c r="GM170" s="1"/>
      <c r="GN170" s="1"/>
      <c r="GO170" s="1"/>
      <c r="GP170" s="1"/>
      <c r="GQ170" s="1"/>
      <c r="GR170" s="1"/>
      <c r="GS170" s="1"/>
      <c r="GT170" s="1"/>
      <c r="GU170" s="1"/>
      <c r="GV170" s="1"/>
      <c r="GW170" s="1"/>
      <c r="GX170" s="1"/>
      <c r="GY170" s="1"/>
      <c r="GZ170" s="1"/>
      <c r="HA170" s="1"/>
      <c r="HB170" s="1"/>
      <c r="HC170" s="1"/>
      <c r="HD170" s="1"/>
      <c r="HE170" s="1"/>
      <c r="HF170" s="1"/>
      <c r="HG170" s="1"/>
      <c r="HH170" s="1"/>
      <c r="HI170" s="1"/>
      <c r="HJ170" s="1"/>
      <c r="HK170" s="1"/>
      <c r="HL170" s="1"/>
    </row>
    <row r="171" spans="1:220" s="349" customFormat="1" ht="17.100000000000001" customHeight="1" x14ac:dyDescent="0.25">
      <c r="A171"/>
      <c r="B171" s="325"/>
      <c r="C171" s="329"/>
      <c r="D171" s="326"/>
      <c r="E171" s="330"/>
      <c r="F171" s="331"/>
      <c r="G171" s="223"/>
      <c r="H171" s="332"/>
      <c r="I171" s="109"/>
      <c r="J171" s="227"/>
      <c r="K171" s="156"/>
      <c r="L171" s="333"/>
      <c r="M171" s="343"/>
      <c r="N171" s="335"/>
      <c r="O171" s="336"/>
      <c r="P171" s="337"/>
      <c r="Q171" s="338"/>
      <c r="R171" s="339"/>
      <c r="S171" s="227"/>
      <c r="T171" s="227"/>
      <c r="U171" s="227"/>
      <c r="V171" s="227"/>
      <c r="W171" s="227"/>
      <c r="X171" s="227"/>
      <c r="Y171" s="340"/>
      <c r="Z171" s="341"/>
      <c r="AA171" s="348"/>
      <c r="AB171" s="342"/>
      <c r="AC171" s="338"/>
      <c r="AD171" s="277"/>
      <c r="AF171" s="350"/>
      <c r="AG171" s="351"/>
      <c r="AH171" s="351"/>
      <c r="AI171" s="352"/>
      <c r="AJ171" s="35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c r="EG171" s="1"/>
      <c r="EH171" s="1"/>
      <c r="EI171" s="1"/>
      <c r="EJ171" s="1"/>
      <c r="EK171" s="1"/>
      <c r="EL171" s="1"/>
      <c r="EM171" s="1"/>
      <c r="EN171" s="1"/>
      <c r="EO171" s="1"/>
      <c r="EP171" s="1"/>
      <c r="EQ171" s="1"/>
      <c r="ER171" s="1"/>
      <c r="ES171" s="1"/>
      <c r="ET171" s="1"/>
      <c r="EU171" s="1"/>
      <c r="EV171" s="1"/>
      <c r="EW171" s="1"/>
      <c r="EX171" s="1"/>
      <c r="EY171" s="1"/>
      <c r="EZ171" s="1"/>
      <c r="FA171" s="1"/>
      <c r="FB171" s="1"/>
      <c r="FC171" s="1"/>
      <c r="FD171" s="1"/>
      <c r="FE171" s="1"/>
      <c r="FF171" s="1"/>
      <c r="FG171" s="1"/>
      <c r="FH171" s="1"/>
      <c r="FI171" s="1"/>
      <c r="FJ171" s="1"/>
      <c r="FK171" s="1"/>
      <c r="FL171" s="1"/>
      <c r="FM171" s="1"/>
      <c r="FN171" s="1"/>
      <c r="FO171" s="1"/>
      <c r="FP171" s="1"/>
      <c r="FQ171" s="1"/>
      <c r="FR171" s="1"/>
      <c r="FS171" s="1"/>
      <c r="FT171" s="1"/>
      <c r="FU171" s="1"/>
      <c r="FV171" s="1"/>
      <c r="FW171" s="1"/>
      <c r="FX171" s="1"/>
      <c r="FY171" s="1"/>
      <c r="FZ171" s="1"/>
      <c r="GA171" s="1"/>
      <c r="GB171" s="1"/>
      <c r="GC171" s="1"/>
      <c r="GD171" s="1"/>
      <c r="GE171" s="1"/>
      <c r="GF171" s="1"/>
      <c r="GG171" s="1"/>
      <c r="GH171" s="1"/>
      <c r="GI171" s="1"/>
      <c r="GJ171" s="1"/>
      <c r="GK171" s="1"/>
      <c r="GL171" s="1"/>
      <c r="GM171" s="1"/>
      <c r="GN171" s="1"/>
      <c r="GO171" s="1"/>
      <c r="GP171" s="1"/>
      <c r="GQ171" s="1"/>
      <c r="GR171" s="1"/>
      <c r="GS171" s="1"/>
      <c r="GT171" s="1"/>
      <c r="GU171" s="1"/>
      <c r="GV171" s="1"/>
      <c r="GW171" s="1"/>
      <c r="GX171" s="1"/>
      <c r="GY171" s="1"/>
      <c r="GZ171" s="1"/>
      <c r="HA171" s="1"/>
      <c r="HB171" s="1"/>
      <c r="HC171" s="1"/>
      <c r="HD171" s="1"/>
      <c r="HE171" s="1"/>
      <c r="HF171" s="1"/>
      <c r="HG171" s="1"/>
      <c r="HH171" s="1"/>
      <c r="HI171" s="1"/>
      <c r="HJ171" s="1"/>
      <c r="HK171" s="1"/>
      <c r="HL171" s="1"/>
    </row>
    <row r="172" spans="1:220" s="349" customFormat="1" ht="17.100000000000001" customHeight="1" x14ac:dyDescent="0.25">
      <c r="A172"/>
      <c r="B172" s="325"/>
      <c r="C172" s="329"/>
      <c r="D172" s="326"/>
      <c r="E172" s="330"/>
      <c r="F172" s="331"/>
      <c r="G172" s="223"/>
      <c r="H172" s="332"/>
      <c r="I172" s="109"/>
      <c r="J172" s="227"/>
      <c r="K172" s="156"/>
      <c r="L172" s="333"/>
      <c r="M172" s="343"/>
      <c r="N172" s="335"/>
      <c r="O172" s="336"/>
      <c r="P172" s="337"/>
      <c r="Q172" s="338"/>
      <c r="R172" s="339"/>
      <c r="S172" s="227"/>
      <c r="T172" s="227"/>
      <c r="U172" s="227"/>
      <c r="V172" s="227"/>
      <c r="W172" s="227"/>
      <c r="X172" s="227"/>
      <c r="Y172" s="340"/>
      <c r="Z172" s="341"/>
      <c r="AA172" s="348"/>
      <c r="AB172" s="342"/>
      <c r="AC172" s="338"/>
      <c r="AD172" s="277"/>
      <c r="AF172" s="350"/>
      <c r="AG172" s="351"/>
      <c r="AH172" s="351"/>
      <c r="AI172" s="352"/>
      <c r="AJ172" s="35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c r="EG172" s="1"/>
      <c r="EH172" s="1"/>
      <c r="EI172" s="1"/>
      <c r="EJ172" s="1"/>
      <c r="EK172" s="1"/>
      <c r="EL172" s="1"/>
      <c r="EM172" s="1"/>
      <c r="EN172" s="1"/>
      <c r="EO172" s="1"/>
      <c r="EP172" s="1"/>
      <c r="EQ172" s="1"/>
      <c r="ER172" s="1"/>
      <c r="ES172" s="1"/>
      <c r="ET172" s="1"/>
      <c r="EU172" s="1"/>
      <c r="EV172" s="1"/>
      <c r="EW172" s="1"/>
      <c r="EX172" s="1"/>
      <c r="EY172" s="1"/>
      <c r="EZ172" s="1"/>
      <c r="FA172" s="1"/>
      <c r="FB172" s="1"/>
      <c r="FC172" s="1"/>
      <c r="FD172" s="1"/>
      <c r="FE172" s="1"/>
      <c r="FF172" s="1"/>
      <c r="FG172" s="1"/>
      <c r="FH172" s="1"/>
      <c r="FI172" s="1"/>
      <c r="FJ172" s="1"/>
      <c r="FK172" s="1"/>
      <c r="FL172" s="1"/>
      <c r="FM172" s="1"/>
      <c r="FN172" s="1"/>
      <c r="FO172" s="1"/>
      <c r="FP172" s="1"/>
      <c r="FQ172" s="1"/>
      <c r="FR172" s="1"/>
      <c r="FS172" s="1"/>
      <c r="FT172" s="1"/>
      <c r="FU172" s="1"/>
      <c r="FV172" s="1"/>
      <c r="FW172" s="1"/>
      <c r="FX172" s="1"/>
      <c r="FY172" s="1"/>
      <c r="FZ172" s="1"/>
      <c r="GA172" s="1"/>
      <c r="GB172" s="1"/>
      <c r="GC172" s="1"/>
      <c r="GD172" s="1"/>
      <c r="GE172" s="1"/>
      <c r="GF172" s="1"/>
      <c r="GG172" s="1"/>
      <c r="GH172" s="1"/>
      <c r="GI172" s="1"/>
      <c r="GJ172" s="1"/>
      <c r="GK172" s="1"/>
      <c r="GL172" s="1"/>
      <c r="GM172" s="1"/>
      <c r="GN172" s="1"/>
      <c r="GO172" s="1"/>
      <c r="GP172" s="1"/>
      <c r="GQ172" s="1"/>
      <c r="GR172" s="1"/>
      <c r="GS172" s="1"/>
      <c r="GT172" s="1"/>
      <c r="GU172" s="1"/>
      <c r="GV172" s="1"/>
      <c r="GW172" s="1"/>
      <c r="GX172" s="1"/>
      <c r="GY172" s="1"/>
      <c r="GZ172" s="1"/>
      <c r="HA172" s="1"/>
      <c r="HB172" s="1"/>
      <c r="HC172" s="1"/>
      <c r="HD172" s="1"/>
      <c r="HE172" s="1"/>
      <c r="HF172" s="1"/>
      <c r="HG172" s="1"/>
      <c r="HH172" s="1"/>
      <c r="HI172" s="1"/>
      <c r="HJ172" s="1"/>
      <c r="HK172" s="1"/>
      <c r="HL172" s="1"/>
    </row>
    <row r="173" spans="1:220" s="349" customFormat="1" ht="17.100000000000001" customHeight="1" x14ac:dyDescent="0.25">
      <c r="A173"/>
      <c r="B173" s="325"/>
      <c r="C173" s="329"/>
      <c r="D173" s="326"/>
      <c r="E173" s="330"/>
      <c r="F173" s="331"/>
      <c r="G173" s="223"/>
      <c r="H173" s="332"/>
      <c r="I173" s="109"/>
      <c r="J173" s="227"/>
      <c r="K173" s="156"/>
      <c r="L173" s="333"/>
      <c r="M173" s="343"/>
      <c r="N173" s="335"/>
      <c r="O173" s="336"/>
      <c r="P173" s="337"/>
      <c r="Q173" s="338"/>
      <c r="R173" s="339"/>
      <c r="S173" s="227"/>
      <c r="T173" s="227"/>
      <c r="U173" s="227"/>
      <c r="V173" s="227"/>
      <c r="W173" s="227"/>
      <c r="X173" s="227"/>
      <c r="Y173" s="340"/>
      <c r="Z173" s="341"/>
      <c r="AA173" s="348"/>
      <c r="AB173" s="342"/>
      <c r="AC173" s="338"/>
      <c r="AD173" s="277"/>
      <c r="AF173" s="350"/>
      <c r="AG173" s="351"/>
      <c r="AH173" s="351"/>
      <c r="AI173" s="352"/>
      <c r="AJ173" s="35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c r="EG173" s="1"/>
      <c r="EH173" s="1"/>
      <c r="EI173" s="1"/>
      <c r="EJ173" s="1"/>
      <c r="EK173" s="1"/>
      <c r="EL173" s="1"/>
      <c r="EM173" s="1"/>
      <c r="EN173" s="1"/>
      <c r="EO173" s="1"/>
      <c r="EP173" s="1"/>
      <c r="EQ173" s="1"/>
      <c r="ER173" s="1"/>
      <c r="ES173" s="1"/>
      <c r="ET173" s="1"/>
      <c r="EU173" s="1"/>
      <c r="EV173" s="1"/>
      <c r="EW173" s="1"/>
      <c r="EX173" s="1"/>
      <c r="EY173" s="1"/>
      <c r="EZ173" s="1"/>
      <c r="FA173" s="1"/>
      <c r="FB173" s="1"/>
      <c r="FC173" s="1"/>
      <c r="FD173" s="1"/>
      <c r="FE173" s="1"/>
      <c r="FF173" s="1"/>
      <c r="FG173" s="1"/>
      <c r="FH173" s="1"/>
      <c r="FI173" s="1"/>
      <c r="FJ173" s="1"/>
      <c r="FK173" s="1"/>
      <c r="FL173" s="1"/>
      <c r="FM173" s="1"/>
      <c r="FN173" s="1"/>
      <c r="FO173" s="1"/>
      <c r="FP173" s="1"/>
      <c r="FQ173" s="1"/>
      <c r="FR173" s="1"/>
      <c r="FS173" s="1"/>
      <c r="FT173" s="1"/>
      <c r="FU173" s="1"/>
      <c r="FV173" s="1"/>
      <c r="FW173" s="1"/>
      <c r="FX173" s="1"/>
      <c r="FY173" s="1"/>
      <c r="FZ173" s="1"/>
      <c r="GA173" s="1"/>
      <c r="GB173" s="1"/>
      <c r="GC173" s="1"/>
      <c r="GD173" s="1"/>
      <c r="GE173" s="1"/>
      <c r="GF173" s="1"/>
      <c r="GG173" s="1"/>
      <c r="GH173" s="1"/>
      <c r="GI173" s="1"/>
      <c r="GJ173" s="1"/>
      <c r="GK173" s="1"/>
      <c r="GL173" s="1"/>
      <c r="GM173" s="1"/>
      <c r="GN173" s="1"/>
      <c r="GO173" s="1"/>
      <c r="GP173" s="1"/>
      <c r="GQ173" s="1"/>
      <c r="GR173" s="1"/>
      <c r="GS173" s="1"/>
      <c r="GT173" s="1"/>
      <c r="GU173" s="1"/>
      <c r="GV173" s="1"/>
      <c r="GW173" s="1"/>
      <c r="GX173" s="1"/>
      <c r="GY173" s="1"/>
      <c r="GZ173" s="1"/>
      <c r="HA173" s="1"/>
      <c r="HB173" s="1"/>
      <c r="HC173" s="1"/>
      <c r="HD173" s="1"/>
      <c r="HE173" s="1"/>
      <c r="HF173" s="1"/>
      <c r="HG173" s="1"/>
      <c r="HH173" s="1"/>
      <c r="HI173" s="1"/>
      <c r="HJ173" s="1"/>
      <c r="HK173" s="1"/>
      <c r="HL173" s="1"/>
    </row>
    <row r="174" spans="1:220" s="349" customFormat="1" ht="17.100000000000001" customHeight="1" x14ac:dyDescent="0.25">
      <c r="A174"/>
      <c r="B174" s="325"/>
      <c r="C174" s="329"/>
      <c r="D174" s="326"/>
      <c r="E174" s="330"/>
      <c r="F174" s="331"/>
      <c r="G174" s="223"/>
      <c r="H174" s="332"/>
      <c r="I174" s="109"/>
      <c r="J174" s="227"/>
      <c r="K174" s="156"/>
      <c r="L174" s="333"/>
      <c r="M174" s="343"/>
      <c r="N174" s="335"/>
      <c r="O174" s="336"/>
      <c r="P174" s="337"/>
      <c r="Q174" s="338"/>
      <c r="R174" s="339"/>
      <c r="S174" s="227"/>
      <c r="T174" s="227"/>
      <c r="U174" s="227"/>
      <c r="V174" s="227"/>
      <c r="W174" s="227"/>
      <c r="X174" s="227"/>
      <c r="Y174" s="340"/>
      <c r="Z174" s="341"/>
      <c r="AA174" s="348"/>
      <c r="AB174" s="342"/>
      <c r="AC174" s="338"/>
      <c r="AD174" s="277"/>
      <c r="AF174" s="350"/>
      <c r="AG174" s="351"/>
      <c r="AH174" s="351"/>
      <c r="AI174" s="352"/>
      <c r="AJ174" s="35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c r="EG174" s="1"/>
      <c r="EH174" s="1"/>
      <c r="EI174" s="1"/>
      <c r="EJ174" s="1"/>
      <c r="EK174" s="1"/>
      <c r="EL174" s="1"/>
      <c r="EM174" s="1"/>
      <c r="EN174" s="1"/>
      <c r="EO174" s="1"/>
      <c r="EP174" s="1"/>
      <c r="EQ174" s="1"/>
      <c r="ER174" s="1"/>
      <c r="ES174" s="1"/>
      <c r="ET174" s="1"/>
      <c r="EU174" s="1"/>
      <c r="EV174" s="1"/>
      <c r="EW174" s="1"/>
      <c r="EX174" s="1"/>
      <c r="EY174" s="1"/>
      <c r="EZ174" s="1"/>
      <c r="FA174" s="1"/>
      <c r="FB174" s="1"/>
      <c r="FC174" s="1"/>
      <c r="FD174" s="1"/>
      <c r="FE174" s="1"/>
      <c r="FF174" s="1"/>
      <c r="FG174" s="1"/>
      <c r="FH174" s="1"/>
      <c r="FI174" s="1"/>
      <c r="FJ174" s="1"/>
      <c r="FK174" s="1"/>
      <c r="FL174" s="1"/>
      <c r="FM174" s="1"/>
      <c r="FN174" s="1"/>
      <c r="FO174" s="1"/>
      <c r="FP174" s="1"/>
      <c r="FQ174" s="1"/>
      <c r="FR174" s="1"/>
      <c r="FS174" s="1"/>
      <c r="FT174" s="1"/>
      <c r="FU174" s="1"/>
      <c r="FV174" s="1"/>
      <c r="FW174" s="1"/>
      <c r="FX174" s="1"/>
      <c r="FY174" s="1"/>
      <c r="FZ174" s="1"/>
      <c r="GA174" s="1"/>
      <c r="GB174" s="1"/>
      <c r="GC174" s="1"/>
      <c r="GD174" s="1"/>
      <c r="GE174" s="1"/>
      <c r="GF174" s="1"/>
      <c r="GG174" s="1"/>
      <c r="GH174" s="1"/>
      <c r="GI174" s="1"/>
      <c r="GJ174" s="1"/>
      <c r="GK174" s="1"/>
      <c r="GL174" s="1"/>
      <c r="GM174" s="1"/>
      <c r="GN174" s="1"/>
      <c r="GO174" s="1"/>
      <c r="GP174" s="1"/>
      <c r="GQ174" s="1"/>
      <c r="GR174" s="1"/>
      <c r="GS174" s="1"/>
      <c r="GT174" s="1"/>
      <c r="GU174" s="1"/>
      <c r="GV174" s="1"/>
      <c r="GW174" s="1"/>
      <c r="GX174" s="1"/>
      <c r="GY174" s="1"/>
      <c r="GZ174" s="1"/>
      <c r="HA174" s="1"/>
      <c r="HB174" s="1"/>
      <c r="HC174" s="1"/>
      <c r="HD174" s="1"/>
      <c r="HE174" s="1"/>
      <c r="HF174" s="1"/>
      <c r="HG174" s="1"/>
      <c r="HH174" s="1"/>
      <c r="HI174" s="1"/>
      <c r="HJ174" s="1"/>
      <c r="HK174" s="1"/>
      <c r="HL174" s="1"/>
    </row>
    <row r="175" spans="1:220" s="349" customFormat="1" ht="17.100000000000001" customHeight="1" x14ac:dyDescent="0.25">
      <c r="A175"/>
      <c r="B175" s="325"/>
      <c r="C175" s="329"/>
      <c r="D175" s="326"/>
      <c r="E175" s="330"/>
      <c r="F175" s="331"/>
      <c r="G175" s="223"/>
      <c r="H175" s="332"/>
      <c r="I175" s="109"/>
      <c r="J175" s="227"/>
      <c r="K175" s="156"/>
      <c r="L175" s="333"/>
      <c r="M175" s="343"/>
      <c r="N175" s="335"/>
      <c r="O175" s="336"/>
      <c r="P175" s="337"/>
      <c r="Q175" s="338"/>
      <c r="R175" s="339"/>
      <c r="S175" s="227"/>
      <c r="T175" s="227"/>
      <c r="U175" s="227"/>
      <c r="V175" s="227"/>
      <c r="W175" s="227"/>
      <c r="X175" s="227"/>
      <c r="Y175" s="340"/>
      <c r="Z175" s="341"/>
      <c r="AA175" s="348"/>
      <c r="AB175" s="342"/>
      <c r="AC175" s="338"/>
      <c r="AD175" s="277"/>
      <c r="AF175" s="350"/>
      <c r="AG175" s="351"/>
      <c r="AH175" s="351"/>
      <c r="AI175" s="352"/>
      <c r="AJ175" s="35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c r="EG175" s="1"/>
      <c r="EH175" s="1"/>
      <c r="EI175" s="1"/>
      <c r="EJ175" s="1"/>
      <c r="EK175" s="1"/>
      <c r="EL175" s="1"/>
      <c r="EM175" s="1"/>
      <c r="EN175" s="1"/>
      <c r="EO175" s="1"/>
      <c r="EP175" s="1"/>
      <c r="EQ175" s="1"/>
      <c r="ER175" s="1"/>
      <c r="ES175" s="1"/>
      <c r="ET175" s="1"/>
      <c r="EU175" s="1"/>
      <c r="EV175" s="1"/>
      <c r="EW175" s="1"/>
      <c r="EX175" s="1"/>
      <c r="EY175" s="1"/>
      <c r="EZ175" s="1"/>
      <c r="FA175" s="1"/>
      <c r="FB175" s="1"/>
      <c r="FC175" s="1"/>
      <c r="FD175" s="1"/>
      <c r="FE175" s="1"/>
      <c r="FF175" s="1"/>
      <c r="FG175" s="1"/>
      <c r="FH175" s="1"/>
      <c r="FI175" s="1"/>
      <c r="FJ175" s="1"/>
      <c r="FK175" s="1"/>
      <c r="FL175" s="1"/>
      <c r="FM175" s="1"/>
      <c r="FN175" s="1"/>
      <c r="FO175" s="1"/>
      <c r="FP175" s="1"/>
      <c r="FQ175" s="1"/>
      <c r="FR175" s="1"/>
      <c r="FS175" s="1"/>
      <c r="FT175" s="1"/>
      <c r="FU175" s="1"/>
      <c r="FV175" s="1"/>
      <c r="FW175" s="1"/>
      <c r="FX175" s="1"/>
      <c r="FY175" s="1"/>
      <c r="FZ175" s="1"/>
      <c r="GA175" s="1"/>
      <c r="GB175" s="1"/>
      <c r="GC175" s="1"/>
      <c r="GD175" s="1"/>
      <c r="GE175" s="1"/>
      <c r="GF175" s="1"/>
      <c r="GG175" s="1"/>
      <c r="GH175" s="1"/>
      <c r="GI175" s="1"/>
      <c r="GJ175" s="1"/>
      <c r="GK175" s="1"/>
      <c r="GL175" s="1"/>
      <c r="GM175" s="1"/>
      <c r="GN175" s="1"/>
      <c r="GO175" s="1"/>
      <c r="GP175" s="1"/>
      <c r="GQ175" s="1"/>
      <c r="GR175" s="1"/>
      <c r="GS175" s="1"/>
      <c r="GT175" s="1"/>
      <c r="GU175" s="1"/>
      <c r="GV175" s="1"/>
      <c r="GW175" s="1"/>
      <c r="GX175" s="1"/>
      <c r="GY175" s="1"/>
      <c r="GZ175" s="1"/>
      <c r="HA175" s="1"/>
      <c r="HB175" s="1"/>
      <c r="HC175" s="1"/>
      <c r="HD175" s="1"/>
      <c r="HE175" s="1"/>
      <c r="HF175" s="1"/>
      <c r="HG175" s="1"/>
      <c r="HH175" s="1"/>
      <c r="HI175" s="1"/>
      <c r="HJ175" s="1"/>
      <c r="HK175" s="1"/>
      <c r="HL175" s="1"/>
    </row>
    <row r="176" spans="1:220" s="349" customFormat="1" ht="17.100000000000001" customHeight="1" x14ac:dyDescent="0.25">
      <c r="A176"/>
      <c r="B176" s="325"/>
      <c r="C176" s="329"/>
      <c r="D176" s="326"/>
      <c r="E176" s="330"/>
      <c r="F176" s="331"/>
      <c r="G176" s="223"/>
      <c r="H176" s="332"/>
      <c r="I176" s="109"/>
      <c r="J176" s="227"/>
      <c r="K176" s="156"/>
      <c r="L176" s="333"/>
      <c r="M176" s="343"/>
      <c r="N176" s="335"/>
      <c r="O176" s="336"/>
      <c r="P176" s="337"/>
      <c r="Q176" s="338"/>
      <c r="R176" s="339"/>
      <c r="S176" s="227"/>
      <c r="T176" s="227"/>
      <c r="U176" s="227"/>
      <c r="V176" s="227"/>
      <c r="W176" s="227"/>
      <c r="X176" s="227"/>
      <c r="Y176" s="340"/>
      <c r="Z176" s="341"/>
      <c r="AA176" s="348"/>
      <c r="AB176" s="342"/>
      <c r="AC176" s="338"/>
      <c r="AD176" s="277"/>
      <c r="AF176" s="350"/>
      <c r="AG176" s="351"/>
      <c r="AH176" s="351"/>
      <c r="AI176" s="352"/>
      <c r="AJ176" s="35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c r="EG176" s="1"/>
      <c r="EH176" s="1"/>
      <c r="EI176" s="1"/>
      <c r="EJ176" s="1"/>
      <c r="EK176" s="1"/>
      <c r="EL176" s="1"/>
      <c r="EM176" s="1"/>
      <c r="EN176" s="1"/>
      <c r="EO176" s="1"/>
      <c r="EP176" s="1"/>
      <c r="EQ176" s="1"/>
      <c r="ER176" s="1"/>
      <c r="ES176" s="1"/>
      <c r="ET176" s="1"/>
      <c r="EU176" s="1"/>
      <c r="EV176" s="1"/>
      <c r="EW176" s="1"/>
      <c r="EX176" s="1"/>
      <c r="EY176" s="1"/>
      <c r="EZ176" s="1"/>
      <c r="FA176" s="1"/>
      <c r="FB176" s="1"/>
      <c r="FC176" s="1"/>
      <c r="FD176" s="1"/>
      <c r="FE176" s="1"/>
      <c r="FF176" s="1"/>
      <c r="FG176" s="1"/>
      <c r="FH176" s="1"/>
      <c r="FI176" s="1"/>
      <c r="FJ176" s="1"/>
      <c r="FK176" s="1"/>
      <c r="FL176" s="1"/>
      <c r="FM176" s="1"/>
      <c r="FN176" s="1"/>
      <c r="FO176" s="1"/>
      <c r="FP176" s="1"/>
      <c r="FQ176" s="1"/>
      <c r="FR176" s="1"/>
      <c r="FS176" s="1"/>
      <c r="FT176" s="1"/>
      <c r="FU176" s="1"/>
      <c r="FV176" s="1"/>
      <c r="FW176" s="1"/>
      <c r="FX176" s="1"/>
      <c r="FY176" s="1"/>
      <c r="FZ176" s="1"/>
      <c r="GA176" s="1"/>
      <c r="GB176" s="1"/>
      <c r="GC176" s="1"/>
      <c r="GD176" s="1"/>
      <c r="GE176" s="1"/>
      <c r="GF176" s="1"/>
      <c r="GG176" s="1"/>
      <c r="GH176" s="1"/>
      <c r="GI176" s="1"/>
      <c r="GJ176" s="1"/>
      <c r="GK176" s="1"/>
      <c r="GL176" s="1"/>
      <c r="GM176" s="1"/>
      <c r="GN176" s="1"/>
      <c r="GO176" s="1"/>
      <c r="GP176" s="1"/>
      <c r="GQ176" s="1"/>
      <c r="GR176" s="1"/>
      <c r="GS176" s="1"/>
      <c r="GT176" s="1"/>
      <c r="GU176" s="1"/>
      <c r="GV176" s="1"/>
      <c r="GW176" s="1"/>
      <c r="GX176" s="1"/>
      <c r="GY176" s="1"/>
      <c r="GZ176" s="1"/>
      <c r="HA176" s="1"/>
      <c r="HB176" s="1"/>
      <c r="HC176" s="1"/>
      <c r="HD176" s="1"/>
      <c r="HE176" s="1"/>
      <c r="HF176" s="1"/>
      <c r="HG176" s="1"/>
      <c r="HH176" s="1"/>
      <c r="HI176" s="1"/>
      <c r="HJ176" s="1"/>
      <c r="HK176" s="1"/>
      <c r="HL176" s="1"/>
    </row>
    <row r="177" spans="1:220" s="349" customFormat="1" ht="17.100000000000001" customHeight="1" x14ac:dyDescent="0.25">
      <c r="A177"/>
      <c r="B177" s="325"/>
      <c r="C177" s="329"/>
      <c r="D177" s="326"/>
      <c r="E177" s="330"/>
      <c r="F177" s="331"/>
      <c r="G177" s="223"/>
      <c r="H177" s="332"/>
      <c r="I177" s="109"/>
      <c r="J177" s="227"/>
      <c r="K177" s="156"/>
      <c r="L177" s="333"/>
      <c r="M177" s="343"/>
      <c r="N177" s="335"/>
      <c r="O177" s="336"/>
      <c r="P177" s="337"/>
      <c r="Q177" s="338"/>
      <c r="R177" s="339"/>
      <c r="S177" s="227"/>
      <c r="T177" s="227"/>
      <c r="U177" s="227"/>
      <c r="V177" s="227"/>
      <c r="W177" s="227"/>
      <c r="X177" s="227"/>
      <c r="Y177" s="340"/>
      <c r="Z177" s="341"/>
      <c r="AA177" s="348"/>
      <c r="AB177" s="342"/>
      <c r="AC177" s="338"/>
      <c r="AD177" s="277"/>
      <c r="AF177" s="350"/>
      <c r="AG177" s="351"/>
      <c r="AH177" s="351"/>
      <c r="AI177" s="352"/>
      <c r="AJ177" s="35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c r="EG177" s="1"/>
      <c r="EH177" s="1"/>
      <c r="EI177" s="1"/>
      <c r="EJ177" s="1"/>
      <c r="EK177" s="1"/>
      <c r="EL177" s="1"/>
      <c r="EM177" s="1"/>
      <c r="EN177" s="1"/>
      <c r="EO177" s="1"/>
      <c r="EP177" s="1"/>
      <c r="EQ177" s="1"/>
      <c r="ER177" s="1"/>
      <c r="ES177" s="1"/>
      <c r="ET177" s="1"/>
      <c r="EU177" s="1"/>
      <c r="EV177" s="1"/>
      <c r="EW177" s="1"/>
      <c r="EX177" s="1"/>
      <c r="EY177" s="1"/>
      <c r="EZ177" s="1"/>
      <c r="FA177" s="1"/>
      <c r="FB177" s="1"/>
      <c r="FC177" s="1"/>
      <c r="FD177" s="1"/>
      <c r="FE177" s="1"/>
      <c r="FF177" s="1"/>
      <c r="FG177" s="1"/>
      <c r="FH177" s="1"/>
      <c r="FI177" s="1"/>
      <c r="FJ177" s="1"/>
      <c r="FK177" s="1"/>
      <c r="FL177" s="1"/>
      <c r="FM177" s="1"/>
      <c r="FN177" s="1"/>
      <c r="FO177" s="1"/>
      <c r="FP177" s="1"/>
      <c r="FQ177" s="1"/>
      <c r="FR177" s="1"/>
      <c r="FS177" s="1"/>
      <c r="FT177" s="1"/>
      <c r="FU177" s="1"/>
      <c r="FV177" s="1"/>
      <c r="FW177" s="1"/>
      <c r="FX177" s="1"/>
      <c r="FY177" s="1"/>
      <c r="FZ177" s="1"/>
      <c r="GA177" s="1"/>
      <c r="GB177" s="1"/>
      <c r="GC177" s="1"/>
      <c r="GD177" s="1"/>
      <c r="GE177" s="1"/>
      <c r="GF177" s="1"/>
      <c r="GG177" s="1"/>
      <c r="GH177" s="1"/>
      <c r="GI177" s="1"/>
      <c r="GJ177" s="1"/>
      <c r="GK177" s="1"/>
      <c r="GL177" s="1"/>
      <c r="GM177" s="1"/>
      <c r="GN177" s="1"/>
      <c r="GO177" s="1"/>
      <c r="GP177" s="1"/>
      <c r="GQ177" s="1"/>
      <c r="GR177" s="1"/>
      <c r="GS177" s="1"/>
      <c r="GT177" s="1"/>
      <c r="GU177" s="1"/>
      <c r="GV177" s="1"/>
      <c r="GW177" s="1"/>
      <c r="GX177" s="1"/>
      <c r="GY177" s="1"/>
      <c r="GZ177" s="1"/>
      <c r="HA177" s="1"/>
      <c r="HB177" s="1"/>
      <c r="HC177" s="1"/>
      <c r="HD177" s="1"/>
      <c r="HE177" s="1"/>
      <c r="HF177" s="1"/>
      <c r="HG177" s="1"/>
      <c r="HH177" s="1"/>
      <c r="HI177" s="1"/>
      <c r="HJ177" s="1"/>
      <c r="HK177" s="1"/>
      <c r="HL177" s="1"/>
    </row>
    <row r="178" spans="1:220" s="349" customFormat="1" ht="17.100000000000001" customHeight="1" x14ac:dyDescent="0.25">
      <c r="A178"/>
      <c r="B178" s="325"/>
      <c r="C178" s="329"/>
      <c r="D178" s="326"/>
      <c r="E178" s="330"/>
      <c r="F178" s="331"/>
      <c r="G178" s="223"/>
      <c r="H178" s="332"/>
      <c r="I178" s="109"/>
      <c r="J178" s="227"/>
      <c r="K178" s="156"/>
      <c r="L178" s="333"/>
      <c r="M178" s="343"/>
      <c r="N178" s="335"/>
      <c r="O178" s="336"/>
      <c r="P178" s="337"/>
      <c r="Q178" s="338"/>
      <c r="R178" s="339"/>
      <c r="S178" s="227"/>
      <c r="T178" s="227"/>
      <c r="U178" s="227"/>
      <c r="V178" s="227"/>
      <c r="W178" s="227"/>
      <c r="X178" s="227"/>
      <c r="Y178" s="340"/>
      <c r="Z178" s="341"/>
      <c r="AA178" s="348"/>
      <c r="AB178" s="342"/>
      <c r="AC178" s="338"/>
      <c r="AD178" s="277"/>
      <c r="AF178" s="350"/>
      <c r="AG178" s="351"/>
      <c r="AH178" s="351"/>
      <c r="AI178" s="352"/>
      <c r="AJ178" s="35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c r="EG178" s="1"/>
      <c r="EH178" s="1"/>
      <c r="EI178" s="1"/>
      <c r="EJ178" s="1"/>
      <c r="EK178" s="1"/>
      <c r="EL178" s="1"/>
      <c r="EM178" s="1"/>
      <c r="EN178" s="1"/>
      <c r="EO178" s="1"/>
      <c r="EP178" s="1"/>
      <c r="EQ178" s="1"/>
      <c r="ER178" s="1"/>
      <c r="ES178" s="1"/>
      <c r="ET178" s="1"/>
      <c r="EU178" s="1"/>
      <c r="EV178" s="1"/>
      <c r="EW178" s="1"/>
      <c r="EX178" s="1"/>
      <c r="EY178" s="1"/>
      <c r="EZ178" s="1"/>
      <c r="FA178" s="1"/>
      <c r="FB178" s="1"/>
      <c r="FC178" s="1"/>
      <c r="FD178" s="1"/>
      <c r="FE178" s="1"/>
      <c r="FF178" s="1"/>
      <c r="FG178" s="1"/>
      <c r="FH178" s="1"/>
      <c r="FI178" s="1"/>
      <c r="FJ178" s="1"/>
      <c r="FK178" s="1"/>
      <c r="FL178" s="1"/>
      <c r="FM178" s="1"/>
      <c r="FN178" s="1"/>
      <c r="FO178" s="1"/>
      <c r="FP178" s="1"/>
      <c r="FQ178" s="1"/>
      <c r="FR178" s="1"/>
      <c r="FS178" s="1"/>
      <c r="FT178" s="1"/>
      <c r="FU178" s="1"/>
      <c r="FV178" s="1"/>
      <c r="FW178" s="1"/>
      <c r="FX178" s="1"/>
      <c r="FY178" s="1"/>
      <c r="FZ178" s="1"/>
      <c r="GA178" s="1"/>
      <c r="GB178" s="1"/>
      <c r="GC178" s="1"/>
      <c r="GD178" s="1"/>
      <c r="GE178" s="1"/>
      <c r="GF178" s="1"/>
      <c r="GG178" s="1"/>
      <c r="GH178" s="1"/>
      <c r="GI178" s="1"/>
      <c r="GJ178" s="1"/>
      <c r="GK178" s="1"/>
      <c r="GL178" s="1"/>
      <c r="GM178" s="1"/>
      <c r="GN178" s="1"/>
      <c r="GO178" s="1"/>
      <c r="GP178" s="1"/>
      <c r="GQ178" s="1"/>
      <c r="GR178" s="1"/>
      <c r="GS178" s="1"/>
      <c r="GT178" s="1"/>
      <c r="GU178" s="1"/>
      <c r="GV178" s="1"/>
      <c r="GW178" s="1"/>
      <c r="GX178" s="1"/>
      <c r="GY178" s="1"/>
      <c r="GZ178" s="1"/>
      <c r="HA178" s="1"/>
      <c r="HB178" s="1"/>
      <c r="HC178" s="1"/>
      <c r="HD178" s="1"/>
      <c r="HE178" s="1"/>
      <c r="HF178" s="1"/>
      <c r="HG178" s="1"/>
      <c r="HH178" s="1"/>
      <c r="HI178" s="1"/>
      <c r="HJ178" s="1"/>
      <c r="HK178" s="1"/>
      <c r="HL178" s="1"/>
    </row>
    <row r="179" spans="1:220" s="349" customFormat="1" ht="17.100000000000001" customHeight="1" x14ac:dyDescent="0.25">
      <c r="A179"/>
      <c r="B179" s="325"/>
      <c r="C179" s="329"/>
      <c r="D179" s="326"/>
      <c r="E179" s="330"/>
      <c r="F179" s="331"/>
      <c r="G179" s="223"/>
      <c r="H179" s="332"/>
      <c r="I179" s="109"/>
      <c r="J179" s="227"/>
      <c r="K179" s="156"/>
      <c r="L179" s="333"/>
      <c r="M179" s="343"/>
      <c r="N179" s="335"/>
      <c r="O179" s="336"/>
      <c r="P179" s="337"/>
      <c r="Q179" s="338"/>
      <c r="R179" s="339"/>
      <c r="S179" s="227"/>
      <c r="T179" s="227"/>
      <c r="U179" s="227"/>
      <c r="V179" s="227"/>
      <c r="W179" s="227"/>
      <c r="X179" s="227"/>
      <c r="Y179" s="340"/>
      <c r="Z179" s="341"/>
      <c r="AA179" s="348"/>
      <c r="AB179" s="342"/>
      <c r="AC179" s="338"/>
      <c r="AD179" s="277"/>
      <c r="AF179" s="350"/>
      <c r="AG179" s="351"/>
      <c r="AH179" s="351"/>
      <c r="AI179" s="352"/>
      <c r="AJ179" s="35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c r="EG179" s="1"/>
      <c r="EH179" s="1"/>
      <c r="EI179" s="1"/>
      <c r="EJ179" s="1"/>
      <c r="EK179" s="1"/>
      <c r="EL179" s="1"/>
      <c r="EM179" s="1"/>
      <c r="EN179" s="1"/>
      <c r="EO179" s="1"/>
      <c r="EP179" s="1"/>
      <c r="EQ179" s="1"/>
      <c r="ER179" s="1"/>
      <c r="ES179" s="1"/>
      <c r="ET179" s="1"/>
      <c r="EU179" s="1"/>
      <c r="EV179" s="1"/>
      <c r="EW179" s="1"/>
      <c r="EX179" s="1"/>
      <c r="EY179" s="1"/>
      <c r="EZ179" s="1"/>
      <c r="FA179" s="1"/>
      <c r="FB179" s="1"/>
      <c r="FC179" s="1"/>
      <c r="FD179" s="1"/>
      <c r="FE179" s="1"/>
      <c r="FF179" s="1"/>
      <c r="FG179" s="1"/>
      <c r="FH179" s="1"/>
      <c r="FI179" s="1"/>
      <c r="FJ179" s="1"/>
      <c r="FK179" s="1"/>
      <c r="FL179" s="1"/>
      <c r="FM179" s="1"/>
      <c r="FN179" s="1"/>
      <c r="FO179" s="1"/>
      <c r="FP179" s="1"/>
      <c r="FQ179" s="1"/>
      <c r="FR179" s="1"/>
      <c r="FS179" s="1"/>
      <c r="FT179" s="1"/>
      <c r="FU179" s="1"/>
      <c r="FV179" s="1"/>
      <c r="FW179" s="1"/>
      <c r="FX179" s="1"/>
      <c r="FY179" s="1"/>
      <c r="FZ179" s="1"/>
      <c r="GA179" s="1"/>
      <c r="GB179" s="1"/>
      <c r="GC179" s="1"/>
      <c r="GD179" s="1"/>
      <c r="GE179" s="1"/>
      <c r="GF179" s="1"/>
      <c r="GG179" s="1"/>
      <c r="GH179" s="1"/>
      <c r="GI179" s="1"/>
      <c r="GJ179" s="1"/>
      <c r="GK179" s="1"/>
      <c r="GL179" s="1"/>
      <c r="GM179" s="1"/>
      <c r="GN179" s="1"/>
      <c r="GO179" s="1"/>
      <c r="GP179" s="1"/>
      <c r="GQ179" s="1"/>
      <c r="GR179" s="1"/>
      <c r="GS179" s="1"/>
      <c r="GT179" s="1"/>
      <c r="GU179" s="1"/>
      <c r="GV179" s="1"/>
      <c r="GW179" s="1"/>
      <c r="GX179" s="1"/>
      <c r="GY179" s="1"/>
      <c r="GZ179" s="1"/>
      <c r="HA179" s="1"/>
      <c r="HB179" s="1"/>
      <c r="HC179" s="1"/>
      <c r="HD179" s="1"/>
      <c r="HE179" s="1"/>
      <c r="HF179" s="1"/>
      <c r="HG179" s="1"/>
      <c r="HH179" s="1"/>
      <c r="HI179" s="1"/>
      <c r="HJ179" s="1"/>
      <c r="HK179" s="1"/>
      <c r="HL179" s="1"/>
    </row>
    <row r="180" spans="1:220" s="349" customFormat="1" ht="17.100000000000001" customHeight="1" x14ac:dyDescent="0.25">
      <c r="A180"/>
      <c r="B180" s="325"/>
      <c r="C180" s="329"/>
      <c r="D180" s="326"/>
      <c r="E180" s="330"/>
      <c r="F180" s="331"/>
      <c r="G180" s="223"/>
      <c r="H180" s="332"/>
      <c r="I180" s="109"/>
      <c r="J180" s="227"/>
      <c r="K180" s="156"/>
      <c r="L180" s="333"/>
      <c r="M180" s="343"/>
      <c r="N180" s="335"/>
      <c r="O180" s="336"/>
      <c r="P180" s="337"/>
      <c r="Q180" s="338"/>
      <c r="R180" s="339"/>
      <c r="S180" s="227"/>
      <c r="T180" s="227"/>
      <c r="U180" s="227"/>
      <c r="V180" s="227"/>
      <c r="W180" s="227"/>
      <c r="X180" s="227"/>
      <c r="Y180" s="340"/>
      <c r="Z180" s="341"/>
      <c r="AA180" s="348"/>
      <c r="AB180" s="342"/>
      <c r="AC180" s="338"/>
      <c r="AD180" s="277"/>
      <c r="AF180" s="350"/>
      <c r="AG180" s="351"/>
      <c r="AH180" s="351"/>
      <c r="AI180" s="352"/>
      <c r="AJ180" s="35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c r="EG180" s="1"/>
      <c r="EH180" s="1"/>
      <c r="EI180" s="1"/>
      <c r="EJ180" s="1"/>
      <c r="EK180" s="1"/>
      <c r="EL180" s="1"/>
      <c r="EM180" s="1"/>
      <c r="EN180" s="1"/>
      <c r="EO180" s="1"/>
      <c r="EP180" s="1"/>
      <c r="EQ180" s="1"/>
      <c r="ER180" s="1"/>
      <c r="ES180" s="1"/>
      <c r="ET180" s="1"/>
      <c r="EU180" s="1"/>
      <c r="EV180" s="1"/>
      <c r="EW180" s="1"/>
      <c r="EX180" s="1"/>
      <c r="EY180" s="1"/>
      <c r="EZ180" s="1"/>
      <c r="FA180" s="1"/>
      <c r="FB180" s="1"/>
      <c r="FC180" s="1"/>
      <c r="FD180" s="1"/>
      <c r="FE180" s="1"/>
      <c r="FF180" s="1"/>
      <c r="FG180" s="1"/>
      <c r="FH180" s="1"/>
      <c r="FI180" s="1"/>
      <c r="FJ180" s="1"/>
      <c r="FK180" s="1"/>
      <c r="FL180" s="1"/>
      <c r="FM180" s="1"/>
      <c r="FN180" s="1"/>
      <c r="FO180" s="1"/>
      <c r="FP180" s="1"/>
      <c r="FQ180" s="1"/>
      <c r="FR180" s="1"/>
      <c r="FS180" s="1"/>
      <c r="FT180" s="1"/>
      <c r="FU180" s="1"/>
      <c r="FV180" s="1"/>
      <c r="FW180" s="1"/>
      <c r="FX180" s="1"/>
      <c r="FY180" s="1"/>
      <c r="FZ180" s="1"/>
      <c r="GA180" s="1"/>
      <c r="GB180" s="1"/>
      <c r="GC180" s="1"/>
      <c r="GD180" s="1"/>
      <c r="GE180" s="1"/>
      <c r="GF180" s="1"/>
      <c r="GG180" s="1"/>
      <c r="GH180" s="1"/>
      <c r="GI180" s="1"/>
      <c r="GJ180" s="1"/>
      <c r="GK180" s="1"/>
      <c r="GL180" s="1"/>
      <c r="GM180" s="1"/>
      <c r="GN180" s="1"/>
      <c r="GO180" s="1"/>
      <c r="GP180" s="1"/>
      <c r="GQ180" s="1"/>
      <c r="GR180" s="1"/>
      <c r="GS180" s="1"/>
      <c r="GT180" s="1"/>
      <c r="GU180" s="1"/>
      <c r="GV180" s="1"/>
      <c r="GW180" s="1"/>
      <c r="GX180" s="1"/>
      <c r="GY180" s="1"/>
      <c r="GZ180" s="1"/>
      <c r="HA180" s="1"/>
      <c r="HB180" s="1"/>
      <c r="HC180" s="1"/>
      <c r="HD180" s="1"/>
      <c r="HE180" s="1"/>
      <c r="HF180" s="1"/>
      <c r="HG180" s="1"/>
      <c r="HH180" s="1"/>
      <c r="HI180" s="1"/>
      <c r="HJ180" s="1"/>
      <c r="HK180" s="1"/>
      <c r="HL180" s="1"/>
    </row>
    <row r="181" spans="1:220" s="349" customFormat="1" ht="17.100000000000001" customHeight="1" x14ac:dyDescent="0.25">
      <c r="A181"/>
      <c r="B181" s="325"/>
      <c r="C181" s="329"/>
      <c r="D181" s="326"/>
      <c r="E181" s="330"/>
      <c r="F181" s="331"/>
      <c r="G181" s="223"/>
      <c r="H181" s="332"/>
      <c r="I181" s="109"/>
      <c r="J181" s="227"/>
      <c r="K181" s="156"/>
      <c r="L181" s="333"/>
      <c r="M181" s="343"/>
      <c r="N181" s="335"/>
      <c r="O181" s="336"/>
      <c r="P181" s="337"/>
      <c r="Q181" s="338"/>
      <c r="R181" s="339"/>
      <c r="S181" s="227"/>
      <c r="T181" s="227"/>
      <c r="U181" s="227"/>
      <c r="V181" s="227"/>
      <c r="W181" s="227"/>
      <c r="X181" s="227"/>
      <c r="Y181" s="340"/>
      <c r="Z181" s="341"/>
      <c r="AA181" s="348"/>
      <c r="AB181" s="342"/>
      <c r="AC181" s="338"/>
      <c r="AD181" s="277"/>
      <c r="AF181" s="350"/>
      <c r="AG181" s="351"/>
      <c r="AH181" s="351"/>
      <c r="AI181" s="352"/>
      <c r="AJ181" s="35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c r="EG181" s="1"/>
      <c r="EH181" s="1"/>
      <c r="EI181" s="1"/>
      <c r="EJ181" s="1"/>
      <c r="EK181" s="1"/>
      <c r="EL181" s="1"/>
      <c r="EM181" s="1"/>
      <c r="EN181" s="1"/>
      <c r="EO181" s="1"/>
      <c r="EP181" s="1"/>
      <c r="EQ181" s="1"/>
      <c r="ER181" s="1"/>
      <c r="ES181" s="1"/>
      <c r="ET181" s="1"/>
      <c r="EU181" s="1"/>
      <c r="EV181" s="1"/>
      <c r="EW181" s="1"/>
      <c r="EX181" s="1"/>
      <c r="EY181" s="1"/>
      <c r="EZ181" s="1"/>
      <c r="FA181" s="1"/>
      <c r="FB181" s="1"/>
      <c r="FC181" s="1"/>
      <c r="FD181" s="1"/>
      <c r="FE181" s="1"/>
      <c r="FF181" s="1"/>
      <c r="FG181" s="1"/>
      <c r="FH181" s="1"/>
      <c r="FI181" s="1"/>
      <c r="FJ181" s="1"/>
      <c r="FK181" s="1"/>
      <c r="FL181" s="1"/>
      <c r="FM181" s="1"/>
      <c r="FN181" s="1"/>
      <c r="FO181" s="1"/>
      <c r="FP181" s="1"/>
      <c r="FQ181" s="1"/>
      <c r="FR181" s="1"/>
      <c r="FS181" s="1"/>
      <c r="FT181" s="1"/>
      <c r="FU181" s="1"/>
      <c r="FV181" s="1"/>
      <c r="FW181" s="1"/>
      <c r="FX181" s="1"/>
      <c r="FY181" s="1"/>
      <c r="FZ181" s="1"/>
      <c r="GA181" s="1"/>
      <c r="GB181" s="1"/>
      <c r="GC181" s="1"/>
      <c r="GD181" s="1"/>
      <c r="GE181" s="1"/>
      <c r="GF181" s="1"/>
      <c r="GG181" s="1"/>
      <c r="GH181" s="1"/>
      <c r="GI181" s="1"/>
      <c r="GJ181" s="1"/>
      <c r="GK181" s="1"/>
      <c r="GL181" s="1"/>
      <c r="GM181" s="1"/>
      <c r="GN181" s="1"/>
      <c r="GO181" s="1"/>
      <c r="GP181" s="1"/>
      <c r="GQ181" s="1"/>
      <c r="GR181" s="1"/>
      <c r="GS181" s="1"/>
      <c r="GT181" s="1"/>
      <c r="GU181" s="1"/>
      <c r="GV181" s="1"/>
      <c r="GW181" s="1"/>
      <c r="GX181" s="1"/>
      <c r="GY181" s="1"/>
      <c r="GZ181" s="1"/>
      <c r="HA181" s="1"/>
      <c r="HB181" s="1"/>
      <c r="HC181" s="1"/>
      <c r="HD181" s="1"/>
      <c r="HE181" s="1"/>
      <c r="HF181" s="1"/>
      <c r="HG181" s="1"/>
      <c r="HH181" s="1"/>
      <c r="HI181" s="1"/>
      <c r="HJ181" s="1"/>
      <c r="HK181" s="1"/>
      <c r="HL181" s="1"/>
    </row>
    <row r="182" spans="1:220" s="349" customFormat="1" ht="17.100000000000001" customHeight="1" x14ac:dyDescent="0.25">
      <c r="A182"/>
      <c r="B182" s="325"/>
      <c r="C182" s="329"/>
      <c r="D182" s="326"/>
      <c r="E182" s="330"/>
      <c r="F182" s="331"/>
      <c r="G182" s="223"/>
      <c r="H182" s="332"/>
      <c r="I182" s="109"/>
      <c r="J182" s="227"/>
      <c r="K182" s="156"/>
      <c r="L182" s="333"/>
      <c r="M182" s="343"/>
      <c r="N182" s="335"/>
      <c r="O182" s="336"/>
      <c r="P182" s="337"/>
      <c r="Q182" s="338"/>
      <c r="R182" s="339"/>
      <c r="S182" s="227"/>
      <c r="T182" s="227"/>
      <c r="U182" s="227"/>
      <c r="V182" s="227"/>
      <c r="W182" s="227"/>
      <c r="X182" s="227"/>
      <c r="Y182" s="340"/>
      <c r="Z182" s="341"/>
      <c r="AA182" s="348"/>
      <c r="AB182" s="342"/>
      <c r="AC182" s="338"/>
      <c r="AD182" s="277"/>
      <c r="AF182" s="350"/>
      <c r="AG182" s="351"/>
      <c r="AH182" s="351"/>
      <c r="AI182" s="352"/>
      <c r="AJ182" s="35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c r="EG182" s="1"/>
      <c r="EH182" s="1"/>
      <c r="EI182" s="1"/>
      <c r="EJ182" s="1"/>
      <c r="EK182" s="1"/>
      <c r="EL182" s="1"/>
      <c r="EM182" s="1"/>
      <c r="EN182" s="1"/>
      <c r="EO182" s="1"/>
      <c r="EP182" s="1"/>
      <c r="EQ182" s="1"/>
      <c r="ER182" s="1"/>
      <c r="ES182" s="1"/>
      <c r="ET182" s="1"/>
      <c r="EU182" s="1"/>
      <c r="EV182" s="1"/>
      <c r="EW182" s="1"/>
      <c r="EX182" s="1"/>
      <c r="EY182" s="1"/>
      <c r="EZ182" s="1"/>
      <c r="FA182" s="1"/>
      <c r="FB182" s="1"/>
      <c r="FC182" s="1"/>
      <c r="FD182" s="1"/>
      <c r="FE182" s="1"/>
      <c r="FF182" s="1"/>
      <c r="FG182" s="1"/>
      <c r="FH182" s="1"/>
      <c r="FI182" s="1"/>
      <c r="FJ182" s="1"/>
      <c r="FK182" s="1"/>
      <c r="FL182" s="1"/>
      <c r="FM182" s="1"/>
      <c r="FN182" s="1"/>
      <c r="FO182" s="1"/>
      <c r="FP182" s="1"/>
      <c r="FQ182" s="1"/>
      <c r="FR182" s="1"/>
      <c r="FS182" s="1"/>
      <c r="FT182" s="1"/>
      <c r="FU182" s="1"/>
      <c r="FV182" s="1"/>
      <c r="FW182" s="1"/>
      <c r="FX182" s="1"/>
      <c r="FY182" s="1"/>
      <c r="FZ182" s="1"/>
      <c r="GA182" s="1"/>
      <c r="GB182" s="1"/>
      <c r="GC182" s="1"/>
      <c r="GD182" s="1"/>
      <c r="GE182" s="1"/>
      <c r="GF182" s="1"/>
      <c r="GG182" s="1"/>
      <c r="GH182" s="1"/>
      <c r="GI182" s="1"/>
      <c r="GJ182" s="1"/>
      <c r="GK182" s="1"/>
      <c r="GL182" s="1"/>
      <c r="GM182" s="1"/>
      <c r="GN182" s="1"/>
      <c r="GO182" s="1"/>
      <c r="GP182" s="1"/>
      <c r="GQ182" s="1"/>
      <c r="GR182" s="1"/>
      <c r="GS182" s="1"/>
      <c r="GT182" s="1"/>
      <c r="GU182" s="1"/>
      <c r="GV182" s="1"/>
      <c r="GW182" s="1"/>
      <c r="GX182" s="1"/>
      <c r="GY182" s="1"/>
      <c r="GZ182" s="1"/>
      <c r="HA182" s="1"/>
      <c r="HB182" s="1"/>
      <c r="HC182" s="1"/>
      <c r="HD182" s="1"/>
      <c r="HE182" s="1"/>
      <c r="HF182" s="1"/>
      <c r="HG182" s="1"/>
      <c r="HH182" s="1"/>
      <c r="HI182" s="1"/>
      <c r="HJ182" s="1"/>
      <c r="HK182" s="1"/>
      <c r="HL182" s="1"/>
    </row>
    <row r="183" spans="1:220" s="349" customFormat="1" ht="17.100000000000001" customHeight="1" x14ac:dyDescent="0.25">
      <c r="A183"/>
      <c r="B183" s="325"/>
      <c r="C183" s="329"/>
      <c r="D183" s="326"/>
      <c r="E183" s="330"/>
      <c r="F183" s="331"/>
      <c r="G183" s="223"/>
      <c r="H183" s="332"/>
      <c r="I183" s="109"/>
      <c r="J183" s="227"/>
      <c r="K183" s="156"/>
      <c r="L183" s="333"/>
      <c r="M183" s="343"/>
      <c r="N183" s="335"/>
      <c r="O183" s="336"/>
      <c r="P183" s="337"/>
      <c r="Q183" s="338"/>
      <c r="R183" s="339"/>
      <c r="S183" s="227"/>
      <c r="T183" s="227"/>
      <c r="U183" s="227"/>
      <c r="V183" s="227"/>
      <c r="W183" s="227"/>
      <c r="X183" s="227"/>
      <c r="Y183" s="340"/>
      <c r="Z183" s="341"/>
      <c r="AA183" s="348"/>
      <c r="AB183" s="342"/>
      <c r="AC183" s="338"/>
      <c r="AD183" s="277"/>
      <c r="AF183" s="350"/>
      <c r="AG183" s="351"/>
      <c r="AH183" s="351"/>
      <c r="AI183" s="352"/>
      <c r="AJ183" s="35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c r="EG183" s="1"/>
      <c r="EH183" s="1"/>
      <c r="EI183" s="1"/>
      <c r="EJ183" s="1"/>
      <c r="EK183" s="1"/>
      <c r="EL183" s="1"/>
      <c r="EM183" s="1"/>
      <c r="EN183" s="1"/>
      <c r="EO183" s="1"/>
      <c r="EP183" s="1"/>
      <c r="EQ183" s="1"/>
      <c r="ER183" s="1"/>
      <c r="ES183" s="1"/>
      <c r="ET183" s="1"/>
      <c r="EU183" s="1"/>
      <c r="EV183" s="1"/>
      <c r="EW183" s="1"/>
      <c r="EX183" s="1"/>
      <c r="EY183" s="1"/>
      <c r="EZ183" s="1"/>
      <c r="FA183" s="1"/>
      <c r="FB183" s="1"/>
      <c r="FC183" s="1"/>
      <c r="FD183" s="1"/>
      <c r="FE183" s="1"/>
      <c r="FF183" s="1"/>
      <c r="FG183" s="1"/>
      <c r="FH183" s="1"/>
      <c r="FI183" s="1"/>
      <c r="FJ183" s="1"/>
      <c r="FK183" s="1"/>
      <c r="FL183" s="1"/>
      <c r="FM183" s="1"/>
      <c r="FN183" s="1"/>
      <c r="FO183" s="1"/>
      <c r="FP183" s="1"/>
      <c r="FQ183" s="1"/>
      <c r="FR183" s="1"/>
      <c r="FS183" s="1"/>
      <c r="FT183" s="1"/>
      <c r="FU183" s="1"/>
      <c r="FV183" s="1"/>
      <c r="FW183" s="1"/>
      <c r="FX183" s="1"/>
      <c r="FY183" s="1"/>
      <c r="FZ183" s="1"/>
      <c r="GA183" s="1"/>
      <c r="GB183" s="1"/>
      <c r="GC183" s="1"/>
      <c r="GD183" s="1"/>
      <c r="GE183" s="1"/>
      <c r="GF183" s="1"/>
      <c r="GG183" s="1"/>
      <c r="GH183" s="1"/>
      <c r="GI183" s="1"/>
      <c r="GJ183" s="1"/>
      <c r="GK183" s="1"/>
      <c r="GL183" s="1"/>
      <c r="GM183" s="1"/>
      <c r="GN183" s="1"/>
      <c r="GO183" s="1"/>
      <c r="GP183" s="1"/>
      <c r="GQ183" s="1"/>
      <c r="GR183" s="1"/>
      <c r="GS183" s="1"/>
      <c r="GT183" s="1"/>
      <c r="GU183" s="1"/>
      <c r="GV183" s="1"/>
      <c r="GW183" s="1"/>
      <c r="GX183" s="1"/>
      <c r="GY183" s="1"/>
      <c r="GZ183" s="1"/>
      <c r="HA183" s="1"/>
      <c r="HB183" s="1"/>
      <c r="HC183" s="1"/>
      <c r="HD183" s="1"/>
      <c r="HE183" s="1"/>
      <c r="HF183" s="1"/>
      <c r="HG183" s="1"/>
      <c r="HH183" s="1"/>
      <c r="HI183" s="1"/>
      <c r="HJ183" s="1"/>
      <c r="HK183" s="1"/>
      <c r="HL183" s="1"/>
    </row>
    <row r="184" spans="1:220" s="349" customFormat="1" ht="17.100000000000001" customHeight="1" x14ac:dyDescent="0.25">
      <c r="A184"/>
      <c r="B184" s="325"/>
      <c r="C184" s="329"/>
      <c r="D184" s="326"/>
      <c r="E184" s="330"/>
      <c r="F184" s="331"/>
      <c r="G184" s="223"/>
      <c r="H184" s="332"/>
      <c r="I184" s="109"/>
      <c r="J184" s="227"/>
      <c r="K184" s="156"/>
      <c r="L184" s="333"/>
      <c r="M184" s="343"/>
      <c r="N184" s="335"/>
      <c r="O184" s="336"/>
      <c r="P184" s="337"/>
      <c r="Q184" s="338"/>
      <c r="R184" s="339"/>
      <c r="S184" s="227"/>
      <c r="T184" s="227"/>
      <c r="U184" s="227"/>
      <c r="V184" s="227"/>
      <c r="W184" s="227"/>
      <c r="X184" s="227"/>
      <c r="Y184" s="340"/>
      <c r="Z184" s="341"/>
      <c r="AA184" s="348"/>
      <c r="AB184" s="342"/>
      <c r="AC184" s="338"/>
      <c r="AD184" s="277"/>
      <c r="AF184" s="350"/>
      <c r="AG184" s="351"/>
      <c r="AH184" s="351"/>
      <c r="AI184" s="352"/>
      <c r="AJ184" s="35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c r="EG184" s="1"/>
      <c r="EH184" s="1"/>
      <c r="EI184" s="1"/>
      <c r="EJ184" s="1"/>
      <c r="EK184" s="1"/>
      <c r="EL184" s="1"/>
      <c r="EM184" s="1"/>
      <c r="EN184" s="1"/>
      <c r="EO184" s="1"/>
      <c r="EP184" s="1"/>
      <c r="EQ184" s="1"/>
      <c r="ER184" s="1"/>
      <c r="ES184" s="1"/>
      <c r="ET184" s="1"/>
      <c r="EU184" s="1"/>
      <c r="EV184" s="1"/>
      <c r="EW184" s="1"/>
      <c r="EX184" s="1"/>
      <c r="EY184" s="1"/>
      <c r="EZ184" s="1"/>
      <c r="FA184" s="1"/>
      <c r="FB184" s="1"/>
      <c r="FC184" s="1"/>
      <c r="FD184" s="1"/>
      <c r="FE184" s="1"/>
      <c r="FF184" s="1"/>
      <c r="FG184" s="1"/>
      <c r="FH184" s="1"/>
      <c r="FI184" s="1"/>
      <c r="FJ184" s="1"/>
      <c r="FK184" s="1"/>
      <c r="FL184" s="1"/>
      <c r="FM184" s="1"/>
      <c r="FN184" s="1"/>
      <c r="FO184" s="1"/>
      <c r="FP184" s="1"/>
      <c r="FQ184" s="1"/>
      <c r="FR184" s="1"/>
      <c r="FS184" s="1"/>
      <c r="FT184" s="1"/>
      <c r="FU184" s="1"/>
      <c r="FV184" s="1"/>
      <c r="FW184" s="1"/>
      <c r="FX184" s="1"/>
      <c r="FY184" s="1"/>
      <c r="FZ184" s="1"/>
      <c r="GA184" s="1"/>
      <c r="GB184" s="1"/>
      <c r="GC184" s="1"/>
      <c r="GD184" s="1"/>
      <c r="GE184" s="1"/>
      <c r="GF184" s="1"/>
      <c r="GG184" s="1"/>
      <c r="GH184" s="1"/>
      <c r="GI184" s="1"/>
      <c r="GJ184" s="1"/>
      <c r="GK184" s="1"/>
      <c r="GL184" s="1"/>
      <c r="GM184" s="1"/>
      <c r="GN184" s="1"/>
      <c r="GO184" s="1"/>
      <c r="GP184" s="1"/>
      <c r="GQ184" s="1"/>
      <c r="GR184" s="1"/>
      <c r="GS184" s="1"/>
      <c r="GT184" s="1"/>
      <c r="GU184" s="1"/>
      <c r="GV184" s="1"/>
      <c r="GW184" s="1"/>
      <c r="GX184" s="1"/>
      <c r="GY184" s="1"/>
      <c r="GZ184" s="1"/>
      <c r="HA184" s="1"/>
      <c r="HB184" s="1"/>
      <c r="HC184" s="1"/>
      <c r="HD184" s="1"/>
      <c r="HE184" s="1"/>
      <c r="HF184" s="1"/>
      <c r="HG184" s="1"/>
      <c r="HH184" s="1"/>
      <c r="HI184" s="1"/>
      <c r="HJ184" s="1"/>
      <c r="HK184" s="1"/>
      <c r="HL184" s="1"/>
    </row>
    <row r="185" spans="1:220" s="349" customFormat="1" ht="17.100000000000001" customHeight="1" x14ac:dyDescent="0.25">
      <c r="A185"/>
      <c r="B185" s="325"/>
      <c r="C185" s="329"/>
      <c r="D185" s="326"/>
      <c r="E185" s="330"/>
      <c r="F185" s="331"/>
      <c r="G185" s="223"/>
      <c r="H185" s="332"/>
      <c r="I185" s="109"/>
      <c r="J185" s="227"/>
      <c r="K185" s="156"/>
      <c r="L185" s="333"/>
      <c r="M185" s="343"/>
      <c r="N185" s="335"/>
      <c r="O185" s="336"/>
      <c r="P185" s="337"/>
      <c r="Q185" s="338"/>
      <c r="R185" s="339"/>
      <c r="S185" s="227"/>
      <c r="T185" s="227"/>
      <c r="U185" s="227"/>
      <c r="V185" s="227"/>
      <c r="W185" s="227"/>
      <c r="X185" s="227"/>
      <c r="Y185" s="340"/>
      <c r="Z185" s="341"/>
      <c r="AA185" s="348"/>
      <c r="AB185" s="342"/>
      <c r="AC185" s="338"/>
      <c r="AD185" s="277"/>
      <c r="AF185" s="350"/>
      <c r="AG185" s="351"/>
      <c r="AH185" s="351"/>
      <c r="AI185" s="352"/>
      <c r="AJ185" s="35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c r="EG185" s="1"/>
      <c r="EH185" s="1"/>
      <c r="EI185" s="1"/>
      <c r="EJ185" s="1"/>
      <c r="EK185" s="1"/>
      <c r="EL185" s="1"/>
      <c r="EM185" s="1"/>
      <c r="EN185" s="1"/>
      <c r="EO185" s="1"/>
      <c r="EP185" s="1"/>
      <c r="EQ185" s="1"/>
      <c r="ER185" s="1"/>
      <c r="ES185" s="1"/>
      <c r="ET185" s="1"/>
      <c r="EU185" s="1"/>
      <c r="EV185" s="1"/>
      <c r="EW185" s="1"/>
      <c r="EX185" s="1"/>
      <c r="EY185" s="1"/>
      <c r="EZ185" s="1"/>
      <c r="FA185" s="1"/>
      <c r="FB185" s="1"/>
      <c r="FC185" s="1"/>
      <c r="FD185" s="1"/>
      <c r="FE185" s="1"/>
      <c r="FF185" s="1"/>
      <c r="FG185" s="1"/>
      <c r="FH185" s="1"/>
      <c r="FI185" s="1"/>
      <c r="FJ185" s="1"/>
      <c r="FK185" s="1"/>
      <c r="FL185" s="1"/>
      <c r="FM185" s="1"/>
      <c r="FN185" s="1"/>
      <c r="FO185" s="1"/>
      <c r="FP185" s="1"/>
      <c r="FQ185" s="1"/>
      <c r="FR185" s="1"/>
      <c r="FS185" s="1"/>
      <c r="FT185" s="1"/>
      <c r="FU185" s="1"/>
      <c r="FV185" s="1"/>
      <c r="FW185" s="1"/>
      <c r="FX185" s="1"/>
      <c r="FY185" s="1"/>
      <c r="FZ185" s="1"/>
      <c r="GA185" s="1"/>
      <c r="GB185" s="1"/>
      <c r="GC185" s="1"/>
      <c r="GD185" s="1"/>
      <c r="GE185" s="1"/>
      <c r="GF185" s="1"/>
      <c r="GG185" s="1"/>
      <c r="GH185" s="1"/>
      <c r="GI185" s="1"/>
      <c r="GJ185" s="1"/>
      <c r="GK185" s="1"/>
      <c r="GL185" s="1"/>
      <c r="GM185" s="1"/>
      <c r="GN185" s="1"/>
      <c r="GO185" s="1"/>
      <c r="GP185" s="1"/>
      <c r="GQ185" s="1"/>
      <c r="GR185" s="1"/>
      <c r="GS185" s="1"/>
      <c r="GT185" s="1"/>
      <c r="GU185" s="1"/>
      <c r="GV185" s="1"/>
      <c r="GW185" s="1"/>
      <c r="GX185" s="1"/>
      <c r="GY185" s="1"/>
      <c r="GZ185" s="1"/>
      <c r="HA185" s="1"/>
      <c r="HB185" s="1"/>
      <c r="HC185" s="1"/>
      <c r="HD185" s="1"/>
      <c r="HE185" s="1"/>
      <c r="HF185" s="1"/>
      <c r="HG185" s="1"/>
      <c r="HH185" s="1"/>
      <c r="HI185" s="1"/>
      <c r="HJ185" s="1"/>
      <c r="HK185" s="1"/>
      <c r="HL185" s="1"/>
    </row>
    <row r="186" spans="1:220" s="349" customFormat="1" ht="17.100000000000001" customHeight="1" x14ac:dyDescent="0.25">
      <c r="A186"/>
      <c r="B186" s="325"/>
      <c r="C186" s="329"/>
      <c r="D186" s="326"/>
      <c r="E186" s="330"/>
      <c r="F186" s="331"/>
      <c r="G186" s="223"/>
      <c r="H186" s="332"/>
      <c r="I186" s="109"/>
      <c r="J186" s="227"/>
      <c r="K186" s="156"/>
      <c r="L186" s="333"/>
      <c r="M186" s="343"/>
      <c r="N186" s="335"/>
      <c r="O186" s="336"/>
      <c r="P186" s="337"/>
      <c r="Q186" s="338"/>
      <c r="R186" s="339"/>
      <c r="S186" s="227"/>
      <c r="T186" s="227"/>
      <c r="U186" s="227"/>
      <c r="V186" s="227"/>
      <c r="W186" s="227"/>
      <c r="X186" s="227"/>
      <c r="Y186" s="340"/>
      <c r="Z186" s="341"/>
      <c r="AA186" s="348"/>
      <c r="AB186" s="342"/>
      <c r="AC186" s="338"/>
      <c r="AD186" s="277"/>
      <c r="AF186" s="350"/>
      <c r="AG186" s="351"/>
      <c r="AH186" s="351"/>
      <c r="AI186" s="352"/>
      <c r="AJ186" s="35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c r="EG186" s="1"/>
      <c r="EH186" s="1"/>
      <c r="EI186" s="1"/>
      <c r="EJ186" s="1"/>
      <c r="EK186" s="1"/>
      <c r="EL186" s="1"/>
      <c r="EM186" s="1"/>
      <c r="EN186" s="1"/>
      <c r="EO186" s="1"/>
      <c r="EP186" s="1"/>
      <c r="EQ186" s="1"/>
      <c r="ER186" s="1"/>
      <c r="ES186" s="1"/>
      <c r="ET186" s="1"/>
      <c r="EU186" s="1"/>
      <c r="EV186" s="1"/>
      <c r="EW186" s="1"/>
      <c r="EX186" s="1"/>
      <c r="EY186" s="1"/>
      <c r="EZ186" s="1"/>
      <c r="FA186" s="1"/>
      <c r="FB186" s="1"/>
      <c r="FC186" s="1"/>
      <c r="FD186" s="1"/>
      <c r="FE186" s="1"/>
      <c r="FF186" s="1"/>
      <c r="FG186" s="1"/>
      <c r="FH186" s="1"/>
      <c r="FI186" s="1"/>
      <c r="FJ186" s="1"/>
      <c r="FK186" s="1"/>
      <c r="FL186" s="1"/>
      <c r="FM186" s="1"/>
      <c r="FN186" s="1"/>
      <c r="FO186" s="1"/>
      <c r="FP186" s="1"/>
      <c r="FQ186" s="1"/>
      <c r="FR186" s="1"/>
      <c r="FS186" s="1"/>
      <c r="FT186" s="1"/>
      <c r="FU186" s="1"/>
      <c r="FV186" s="1"/>
      <c r="FW186" s="1"/>
      <c r="FX186" s="1"/>
      <c r="FY186" s="1"/>
      <c r="FZ186" s="1"/>
      <c r="GA186" s="1"/>
      <c r="GB186" s="1"/>
      <c r="GC186" s="1"/>
      <c r="GD186" s="1"/>
      <c r="GE186" s="1"/>
      <c r="GF186" s="1"/>
      <c r="GG186" s="1"/>
      <c r="GH186" s="1"/>
      <c r="GI186" s="1"/>
      <c r="GJ186" s="1"/>
      <c r="GK186" s="1"/>
      <c r="GL186" s="1"/>
      <c r="GM186" s="1"/>
      <c r="GN186" s="1"/>
      <c r="GO186" s="1"/>
      <c r="GP186" s="1"/>
      <c r="GQ186" s="1"/>
      <c r="GR186" s="1"/>
      <c r="GS186" s="1"/>
      <c r="GT186" s="1"/>
      <c r="GU186" s="1"/>
      <c r="GV186" s="1"/>
      <c r="GW186" s="1"/>
      <c r="GX186" s="1"/>
      <c r="GY186" s="1"/>
      <c r="GZ186" s="1"/>
      <c r="HA186" s="1"/>
      <c r="HB186" s="1"/>
      <c r="HC186" s="1"/>
      <c r="HD186" s="1"/>
      <c r="HE186" s="1"/>
      <c r="HF186" s="1"/>
      <c r="HG186" s="1"/>
      <c r="HH186" s="1"/>
      <c r="HI186" s="1"/>
      <c r="HJ186" s="1"/>
      <c r="HK186" s="1"/>
      <c r="HL186" s="1"/>
    </row>
    <row r="187" spans="1:220" s="349" customFormat="1" ht="17.100000000000001" customHeight="1" x14ac:dyDescent="0.25">
      <c r="A187"/>
      <c r="B187" s="325"/>
      <c r="C187" s="329"/>
      <c r="D187" s="326"/>
      <c r="E187" s="330"/>
      <c r="F187" s="331"/>
      <c r="G187" s="223"/>
      <c r="H187" s="332"/>
      <c r="I187" s="109"/>
      <c r="J187" s="227"/>
      <c r="K187" s="156"/>
      <c r="L187" s="333"/>
      <c r="M187" s="343"/>
      <c r="N187" s="335"/>
      <c r="O187" s="336"/>
      <c r="P187" s="337"/>
      <c r="Q187" s="338"/>
      <c r="R187" s="339"/>
      <c r="S187" s="227"/>
      <c r="T187" s="227"/>
      <c r="U187" s="227"/>
      <c r="V187" s="227"/>
      <c r="W187" s="227"/>
      <c r="X187" s="227"/>
      <c r="Y187" s="340"/>
      <c r="Z187" s="341"/>
      <c r="AA187" s="348"/>
      <c r="AB187" s="342"/>
      <c r="AC187" s="338"/>
      <c r="AD187" s="277"/>
      <c r="AF187" s="350"/>
      <c r="AG187" s="351"/>
      <c r="AH187" s="351"/>
      <c r="AI187" s="352"/>
      <c r="AJ187" s="35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c r="EG187" s="1"/>
      <c r="EH187" s="1"/>
      <c r="EI187" s="1"/>
      <c r="EJ187" s="1"/>
      <c r="EK187" s="1"/>
      <c r="EL187" s="1"/>
      <c r="EM187" s="1"/>
      <c r="EN187" s="1"/>
      <c r="EO187" s="1"/>
      <c r="EP187" s="1"/>
      <c r="EQ187" s="1"/>
      <c r="ER187" s="1"/>
      <c r="ES187" s="1"/>
      <c r="ET187" s="1"/>
      <c r="EU187" s="1"/>
      <c r="EV187" s="1"/>
      <c r="EW187" s="1"/>
      <c r="EX187" s="1"/>
      <c r="EY187" s="1"/>
      <c r="EZ187" s="1"/>
      <c r="FA187" s="1"/>
      <c r="FB187" s="1"/>
      <c r="FC187" s="1"/>
      <c r="FD187" s="1"/>
      <c r="FE187" s="1"/>
      <c r="FF187" s="1"/>
      <c r="FG187" s="1"/>
      <c r="FH187" s="1"/>
      <c r="FI187" s="1"/>
      <c r="FJ187" s="1"/>
      <c r="FK187" s="1"/>
      <c r="FL187" s="1"/>
      <c r="FM187" s="1"/>
      <c r="FN187" s="1"/>
      <c r="FO187" s="1"/>
      <c r="FP187" s="1"/>
      <c r="FQ187" s="1"/>
      <c r="FR187" s="1"/>
      <c r="FS187" s="1"/>
      <c r="FT187" s="1"/>
      <c r="FU187" s="1"/>
      <c r="FV187" s="1"/>
      <c r="FW187" s="1"/>
      <c r="FX187" s="1"/>
      <c r="FY187" s="1"/>
      <c r="FZ187" s="1"/>
      <c r="GA187" s="1"/>
      <c r="GB187" s="1"/>
      <c r="GC187" s="1"/>
      <c r="GD187" s="1"/>
      <c r="GE187" s="1"/>
      <c r="GF187" s="1"/>
      <c r="GG187" s="1"/>
      <c r="GH187" s="1"/>
      <c r="GI187" s="1"/>
      <c r="GJ187" s="1"/>
      <c r="GK187" s="1"/>
      <c r="GL187" s="1"/>
      <c r="GM187" s="1"/>
      <c r="GN187" s="1"/>
      <c r="GO187" s="1"/>
      <c r="GP187" s="1"/>
      <c r="GQ187" s="1"/>
      <c r="GR187" s="1"/>
      <c r="GS187" s="1"/>
      <c r="GT187" s="1"/>
      <c r="GU187" s="1"/>
      <c r="GV187" s="1"/>
      <c r="GW187" s="1"/>
      <c r="GX187" s="1"/>
      <c r="GY187" s="1"/>
      <c r="GZ187" s="1"/>
      <c r="HA187" s="1"/>
      <c r="HB187" s="1"/>
      <c r="HC187" s="1"/>
      <c r="HD187" s="1"/>
      <c r="HE187" s="1"/>
      <c r="HF187" s="1"/>
      <c r="HG187" s="1"/>
      <c r="HH187" s="1"/>
      <c r="HI187" s="1"/>
      <c r="HJ187" s="1"/>
      <c r="HK187" s="1"/>
      <c r="HL187" s="1"/>
    </row>
    <row r="188" spans="1:220" s="349" customFormat="1" ht="17.100000000000001" customHeight="1" x14ac:dyDescent="0.25">
      <c r="A188"/>
      <c r="B188" s="325"/>
      <c r="C188" s="329"/>
      <c r="D188" s="326"/>
      <c r="E188" s="330"/>
      <c r="F188" s="331"/>
      <c r="G188" s="223"/>
      <c r="H188" s="332"/>
      <c r="I188" s="109"/>
      <c r="J188" s="227"/>
      <c r="K188" s="156"/>
      <c r="L188" s="333"/>
      <c r="M188" s="343"/>
      <c r="N188" s="335"/>
      <c r="O188" s="336"/>
      <c r="P188" s="337"/>
      <c r="Q188" s="338"/>
      <c r="R188" s="339"/>
      <c r="S188" s="227"/>
      <c r="T188" s="227"/>
      <c r="U188" s="227"/>
      <c r="V188" s="227"/>
      <c r="W188" s="227"/>
      <c r="X188" s="227"/>
      <c r="Y188" s="340"/>
      <c r="Z188" s="341"/>
      <c r="AA188" s="348"/>
      <c r="AB188" s="342"/>
      <c r="AC188" s="338"/>
      <c r="AD188" s="277"/>
      <c r="AF188" s="350"/>
      <c r="AG188" s="351"/>
      <c r="AH188" s="351"/>
      <c r="AI188" s="352"/>
      <c r="AJ188" s="35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c r="EG188" s="1"/>
      <c r="EH188" s="1"/>
      <c r="EI188" s="1"/>
      <c r="EJ188" s="1"/>
      <c r="EK188" s="1"/>
      <c r="EL188" s="1"/>
      <c r="EM188" s="1"/>
      <c r="EN188" s="1"/>
      <c r="EO188" s="1"/>
      <c r="EP188" s="1"/>
      <c r="EQ188" s="1"/>
      <c r="ER188" s="1"/>
      <c r="ES188" s="1"/>
      <c r="ET188" s="1"/>
      <c r="EU188" s="1"/>
      <c r="EV188" s="1"/>
      <c r="EW188" s="1"/>
      <c r="EX188" s="1"/>
      <c r="EY188" s="1"/>
      <c r="EZ188" s="1"/>
      <c r="FA188" s="1"/>
      <c r="FB188" s="1"/>
      <c r="FC188" s="1"/>
      <c r="FD188" s="1"/>
      <c r="FE188" s="1"/>
      <c r="FF188" s="1"/>
      <c r="FG188" s="1"/>
      <c r="FH188" s="1"/>
      <c r="FI188" s="1"/>
      <c r="FJ188" s="1"/>
      <c r="FK188" s="1"/>
      <c r="FL188" s="1"/>
      <c r="FM188" s="1"/>
      <c r="FN188" s="1"/>
      <c r="FO188" s="1"/>
      <c r="FP188" s="1"/>
      <c r="FQ188" s="1"/>
      <c r="FR188" s="1"/>
      <c r="FS188" s="1"/>
      <c r="FT188" s="1"/>
      <c r="FU188" s="1"/>
      <c r="FV188" s="1"/>
      <c r="FW188" s="1"/>
      <c r="FX188" s="1"/>
      <c r="FY188" s="1"/>
      <c r="FZ188" s="1"/>
      <c r="GA188" s="1"/>
      <c r="GB188" s="1"/>
      <c r="GC188" s="1"/>
      <c r="GD188" s="1"/>
      <c r="GE188" s="1"/>
      <c r="GF188" s="1"/>
      <c r="GG188" s="1"/>
      <c r="GH188" s="1"/>
      <c r="GI188" s="1"/>
      <c r="GJ188" s="1"/>
      <c r="GK188" s="1"/>
      <c r="GL188" s="1"/>
      <c r="GM188" s="1"/>
      <c r="GN188" s="1"/>
      <c r="GO188" s="1"/>
      <c r="GP188" s="1"/>
      <c r="GQ188" s="1"/>
      <c r="GR188" s="1"/>
      <c r="GS188" s="1"/>
      <c r="GT188" s="1"/>
      <c r="GU188" s="1"/>
      <c r="GV188" s="1"/>
      <c r="GW188" s="1"/>
      <c r="GX188" s="1"/>
      <c r="GY188" s="1"/>
      <c r="GZ188" s="1"/>
      <c r="HA188" s="1"/>
      <c r="HB188" s="1"/>
      <c r="HC188" s="1"/>
      <c r="HD188" s="1"/>
      <c r="HE188" s="1"/>
      <c r="HF188" s="1"/>
      <c r="HG188" s="1"/>
      <c r="HH188" s="1"/>
      <c r="HI188" s="1"/>
      <c r="HJ188" s="1"/>
      <c r="HK188" s="1"/>
      <c r="HL188" s="1"/>
    </row>
    <row r="189" spans="1:220" s="349" customFormat="1" ht="17.100000000000001" customHeight="1" x14ac:dyDescent="0.25">
      <c r="A189"/>
      <c r="B189" s="325"/>
      <c r="C189" s="329"/>
      <c r="D189" s="326"/>
      <c r="E189" s="330"/>
      <c r="F189" s="331"/>
      <c r="G189" s="223"/>
      <c r="H189" s="332"/>
      <c r="I189" s="109"/>
      <c r="J189" s="227"/>
      <c r="K189" s="156"/>
      <c r="L189" s="333"/>
      <c r="M189" s="343"/>
      <c r="N189" s="335"/>
      <c r="O189" s="336"/>
      <c r="P189" s="337"/>
      <c r="Q189" s="338"/>
      <c r="R189" s="339"/>
      <c r="S189" s="227"/>
      <c r="T189" s="227"/>
      <c r="U189" s="227"/>
      <c r="V189" s="227"/>
      <c r="W189" s="227"/>
      <c r="X189" s="227"/>
      <c r="Y189" s="340"/>
      <c r="Z189" s="341"/>
      <c r="AA189" s="348"/>
      <c r="AB189" s="342"/>
      <c r="AC189" s="338"/>
      <c r="AD189" s="277"/>
      <c r="AF189" s="350"/>
      <c r="AG189" s="351"/>
      <c r="AH189" s="351"/>
      <c r="AI189" s="352"/>
      <c r="AJ189" s="35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c r="EG189" s="1"/>
      <c r="EH189" s="1"/>
      <c r="EI189" s="1"/>
      <c r="EJ189" s="1"/>
      <c r="EK189" s="1"/>
      <c r="EL189" s="1"/>
      <c r="EM189" s="1"/>
      <c r="EN189" s="1"/>
      <c r="EO189" s="1"/>
      <c r="EP189" s="1"/>
      <c r="EQ189" s="1"/>
      <c r="ER189" s="1"/>
      <c r="ES189" s="1"/>
      <c r="ET189" s="1"/>
      <c r="EU189" s="1"/>
      <c r="EV189" s="1"/>
      <c r="EW189" s="1"/>
      <c r="EX189" s="1"/>
      <c r="EY189" s="1"/>
      <c r="EZ189" s="1"/>
      <c r="FA189" s="1"/>
      <c r="FB189" s="1"/>
      <c r="FC189" s="1"/>
      <c r="FD189" s="1"/>
      <c r="FE189" s="1"/>
      <c r="FF189" s="1"/>
      <c r="FG189" s="1"/>
      <c r="FH189" s="1"/>
      <c r="FI189" s="1"/>
      <c r="FJ189" s="1"/>
      <c r="FK189" s="1"/>
      <c r="FL189" s="1"/>
      <c r="FM189" s="1"/>
      <c r="FN189" s="1"/>
      <c r="FO189" s="1"/>
      <c r="FP189" s="1"/>
      <c r="FQ189" s="1"/>
      <c r="FR189" s="1"/>
      <c r="FS189" s="1"/>
      <c r="FT189" s="1"/>
      <c r="FU189" s="1"/>
      <c r="FV189" s="1"/>
      <c r="FW189" s="1"/>
      <c r="FX189" s="1"/>
      <c r="FY189" s="1"/>
      <c r="FZ189" s="1"/>
      <c r="GA189" s="1"/>
      <c r="GB189" s="1"/>
      <c r="GC189" s="1"/>
      <c r="GD189" s="1"/>
      <c r="GE189" s="1"/>
      <c r="GF189" s="1"/>
      <c r="GG189" s="1"/>
      <c r="GH189" s="1"/>
      <c r="GI189" s="1"/>
      <c r="GJ189" s="1"/>
      <c r="GK189" s="1"/>
      <c r="GL189" s="1"/>
      <c r="GM189" s="1"/>
      <c r="GN189" s="1"/>
      <c r="GO189" s="1"/>
      <c r="GP189" s="1"/>
      <c r="GQ189" s="1"/>
      <c r="GR189" s="1"/>
      <c r="GS189" s="1"/>
      <c r="GT189" s="1"/>
      <c r="GU189" s="1"/>
      <c r="GV189" s="1"/>
      <c r="GW189" s="1"/>
      <c r="GX189" s="1"/>
      <c r="GY189" s="1"/>
      <c r="GZ189" s="1"/>
      <c r="HA189" s="1"/>
      <c r="HB189" s="1"/>
      <c r="HC189" s="1"/>
      <c r="HD189" s="1"/>
      <c r="HE189" s="1"/>
      <c r="HF189" s="1"/>
      <c r="HG189" s="1"/>
      <c r="HH189" s="1"/>
      <c r="HI189" s="1"/>
      <c r="HJ189" s="1"/>
      <c r="HK189" s="1"/>
      <c r="HL189" s="1"/>
    </row>
    <row r="190" spans="1:220" s="349" customFormat="1" ht="17.100000000000001" customHeight="1" x14ac:dyDescent="0.25">
      <c r="A190"/>
      <c r="B190" s="325"/>
      <c r="C190" s="329"/>
      <c r="D190" s="326"/>
      <c r="E190" s="330"/>
      <c r="F190" s="331"/>
      <c r="G190" s="223"/>
      <c r="H190" s="332"/>
      <c r="I190" s="109"/>
      <c r="J190" s="227"/>
      <c r="K190" s="156"/>
      <c r="L190" s="333"/>
      <c r="M190" s="343"/>
      <c r="N190" s="335"/>
      <c r="O190" s="336"/>
      <c r="P190" s="337"/>
      <c r="Q190" s="338"/>
      <c r="R190" s="339"/>
      <c r="S190" s="227"/>
      <c r="T190" s="227"/>
      <c r="U190" s="227"/>
      <c r="V190" s="227"/>
      <c r="W190" s="227"/>
      <c r="X190" s="227"/>
      <c r="Y190" s="340"/>
      <c r="Z190" s="341"/>
      <c r="AA190" s="348"/>
      <c r="AB190" s="342"/>
      <c r="AC190" s="338"/>
      <c r="AD190" s="277"/>
      <c r="AF190" s="350"/>
      <c r="AG190" s="351"/>
      <c r="AH190" s="351"/>
      <c r="AI190" s="352"/>
      <c r="AJ190" s="35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c r="EG190" s="1"/>
      <c r="EH190" s="1"/>
      <c r="EI190" s="1"/>
      <c r="EJ190" s="1"/>
      <c r="EK190" s="1"/>
      <c r="EL190" s="1"/>
      <c r="EM190" s="1"/>
      <c r="EN190" s="1"/>
      <c r="EO190" s="1"/>
      <c r="EP190" s="1"/>
      <c r="EQ190" s="1"/>
      <c r="ER190" s="1"/>
      <c r="ES190" s="1"/>
      <c r="ET190" s="1"/>
      <c r="EU190" s="1"/>
      <c r="EV190" s="1"/>
      <c r="EW190" s="1"/>
      <c r="EX190" s="1"/>
      <c r="EY190" s="1"/>
      <c r="EZ190" s="1"/>
      <c r="FA190" s="1"/>
      <c r="FB190" s="1"/>
      <c r="FC190" s="1"/>
      <c r="FD190" s="1"/>
      <c r="FE190" s="1"/>
      <c r="FF190" s="1"/>
      <c r="FG190" s="1"/>
      <c r="FH190" s="1"/>
      <c r="FI190" s="1"/>
      <c r="FJ190" s="1"/>
      <c r="FK190" s="1"/>
      <c r="FL190" s="1"/>
      <c r="FM190" s="1"/>
      <c r="FN190" s="1"/>
      <c r="FO190" s="1"/>
      <c r="FP190" s="1"/>
      <c r="FQ190" s="1"/>
      <c r="FR190" s="1"/>
      <c r="FS190" s="1"/>
      <c r="FT190" s="1"/>
      <c r="FU190" s="1"/>
      <c r="FV190" s="1"/>
      <c r="FW190" s="1"/>
      <c r="FX190" s="1"/>
      <c r="FY190" s="1"/>
      <c r="FZ190" s="1"/>
      <c r="GA190" s="1"/>
      <c r="GB190" s="1"/>
      <c r="GC190" s="1"/>
      <c r="GD190" s="1"/>
      <c r="GE190" s="1"/>
      <c r="GF190" s="1"/>
      <c r="GG190" s="1"/>
      <c r="GH190" s="1"/>
      <c r="GI190" s="1"/>
      <c r="GJ190" s="1"/>
      <c r="GK190" s="1"/>
      <c r="GL190" s="1"/>
      <c r="GM190" s="1"/>
      <c r="GN190" s="1"/>
      <c r="GO190" s="1"/>
      <c r="GP190" s="1"/>
      <c r="GQ190" s="1"/>
      <c r="GR190" s="1"/>
      <c r="GS190" s="1"/>
      <c r="GT190" s="1"/>
      <c r="GU190" s="1"/>
      <c r="GV190" s="1"/>
      <c r="GW190" s="1"/>
      <c r="GX190" s="1"/>
      <c r="GY190" s="1"/>
      <c r="GZ190" s="1"/>
      <c r="HA190" s="1"/>
      <c r="HB190" s="1"/>
      <c r="HC190" s="1"/>
      <c r="HD190" s="1"/>
      <c r="HE190" s="1"/>
      <c r="HF190" s="1"/>
      <c r="HG190" s="1"/>
      <c r="HH190" s="1"/>
      <c r="HI190" s="1"/>
      <c r="HJ190" s="1"/>
      <c r="HK190" s="1"/>
      <c r="HL190" s="1"/>
    </row>
    <row r="191" spans="1:220" s="349" customFormat="1" ht="17.100000000000001" customHeight="1" x14ac:dyDescent="0.25">
      <c r="A191"/>
      <c r="B191" s="325"/>
      <c r="C191" s="329"/>
      <c r="D191" s="326"/>
      <c r="E191" s="330"/>
      <c r="F191" s="331"/>
      <c r="G191" s="223"/>
      <c r="H191" s="332"/>
      <c r="I191" s="109"/>
      <c r="J191" s="227"/>
      <c r="K191" s="156"/>
      <c r="L191" s="333"/>
      <c r="M191" s="343"/>
      <c r="N191" s="335"/>
      <c r="O191" s="336"/>
      <c r="P191" s="337"/>
      <c r="Q191" s="338"/>
      <c r="R191" s="339"/>
      <c r="S191" s="227"/>
      <c r="T191" s="227"/>
      <c r="U191" s="227"/>
      <c r="V191" s="227"/>
      <c r="W191" s="227"/>
      <c r="X191" s="227"/>
      <c r="Y191" s="340"/>
      <c r="Z191" s="341"/>
      <c r="AA191" s="348"/>
      <c r="AB191" s="342"/>
      <c r="AC191" s="338"/>
      <c r="AD191" s="277"/>
      <c r="AF191" s="350"/>
      <c r="AG191" s="351"/>
      <c r="AH191" s="351"/>
      <c r="AI191" s="352"/>
      <c r="AJ191" s="35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c r="EG191" s="1"/>
      <c r="EH191" s="1"/>
      <c r="EI191" s="1"/>
      <c r="EJ191" s="1"/>
      <c r="EK191" s="1"/>
      <c r="EL191" s="1"/>
      <c r="EM191" s="1"/>
      <c r="EN191" s="1"/>
      <c r="EO191" s="1"/>
      <c r="EP191" s="1"/>
      <c r="EQ191" s="1"/>
      <c r="ER191" s="1"/>
      <c r="ES191" s="1"/>
      <c r="ET191" s="1"/>
      <c r="EU191" s="1"/>
      <c r="EV191" s="1"/>
      <c r="EW191" s="1"/>
      <c r="EX191" s="1"/>
      <c r="EY191" s="1"/>
      <c r="EZ191" s="1"/>
      <c r="FA191" s="1"/>
      <c r="FB191" s="1"/>
      <c r="FC191" s="1"/>
      <c r="FD191" s="1"/>
      <c r="FE191" s="1"/>
      <c r="FF191" s="1"/>
      <c r="FG191" s="1"/>
      <c r="FH191" s="1"/>
      <c r="FI191" s="1"/>
      <c r="FJ191" s="1"/>
      <c r="FK191" s="1"/>
      <c r="FL191" s="1"/>
      <c r="FM191" s="1"/>
      <c r="FN191" s="1"/>
      <c r="FO191" s="1"/>
      <c r="FP191" s="1"/>
      <c r="FQ191" s="1"/>
      <c r="FR191" s="1"/>
      <c r="FS191" s="1"/>
      <c r="FT191" s="1"/>
      <c r="FU191" s="1"/>
      <c r="FV191" s="1"/>
      <c r="FW191" s="1"/>
      <c r="FX191" s="1"/>
      <c r="FY191" s="1"/>
      <c r="FZ191" s="1"/>
      <c r="GA191" s="1"/>
      <c r="GB191" s="1"/>
      <c r="GC191" s="1"/>
      <c r="GD191" s="1"/>
      <c r="GE191" s="1"/>
      <c r="GF191" s="1"/>
      <c r="GG191" s="1"/>
      <c r="GH191" s="1"/>
      <c r="GI191" s="1"/>
      <c r="GJ191" s="1"/>
      <c r="GK191" s="1"/>
      <c r="GL191" s="1"/>
      <c r="GM191" s="1"/>
      <c r="GN191" s="1"/>
      <c r="GO191" s="1"/>
      <c r="GP191" s="1"/>
      <c r="GQ191" s="1"/>
      <c r="GR191" s="1"/>
      <c r="GS191" s="1"/>
      <c r="GT191" s="1"/>
      <c r="GU191" s="1"/>
      <c r="GV191" s="1"/>
      <c r="GW191" s="1"/>
      <c r="GX191" s="1"/>
      <c r="GY191" s="1"/>
      <c r="GZ191" s="1"/>
      <c r="HA191" s="1"/>
      <c r="HB191" s="1"/>
      <c r="HC191" s="1"/>
      <c r="HD191" s="1"/>
      <c r="HE191" s="1"/>
      <c r="HF191" s="1"/>
      <c r="HG191" s="1"/>
      <c r="HH191" s="1"/>
      <c r="HI191" s="1"/>
      <c r="HJ191" s="1"/>
      <c r="HK191" s="1"/>
      <c r="HL191" s="1"/>
    </row>
    <row r="192" spans="1:220" s="349" customFormat="1" ht="17.100000000000001" customHeight="1" x14ac:dyDescent="0.25">
      <c r="A192"/>
      <c r="B192" s="325"/>
      <c r="C192" s="329"/>
      <c r="D192" s="326"/>
      <c r="E192" s="330"/>
      <c r="F192" s="331"/>
      <c r="G192" s="223"/>
      <c r="H192" s="332"/>
      <c r="I192" s="109"/>
      <c r="J192" s="227"/>
      <c r="K192" s="156"/>
      <c r="L192" s="333"/>
      <c r="M192" s="343"/>
      <c r="N192" s="335"/>
      <c r="O192" s="336"/>
      <c r="P192" s="337"/>
      <c r="Q192" s="338"/>
      <c r="R192" s="339"/>
      <c r="S192" s="227"/>
      <c r="T192" s="227"/>
      <c r="U192" s="227"/>
      <c r="V192" s="227"/>
      <c r="W192" s="227"/>
      <c r="X192" s="227"/>
      <c r="Y192" s="340"/>
      <c r="Z192" s="341"/>
      <c r="AA192" s="348"/>
      <c r="AB192" s="342"/>
      <c r="AC192" s="338"/>
      <c r="AD192" s="277"/>
      <c r="AF192" s="350"/>
      <c r="AG192" s="351"/>
      <c r="AH192" s="351"/>
      <c r="AI192" s="352"/>
      <c r="AJ192" s="35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c r="EG192" s="1"/>
      <c r="EH192" s="1"/>
      <c r="EI192" s="1"/>
      <c r="EJ192" s="1"/>
      <c r="EK192" s="1"/>
      <c r="EL192" s="1"/>
      <c r="EM192" s="1"/>
      <c r="EN192" s="1"/>
      <c r="EO192" s="1"/>
      <c r="EP192" s="1"/>
      <c r="EQ192" s="1"/>
      <c r="ER192" s="1"/>
      <c r="ES192" s="1"/>
      <c r="ET192" s="1"/>
      <c r="EU192" s="1"/>
      <c r="EV192" s="1"/>
      <c r="EW192" s="1"/>
      <c r="EX192" s="1"/>
      <c r="EY192" s="1"/>
      <c r="EZ192" s="1"/>
      <c r="FA192" s="1"/>
      <c r="FB192" s="1"/>
      <c r="FC192" s="1"/>
      <c r="FD192" s="1"/>
      <c r="FE192" s="1"/>
      <c r="FF192" s="1"/>
      <c r="FG192" s="1"/>
      <c r="FH192" s="1"/>
      <c r="FI192" s="1"/>
      <c r="FJ192" s="1"/>
      <c r="FK192" s="1"/>
      <c r="FL192" s="1"/>
      <c r="FM192" s="1"/>
      <c r="FN192" s="1"/>
      <c r="FO192" s="1"/>
      <c r="FP192" s="1"/>
      <c r="FQ192" s="1"/>
      <c r="FR192" s="1"/>
      <c r="FS192" s="1"/>
      <c r="FT192" s="1"/>
      <c r="FU192" s="1"/>
      <c r="FV192" s="1"/>
      <c r="FW192" s="1"/>
      <c r="FX192" s="1"/>
      <c r="FY192" s="1"/>
      <c r="FZ192" s="1"/>
      <c r="GA192" s="1"/>
      <c r="GB192" s="1"/>
      <c r="GC192" s="1"/>
      <c r="GD192" s="1"/>
      <c r="GE192" s="1"/>
      <c r="GF192" s="1"/>
      <c r="GG192" s="1"/>
      <c r="GH192" s="1"/>
      <c r="GI192" s="1"/>
      <c r="GJ192" s="1"/>
      <c r="GK192" s="1"/>
      <c r="GL192" s="1"/>
      <c r="GM192" s="1"/>
      <c r="GN192" s="1"/>
      <c r="GO192" s="1"/>
      <c r="GP192" s="1"/>
      <c r="GQ192" s="1"/>
      <c r="GR192" s="1"/>
      <c r="GS192" s="1"/>
      <c r="GT192" s="1"/>
      <c r="GU192" s="1"/>
      <c r="GV192" s="1"/>
      <c r="GW192" s="1"/>
      <c r="GX192" s="1"/>
      <c r="GY192" s="1"/>
      <c r="GZ192" s="1"/>
      <c r="HA192" s="1"/>
      <c r="HB192" s="1"/>
      <c r="HC192" s="1"/>
      <c r="HD192" s="1"/>
      <c r="HE192" s="1"/>
      <c r="HF192" s="1"/>
      <c r="HG192" s="1"/>
      <c r="HH192" s="1"/>
      <c r="HI192" s="1"/>
      <c r="HJ192" s="1"/>
      <c r="HK192" s="1"/>
      <c r="HL192" s="1"/>
    </row>
    <row r="193" spans="1:220" s="349" customFormat="1" ht="17.100000000000001" customHeight="1" x14ac:dyDescent="0.25">
      <c r="A193"/>
      <c r="B193" s="325"/>
      <c r="C193" s="329"/>
      <c r="D193" s="326"/>
      <c r="E193" s="330"/>
      <c r="F193" s="331"/>
      <c r="G193" s="223"/>
      <c r="H193" s="332"/>
      <c r="I193" s="109"/>
      <c r="J193" s="227"/>
      <c r="K193" s="156"/>
      <c r="L193" s="333"/>
      <c r="M193" s="343"/>
      <c r="N193" s="335"/>
      <c r="O193" s="336"/>
      <c r="P193" s="337"/>
      <c r="Q193" s="338"/>
      <c r="R193" s="339"/>
      <c r="S193" s="227"/>
      <c r="T193" s="227"/>
      <c r="U193" s="227"/>
      <c r="V193" s="227"/>
      <c r="W193" s="227"/>
      <c r="X193" s="227"/>
      <c r="Y193" s="340"/>
      <c r="Z193" s="341"/>
      <c r="AA193" s="348"/>
      <c r="AB193" s="342"/>
      <c r="AC193" s="338"/>
      <c r="AD193" s="277"/>
      <c r="AF193" s="350"/>
      <c r="AG193" s="351"/>
      <c r="AH193" s="351"/>
      <c r="AI193" s="352"/>
      <c r="AJ193" s="35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c r="EG193" s="1"/>
      <c r="EH193" s="1"/>
      <c r="EI193" s="1"/>
      <c r="EJ193" s="1"/>
      <c r="EK193" s="1"/>
      <c r="EL193" s="1"/>
      <c r="EM193" s="1"/>
      <c r="EN193" s="1"/>
      <c r="EO193" s="1"/>
      <c r="EP193" s="1"/>
      <c r="EQ193" s="1"/>
      <c r="ER193" s="1"/>
      <c r="ES193" s="1"/>
      <c r="ET193" s="1"/>
      <c r="EU193" s="1"/>
      <c r="EV193" s="1"/>
      <c r="EW193" s="1"/>
      <c r="EX193" s="1"/>
      <c r="EY193" s="1"/>
      <c r="EZ193" s="1"/>
      <c r="FA193" s="1"/>
      <c r="FB193" s="1"/>
      <c r="FC193" s="1"/>
      <c r="FD193" s="1"/>
      <c r="FE193" s="1"/>
      <c r="FF193" s="1"/>
      <c r="FG193" s="1"/>
      <c r="FH193" s="1"/>
      <c r="FI193" s="1"/>
      <c r="FJ193" s="1"/>
      <c r="FK193" s="1"/>
      <c r="FL193" s="1"/>
      <c r="FM193" s="1"/>
      <c r="FN193" s="1"/>
      <c r="FO193" s="1"/>
      <c r="FP193" s="1"/>
      <c r="FQ193" s="1"/>
      <c r="FR193" s="1"/>
      <c r="FS193" s="1"/>
      <c r="FT193" s="1"/>
      <c r="FU193" s="1"/>
      <c r="FV193" s="1"/>
      <c r="FW193" s="1"/>
      <c r="FX193" s="1"/>
      <c r="FY193" s="1"/>
      <c r="FZ193" s="1"/>
      <c r="GA193" s="1"/>
      <c r="GB193" s="1"/>
      <c r="GC193" s="1"/>
      <c r="GD193" s="1"/>
      <c r="GE193" s="1"/>
      <c r="GF193" s="1"/>
      <c r="GG193" s="1"/>
      <c r="GH193" s="1"/>
      <c r="GI193" s="1"/>
      <c r="GJ193" s="1"/>
      <c r="GK193" s="1"/>
      <c r="GL193" s="1"/>
      <c r="GM193" s="1"/>
      <c r="GN193" s="1"/>
      <c r="GO193" s="1"/>
      <c r="GP193" s="1"/>
      <c r="GQ193" s="1"/>
      <c r="GR193" s="1"/>
      <c r="GS193" s="1"/>
      <c r="GT193" s="1"/>
      <c r="GU193" s="1"/>
      <c r="GV193" s="1"/>
      <c r="GW193" s="1"/>
      <c r="GX193" s="1"/>
      <c r="GY193" s="1"/>
      <c r="GZ193" s="1"/>
      <c r="HA193" s="1"/>
      <c r="HB193" s="1"/>
      <c r="HC193" s="1"/>
      <c r="HD193" s="1"/>
      <c r="HE193" s="1"/>
      <c r="HF193" s="1"/>
      <c r="HG193" s="1"/>
      <c r="HH193" s="1"/>
      <c r="HI193" s="1"/>
      <c r="HJ193" s="1"/>
      <c r="HK193" s="1"/>
      <c r="HL193" s="1"/>
    </row>
    <row r="194" spans="1:220" s="349" customFormat="1" ht="17.100000000000001" customHeight="1" x14ac:dyDescent="0.25">
      <c r="A194"/>
      <c r="B194" s="325"/>
      <c r="C194" s="329"/>
      <c r="D194" s="326"/>
      <c r="E194" s="330"/>
      <c r="F194" s="331"/>
      <c r="G194" s="223"/>
      <c r="H194" s="332"/>
      <c r="I194" s="109"/>
      <c r="J194" s="227"/>
      <c r="K194" s="156"/>
      <c r="L194" s="333"/>
      <c r="M194" s="343"/>
      <c r="N194" s="335"/>
      <c r="O194" s="336"/>
      <c r="P194" s="337"/>
      <c r="Q194" s="338"/>
      <c r="R194" s="339"/>
      <c r="S194" s="227"/>
      <c r="T194" s="227"/>
      <c r="U194" s="227"/>
      <c r="V194" s="227"/>
      <c r="W194" s="227"/>
      <c r="X194" s="227"/>
      <c r="Y194" s="340"/>
      <c r="Z194" s="341"/>
      <c r="AA194" s="348"/>
      <c r="AB194" s="342"/>
      <c r="AC194" s="338"/>
      <c r="AD194" s="277"/>
      <c r="AF194" s="350"/>
      <c r="AG194" s="351"/>
      <c r="AH194" s="351"/>
      <c r="AI194" s="352"/>
      <c r="AJ194" s="35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c r="EG194" s="1"/>
      <c r="EH194" s="1"/>
      <c r="EI194" s="1"/>
      <c r="EJ194" s="1"/>
      <c r="EK194" s="1"/>
      <c r="EL194" s="1"/>
      <c r="EM194" s="1"/>
      <c r="EN194" s="1"/>
      <c r="EO194" s="1"/>
      <c r="EP194" s="1"/>
      <c r="EQ194" s="1"/>
      <c r="ER194" s="1"/>
      <c r="ES194" s="1"/>
      <c r="ET194" s="1"/>
      <c r="EU194" s="1"/>
      <c r="EV194" s="1"/>
      <c r="EW194" s="1"/>
      <c r="EX194" s="1"/>
      <c r="EY194" s="1"/>
      <c r="EZ194" s="1"/>
      <c r="FA194" s="1"/>
      <c r="FB194" s="1"/>
      <c r="FC194" s="1"/>
      <c r="FD194" s="1"/>
      <c r="FE194" s="1"/>
      <c r="FF194" s="1"/>
      <c r="FG194" s="1"/>
      <c r="FH194" s="1"/>
      <c r="FI194" s="1"/>
      <c r="FJ194" s="1"/>
      <c r="FK194" s="1"/>
      <c r="FL194" s="1"/>
      <c r="FM194" s="1"/>
      <c r="FN194" s="1"/>
      <c r="FO194" s="1"/>
      <c r="FP194" s="1"/>
      <c r="FQ194" s="1"/>
      <c r="FR194" s="1"/>
      <c r="FS194" s="1"/>
      <c r="FT194" s="1"/>
      <c r="FU194" s="1"/>
      <c r="FV194" s="1"/>
      <c r="FW194" s="1"/>
      <c r="FX194" s="1"/>
      <c r="FY194" s="1"/>
      <c r="FZ194" s="1"/>
      <c r="GA194" s="1"/>
      <c r="GB194" s="1"/>
      <c r="GC194" s="1"/>
      <c r="GD194" s="1"/>
      <c r="GE194" s="1"/>
      <c r="GF194" s="1"/>
      <c r="GG194" s="1"/>
      <c r="GH194" s="1"/>
      <c r="GI194" s="1"/>
      <c r="GJ194" s="1"/>
      <c r="GK194" s="1"/>
      <c r="GL194" s="1"/>
      <c r="GM194" s="1"/>
      <c r="GN194" s="1"/>
      <c r="GO194" s="1"/>
      <c r="GP194" s="1"/>
      <c r="GQ194" s="1"/>
      <c r="GR194" s="1"/>
      <c r="GS194" s="1"/>
      <c r="GT194" s="1"/>
      <c r="GU194" s="1"/>
      <c r="GV194" s="1"/>
      <c r="GW194" s="1"/>
      <c r="GX194" s="1"/>
      <c r="GY194" s="1"/>
      <c r="GZ194" s="1"/>
      <c r="HA194" s="1"/>
      <c r="HB194" s="1"/>
      <c r="HC194" s="1"/>
      <c r="HD194" s="1"/>
      <c r="HE194" s="1"/>
      <c r="HF194" s="1"/>
      <c r="HG194" s="1"/>
      <c r="HH194" s="1"/>
      <c r="HI194" s="1"/>
      <c r="HJ194" s="1"/>
      <c r="HK194" s="1"/>
      <c r="HL194" s="1"/>
    </row>
    <row r="195" spans="1:220" s="349" customFormat="1" ht="17.100000000000001" customHeight="1" x14ac:dyDescent="0.25">
      <c r="A195"/>
      <c r="B195" s="325"/>
      <c r="C195" s="329"/>
      <c r="D195" s="326"/>
      <c r="E195" s="330"/>
      <c r="F195" s="331"/>
      <c r="G195" s="223"/>
      <c r="H195" s="332"/>
      <c r="I195" s="109"/>
      <c r="J195" s="227"/>
      <c r="K195" s="156"/>
      <c r="L195" s="333"/>
      <c r="M195" s="343"/>
      <c r="N195" s="335"/>
      <c r="O195" s="336"/>
      <c r="P195" s="337"/>
      <c r="Q195" s="338"/>
      <c r="R195" s="339"/>
      <c r="S195" s="227"/>
      <c r="T195" s="227"/>
      <c r="U195" s="227"/>
      <c r="V195" s="227"/>
      <c r="W195" s="227"/>
      <c r="X195" s="227"/>
      <c r="Y195" s="340"/>
      <c r="Z195" s="341"/>
      <c r="AA195" s="348"/>
      <c r="AB195" s="342"/>
      <c r="AC195" s="338"/>
      <c r="AD195" s="277"/>
      <c r="AF195" s="350"/>
      <c r="AG195" s="351"/>
      <c r="AH195" s="351"/>
      <c r="AI195" s="352"/>
      <c r="AJ195" s="35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c r="EG195" s="1"/>
      <c r="EH195" s="1"/>
      <c r="EI195" s="1"/>
      <c r="EJ195" s="1"/>
      <c r="EK195" s="1"/>
      <c r="EL195" s="1"/>
      <c r="EM195" s="1"/>
      <c r="EN195" s="1"/>
      <c r="EO195" s="1"/>
      <c r="EP195" s="1"/>
      <c r="EQ195" s="1"/>
      <c r="ER195" s="1"/>
      <c r="ES195" s="1"/>
      <c r="ET195" s="1"/>
      <c r="EU195" s="1"/>
      <c r="EV195" s="1"/>
      <c r="EW195" s="1"/>
      <c r="EX195" s="1"/>
      <c r="EY195" s="1"/>
      <c r="EZ195" s="1"/>
      <c r="FA195" s="1"/>
      <c r="FB195" s="1"/>
      <c r="FC195" s="1"/>
      <c r="FD195" s="1"/>
      <c r="FE195" s="1"/>
      <c r="FF195" s="1"/>
      <c r="FG195" s="1"/>
      <c r="FH195" s="1"/>
      <c r="FI195" s="1"/>
      <c r="FJ195" s="1"/>
      <c r="FK195" s="1"/>
      <c r="FL195" s="1"/>
      <c r="FM195" s="1"/>
      <c r="FN195" s="1"/>
      <c r="FO195" s="1"/>
      <c r="FP195" s="1"/>
      <c r="FQ195" s="1"/>
      <c r="FR195" s="1"/>
      <c r="FS195" s="1"/>
      <c r="FT195" s="1"/>
      <c r="FU195" s="1"/>
      <c r="FV195" s="1"/>
      <c r="FW195" s="1"/>
      <c r="FX195" s="1"/>
      <c r="FY195" s="1"/>
      <c r="FZ195" s="1"/>
      <c r="GA195" s="1"/>
      <c r="GB195" s="1"/>
      <c r="GC195" s="1"/>
      <c r="GD195" s="1"/>
      <c r="GE195" s="1"/>
      <c r="GF195" s="1"/>
      <c r="GG195" s="1"/>
      <c r="GH195" s="1"/>
      <c r="GI195" s="1"/>
      <c r="GJ195" s="1"/>
      <c r="GK195" s="1"/>
      <c r="GL195" s="1"/>
      <c r="GM195" s="1"/>
      <c r="GN195" s="1"/>
      <c r="GO195" s="1"/>
      <c r="GP195" s="1"/>
      <c r="GQ195" s="1"/>
      <c r="GR195" s="1"/>
      <c r="GS195" s="1"/>
      <c r="GT195" s="1"/>
      <c r="GU195" s="1"/>
      <c r="GV195" s="1"/>
      <c r="GW195" s="1"/>
      <c r="GX195" s="1"/>
      <c r="GY195" s="1"/>
      <c r="GZ195" s="1"/>
      <c r="HA195" s="1"/>
      <c r="HB195" s="1"/>
      <c r="HC195" s="1"/>
      <c r="HD195" s="1"/>
      <c r="HE195" s="1"/>
      <c r="HF195" s="1"/>
      <c r="HG195" s="1"/>
      <c r="HH195" s="1"/>
      <c r="HI195" s="1"/>
      <c r="HJ195" s="1"/>
      <c r="HK195" s="1"/>
      <c r="HL195" s="1"/>
    </row>
    <row r="196" spans="1:220" s="349" customFormat="1" ht="17.100000000000001" customHeight="1" x14ac:dyDescent="0.25">
      <c r="A196"/>
      <c r="B196" s="325"/>
      <c r="C196" s="329"/>
      <c r="D196" s="326"/>
      <c r="E196" s="330"/>
      <c r="F196" s="331"/>
      <c r="G196" s="223"/>
      <c r="H196" s="332"/>
      <c r="I196" s="109"/>
      <c r="J196" s="227"/>
      <c r="K196" s="156"/>
      <c r="L196" s="333"/>
      <c r="M196" s="343"/>
      <c r="N196" s="335"/>
      <c r="O196" s="336"/>
      <c r="P196" s="337"/>
      <c r="Q196" s="338"/>
      <c r="R196" s="339"/>
      <c r="S196" s="227"/>
      <c r="T196" s="227"/>
      <c r="U196" s="227"/>
      <c r="V196" s="227"/>
      <c r="W196" s="227"/>
      <c r="X196" s="227"/>
      <c r="Y196" s="340"/>
      <c r="Z196" s="341"/>
      <c r="AA196" s="348"/>
      <c r="AB196" s="342"/>
      <c r="AC196" s="338"/>
      <c r="AD196" s="277"/>
      <c r="AF196" s="350"/>
      <c r="AG196" s="351"/>
      <c r="AH196" s="351"/>
      <c r="AI196" s="352"/>
      <c r="AJ196" s="35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c r="EG196" s="1"/>
      <c r="EH196" s="1"/>
      <c r="EI196" s="1"/>
      <c r="EJ196" s="1"/>
      <c r="EK196" s="1"/>
      <c r="EL196" s="1"/>
      <c r="EM196" s="1"/>
      <c r="EN196" s="1"/>
      <c r="EO196" s="1"/>
      <c r="EP196" s="1"/>
      <c r="EQ196" s="1"/>
      <c r="ER196" s="1"/>
      <c r="ES196" s="1"/>
      <c r="ET196" s="1"/>
      <c r="EU196" s="1"/>
      <c r="EV196" s="1"/>
      <c r="EW196" s="1"/>
      <c r="EX196" s="1"/>
      <c r="EY196" s="1"/>
      <c r="EZ196" s="1"/>
      <c r="FA196" s="1"/>
      <c r="FB196" s="1"/>
      <c r="FC196" s="1"/>
      <c r="FD196" s="1"/>
      <c r="FE196" s="1"/>
      <c r="FF196" s="1"/>
      <c r="FG196" s="1"/>
      <c r="FH196" s="1"/>
      <c r="FI196" s="1"/>
      <c r="FJ196" s="1"/>
      <c r="FK196" s="1"/>
      <c r="FL196" s="1"/>
      <c r="FM196" s="1"/>
      <c r="FN196" s="1"/>
      <c r="FO196" s="1"/>
      <c r="FP196" s="1"/>
      <c r="FQ196" s="1"/>
      <c r="FR196" s="1"/>
      <c r="FS196" s="1"/>
      <c r="FT196" s="1"/>
      <c r="FU196" s="1"/>
      <c r="FV196" s="1"/>
      <c r="FW196" s="1"/>
      <c r="FX196" s="1"/>
      <c r="FY196" s="1"/>
      <c r="FZ196" s="1"/>
      <c r="GA196" s="1"/>
      <c r="GB196" s="1"/>
      <c r="GC196" s="1"/>
      <c r="GD196" s="1"/>
      <c r="GE196" s="1"/>
      <c r="GF196" s="1"/>
      <c r="GG196" s="1"/>
      <c r="GH196" s="1"/>
      <c r="GI196" s="1"/>
      <c r="GJ196" s="1"/>
      <c r="GK196" s="1"/>
      <c r="GL196" s="1"/>
      <c r="GM196" s="1"/>
      <c r="GN196" s="1"/>
      <c r="GO196" s="1"/>
      <c r="GP196" s="1"/>
      <c r="GQ196" s="1"/>
      <c r="GR196" s="1"/>
      <c r="GS196" s="1"/>
      <c r="GT196" s="1"/>
      <c r="GU196" s="1"/>
      <c r="GV196" s="1"/>
      <c r="GW196" s="1"/>
      <c r="GX196" s="1"/>
      <c r="GY196" s="1"/>
      <c r="GZ196" s="1"/>
      <c r="HA196" s="1"/>
      <c r="HB196" s="1"/>
      <c r="HC196" s="1"/>
      <c r="HD196" s="1"/>
      <c r="HE196" s="1"/>
      <c r="HF196" s="1"/>
      <c r="HG196" s="1"/>
      <c r="HH196" s="1"/>
      <c r="HI196" s="1"/>
      <c r="HJ196" s="1"/>
      <c r="HK196" s="1"/>
      <c r="HL196" s="1"/>
    </row>
    <row r="197" spans="1:220" s="349" customFormat="1" ht="17.100000000000001" customHeight="1" x14ac:dyDescent="0.25">
      <c r="A197"/>
      <c r="B197" s="325"/>
      <c r="C197" s="329"/>
      <c r="D197" s="326"/>
      <c r="E197" s="330"/>
      <c r="F197" s="331"/>
      <c r="G197" s="223"/>
      <c r="H197" s="332"/>
      <c r="I197" s="109"/>
      <c r="J197" s="227"/>
      <c r="K197" s="156"/>
      <c r="L197" s="333"/>
      <c r="M197" s="343"/>
      <c r="N197" s="335"/>
      <c r="O197" s="336"/>
      <c r="P197" s="337"/>
      <c r="Q197" s="338"/>
      <c r="R197" s="339"/>
      <c r="S197" s="227"/>
      <c r="T197" s="227"/>
      <c r="U197" s="227"/>
      <c r="V197" s="227"/>
      <c r="W197" s="227"/>
      <c r="X197" s="227"/>
      <c r="Y197" s="340"/>
      <c r="Z197" s="341"/>
      <c r="AA197" s="348"/>
      <c r="AB197" s="342"/>
      <c r="AC197" s="338"/>
      <c r="AD197" s="277"/>
      <c r="AF197" s="350"/>
      <c r="AG197" s="351"/>
      <c r="AH197" s="351"/>
      <c r="AI197" s="352"/>
      <c r="AJ197" s="35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c r="EG197" s="1"/>
      <c r="EH197" s="1"/>
      <c r="EI197" s="1"/>
      <c r="EJ197" s="1"/>
      <c r="EK197" s="1"/>
      <c r="EL197" s="1"/>
      <c r="EM197" s="1"/>
      <c r="EN197" s="1"/>
      <c r="EO197" s="1"/>
      <c r="EP197" s="1"/>
      <c r="EQ197" s="1"/>
      <c r="ER197" s="1"/>
      <c r="ES197" s="1"/>
      <c r="ET197" s="1"/>
      <c r="EU197" s="1"/>
      <c r="EV197" s="1"/>
      <c r="EW197" s="1"/>
      <c r="EX197" s="1"/>
      <c r="EY197" s="1"/>
      <c r="EZ197" s="1"/>
      <c r="FA197" s="1"/>
      <c r="FB197" s="1"/>
      <c r="FC197" s="1"/>
      <c r="FD197" s="1"/>
      <c r="FE197" s="1"/>
      <c r="FF197" s="1"/>
      <c r="FG197" s="1"/>
      <c r="FH197" s="1"/>
      <c r="FI197" s="1"/>
      <c r="FJ197" s="1"/>
      <c r="FK197" s="1"/>
      <c r="FL197" s="1"/>
      <c r="FM197" s="1"/>
      <c r="FN197" s="1"/>
      <c r="FO197" s="1"/>
      <c r="FP197" s="1"/>
      <c r="FQ197" s="1"/>
      <c r="FR197" s="1"/>
      <c r="FS197" s="1"/>
      <c r="FT197" s="1"/>
      <c r="FU197" s="1"/>
      <c r="FV197" s="1"/>
      <c r="FW197" s="1"/>
      <c r="FX197" s="1"/>
      <c r="FY197" s="1"/>
      <c r="FZ197" s="1"/>
      <c r="GA197" s="1"/>
      <c r="GB197" s="1"/>
      <c r="GC197" s="1"/>
      <c r="GD197" s="1"/>
      <c r="GE197" s="1"/>
      <c r="GF197" s="1"/>
      <c r="GG197" s="1"/>
      <c r="GH197" s="1"/>
      <c r="GI197" s="1"/>
      <c r="GJ197" s="1"/>
      <c r="GK197" s="1"/>
      <c r="GL197" s="1"/>
      <c r="GM197" s="1"/>
      <c r="GN197" s="1"/>
      <c r="GO197" s="1"/>
      <c r="GP197" s="1"/>
      <c r="GQ197" s="1"/>
      <c r="GR197" s="1"/>
      <c r="GS197" s="1"/>
      <c r="GT197" s="1"/>
      <c r="GU197" s="1"/>
      <c r="GV197" s="1"/>
      <c r="GW197" s="1"/>
      <c r="GX197" s="1"/>
      <c r="GY197" s="1"/>
      <c r="GZ197" s="1"/>
      <c r="HA197" s="1"/>
      <c r="HB197" s="1"/>
      <c r="HC197" s="1"/>
      <c r="HD197" s="1"/>
      <c r="HE197" s="1"/>
      <c r="HF197" s="1"/>
      <c r="HG197" s="1"/>
      <c r="HH197" s="1"/>
      <c r="HI197" s="1"/>
      <c r="HJ197" s="1"/>
      <c r="HK197" s="1"/>
      <c r="HL197" s="1"/>
    </row>
    <row r="198" spans="1:220" s="349" customFormat="1" ht="17.100000000000001" customHeight="1" x14ac:dyDescent="0.25">
      <c r="A198"/>
      <c r="B198" s="325"/>
      <c r="C198" s="329"/>
      <c r="D198" s="326"/>
      <c r="E198" s="330"/>
      <c r="F198" s="331"/>
      <c r="G198" s="223"/>
      <c r="H198" s="332"/>
      <c r="I198" s="109"/>
      <c r="J198" s="227"/>
      <c r="K198" s="156"/>
      <c r="L198" s="333"/>
      <c r="M198" s="343"/>
      <c r="N198" s="335"/>
      <c r="O198" s="336"/>
      <c r="P198" s="337"/>
      <c r="Q198" s="338"/>
      <c r="R198" s="339"/>
      <c r="S198" s="227"/>
      <c r="T198" s="227"/>
      <c r="U198" s="227"/>
      <c r="V198" s="227"/>
      <c r="W198" s="227"/>
      <c r="X198" s="227"/>
      <c r="Y198" s="340"/>
      <c r="Z198" s="341"/>
      <c r="AA198" s="348"/>
      <c r="AB198" s="342"/>
      <c r="AC198" s="338"/>
      <c r="AD198" s="277"/>
      <c r="AF198" s="350"/>
      <c r="AG198" s="351"/>
      <c r="AH198" s="351"/>
      <c r="AI198" s="352"/>
      <c r="AJ198" s="35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c r="EG198" s="1"/>
      <c r="EH198" s="1"/>
      <c r="EI198" s="1"/>
      <c r="EJ198" s="1"/>
      <c r="EK198" s="1"/>
      <c r="EL198" s="1"/>
      <c r="EM198" s="1"/>
      <c r="EN198" s="1"/>
      <c r="EO198" s="1"/>
      <c r="EP198" s="1"/>
      <c r="EQ198" s="1"/>
      <c r="ER198" s="1"/>
      <c r="ES198" s="1"/>
      <c r="ET198" s="1"/>
      <c r="EU198" s="1"/>
      <c r="EV198" s="1"/>
      <c r="EW198" s="1"/>
      <c r="EX198" s="1"/>
      <c r="EY198" s="1"/>
      <c r="EZ198" s="1"/>
      <c r="FA198" s="1"/>
      <c r="FB198" s="1"/>
      <c r="FC198" s="1"/>
      <c r="FD198" s="1"/>
      <c r="FE198" s="1"/>
      <c r="FF198" s="1"/>
      <c r="FG198" s="1"/>
      <c r="FH198" s="1"/>
      <c r="FI198" s="1"/>
      <c r="FJ198" s="1"/>
      <c r="FK198" s="1"/>
      <c r="FL198" s="1"/>
      <c r="FM198" s="1"/>
      <c r="FN198" s="1"/>
      <c r="FO198" s="1"/>
      <c r="FP198" s="1"/>
      <c r="FQ198" s="1"/>
      <c r="FR198" s="1"/>
      <c r="FS198" s="1"/>
      <c r="FT198" s="1"/>
      <c r="FU198" s="1"/>
      <c r="FV198" s="1"/>
      <c r="FW198" s="1"/>
      <c r="FX198" s="1"/>
      <c r="FY198" s="1"/>
      <c r="FZ198" s="1"/>
      <c r="GA198" s="1"/>
      <c r="GB198" s="1"/>
      <c r="GC198" s="1"/>
      <c r="GD198" s="1"/>
      <c r="GE198" s="1"/>
      <c r="GF198" s="1"/>
      <c r="GG198" s="1"/>
      <c r="GH198" s="1"/>
      <c r="GI198" s="1"/>
      <c r="GJ198" s="1"/>
      <c r="GK198" s="1"/>
      <c r="GL198" s="1"/>
      <c r="GM198" s="1"/>
      <c r="GN198" s="1"/>
      <c r="GO198" s="1"/>
      <c r="GP198" s="1"/>
      <c r="GQ198" s="1"/>
      <c r="GR198" s="1"/>
      <c r="GS198" s="1"/>
      <c r="GT198" s="1"/>
      <c r="GU198" s="1"/>
      <c r="GV198" s="1"/>
      <c r="GW198" s="1"/>
      <c r="GX198" s="1"/>
      <c r="GY198" s="1"/>
      <c r="GZ198" s="1"/>
      <c r="HA198" s="1"/>
      <c r="HB198" s="1"/>
      <c r="HC198" s="1"/>
      <c r="HD198" s="1"/>
      <c r="HE198" s="1"/>
      <c r="HF198" s="1"/>
      <c r="HG198" s="1"/>
      <c r="HH198" s="1"/>
      <c r="HI198" s="1"/>
      <c r="HJ198" s="1"/>
      <c r="HK198" s="1"/>
      <c r="HL198" s="1"/>
    </row>
    <row r="199" spans="1:220" s="349" customFormat="1" ht="17.100000000000001" customHeight="1" x14ac:dyDescent="0.25">
      <c r="A199"/>
      <c r="B199" s="325"/>
      <c r="C199" s="329"/>
      <c r="D199" s="326"/>
      <c r="E199" s="330"/>
      <c r="F199" s="331"/>
      <c r="G199" s="223"/>
      <c r="H199" s="332"/>
      <c r="I199" s="109"/>
      <c r="J199" s="227"/>
      <c r="K199" s="156"/>
      <c r="L199" s="333"/>
      <c r="M199" s="343"/>
      <c r="N199" s="335"/>
      <c r="O199" s="336"/>
      <c r="P199" s="337"/>
      <c r="Q199" s="338"/>
      <c r="R199" s="339"/>
      <c r="S199" s="227"/>
      <c r="T199" s="227"/>
      <c r="U199" s="227"/>
      <c r="V199" s="227"/>
      <c r="W199" s="227"/>
      <c r="X199" s="227"/>
      <c r="Y199" s="340"/>
      <c r="Z199" s="341"/>
      <c r="AA199" s="348"/>
      <c r="AB199" s="342"/>
      <c r="AC199" s="338"/>
      <c r="AD199" s="277"/>
      <c r="AF199" s="350"/>
      <c r="AG199" s="351"/>
      <c r="AH199" s="351"/>
      <c r="AI199" s="352"/>
      <c r="AJ199" s="35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c r="EG199" s="1"/>
      <c r="EH199" s="1"/>
      <c r="EI199" s="1"/>
      <c r="EJ199" s="1"/>
      <c r="EK199" s="1"/>
      <c r="EL199" s="1"/>
      <c r="EM199" s="1"/>
      <c r="EN199" s="1"/>
      <c r="EO199" s="1"/>
      <c r="EP199" s="1"/>
      <c r="EQ199" s="1"/>
      <c r="ER199" s="1"/>
      <c r="ES199" s="1"/>
      <c r="ET199" s="1"/>
      <c r="EU199" s="1"/>
      <c r="EV199" s="1"/>
      <c r="EW199" s="1"/>
      <c r="EX199" s="1"/>
      <c r="EY199" s="1"/>
      <c r="EZ199" s="1"/>
      <c r="FA199" s="1"/>
      <c r="FB199" s="1"/>
      <c r="FC199" s="1"/>
      <c r="FD199" s="1"/>
      <c r="FE199" s="1"/>
      <c r="FF199" s="1"/>
      <c r="FG199" s="1"/>
      <c r="FH199" s="1"/>
      <c r="FI199" s="1"/>
      <c r="FJ199" s="1"/>
      <c r="FK199" s="1"/>
      <c r="FL199" s="1"/>
      <c r="FM199" s="1"/>
      <c r="FN199" s="1"/>
      <c r="FO199" s="1"/>
      <c r="FP199" s="1"/>
      <c r="FQ199" s="1"/>
      <c r="FR199" s="1"/>
      <c r="FS199" s="1"/>
      <c r="FT199" s="1"/>
      <c r="FU199" s="1"/>
      <c r="FV199" s="1"/>
      <c r="FW199" s="1"/>
      <c r="FX199" s="1"/>
      <c r="FY199" s="1"/>
      <c r="FZ199" s="1"/>
      <c r="GA199" s="1"/>
      <c r="GB199" s="1"/>
      <c r="GC199" s="1"/>
      <c r="GD199" s="1"/>
      <c r="GE199" s="1"/>
      <c r="GF199" s="1"/>
      <c r="GG199" s="1"/>
      <c r="GH199" s="1"/>
      <c r="GI199" s="1"/>
      <c r="GJ199" s="1"/>
      <c r="GK199" s="1"/>
      <c r="GL199" s="1"/>
      <c r="GM199" s="1"/>
      <c r="GN199" s="1"/>
      <c r="GO199" s="1"/>
      <c r="GP199" s="1"/>
      <c r="GQ199" s="1"/>
      <c r="GR199" s="1"/>
      <c r="GS199" s="1"/>
      <c r="GT199" s="1"/>
      <c r="GU199" s="1"/>
      <c r="GV199" s="1"/>
      <c r="GW199" s="1"/>
      <c r="GX199" s="1"/>
      <c r="GY199" s="1"/>
      <c r="GZ199" s="1"/>
      <c r="HA199" s="1"/>
      <c r="HB199" s="1"/>
      <c r="HC199" s="1"/>
      <c r="HD199" s="1"/>
      <c r="HE199" s="1"/>
      <c r="HF199" s="1"/>
      <c r="HG199" s="1"/>
      <c r="HH199" s="1"/>
      <c r="HI199" s="1"/>
      <c r="HJ199" s="1"/>
      <c r="HK199" s="1"/>
      <c r="HL199" s="1"/>
    </row>
    <row r="200" spans="1:220" s="349" customFormat="1" ht="17.100000000000001" customHeight="1" x14ac:dyDescent="0.25">
      <c r="A200"/>
      <c r="B200" s="325"/>
      <c r="C200" s="329"/>
      <c r="D200" s="326"/>
      <c r="E200" s="330"/>
      <c r="F200" s="331"/>
      <c r="G200" s="223"/>
      <c r="H200" s="332"/>
      <c r="I200" s="109"/>
      <c r="J200" s="227"/>
      <c r="K200" s="156"/>
      <c r="L200" s="333"/>
      <c r="M200" s="343"/>
      <c r="N200" s="335"/>
      <c r="O200" s="336"/>
      <c r="P200" s="337"/>
      <c r="Q200" s="338"/>
      <c r="R200" s="339"/>
      <c r="S200" s="227"/>
      <c r="T200" s="227"/>
      <c r="U200" s="227"/>
      <c r="V200" s="227"/>
      <c r="W200" s="227"/>
      <c r="X200" s="227"/>
      <c r="Y200" s="340"/>
      <c r="Z200" s="341"/>
      <c r="AA200" s="348"/>
      <c r="AB200" s="342"/>
      <c r="AC200" s="338"/>
      <c r="AD200" s="277"/>
      <c r="AF200" s="350"/>
      <c r="AG200" s="351"/>
      <c r="AH200" s="351"/>
      <c r="AI200" s="352"/>
      <c r="AJ200" s="35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c r="EG200" s="1"/>
      <c r="EH200" s="1"/>
      <c r="EI200" s="1"/>
      <c r="EJ200" s="1"/>
      <c r="EK200" s="1"/>
      <c r="EL200" s="1"/>
      <c r="EM200" s="1"/>
      <c r="EN200" s="1"/>
      <c r="EO200" s="1"/>
      <c r="EP200" s="1"/>
      <c r="EQ200" s="1"/>
      <c r="ER200" s="1"/>
      <c r="ES200" s="1"/>
      <c r="ET200" s="1"/>
      <c r="EU200" s="1"/>
      <c r="EV200" s="1"/>
      <c r="EW200" s="1"/>
      <c r="EX200" s="1"/>
      <c r="EY200" s="1"/>
      <c r="EZ200" s="1"/>
      <c r="FA200" s="1"/>
      <c r="FB200" s="1"/>
      <c r="FC200" s="1"/>
      <c r="FD200" s="1"/>
      <c r="FE200" s="1"/>
      <c r="FF200" s="1"/>
      <c r="FG200" s="1"/>
      <c r="FH200" s="1"/>
      <c r="FI200" s="1"/>
      <c r="FJ200" s="1"/>
      <c r="FK200" s="1"/>
      <c r="FL200" s="1"/>
      <c r="FM200" s="1"/>
      <c r="FN200" s="1"/>
      <c r="FO200" s="1"/>
      <c r="FP200" s="1"/>
      <c r="FQ200" s="1"/>
      <c r="FR200" s="1"/>
      <c r="FS200" s="1"/>
      <c r="FT200" s="1"/>
      <c r="FU200" s="1"/>
      <c r="FV200" s="1"/>
      <c r="FW200" s="1"/>
      <c r="FX200" s="1"/>
      <c r="FY200" s="1"/>
      <c r="FZ200" s="1"/>
      <c r="GA200" s="1"/>
      <c r="GB200" s="1"/>
      <c r="GC200" s="1"/>
      <c r="GD200" s="1"/>
      <c r="GE200" s="1"/>
      <c r="GF200" s="1"/>
      <c r="GG200" s="1"/>
      <c r="GH200" s="1"/>
      <c r="GI200" s="1"/>
      <c r="GJ200" s="1"/>
      <c r="GK200" s="1"/>
      <c r="GL200" s="1"/>
      <c r="GM200" s="1"/>
      <c r="GN200" s="1"/>
      <c r="GO200" s="1"/>
      <c r="GP200" s="1"/>
      <c r="GQ200" s="1"/>
      <c r="GR200" s="1"/>
      <c r="GS200" s="1"/>
      <c r="GT200" s="1"/>
      <c r="GU200" s="1"/>
      <c r="GV200" s="1"/>
      <c r="GW200" s="1"/>
      <c r="GX200" s="1"/>
      <c r="GY200" s="1"/>
      <c r="GZ200" s="1"/>
      <c r="HA200" s="1"/>
      <c r="HB200" s="1"/>
      <c r="HC200" s="1"/>
      <c r="HD200" s="1"/>
      <c r="HE200" s="1"/>
      <c r="HF200" s="1"/>
      <c r="HG200" s="1"/>
      <c r="HH200" s="1"/>
      <c r="HI200" s="1"/>
      <c r="HJ200" s="1"/>
      <c r="HK200" s="1"/>
      <c r="HL200" s="1"/>
    </row>
    <row r="201" spans="1:220" s="349" customFormat="1" ht="17.100000000000001" customHeight="1" x14ac:dyDescent="0.25">
      <c r="A201"/>
      <c r="B201" s="325"/>
      <c r="C201" s="329"/>
      <c r="D201" s="326"/>
      <c r="E201" s="330"/>
      <c r="F201" s="331"/>
      <c r="G201" s="223"/>
      <c r="H201" s="332"/>
      <c r="I201" s="109"/>
      <c r="J201" s="227"/>
      <c r="K201" s="156"/>
      <c r="L201" s="333"/>
      <c r="M201" s="343"/>
      <c r="N201" s="335"/>
      <c r="O201" s="336"/>
      <c r="P201" s="337"/>
      <c r="Q201" s="338"/>
      <c r="R201" s="339"/>
      <c r="S201" s="227"/>
      <c r="T201" s="227"/>
      <c r="U201" s="227"/>
      <c r="V201" s="227"/>
      <c r="W201" s="227"/>
      <c r="X201" s="227"/>
      <c r="Y201" s="340"/>
      <c r="Z201" s="341"/>
      <c r="AA201" s="348"/>
      <c r="AB201" s="342"/>
      <c r="AC201" s="338"/>
      <c r="AD201" s="277"/>
      <c r="AF201" s="350"/>
      <c r="AG201" s="351"/>
      <c r="AH201" s="351"/>
      <c r="AI201" s="352"/>
      <c r="AJ201" s="35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c r="EG201" s="1"/>
      <c r="EH201" s="1"/>
      <c r="EI201" s="1"/>
      <c r="EJ201" s="1"/>
      <c r="EK201" s="1"/>
      <c r="EL201" s="1"/>
      <c r="EM201" s="1"/>
      <c r="EN201" s="1"/>
      <c r="EO201" s="1"/>
      <c r="EP201" s="1"/>
      <c r="EQ201" s="1"/>
      <c r="ER201" s="1"/>
      <c r="ES201" s="1"/>
      <c r="ET201" s="1"/>
      <c r="EU201" s="1"/>
      <c r="EV201" s="1"/>
      <c r="EW201" s="1"/>
      <c r="EX201" s="1"/>
      <c r="EY201" s="1"/>
      <c r="EZ201" s="1"/>
      <c r="FA201" s="1"/>
      <c r="FB201" s="1"/>
      <c r="FC201" s="1"/>
      <c r="FD201" s="1"/>
      <c r="FE201" s="1"/>
      <c r="FF201" s="1"/>
      <c r="FG201" s="1"/>
      <c r="FH201" s="1"/>
      <c r="FI201" s="1"/>
      <c r="FJ201" s="1"/>
      <c r="FK201" s="1"/>
      <c r="FL201" s="1"/>
      <c r="FM201" s="1"/>
      <c r="FN201" s="1"/>
      <c r="FO201" s="1"/>
      <c r="FP201" s="1"/>
      <c r="FQ201" s="1"/>
      <c r="FR201" s="1"/>
      <c r="FS201" s="1"/>
      <c r="FT201" s="1"/>
      <c r="FU201" s="1"/>
      <c r="FV201" s="1"/>
      <c r="FW201" s="1"/>
      <c r="FX201" s="1"/>
      <c r="FY201" s="1"/>
      <c r="FZ201" s="1"/>
      <c r="GA201" s="1"/>
      <c r="GB201" s="1"/>
      <c r="GC201" s="1"/>
      <c r="GD201" s="1"/>
      <c r="GE201" s="1"/>
      <c r="GF201" s="1"/>
      <c r="GG201" s="1"/>
      <c r="GH201" s="1"/>
      <c r="GI201" s="1"/>
      <c r="GJ201" s="1"/>
      <c r="GK201" s="1"/>
      <c r="GL201" s="1"/>
      <c r="GM201" s="1"/>
      <c r="GN201" s="1"/>
      <c r="GO201" s="1"/>
      <c r="GP201" s="1"/>
      <c r="GQ201" s="1"/>
      <c r="GR201" s="1"/>
      <c r="GS201" s="1"/>
      <c r="GT201" s="1"/>
      <c r="GU201" s="1"/>
      <c r="GV201" s="1"/>
      <c r="GW201" s="1"/>
      <c r="GX201" s="1"/>
      <c r="GY201" s="1"/>
      <c r="GZ201" s="1"/>
      <c r="HA201" s="1"/>
      <c r="HB201" s="1"/>
      <c r="HC201" s="1"/>
      <c r="HD201" s="1"/>
      <c r="HE201" s="1"/>
      <c r="HF201" s="1"/>
      <c r="HG201" s="1"/>
      <c r="HH201" s="1"/>
      <c r="HI201" s="1"/>
      <c r="HJ201" s="1"/>
      <c r="HK201" s="1"/>
      <c r="HL201" s="1"/>
    </row>
  </sheetData>
  <mergeCells count="7">
    <mergeCell ref="B4:Y4"/>
    <mergeCell ref="AF4:AG4"/>
    <mergeCell ref="D5:Y5"/>
    <mergeCell ref="C6:E6"/>
    <mergeCell ref="L6:N6"/>
    <mergeCell ref="O6:Q6"/>
    <mergeCell ref="R6:Y6"/>
  </mergeCells>
  <conditionalFormatting sqref="C6">
    <cfRule type="cellIs" dxfId="27" priority="18" operator="equal">
      <formula>"Rush"</formula>
    </cfRule>
  </conditionalFormatting>
  <conditionalFormatting sqref="C6">
    <cfRule type="cellIs" dxfId="26" priority="17" operator="equal">
      <formula>"Rush"</formula>
    </cfRule>
  </conditionalFormatting>
  <conditionalFormatting sqref="K7">
    <cfRule type="cellIs" dxfId="25" priority="14" operator="equal">
      <formula>"reject"</formula>
    </cfRule>
    <cfRule type="cellIs" dxfId="24" priority="15" operator="equal">
      <formula>"dupe"</formula>
    </cfRule>
    <cfRule type="containsBlanks" dxfId="23" priority="16">
      <formula>LEN(TRIM(K7))=0</formula>
    </cfRule>
  </conditionalFormatting>
  <conditionalFormatting sqref="K6">
    <cfRule type="cellIs" dxfId="22" priority="11" operator="equal">
      <formula>"reject"</formula>
    </cfRule>
    <cfRule type="cellIs" dxfId="21" priority="12" operator="equal">
      <formula>"dupe"</formula>
    </cfRule>
    <cfRule type="containsBlanks" dxfId="20" priority="13">
      <formula>LEN(TRIM(K6))=0</formula>
    </cfRule>
  </conditionalFormatting>
  <conditionalFormatting sqref="B9:AD9">
    <cfRule type="cellIs" dxfId="19" priority="1" operator="equal">
      <formula>"standardized"</formula>
    </cfRule>
    <cfRule type="cellIs" dxfId="18" priority="2" operator="equal">
      <formula>"modular"</formula>
    </cfRule>
  </conditionalFormatting>
  <hyperlinks>
    <hyperlink ref="A2" r:id="rId1" xr:uid="{1DD1B09D-E90D-4B36-8EAD-CFBB5A98896B}"/>
  </hyperlinks>
  <pageMargins left="0.7" right="0.7" top="0.75" bottom="0.75" header="0.3" footer="0.3"/>
  <pageSetup orientation="portrait" r:id="rId2"/>
  <legacyDrawing r:id="rId3"/>
  <tableParts count="2">
    <tablePart r:id="rId4"/>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r:uid="{B4A2B526-122C-4D46-B0EE-56815E28A5BB}">
          <x14:formula1>
            <xm:f>'Data Validation'!$E$2:$E$4</xm:f>
          </x14:formula1>
          <xm:sqref>B66 D59:D103 D21:D57</xm:sqref>
        </x14:dataValidation>
        <x14:dataValidation type="list" allowBlank="1" showInputMessage="1" showErrorMessage="1" xr:uid="{61ADC26D-F970-46FF-B7DF-0B0613358101}">
          <x14:formula1>
            <xm:f>'Data Validation'!$C$2:$C$18</xm:f>
          </x14:formula1>
          <xm:sqref>G21:G201</xm:sqref>
        </x14:dataValidation>
        <x14:dataValidation type="list" allowBlank="1" showInputMessage="1" showErrorMessage="1" xr:uid="{D981664D-617D-4655-A2D6-AD57F4490CA1}">
          <x14:formula1>
            <xm:f>'Data Validation'!$A$2:$A$10</xm:f>
          </x14:formula1>
          <xm:sqref>J21:J201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C5659-FB42-4A9E-A631-93A7B0576981}">
  <sheetPr codeName="Sheet12">
    <tabColor theme="9" tint="0.79998168889431442"/>
  </sheetPr>
  <dimension ref="A1:N79"/>
  <sheetViews>
    <sheetView view="pageLayout" zoomScaleNormal="100" workbookViewId="0">
      <selection activeCell="N2" sqref="N2"/>
    </sheetView>
  </sheetViews>
  <sheetFormatPr defaultColWidth="9.140625" defaultRowHeight="36" x14ac:dyDescent="0.55000000000000004"/>
  <cols>
    <col min="1" max="1" width="4" bestFit="1" customWidth="1"/>
    <col min="2" max="2" width="5" style="124" customWidth="1"/>
    <col min="3" max="3" width="5" customWidth="1"/>
    <col min="4" max="4" width="10.140625" style="136" customWidth="1"/>
    <col min="5" max="5" width="2.5703125" customWidth="1"/>
    <col min="6" max="6" width="6.42578125" customWidth="1"/>
    <col min="7" max="7" width="2.5703125" customWidth="1"/>
    <col min="8" max="8" width="6.42578125" customWidth="1"/>
    <col min="9" max="9" width="3.7109375" customWidth="1"/>
    <col min="10" max="10" width="12.140625" customWidth="1"/>
    <col min="11" max="11" width="6.42578125" customWidth="1"/>
    <col min="12" max="12" width="3.7109375" customWidth="1"/>
    <col min="13" max="13" width="6.42578125" customWidth="1"/>
    <col min="14" max="14" width="26.7109375" customWidth="1"/>
  </cols>
  <sheetData>
    <row r="1" spans="1:14" ht="72" customHeight="1" x14ac:dyDescent="0.25">
      <c r="A1" s="123" t="s">
        <v>138</v>
      </c>
      <c r="B1" s="125" t="s">
        <v>139</v>
      </c>
      <c r="C1" s="125" t="s">
        <v>133</v>
      </c>
      <c r="D1" s="135"/>
      <c r="E1" s="127" t="s">
        <v>132</v>
      </c>
      <c r="F1" s="130"/>
      <c r="G1" s="128" t="s">
        <v>134</v>
      </c>
      <c r="H1" s="132" t="s">
        <v>135</v>
      </c>
      <c r="I1" s="131"/>
      <c r="J1" s="129" t="s">
        <v>136</v>
      </c>
      <c r="K1" s="134"/>
      <c r="L1" s="133" t="s">
        <v>137</v>
      </c>
      <c r="M1" s="134"/>
      <c r="N1" s="139" t="s">
        <v>140</v>
      </c>
    </row>
    <row r="2" spans="1:14" ht="72" customHeight="1" x14ac:dyDescent="0.25">
      <c r="A2" s="123" t="s">
        <v>138</v>
      </c>
      <c r="B2" s="125" t="s">
        <v>139</v>
      </c>
      <c r="C2" s="125" t="s">
        <v>133</v>
      </c>
      <c r="D2" s="135"/>
      <c r="E2" s="127" t="s">
        <v>132</v>
      </c>
      <c r="F2" s="130"/>
      <c r="G2" s="128" t="s">
        <v>134</v>
      </c>
      <c r="H2" s="132" t="s">
        <v>135</v>
      </c>
      <c r="I2" s="131"/>
      <c r="J2" s="129" t="s">
        <v>136</v>
      </c>
      <c r="K2" s="134"/>
      <c r="L2" s="133" t="s">
        <v>137</v>
      </c>
      <c r="M2" s="134"/>
      <c r="N2" s="126"/>
    </row>
    <row r="3" spans="1:14" ht="72" customHeight="1" x14ac:dyDescent="0.25">
      <c r="A3" s="123" t="s">
        <v>138</v>
      </c>
      <c r="B3" s="125" t="s">
        <v>139</v>
      </c>
      <c r="C3" s="125" t="s">
        <v>133</v>
      </c>
      <c r="D3" s="135"/>
      <c r="E3" s="127" t="s">
        <v>132</v>
      </c>
      <c r="F3" s="130"/>
      <c r="G3" s="128" t="s">
        <v>134</v>
      </c>
      <c r="H3" s="132" t="s">
        <v>135</v>
      </c>
      <c r="I3" s="131"/>
      <c r="J3" s="129" t="s">
        <v>136</v>
      </c>
      <c r="K3" s="134"/>
      <c r="L3" s="133" t="s">
        <v>137</v>
      </c>
      <c r="M3" s="134"/>
      <c r="N3" s="126"/>
    </row>
    <row r="4" spans="1:14" ht="72" customHeight="1" x14ac:dyDescent="0.25">
      <c r="A4" s="123" t="s">
        <v>138</v>
      </c>
      <c r="B4" s="125" t="s">
        <v>139</v>
      </c>
      <c r="C4" s="125" t="s">
        <v>133</v>
      </c>
      <c r="D4" s="135"/>
      <c r="E4" s="127" t="s">
        <v>132</v>
      </c>
      <c r="F4" s="130"/>
      <c r="G4" s="128" t="s">
        <v>134</v>
      </c>
      <c r="H4" s="132" t="s">
        <v>135</v>
      </c>
      <c r="I4" s="131"/>
      <c r="J4" s="129" t="s">
        <v>136</v>
      </c>
      <c r="K4" s="134"/>
      <c r="L4" s="133" t="s">
        <v>137</v>
      </c>
      <c r="M4" s="134"/>
      <c r="N4" s="126"/>
    </row>
    <row r="5" spans="1:14" ht="72" customHeight="1" x14ac:dyDescent="0.25">
      <c r="A5" s="123" t="s">
        <v>138</v>
      </c>
      <c r="B5" s="125" t="s">
        <v>139</v>
      </c>
      <c r="C5" s="125" t="s">
        <v>133</v>
      </c>
      <c r="D5" s="135"/>
      <c r="E5" s="127" t="s">
        <v>132</v>
      </c>
      <c r="F5" s="130"/>
      <c r="G5" s="128" t="s">
        <v>134</v>
      </c>
      <c r="H5" s="132" t="s">
        <v>135</v>
      </c>
      <c r="I5" s="131"/>
      <c r="J5" s="129" t="s">
        <v>136</v>
      </c>
      <c r="K5" s="134"/>
      <c r="L5" s="133" t="s">
        <v>137</v>
      </c>
      <c r="M5" s="134"/>
      <c r="N5" s="126"/>
    </row>
    <row r="6" spans="1:14" ht="72" customHeight="1" x14ac:dyDescent="0.25">
      <c r="A6" s="123" t="s">
        <v>138</v>
      </c>
      <c r="B6" s="125" t="s">
        <v>139</v>
      </c>
      <c r="C6" s="125" t="s">
        <v>133</v>
      </c>
      <c r="D6" s="135"/>
      <c r="E6" s="127" t="s">
        <v>132</v>
      </c>
      <c r="F6" s="130"/>
      <c r="G6" s="128" t="s">
        <v>134</v>
      </c>
      <c r="H6" s="132" t="s">
        <v>135</v>
      </c>
      <c r="I6" s="131"/>
      <c r="J6" s="129" t="s">
        <v>136</v>
      </c>
      <c r="K6" s="134"/>
      <c r="L6" s="133" t="s">
        <v>137</v>
      </c>
      <c r="M6" s="134"/>
      <c r="N6" s="126"/>
    </row>
    <row r="7" spans="1:14" ht="72" customHeight="1" x14ac:dyDescent="0.25">
      <c r="A7" s="123" t="s">
        <v>138</v>
      </c>
      <c r="B7" s="125" t="s">
        <v>139</v>
      </c>
      <c r="C7" s="125" t="s">
        <v>133</v>
      </c>
      <c r="D7" s="135"/>
      <c r="E7" s="127" t="s">
        <v>132</v>
      </c>
      <c r="F7" s="130"/>
      <c r="G7" s="128" t="s">
        <v>134</v>
      </c>
      <c r="H7" s="132" t="s">
        <v>135</v>
      </c>
      <c r="I7" s="131"/>
      <c r="J7" s="129" t="s">
        <v>136</v>
      </c>
      <c r="K7" s="134"/>
      <c r="L7" s="133" t="s">
        <v>137</v>
      </c>
      <c r="M7" s="134"/>
      <c r="N7" s="126"/>
    </row>
    <row r="8" spans="1:14" ht="72" customHeight="1" x14ac:dyDescent="0.25">
      <c r="A8" s="123" t="s">
        <v>138</v>
      </c>
      <c r="B8" s="125" t="s">
        <v>139</v>
      </c>
      <c r="C8" s="125" t="s">
        <v>133</v>
      </c>
      <c r="D8" s="135"/>
      <c r="E8" s="127" t="s">
        <v>132</v>
      </c>
      <c r="F8" s="130"/>
      <c r="G8" s="128" t="s">
        <v>134</v>
      </c>
      <c r="H8" s="132" t="s">
        <v>135</v>
      </c>
      <c r="I8" s="131"/>
      <c r="J8" s="129" t="s">
        <v>136</v>
      </c>
      <c r="K8" s="134"/>
      <c r="L8" s="133" t="s">
        <v>137</v>
      </c>
      <c r="M8" s="134"/>
      <c r="N8" s="126"/>
    </row>
    <row r="9" spans="1:14" ht="72" customHeight="1" x14ac:dyDescent="0.25">
      <c r="A9" s="123" t="s">
        <v>138</v>
      </c>
      <c r="B9" s="125" t="s">
        <v>139</v>
      </c>
      <c r="C9" s="125" t="s">
        <v>133</v>
      </c>
      <c r="D9" s="135"/>
      <c r="E9" s="127" t="s">
        <v>132</v>
      </c>
      <c r="F9" s="130"/>
      <c r="G9" s="128" t="s">
        <v>134</v>
      </c>
      <c r="H9" s="132" t="s">
        <v>135</v>
      </c>
      <c r="I9" s="131"/>
      <c r="J9" s="129" t="s">
        <v>136</v>
      </c>
      <c r="K9" s="134"/>
      <c r="L9" s="133" t="s">
        <v>137</v>
      </c>
      <c r="M9" s="134"/>
      <c r="N9" s="126"/>
    </row>
    <row r="10" spans="1:14" ht="72" customHeight="1" x14ac:dyDescent="0.25">
      <c r="A10" s="123" t="s">
        <v>138</v>
      </c>
      <c r="B10" s="125" t="s">
        <v>139</v>
      </c>
      <c r="C10" s="125" t="s">
        <v>133</v>
      </c>
      <c r="D10" s="135"/>
      <c r="E10" s="127" t="s">
        <v>132</v>
      </c>
      <c r="F10" s="130"/>
      <c r="G10" s="128" t="s">
        <v>134</v>
      </c>
      <c r="H10" s="132" t="s">
        <v>135</v>
      </c>
      <c r="I10" s="131"/>
      <c r="J10" s="129" t="s">
        <v>136</v>
      </c>
      <c r="K10" s="134"/>
      <c r="L10" s="133" t="s">
        <v>137</v>
      </c>
      <c r="M10" s="134"/>
      <c r="N10" s="126"/>
    </row>
    <row r="11" spans="1:14" ht="72" customHeight="1" x14ac:dyDescent="0.25">
      <c r="A11" s="123" t="s">
        <v>138</v>
      </c>
      <c r="B11" s="125" t="s">
        <v>139</v>
      </c>
      <c r="C11" s="125" t="s">
        <v>133</v>
      </c>
      <c r="D11" s="135"/>
      <c r="E11" s="127" t="s">
        <v>132</v>
      </c>
      <c r="F11" s="130"/>
      <c r="G11" s="128" t="s">
        <v>134</v>
      </c>
      <c r="H11" s="132" t="s">
        <v>135</v>
      </c>
      <c r="I11" s="131"/>
      <c r="J11" s="129" t="s">
        <v>136</v>
      </c>
      <c r="K11" s="134"/>
      <c r="L11" s="133" t="s">
        <v>137</v>
      </c>
      <c r="M11" s="134"/>
      <c r="N11" s="126"/>
    </row>
    <row r="12" spans="1:14" ht="72" customHeight="1" x14ac:dyDescent="0.25">
      <c r="A12" s="123" t="s">
        <v>138</v>
      </c>
      <c r="B12" s="125" t="s">
        <v>139</v>
      </c>
      <c r="C12" s="125" t="s">
        <v>133</v>
      </c>
      <c r="D12" s="135"/>
      <c r="E12" s="127" t="s">
        <v>132</v>
      </c>
      <c r="F12" s="130"/>
      <c r="G12" s="128" t="s">
        <v>134</v>
      </c>
      <c r="H12" s="132" t="s">
        <v>135</v>
      </c>
      <c r="I12" s="131"/>
      <c r="J12" s="129" t="s">
        <v>136</v>
      </c>
      <c r="K12" s="134"/>
      <c r="L12" s="133" t="s">
        <v>137</v>
      </c>
      <c r="M12" s="134"/>
      <c r="N12" s="126"/>
    </row>
    <row r="13" spans="1:14" ht="72" customHeight="1" x14ac:dyDescent="0.25">
      <c r="A13" s="123" t="s">
        <v>138</v>
      </c>
      <c r="B13" s="125" t="s">
        <v>139</v>
      </c>
      <c r="C13" s="125" t="s">
        <v>133</v>
      </c>
      <c r="D13" s="135"/>
      <c r="E13" s="127" t="s">
        <v>132</v>
      </c>
      <c r="F13" s="130"/>
      <c r="G13" s="128" t="s">
        <v>134</v>
      </c>
      <c r="H13" s="132" t="s">
        <v>135</v>
      </c>
      <c r="I13" s="131"/>
      <c r="J13" s="129" t="s">
        <v>136</v>
      </c>
      <c r="K13" s="134"/>
      <c r="L13" s="133" t="s">
        <v>137</v>
      </c>
      <c r="M13" s="134"/>
      <c r="N13" s="126"/>
    </row>
    <row r="14" spans="1:14" ht="72" customHeight="1" x14ac:dyDescent="0.25">
      <c r="A14" s="123" t="s">
        <v>138</v>
      </c>
      <c r="B14" s="125" t="s">
        <v>139</v>
      </c>
      <c r="C14" s="125" t="s">
        <v>133</v>
      </c>
      <c r="D14" s="135"/>
      <c r="E14" s="127" t="s">
        <v>132</v>
      </c>
      <c r="F14" s="130"/>
      <c r="G14" s="128" t="s">
        <v>134</v>
      </c>
      <c r="H14" s="132" t="s">
        <v>135</v>
      </c>
      <c r="I14" s="131"/>
      <c r="J14" s="129" t="s">
        <v>136</v>
      </c>
      <c r="K14" s="134"/>
      <c r="L14" s="133" t="s">
        <v>137</v>
      </c>
      <c r="M14" s="134"/>
      <c r="N14" s="126"/>
    </row>
    <row r="15" spans="1:14" ht="72" customHeight="1" x14ac:dyDescent="0.25">
      <c r="A15" s="123" t="s">
        <v>138</v>
      </c>
      <c r="B15" s="125" t="s">
        <v>139</v>
      </c>
      <c r="C15" s="125" t="s">
        <v>133</v>
      </c>
      <c r="D15" s="135"/>
      <c r="E15" s="127" t="s">
        <v>132</v>
      </c>
      <c r="F15" s="130"/>
      <c r="G15" s="128" t="s">
        <v>134</v>
      </c>
      <c r="H15" s="132" t="s">
        <v>135</v>
      </c>
      <c r="I15" s="131"/>
      <c r="J15" s="129" t="s">
        <v>136</v>
      </c>
      <c r="K15" s="134"/>
      <c r="L15" s="133" t="s">
        <v>137</v>
      </c>
      <c r="M15" s="134"/>
      <c r="N15" s="126"/>
    </row>
    <row r="16" spans="1:14" ht="72" customHeight="1" x14ac:dyDescent="0.25">
      <c r="A16" s="123" t="s">
        <v>138</v>
      </c>
      <c r="B16" s="125" t="s">
        <v>139</v>
      </c>
      <c r="C16" s="125" t="s">
        <v>133</v>
      </c>
      <c r="D16" s="135"/>
      <c r="E16" s="127" t="s">
        <v>132</v>
      </c>
      <c r="F16" s="130"/>
      <c r="G16" s="128" t="s">
        <v>134</v>
      </c>
      <c r="H16" s="132" t="s">
        <v>135</v>
      </c>
      <c r="I16" s="131"/>
      <c r="J16" s="129" t="s">
        <v>136</v>
      </c>
      <c r="K16" s="134"/>
      <c r="L16" s="133" t="s">
        <v>137</v>
      </c>
      <c r="M16" s="134"/>
      <c r="N16" s="126"/>
    </row>
    <row r="17" spans="1:14" ht="72" customHeight="1" x14ac:dyDescent="0.25">
      <c r="A17" s="123" t="s">
        <v>138</v>
      </c>
      <c r="B17" s="125" t="s">
        <v>139</v>
      </c>
      <c r="C17" s="125" t="s">
        <v>133</v>
      </c>
      <c r="D17" s="135"/>
      <c r="E17" s="127" t="s">
        <v>132</v>
      </c>
      <c r="F17" s="130"/>
      <c r="G17" s="128" t="s">
        <v>134</v>
      </c>
      <c r="H17" s="132" t="s">
        <v>135</v>
      </c>
      <c r="I17" s="131"/>
      <c r="J17" s="129" t="s">
        <v>136</v>
      </c>
      <c r="K17" s="134"/>
      <c r="L17" s="133" t="s">
        <v>137</v>
      </c>
      <c r="M17" s="134"/>
      <c r="N17" s="126"/>
    </row>
    <row r="18" spans="1:14" ht="72" customHeight="1" x14ac:dyDescent="0.25">
      <c r="A18" s="123" t="s">
        <v>138</v>
      </c>
      <c r="B18" s="125" t="s">
        <v>139</v>
      </c>
      <c r="C18" s="125" t="s">
        <v>133</v>
      </c>
      <c r="D18" s="135"/>
      <c r="E18" s="127" t="s">
        <v>132</v>
      </c>
      <c r="F18" s="130"/>
      <c r="G18" s="128" t="s">
        <v>134</v>
      </c>
      <c r="H18" s="132" t="s">
        <v>135</v>
      </c>
      <c r="I18" s="131"/>
      <c r="J18" s="129" t="s">
        <v>136</v>
      </c>
      <c r="K18" s="134"/>
      <c r="L18" s="133" t="s">
        <v>137</v>
      </c>
      <c r="M18" s="134"/>
      <c r="N18" s="126"/>
    </row>
    <row r="19" spans="1:14" ht="72" customHeight="1" x14ac:dyDescent="0.25">
      <c r="A19" s="123" t="s">
        <v>138</v>
      </c>
      <c r="B19" s="125" t="s">
        <v>139</v>
      </c>
      <c r="C19" s="125" t="s">
        <v>133</v>
      </c>
      <c r="D19" s="135"/>
      <c r="E19" s="127" t="s">
        <v>132</v>
      </c>
      <c r="F19" s="130"/>
      <c r="G19" s="128" t="s">
        <v>134</v>
      </c>
      <c r="H19" s="132" t="s">
        <v>135</v>
      </c>
      <c r="I19" s="131"/>
      <c r="J19" s="129" t="s">
        <v>136</v>
      </c>
      <c r="K19" s="134"/>
      <c r="L19" s="133" t="s">
        <v>137</v>
      </c>
      <c r="M19" s="134"/>
      <c r="N19" s="126"/>
    </row>
    <row r="20" spans="1:14" ht="72" customHeight="1" x14ac:dyDescent="0.25">
      <c r="A20" s="123" t="s">
        <v>138</v>
      </c>
      <c r="B20" s="125" t="s">
        <v>139</v>
      </c>
      <c r="C20" s="125" t="s">
        <v>133</v>
      </c>
      <c r="D20" s="135"/>
      <c r="E20" s="127" t="s">
        <v>132</v>
      </c>
      <c r="F20" s="130"/>
      <c r="G20" s="128" t="s">
        <v>134</v>
      </c>
      <c r="H20" s="132" t="s">
        <v>135</v>
      </c>
      <c r="I20" s="131"/>
      <c r="J20" s="129" t="s">
        <v>136</v>
      </c>
      <c r="K20" s="134"/>
      <c r="L20" s="133" t="s">
        <v>137</v>
      </c>
      <c r="M20" s="134"/>
      <c r="N20" s="126"/>
    </row>
    <row r="21" spans="1:14" ht="72" customHeight="1" x14ac:dyDescent="0.25">
      <c r="A21" s="123" t="s">
        <v>138</v>
      </c>
      <c r="B21" s="125" t="s">
        <v>139</v>
      </c>
      <c r="C21" s="125" t="s">
        <v>133</v>
      </c>
      <c r="D21" s="135"/>
      <c r="E21" s="127" t="s">
        <v>132</v>
      </c>
      <c r="F21" s="130"/>
      <c r="G21" s="128" t="s">
        <v>134</v>
      </c>
      <c r="H21" s="132" t="s">
        <v>135</v>
      </c>
      <c r="I21" s="131"/>
      <c r="J21" s="129" t="s">
        <v>136</v>
      </c>
      <c r="K21" s="134"/>
      <c r="L21" s="133" t="s">
        <v>137</v>
      </c>
      <c r="M21" s="134"/>
      <c r="N21" s="126"/>
    </row>
    <row r="22" spans="1:14" ht="72" customHeight="1" x14ac:dyDescent="0.25">
      <c r="A22" s="123" t="s">
        <v>138</v>
      </c>
      <c r="B22" s="125" t="s">
        <v>139</v>
      </c>
      <c r="C22" s="125" t="s">
        <v>133</v>
      </c>
      <c r="D22" s="135"/>
      <c r="E22" s="127" t="s">
        <v>132</v>
      </c>
      <c r="F22" s="130"/>
      <c r="G22" s="128" t="s">
        <v>134</v>
      </c>
      <c r="H22" s="132" t="s">
        <v>135</v>
      </c>
      <c r="I22" s="131"/>
      <c r="J22" s="129" t="s">
        <v>136</v>
      </c>
      <c r="K22" s="134"/>
      <c r="L22" s="133" t="s">
        <v>137</v>
      </c>
      <c r="M22" s="134"/>
      <c r="N22" s="126"/>
    </row>
    <row r="23" spans="1:14" ht="72" customHeight="1" x14ac:dyDescent="0.25">
      <c r="A23" s="123" t="s">
        <v>138</v>
      </c>
      <c r="B23" s="125" t="s">
        <v>139</v>
      </c>
      <c r="C23" s="125" t="s">
        <v>133</v>
      </c>
      <c r="D23" s="135"/>
      <c r="E23" s="127" t="s">
        <v>132</v>
      </c>
      <c r="F23" s="130"/>
      <c r="G23" s="128" t="s">
        <v>134</v>
      </c>
      <c r="H23" s="132" t="s">
        <v>135</v>
      </c>
      <c r="I23" s="131"/>
      <c r="J23" s="129" t="s">
        <v>136</v>
      </c>
      <c r="K23" s="134"/>
      <c r="L23" s="133" t="s">
        <v>137</v>
      </c>
      <c r="M23" s="134"/>
      <c r="N23" s="126"/>
    </row>
    <row r="24" spans="1:14" ht="72" customHeight="1" x14ac:dyDescent="0.25">
      <c r="A24" s="123" t="s">
        <v>138</v>
      </c>
      <c r="B24" s="125" t="s">
        <v>139</v>
      </c>
      <c r="C24" s="125" t="s">
        <v>133</v>
      </c>
      <c r="D24" s="135"/>
      <c r="E24" s="127" t="s">
        <v>132</v>
      </c>
      <c r="F24" s="130"/>
      <c r="G24" s="128" t="s">
        <v>134</v>
      </c>
      <c r="H24" s="132" t="s">
        <v>135</v>
      </c>
      <c r="I24" s="131"/>
      <c r="J24" s="129" t="s">
        <v>136</v>
      </c>
      <c r="K24" s="134"/>
      <c r="L24" s="133" t="s">
        <v>137</v>
      </c>
      <c r="M24" s="134"/>
      <c r="N24" s="126"/>
    </row>
    <row r="25" spans="1:14" ht="72" customHeight="1" x14ac:dyDescent="0.25">
      <c r="A25" s="123" t="s">
        <v>138</v>
      </c>
      <c r="B25" s="125" t="s">
        <v>139</v>
      </c>
      <c r="C25" s="125" t="s">
        <v>133</v>
      </c>
      <c r="D25" s="135"/>
      <c r="E25" s="127" t="s">
        <v>132</v>
      </c>
      <c r="F25" s="130"/>
      <c r="G25" s="128" t="s">
        <v>134</v>
      </c>
      <c r="H25" s="132" t="s">
        <v>135</v>
      </c>
      <c r="I25" s="131"/>
      <c r="J25" s="129" t="s">
        <v>136</v>
      </c>
      <c r="K25" s="134"/>
      <c r="L25" s="133" t="s">
        <v>137</v>
      </c>
      <c r="M25" s="134"/>
      <c r="N25" s="126"/>
    </row>
    <row r="26" spans="1:14" ht="72" customHeight="1" x14ac:dyDescent="0.25">
      <c r="A26" s="123" t="s">
        <v>138</v>
      </c>
      <c r="B26" s="125" t="s">
        <v>139</v>
      </c>
      <c r="C26" s="125" t="s">
        <v>133</v>
      </c>
      <c r="D26" s="135"/>
      <c r="E26" s="127" t="s">
        <v>132</v>
      </c>
      <c r="F26" s="130"/>
      <c r="G26" s="128" t="s">
        <v>134</v>
      </c>
      <c r="H26" s="132" t="s">
        <v>135</v>
      </c>
      <c r="I26" s="131"/>
      <c r="J26" s="129" t="s">
        <v>136</v>
      </c>
      <c r="K26" s="134"/>
      <c r="L26" s="133" t="s">
        <v>137</v>
      </c>
      <c r="M26" s="134"/>
      <c r="N26" s="126"/>
    </row>
    <row r="27" spans="1:14" ht="72" customHeight="1" x14ac:dyDescent="0.25">
      <c r="A27" s="123" t="s">
        <v>138</v>
      </c>
      <c r="B27" s="125" t="s">
        <v>139</v>
      </c>
      <c r="C27" s="125" t="s">
        <v>133</v>
      </c>
      <c r="D27" s="135"/>
      <c r="E27" s="127" t="s">
        <v>132</v>
      </c>
      <c r="F27" s="130"/>
      <c r="G27" s="128" t="s">
        <v>134</v>
      </c>
      <c r="H27" s="132" t="s">
        <v>135</v>
      </c>
      <c r="I27" s="131"/>
      <c r="J27" s="129" t="s">
        <v>136</v>
      </c>
      <c r="K27" s="134"/>
      <c r="L27" s="133" t="s">
        <v>137</v>
      </c>
      <c r="M27" s="134"/>
      <c r="N27" s="126"/>
    </row>
    <row r="28" spans="1:14" ht="72" customHeight="1" x14ac:dyDescent="0.25">
      <c r="A28" s="123" t="s">
        <v>138</v>
      </c>
      <c r="B28" s="125" t="s">
        <v>139</v>
      </c>
      <c r="C28" s="125" t="s">
        <v>133</v>
      </c>
      <c r="D28" s="135"/>
      <c r="E28" s="127" t="s">
        <v>132</v>
      </c>
      <c r="F28" s="130"/>
      <c r="G28" s="128" t="s">
        <v>134</v>
      </c>
      <c r="H28" s="132" t="s">
        <v>135</v>
      </c>
      <c r="I28" s="131"/>
      <c r="J28" s="129" t="s">
        <v>136</v>
      </c>
      <c r="K28" s="134"/>
      <c r="L28" s="133" t="s">
        <v>137</v>
      </c>
      <c r="M28" s="134"/>
      <c r="N28" s="126"/>
    </row>
    <row r="29" spans="1:14" ht="72" customHeight="1" x14ac:dyDescent="0.25">
      <c r="A29" s="123" t="s">
        <v>138</v>
      </c>
      <c r="B29" s="125" t="s">
        <v>139</v>
      </c>
      <c r="C29" s="125" t="s">
        <v>133</v>
      </c>
      <c r="D29" s="135"/>
      <c r="E29" s="127" t="s">
        <v>132</v>
      </c>
      <c r="F29" s="130"/>
      <c r="G29" s="128" t="s">
        <v>134</v>
      </c>
      <c r="H29" s="132" t="s">
        <v>135</v>
      </c>
      <c r="I29" s="131"/>
      <c r="J29" s="129" t="s">
        <v>136</v>
      </c>
      <c r="K29" s="134"/>
      <c r="L29" s="133" t="s">
        <v>137</v>
      </c>
      <c r="M29" s="134"/>
      <c r="N29" s="126"/>
    </row>
    <row r="30" spans="1:14" ht="72" customHeight="1" x14ac:dyDescent="0.25">
      <c r="A30" s="123" t="s">
        <v>138</v>
      </c>
      <c r="B30" s="125" t="s">
        <v>139</v>
      </c>
      <c r="C30" s="125" t="s">
        <v>133</v>
      </c>
      <c r="D30" s="135"/>
      <c r="E30" s="127" t="s">
        <v>132</v>
      </c>
      <c r="F30" s="130"/>
      <c r="G30" s="128" t="s">
        <v>134</v>
      </c>
      <c r="H30" s="132" t="s">
        <v>135</v>
      </c>
      <c r="I30" s="131"/>
      <c r="J30" s="129" t="s">
        <v>136</v>
      </c>
      <c r="K30" s="134"/>
      <c r="L30" s="133" t="s">
        <v>137</v>
      </c>
      <c r="M30" s="134"/>
      <c r="N30" s="126"/>
    </row>
    <row r="31" spans="1:14" ht="72" customHeight="1" x14ac:dyDescent="0.25">
      <c r="A31" s="123" t="s">
        <v>138</v>
      </c>
      <c r="B31" s="125" t="s">
        <v>139</v>
      </c>
      <c r="C31" s="125" t="s">
        <v>133</v>
      </c>
      <c r="D31" s="135"/>
      <c r="E31" s="127" t="s">
        <v>132</v>
      </c>
      <c r="F31" s="130"/>
      <c r="G31" s="128" t="s">
        <v>134</v>
      </c>
      <c r="H31" s="132" t="s">
        <v>135</v>
      </c>
      <c r="I31" s="131"/>
      <c r="J31" s="129" t="s">
        <v>136</v>
      </c>
      <c r="K31" s="134"/>
      <c r="L31" s="133" t="s">
        <v>137</v>
      </c>
      <c r="M31" s="134"/>
      <c r="N31" s="126"/>
    </row>
    <row r="32" spans="1:14" ht="72" customHeight="1" x14ac:dyDescent="0.25">
      <c r="A32" s="123" t="s">
        <v>138</v>
      </c>
      <c r="B32" s="125" t="s">
        <v>139</v>
      </c>
      <c r="C32" s="125" t="s">
        <v>133</v>
      </c>
      <c r="D32" s="135"/>
      <c r="E32" s="127" t="s">
        <v>132</v>
      </c>
      <c r="F32" s="130"/>
      <c r="G32" s="128" t="s">
        <v>134</v>
      </c>
      <c r="H32" s="132" t="s">
        <v>135</v>
      </c>
      <c r="I32" s="131"/>
      <c r="J32" s="129" t="s">
        <v>136</v>
      </c>
      <c r="K32" s="134"/>
      <c r="L32" s="133" t="s">
        <v>137</v>
      </c>
      <c r="M32" s="134"/>
      <c r="N32" s="126"/>
    </row>
    <row r="33" spans="1:14" ht="72" customHeight="1" x14ac:dyDescent="0.25">
      <c r="A33" s="123" t="s">
        <v>138</v>
      </c>
      <c r="B33" s="125" t="s">
        <v>139</v>
      </c>
      <c r="C33" s="125" t="s">
        <v>133</v>
      </c>
      <c r="D33" s="135"/>
      <c r="E33" s="127" t="s">
        <v>132</v>
      </c>
      <c r="F33" s="130"/>
      <c r="G33" s="128" t="s">
        <v>134</v>
      </c>
      <c r="H33" s="132" t="s">
        <v>135</v>
      </c>
      <c r="I33" s="131"/>
      <c r="J33" s="129" t="s">
        <v>136</v>
      </c>
      <c r="K33" s="134"/>
      <c r="L33" s="133" t="s">
        <v>137</v>
      </c>
      <c r="M33" s="134"/>
      <c r="N33" s="126"/>
    </row>
    <row r="34" spans="1:14" ht="72" customHeight="1" x14ac:dyDescent="0.25">
      <c r="A34" s="123" t="s">
        <v>138</v>
      </c>
      <c r="B34" s="125" t="s">
        <v>139</v>
      </c>
      <c r="C34" s="125" t="s">
        <v>133</v>
      </c>
      <c r="D34" s="135"/>
      <c r="E34" s="127" t="s">
        <v>132</v>
      </c>
      <c r="F34" s="130"/>
      <c r="G34" s="128" t="s">
        <v>134</v>
      </c>
      <c r="H34" s="132" t="s">
        <v>135</v>
      </c>
      <c r="I34" s="131"/>
      <c r="J34" s="129" t="s">
        <v>136</v>
      </c>
      <c r="K34" s="134"/>
      <c r="L34" s="133" t="s">
        <v>137</v>
      </c>
      <c r="M34" s="134"/>
      <c r="N34" s="126"/>
    </row>
    <row r="35" spans="1:14" ht="72" customHeight="1" x14ac:dyDescent="0.25">
      <c r="A35" s="123" t="s">
        <v>138</v>
      </c>
      <c r="B35" s="125" t="s">
        <v>139</v>
      </c>
      <c r="C35" s="125" t="s">
        <v>133</v>
      </c>
      <c r="D35" s="135"/>
      <c r="E35" s="127" t="s">
        <v>132</v>
      </c>
      <c r="F35" s="130"/>
      <c r="G35" s="128" t="s">
        <v>134</v>
      </c>
      <c r="H35" s="132" t="s">
        <v>135</v>
      </c>
      <c r="I35" s="131"/>
      <c r="J35" s="129" t="s">
        <v>136</v>
      </c>
      <c r="K35" s="134"/>
      <c r="L35" s="133" t="s">
        <v>137</v>
      </c>
      <c r="M35" s="134"/>
      <c r="N35" s="126"/>
    </row>
    <row r="36" spans="1:14" ht="72" customHeight="1" x14ac:dyDescent="0.25">
      <c r="A36" s="123" t="s">
        <v>138</v>
      </c>
      <c r="B36" s="125" t="s">
        <v>139</v>
      </c>
      <c r="C36" s="125" t="s">
        <v>133</v>
      </c>
      <c r="D36" s="135"/>
      <c r="E36" s="127" t="s">
        <v>132</v>
      </c>
      <c r="F36" s="130"/>
      <c r="G36" s="128" t="s">
        <v>134</v>
      </c>
      <c r="H36" s="132" t="s">
        <v>135</v>
      </c>
      <c r="I36" s="131"/>
      <c r="J36" s="129" t="s">
        <v>136</v>
      </c>
      <c r="K36" s="134"/>
      <c r="L36" s="133" t="s">
        <v>137</v>
      </c>
      <c r="M36" s="134"/>
      <c r="N36" s="126"/>
    </row>
    <row r="37" spans="1:14" ht="72" customHeight="1" x14ac:dyDescent="0.25">
      <c r="A37" s="123" t="s">
        <v>138</v>
      </c>
      <c r="B37" s="125" t="s">
        <v>139</v>
      </c>
      <c r="C37" s="125" t="s">
        <v>133</v>
      </c>
      <c r="D37" s="135"/>
      <c r="E37" s="127" t="s">
        <v>132</v>
      </c>
      <c r="F37" s="130"/>
      <c r="G37" s="128" t="s">
        <v>134</v>
      </c>
      <c r="H37" s="132" t="s">
        <v>135</v>
      </c>
      <c r="I37" s="131"/>
      <c r="J37" s="129" t="s">
        <v>136</v>
      </c>
      <c r="K37" s="134"/>
      <c r="L37" s="133" t="s">
        <v>137</v>
      </c>
      <c r="M37" s="134"/>
      <c r="N37" s="126"/>
    </row>
    <row r="38" spans="1:14" ht="72" customHeight="1" x14ac:dyDescent="0.25">
      <c r="A38" s="123" t="s">
        <v>138</v>
      </c>
      <c r="B38" s="125" t="s">
        <v>139</v>
      </c>
      <c r="C38" s="125" t="s">
        <v>133</v>
      </c>
      <c r="D38" s="135"/>
      <c r="E38" s="127" t="s">
        <v>132</v>
      </c>
      <c r="F38" s="130"/>
      <c r="G38" s="128" t="s">
        <v>134</v>
      </c>
      <c r="H38" s="132" t="s">
        <v>135</v>
      </c>
      <c r="I38" s="131"/>
      <c r="J38" s="129" t="s">
        <v>136</v>
      </c>
      <c r="K38" s="137" t="s">
        <v>102</v>
      </c>
      <c r="L38" s="133" t="s">
        <v>137</v>
      </c>
      <c r="M38" s="134" t="s">
        <v>101</v>
      </c>
      <c r="N38" s="126"/>
    </row>
    <row r="39" spans="1:14" ht="72" customHeight="1" x14ac:dyDescent="0.25">
      <c r="A39" s="123" t="s">
        <v>138</v>
      </c>
      <c r="B39" s="125" t="s">
        <v>139</v>
      </c>
      <c r="C39" s="125" t="s">
        <v>133</v>
      </c>
      <c r="D39" s="135"/>
      <c r="E39" s="127" t="s">
        <v>132</v>
      </c>
      <c r="F39" s="130"/>
      <c r="G39" s="128" t="s">
        <v>134</v>
      </c>
      <c r="H39" s="132" t="s">
        <v>135</v>
      </c>
      <c r="I39" s="131"/>
      <c r="J39" s="129" t="s">
        <v>136</v>
      </c>
      <c r="K39" s="137" t="s">
        <v>103</v>
      </c>
      <c r="L39" s="133" t="s">
        <v>137</v>
      </c>
      <c r="M39" s="134" t="s">
        <v>101</v>
      </c>
      <c r="N39" s="126"/>
    </row>
    <row r="40" spans="1:14" ht="72" customHeight="1" x14ac:dyDescent="0.25">
      <c r="A40" s="123" t="s">
        <v>138</v>
      </c>
      <c r="B40" s="125" t="s">
        <v>139</v>
      </c>
      <c r="C40" s="125" t="s">
        <v>133</v>
      </c>
      <c r="D40" s="135"/>
      <c r="E40" s="127" t="s">
        <v>132</v>
      </c>
      <c r="F40" s="130"/>
      <c r="G40" s="128" t="s">
        <v>134</v>
      </c>
      <c r="H40" s="132" t="s">
        <v>135</v>
      </c>
      <c r="I40" s="131"/>
      <c r="J40" s="129" t="s">
        <v>136</v>
      </c>
      <c r="K40" s="137" t="s">
        <v>104</v>
      </c>
      <c r="L40" s="133" t="s">
        <v>137</v>
      </c>
      <c r="M40" s="134" t="s">
        <v>101</v>
      </c>
      <c r="N40" s="126"/>
    </row>
    <row r="41" spans="1:14" ht="72" customHeight="1" x14ac:dyDescent="0.25">
      <c r="A41" s="123" t="s">
        <v>138</v>
      </c>
      <c r="B41" s="125" t="s">
        <v>139</v>
      </c>
      <c r="C41" s="125" t="s">
        <v>133</v>
      </c>
      <c r="D41" s="135"/>
      <c r="E41" s="127" t="s">
        <v>132</v>
      </c>
      <c r="F41" s="130"/>
      <c r="G41" s="128" t="s">
        <v>134</v>
      </c>
      <c r="H41" s="132" t="s">
        <v>135</v>
      </c>
      <c r="I41" s="131"/>
      <c r="J41" s="129" t="s">
        <v>136</v>
      </c>
      <c r="K41" s="137" t="s">
        <v>105</v>
      </c>
      <c r="L41" s="133" t="s">
        <v>137</v>
      </c>
      <c r="M41" s="134" t="s">
        <v>101</v>
      </c>
      <c r="N41" s="126"/>
    </row>
    <row r="42" spans="1:14" ht="72" customHeight="1" x14ac:dyDescent="0.25">
      <c r="A42" s="123" t="s">
        <v>138</v>
      </c>
      <c r="B42" s="125" t="s">
        <v>139</v>
      </c>
      <c r="C42" s="125" t="s">
        <v>133</v>
      </c>
      <c r="D42" s="135"/>
      <c r="E42" s="127" t="s">
        <v>132</v>
      </c>
      <c r="F42" s="130"/>
      <c r="G42" s="128" t="s">
        <v>134</v>
      </c>
      <c r="H42" s="132" t="s">
        <v>135</v>
      </c>
      <c r="I42" s="131"/>
      <c r="J42" s="129" t="s">
        <v>136</v>
      </c>
      <c r="K42" s="137" t="s">
        <v>106</v>
      </c>
      <c r="L42" s="133" t="s">
        <v>137</v>
      </c>
      <c r="M42" s="134" t="s">
        <v>101</v>
      </c>
      <c r="N42" s="126"/>
    </row>
    <row r="43" spans="1:14" ht="72" customHeight="1" x14ac:dyDescent="0.25">
      <c r="A43" s="123" t="s">
        <v>138</v>
      </c>
      <c r="B43" s="125" t="s">
        <v>139</v>
      </c>
      <c r="C43" s="125" t="s">
        <v>133</v>
      </c>
      <c r="D43" s="135"/>
      <c r="E43" s="127" t="s">
        <v>132</v>
      </c>
      <c r="F43" s="130"/>
      <c r="G43" s="128" t="s">
        <v>134</v>
      </c>
      <c r="H43" s="132" t="s">
        <v>135</v>
      </c>
      <c r="I43" s="131"/>
      <c r="J43" s="129" t="s">
        <v>136</v>
      </c>
      <c r="K43" s="137" t="s">
        <v>107</v>
      </c>
      <c r="L43" s="133" t="s">
        <v>137</v>
      </c>
      <c r="M43" s="134" t="s">
        <v>101</v>
      </c>
      <c r="N43" s="126"/>
    </row>
    <row r="44" spans="1:14" ht="72" customHeight="1" x14ac:dyDescent="0.25">
      <c r="A44" s="123" t="s">
        <v>138</v>
      </c>
      <c r="B44" s="125" t="s">
        <v>139</v>
      </c>
      <c r="C44" s="125" t="s">
        <v>133</v>
      </c>
      <c r="D44" s="135"/>
      <c r="E44" s="127" t="s">
        <v>132</v>
      </c>
      <c r="F44" s="130"/>
      <c r="G44" s="128" t="s">
        <v>134</v>
      </c>
      <c r="H44" s="132" t="s">
        <v>135</v>
      </c>
      <c r="I44" s="131"/>
      <c r="J44" s="129" t="s">
        <v>136</v>
      </c>
      <c r="K44" s="137" t="s">
        <v>108</v>
      </c>
      <c r="L44" s="133" t="s">
        <v>137</v>
      </c>
      <c r="M44" s="134" t="s">
        <v>101</v>
      </c>
      <c r="N44" s="126"/>
    </row>
    <row r="45" spans="1:14" ht="72" customHeight="1" x14ac:dyDescent="0.25">
      <c r="A45" s="123" t="s">
        <v>138</v>
      </c>
      <c r="B45" s="125" t="s">
        <v>139</v>
      </c>
      <c r="C45" s="125" t="s">
        <v>133</v>
      </c>
      <c r="D45" s="135"/>
      <c r="E45" s="127" t="s">
        <v>132</v>
      </c>
      <c r="F45" s="130"/>
      <c r="G45" s="128" t="s">
        <v>134</v>
      </c>
      <c r="H45" s="132" t="s">
        <v>135</v>
      </c>
      <c r="I45" s="131"/>
      <c r="J45" s="129" t="s">
        <v>136</v>
      </c>
      <c r="K45" s="137" t="s">
        <v>109</v>
      </c>
      <c r="L45" s="133" t="s">
        <v>137</v>
      </c>
      <c r="M45" s="134" t="s">
        <v>101</v>
      </c>
      <c r="N45" s="126"/>
    </row>
    <row r="46" spans="1:14" ht="72" customHeight="1" x14ac:dyDescent="0.25">
      <c r="A46" s="123" t="s">
        <v>138</v>
      </c>
      <c r="B46" s="125" t="s">
        <v>139</v>
      </c>
      <c r="C46" s="125" t="s">
        <v>133</v>
      </c>
      <c r="D46" s="135"/>
      <c r="E46" s="127" t="s">
        <v>132</v>
      </c>
      <c r="F46" s="130"/>
      <c r="G46" s="128" t="s">
        <v>134</v>
      </c>
      <c r="H46" s="132" t="s">
        <v>135</v>
      </c>
      <c r="I46" s="131"/>
      <c r="J46" s="129" t="s">
        <v>136</v>
      </c>
      <c r="K46" s="137" t="s">
        <v>110</v>
      </c>
      <c r="L46" s="133" t="s">
        <v>137</v>
      </c>
      <c r="M46" s="134" t="s">
        <v>101</v>
      </c>
      <c r="N46" s="126"/>
    </row>
    <row r="47" spans="1:14" ht="72" customHeight="1" x14ac:dyDescent="0.25">
      <c r="A47" s="123" t="s">
        <v>138</v>
      </c>
      <c r="B47" s="125" t="s">
        <v>139</v>
      </c>
      <c r="C47" s="125" t="s">
        <v>133</v>
      </c>
      <c r="D47" s="135"/>
      <c r="E47" s="127" t="s">
        <v>132</v>
      </c>
      <c r="F47" s="130"/>
      <c r="G47" s="128" t="s">
        <v>134</v>
      </c>
      <c r="H47" s="132" t="s">
        <v>135</v>
      </c>
      <c r="I47" s="131"/>
      <c r="J47" s="129" t="s">
        <v>136</v>
      </c>
      <c r="K47" s="137" t="s">
        <v>111</v>
      </c>
      <c r="L47" s="133" t="s">
        <v>137</v>
      </c>
      <c r="M47" s="134" t="s">
        <v>101</v>
      </c>
      <c r="N47" s="126"/>
    </row>
    <row r="48" spans="1:14" ht="72" customHeight="1" x14ac:dyDescent="0.25">
      <c r="A48" s="123" t="s">
        <v>138</v>
      </c>
      <c r="B48" s="125" t="s">
        <v>139</v>
      </c>
      <c r="C48" s="125" t="s">
        <v>133</v>
      </c>
      <c r="D48" s="135"/>
      <c r="E48" s="127" t="s">
        <v>132</v>
      </c>
      <c r="F48" s="130"/>
      <c r="G48" s="128" t="s">
        <v>134</v>
      </c>
      <c r="H48" s="132" t="s">
        <v>135</v>
      </c>
      <c r="I48" s="131"/>
      <c r="J48" s="129" t="s">
        <v>136</v>
      </c>
      <c r="K48" s="137" t="s">
        <v>112</v>
      </c>
      <c r="L48" s="133" t="s">
        <v>137</v>
      </c>
      <c r="M48" s="134" t="s">
        <v>101</v>
      </c>
      <c r="N48" s="126"/>
    </row>
    <row r="49" spans="1:14" ht="72" customHeight="1" x14ac:dyDescent="0.25">
      <c r="A49" s="123" t="s">
        <v>138</v>
      </c>
      <c r="B49" s="125" t="s">
        <v>139</v>
      </c>
      <c r="C49" s="125" t="s">
        <v>133</v>
      </c>
      <c r="D49" s="135"/>
      <c r="E49" s="127" t="s">
        <v>132</v>
      </c>
      <c r="F49" s="130"/>
      <c r="G49" s="128" t="s">
        <v>134</v>
      </c>
      <c r="H49" s="132" t="s">
        <v>135</v>
      </c>
      <c r="I49" s="131"/>
      <c r="J49" s="129" t="s">
        <v>136</v>
      </c>
      <c r="K49" s="137" t="s">
        <v>113</v>
      </c>
      <c r="L49" s="133" t="s">
        <v>137</v>
      </c>
      <c r="M49" s="134" t="s">
        <v>101</v>
      </c>
      <c r="N49" s="126"/>
    </row>
    <row r="50" spans="1:14" ht="72" customHeight="1" x14ac:dyDescent="0.25">
      <c r="A50" s="123" t="s">
        <v>138</v>
      </c>
      <c r="B50" s="125" t="s">
        <v>139</v>
      </c>
      <c r="C50" s="125" t="s">
        <v>133</v>
      </c>
      <c r="D50" s="135"/>
      <c r="E50" s="127" t="s">
        <v>132</v>
      </c>
      <c r="F50" s="130"/>
      <c r="G50" s="128" t="s">
        <v>134</v>
      </c>
      <c r="H50" s="132" t="s">
        <v>135</v>
      </c>
      <c r="I50" s="131"/>
      <c r="J50" s="129" t="s">
        <v>136</v>
      </c>
      <c r="K50" s="137" t="s">
        <v>114</v>
      </c>
      <c r="L50" s="133" t="s">
        <v>137</v>
      </c>
      <c r="M50" s="134" t="s">
        <v>101</v>
      </c>
      <c r="N50" s="126"/>
    </row>
    <row r="51" spans="1:14" ht="72" customHeight="1" x14ac:dyDescent="0.25">
      <c r="A51" s="123" t="s">
        <v>138</v>
      </c>
      <c r="B51" s="125" t="s">
        <v>139</v>
      </c>
      <c r="C51" s="125" t="s">
        <v>133</v>
      </c>
      <c r="D51" s="135"/>
      <c r="E51" s="127" t="s">
        <v>132</v>
      </c>
      <c r="F51" s="130"/>
      <c r="G51" s="128" t="s">
        <v>134</v>
      </c>
      <c r="H51" s="132" t="s">
        <v>135</v>
      </c>
      <c r="I51" s="131"/>
      <c r="J51" s="129" t="s">
        <v>136</v>
      </c>
      <c r="K51" s="137" t="s">
        <v>115</v>
      </c>
      <c r="L51" s="133" t="s">
        <v>137</v>
      </c>
      <c r="M51" s="134" t="s">
        <v>101</v>
      </c>
      <c r="N51" s="126"/>
    </row>
    <row r="52" spans="1:14" ht="72" customHeight="1" x14ac:dyDescent="0.25">
      <c r="A52" s="123" t="s">
        <v>138</v>
      </c>
      <c r="B52" s="125" t="s">
        <v>139</v>
      </c>
      <c r="C52" s="125" t="s">
        <v>133</v>
      </c>
      <c r="D52" s="135"/>
      <c r="E52" s="127" t="s">
        <v>132</v>
      </c>
      <c r="F52" s="130"/>
      <c r="G52" s="128" t="s">
        <v>134</v>
      </c>
      <c r="H52" s="132" t="s">
        <v>135</v>
      </c>
      <c r="I52" s="131"/>
      <c r="J52" s="129" t="s">
        <v>136</v>
      </c>
      <c r="K52" s="137" t="s">
        <v>116</v>
      </c>
      <c r="L52" s="133" t="s">
        <v>137</v>
      </c>
      <c r="M52" s="134" t="s">
        <v>101</v>
      </c>
      <c r="N52" s="126"/>
    </row>
    <row r="53" spans="1:14" ht="72" customHeight="1" x14ac:dyDescent="0.25">
      <c r="A53" s="123" t="s">
        <v>138</v>
      </c>
      <c r="B53" s="125" t="s">
        <v>139</v>
      </c>
      <c r="C53" s="125" t="s">
        <v>133</v>
      </c>
      <c r="D53" s="135"/>
      <c r="E53" s="127" t="s">
        <v>132</v>
      </c>
      <c r="F53" s="130"/>
      <c r="G53" s="128" t="s">
        <v>134</v>
      </c>
      <c r="H53" s="132" t="s">
        <v>135</v>
      </c>
      <c r="I53" s="131"/>
      <c r="J53" s="129" t="s">
        <v>136</v>
      </c>
      <c r="K53" s="137" t="s">
        <v>117</v>
      </c>
      <c r="L53" s="133" t="s">
        <v>137</v>
      </c>
      <c r="M53" s="134" t="s">
        <v>101</v>
      </c>
      <c r="N53" s="126"/>
    </row>
    <row r="54" spans="1:14" ht="72" customHeight="1" x14ac:dyDescent="0.25">
      <c r="A54" s="123" t="s">
        <v>138</v>
      </c>
      <c r="B54" s="125" t="s">
        <v>139</v>
      </c>
      <c r="C54" s="125" t="s">
        <v>133</v>
      </c>
      <c r="D54" s="135"/>
      <c r="E54" s="127" t="s">
        <v>132</v>
      </c>
      <c r="F54" s="130"/>
      <c r="G54" s="128" t="s">
        <v>134</v>
      </c>
      <c r="H54" s="132" t="s">
        <v>135</v>
      </c>
      <c r="I54" s="131"/>
      <c r="J54" s="129" t="s">
        <v>136</v>
      </c>
      <c r="K54" s="137" t="s">
        <v>118</v>
      </c>
      <c r="L54" s="133" t="s">
        <v>137</v>
      </c>
      <c r="M54" s="134" t="s">
        <v>101</v>
      </c>
      <c r="N54" s="126"/>
    </row>
    <row r="55" spans="1:14" ht="72" customHeight="1" x14ac:dyDescent="0.25">
      <c r="A55" s="123" t="s">
        <v>138</v>
      </c>
      <c r="B55" s="125" t="s">
        <v>139</v>
      </c>
      <c r="C55" s="125" t="s">
        <v>133</v>
      </c>
      <c r="D55" s="135"/>
      <c r="E55" s="127" t="s">
        <v>132</v>
      </c>
      <c r="F55" s="130"/>
      <c r="G55" s="128" t="s">
        <v>134</v>
      </c>
      <c r="H55" s="132" t="s">
        <v>135</v>
      </c>
      <c r="I55" s="131"/>
      <c r="J55" s="129" t="s">
        <v>136</v>
      </c>
      <c r="K55" s="137" t="s">
        <v>119</v>
      </c>
      <c r="L55" s="133" t="s">
        <v>137</v>
      </c>
      <c r="M55" s="134" t="s">
        <v>101</v>
      </c>
      <c r="N55" s="126"/>
    </row>
    <row r="56" spans="1:14" ht="72" customHeight="1" x14ac:dyDescent="0.25">
      <c r="A56" s="123" t="s">
        <v>138</v>
      </c>
      <c r="B56" s="125" t="s">
        <v>139</v>
      </c>
      <c r="C56" s="125" t="s">
        <v>133</v>
      </c>
      <c r="D56" s="135"/>
      <c r="E56" s="127" t="s">
        <v>132</v>
      </c>
      <c r="F56" s="130"/>
      <c r="G56" s="128" t="s">
        <v>134</v>
      </c>
      <c r="H56" s="132" t="s">
        <v>135</v>
      </c>
      <c r="I56" s="131"/>
      <c r="J56" s="129" t="s">
        <v>136</v>
      </c>
      <c r="K56" s="137" t="s">
        <v>120</v>
      </c>
      <c r="L56" s="133" t="s">
        <v>137</v>
      </c>
      <c r="M56" s="134" t="s">
        <v>101</v>
      </c>
      <c r="N56" s="126"/>
    </row>
    <row r="57" spans="1:14" ht="72" customHeight="1" x14ac:dyDescent="0.25">
      <c r="A57" s="123" t="s">
        <v>138</v>
      </c>
      <c r="B57" s="125" t="s">
        <v>139</v>
      </c>
      <c r="C57" s="125" t="s">
        <v>133</v>
      </c>
      <c r="D57" s="135"/>
      <c r="E57" s="127" t="s">
        <v>132</v>
      </c>
      <c r="F57" s="130"/>
      <c r="G57" s="128" t="s">
        <v>134</v>
      </c>
      <c r="H57" s="132" t="s">
        <v>135</v>
      </c>
      <c r="I57" s="131"/>
      <c r="J57" s="129" t="s">
        <v>136</v>
      </c>
      <c r="K57" s="137" t="s">
        <v>121</v>
      </c>
      <c r="L57" s="133" t="s">
        <v>137</v>
      </c>
      <c r="M57" s="134" t="s">
        <v>101</v>
      </c>
      <c r="N57" s="126"/>
    </row>
    <row r="58" spans="1:14" ht="72" customHeight="1" x14ac:dyDescent="0.25">
      <c r="A58" s="123" t="s">
        <v>138</v>
      </c>
      <c r="B58" s="125" t="s">
        <v>139</v>
      </c>
      <c r="C58" s="125" t="s">
        <v>133</v>
      </c>
      <c r="D58" s="135"/>
      <c r="E58" s="127" t="s">
        <v>132</v>
      </c>
      <c r="F58" s="130"/>
      <c r="G58" s="128" t="s">
        <v>134</v>
      </c>
      <c r="H58" s="132" t="s">
        <v>135</v>
      </c>
      <c r="I58" s="131"/>
      <c r="J58" s="129" t="s">
        <v>136</v>
      </c>
      <c r="K58" s="137" t="s">
        <v>122</v>
      </c>
      <c r="L58" s="133" t="s">
        <v>137</v>
      </c>
      <c r="M58" s="134" t="s">
        <v>101</v>
      </c>
      <c r="N58" s="126"/>
    </row>
    <row r="59" spans="1:14" ht="72" customHeight="1" x14ac:dyDescent="0.25">
      <c r="A59" s="123" t="s">
        <v>138</v>
      </c>
      <c r="B59" s="125" t="s">
        <v>139</v>
      </c>
      <c r="C59" s="125" t="s">
        <v>133</v>
      </c>
      <c r="D59" s="135"/>
      <c r="E59" s="127" t="s">
        <v>132</v>
      </c>
      <c r="F59" s="130"/>
      <c r="G59" s="128" t="s">
        <v>134</v>
      </c>
      <c r="H59" s="132" t="s">
        <v>135</v>
      </c>
      <c r="I59" s="131"/>
      <c r="J59" s="129" t="s">
        <v>136</v>
      </c>
      <c r="K59" s="137" t="s">
        <v>123</v>
      </c>
      <c r="L59" s="133" t="s">
        <v>137</v>
      </c>
      <c r="M59" s="134" t="s">
        <v>101</v>
      </c>
      <c r="N59" s="126"/>
    </row>
    <row r="60" spans="1:14" ht="72" customHeight="1" x14ac:dyDescent="0.25">
      <c r="A60" s="123" t="s">
        <v>138</v>
      </c>
      <c r="B60" s="125" t="s">
        <v>139</v>
      </c>
      <c r="C60" s="125" t="s">
        <v>133</v>
      </c>
      <c r="D60" s="135"/>
      <c r="E60" s="127" t="s">
        <v>132</v>
      </c>
      <c r="F60" s="130"/>
      <c r="G60" s="128" t="s">
        <v>134</v>
      </c>
      <c r="H60" s="132" t="s">
        <v>135</v>
      </c>
      <c r="I60" s="131"/>
      <c r="J60" s="129" t="s">
        <v>136</v>
      </c>
      <c r="K60" s="137" t="s">
        <v>124</v>
      </c>
      <c r="L60" s="133" t="s">
        <v>137</v>
      </c>
      <c r="M60" s="134" t="s">
        <v>101</v>
      </c>
      <c r="N60" s="126"/>
    </row>
    <row r="61" spans="1:14" ht="72" customHeight="1" x14ac:dyDescent="0.25">
      <c r="A61" s="123" t="s">
        <v>138</v>
      </c>
      <c r="B61" s="125" t="s">
        <v>139</v>
      </c>
      <c r="C61" s="125" t="s">
        <v>133</v>
      </c>
      <c r="D61" s="135"/>
      <c r="E61" s="127" t="s">
        <v>132</v>
      </c>
      <c r="F61" s="130"/>
      <c r="G61" s="128" t="s">
        <v>134</v>
      </c>
      <c r="H61" s="132" t="s">
        <v>135</v>
      </c>
      <c r="I61" s="131"/>
      <c r="J61" s="129" t="s">
        <v>136</v>
      </c>
      <c r="K61" s="137" t="s">
        <v>125</v>
      </c>
      <c r="L61" s="133" t="s">
        <v>137</v>
      </c>
      <c r="M61" s="134" t="s">
        <v>101</v>
      </c>
      <c r="N61" s="126"/>
    </row>
    <row r="62" spans="1:14" ht="72" customHeight="1" x14ac:dyDescent="0.25">
      <c r="A62" s="123" t="s">
        <v>138</v>
      </c>
      <c r="B62" s="125" t="s">
        <v>139</v>
      </c>
      <c r="C62" s="125" t="s">
        <v>133</v>
      </c>
      <c r="D62" s="135"/>
      <c r="E62" s="127" t="s">
        <v>132</v>
      </c>
      <c r="F62" s="130"/>
      <c r="G62" s="128" t="s">
        <v>134</v>
      </c>
      <c r="H62" s="132" t="s">
        <v>135</v>
      </c>
      <c r="I62" s="131"/>
      <c r="J62" s="129" t="s">
        <v>136</v>
      </c>
      <c r="K62" s="137" t="s">
        <v>126</v>
      </c>
      <c r="L62" s="133" t="s">
        <v>137</v>
      </c>
      <c r="M62" s="134" t="s">
        <v>101</v>
      </c>
      <c r="N62" s="126"/>
    </row>
    <row r="63" spans="1:14" ht="72" customHeight="1" x14ac:dyDescent="0.25">
      <c r="A63" s="123" t="s">
        <v>138</v>
      </c>
      <c r="B63" s="125" t="s">
        <v>139</v>
      </c>
      <c r="C63" s="125" t="s">
        <v>133</v>
      </c>
      <c r="D63" s="135"/>
      <c r="E63" s="127" t="s">
        <v>132</v>
      </c>
      <c r="F63" s="130"/>
      <c r="G63" s="128" t="s">
        <v>134</v>
      </c>
      <c r="H63" s="132" t="s">
        <v>135</v>
      </c>
      <c r="I63" s="131"/>
      <c r="J63" s="129" t="s">
        <v>136</v>
      </c>
      <c r="K63" s="137" t="s">
        <v>127</v>
      </c>
      <c r="L63" s="133" t="s">
        <v>137</v>
      </c>
      <c r="M63" s="134" t="s">
        <v>101</v>
      </c>
      <c r="N63" s="126"/>
    </row>
    <row r="64" spans="1:14" ht="72" customHeight="1" x14ac:dyDescent="0.25">
      <c r="A64" s="123" t="s">
        <v>138</v>
      </c>
      <c r="B64" s="125" t="s">
        <v>139</v>
      </c>
      <c r="C64" s="125" t="s">
        <v>133</v>
      </c>
      <c r="D64" s="135"/>
      <c r="E64" s="127" t="s">
        <v>132</v>
      </c>
      <c r="F64" s="130"/>
      <c r="G64" s="128" t="s">
        <v>134</v>
      </c>
      <c r="H64" s="132" t="s">
        <v>135</v>
      </c>
      <c r="I64" s="131"/>
      <c r="J64" s="129" t="s">
        <v>136</v>
      </c>
      <c r="K64" s="134" t="s">
        <v>128</v>
      </c>
      <c r="L64" s="133" t="s">
        <v>137</v>
      </c>
      <c r="M64" s="134" t="s">
        <v>101</v>
      </c>
      <c r="N64" s="126"/>
    </row>
    <row r="65" spans="1:14" ht="72" customHeight="1" x14ac:dyDescent="0.25">
      <c r="A65" s="123" t="s">
        <v>138</v>
      </c>
      <c r="B65" s="125" t="s">
        <v>139</v>
      </c>
      <c r="C65" s="125" t="s">
        <v>133</v>
      </c>
      <c r="D65" s="135"/>
      <c r="E65" s="127" t="s">
        <v>132</v>
      </c>
      <c r="F65" s="130"/>
      <c r="G65" s="128" t="s">
        <v>134</v>
      </c>
      <c r="H65" s="132" t="s">
        <v>135</v>
      </c>
      <c r="I65" s="131"/>
      <c r="J65" s="129" t="s">
        <v>136</v>
      </c>
      <c r="K65" s="134"/>
      <c r="L65" s="133" t="s">
        <v>137</v>
      </c>
      <c r="M65" s="134"/>
      <c r="N65" s="126"/>
    </row>
    <row r="66" spans="1:14" ht="72" customHeight="1" x14ac:dyDescent="0.25">
      <c r="A66" s="123" t="s">
        <v>138</v>
      </c>
      <c r="B66" s="125" t="s">
        <v>139</v>
      </c>
      <c r="C66" s="125" t="s">
        <v>133</v>
      </c>
      <c r="D66" s="135"/>
      <c r="E66" s="127" t="s">
        <v>132</v>
      </c>
      <c r="F66" s="130"/>
      <c r="G66" s="128" t="s">
        <v>134</v>
      </c>
      <c r="H66" s="132" t="s">
        <v>135</v>
      </c>
      <c r="I66" s="131"/>
      <c r="J66" s="129" t="s">
        <v>136</v>
      </c>
      <c r="K66" s="134"/>
      <c r="L66" s="133" t="s">
        <v>137</v>
      </c>
      <c r="M66" s="134"/>
      <c r="N66" s="126"/>
    </row>
    <row r="67" spans="1:14" ht="72" customHeight="1" x14ac:dyDescent="0.25">
      <c r="A67" s="123" t="s">
        <v>138</v>
      </c>
      <c r="B67" s="125" t="s">
        <v>139</v>
      </c>
      <c r="C67" s="125" t="s">
        <v>133</v>
      </c>
      <c r="D67" s="135"/>
      <c r="E67" s="127" t="s">
        <v>132</v>
      </c>
      <c r="F67" s="130"/>
      <c r="G67" s="128" t="s">
        <v>134</v>
      </c>
      <c r="H67" s="132" t="s">
        <v>135</v>
      </c>
      <c r="I67" s="131"/>
      <c r="J67" s="129" t="s">
        <v>136</v>
      </c>
      <c r="K67" s="134"/>
      <c r="L67" s="133" t="s">
        <v>137</v>
      </c>
      <c r="M67" s="134"/>
      <c r="N67" s="126"/>
    </row>
    <row r="68" spans="1:14" ht="72" customHeight="1" x14ac:dyDescent="0.25">
      <c r="A68" s="123" t="s">
        <v>138</v>
      </c>
      <c r="B68" s="125" t="s">
        <v>139</v>
      </c>
      <c r="C68" s="125" t="s">
        <v>133</v>
      </c>
      <c r="D68" s="135"/>
      <c r="E68" s="127" t="s">
        <v>132</v>
      </c>
      <c r="F68" s="130"/>
      <c r="G68" s="128" t="s">
        <v>134</v>
      </c>
      <c r="H68" s="132" t="s">
        <v>135</v>
      </c>
      <c r="I68" s="131"/>
      <c r="J68" s="129" t="s">
        <v>136</v>
      </c>
      <c r="K68" s="134"/>
      <c r="L68" s="133" t="s">
        <v>137</v>
      </c>
      <c r="M68" s="134"/>
      <c r="N68" s="126"/>
    </row>
    <row r="69" spans="1:14" ht="72" customHeight="1" x14ac:dyDescent="0.25">
      <c r="A69" s="123" t="s">
        <v>138</v>
      </c>
      <c r="B69" s="125" t="s">
        <v>139</v>
      </c>
      <c r="C69" s="125" t="s">
        <v>133</v>
      </c>
      <c r="D69" s="135"/>
      <c r="E69" s="127" t="s">
        <v>132</v>
      </c>
      <c r="F69" s="130"/>
      <c r="G69" s="128" t="s">
        <v>134</v>
      </c>
      <c r="H69" s="132" t="s">
        <v>135</v>
      </c>
      <c r="I69" s="131"/>
      <c r="J69" s="129" t="s">
        <v>136</v>
      </c>
      <c r="K69" s="134"/>
      <c r="L69" s="133" t="s">
        <v>137</v>
      </c>
      <c r="M69" s="134"/>
      <c r="N69" s="126"/>
    </row>
    <row r="70" spans="1:14" ht="72" customHeight="1" x14ac:dyDescent="0.25">
      <c r="A70" s="123" t="s">
        <v>138</v>
      </c>
      <c r="B70" s="125" t="s">
        <v>139</v>
      </c>
      <c r="C70" s="125" t="s">
        <v>133</v>
      </c>
      <c r="D70" s="135"/>
      <c r="E70" s="127" t="s">
        <v>132</v>
      </c>
      <c r="F70" s="130"/>
      <c r="G70" s="128" t="s">
        <v>134</v>
      </c>
      <c r="H70" s="132" t="s">
        <v>135</v>
      </c>
      <c r="I70" s="131"/>
      <c r="J70" s="129" t="s">
        <v>136</v>
      </c>
      <c r="K70" s="134" t="s">
        <v>100</v>
      </c>
      <c r="L70" s="133" t="s">
        <v>137</v>
      </c>
      <c r="M70" s="134">
        <v>2</v>
      </c>
      <c r="N70" s="126"/>
    </row>
    <row r="71" spans="1:14" ht="72" customHeight="1" x14ac:dyDescent="0.25">
      <c r="A71" s="123" t="s">
        <v>138</v>
      </c>
      <c r="B71" s="125" t="s">
        <v>139</v>
      </c>
      <c r="C71" s="125" t="s">
        <v>133</v>
      </c>
      <c r="D71" s="135"/>
      <c r="E71" s="127" t="s">
        <v>132</v>
      </c>
      <c r="F71" s="130"/>
      <c r="G71" s="128" t="s">
        <v>134</v>
      </c>
      <c r="H71" s="132" t="s">
        <v>135</v>
      </c>
      <c r="I71" s="131"/>
      <c r="J71" s="129" t="s">
        <v>136</v>
      </c>
      <c r="K71" s="134" t="s">
        <v>99</v>
      </c>
      <c r="L71" s="133" t="s">
        <v>137</v>
      </c>
      <c r="M71" s="134">
        <v>2</v>
      </c>
      <c r="N71" s="126"/>
    </row>
    <row r="72" spans="1:14" ht="72" customHeight="1" x14ac:dyDescent="0.25">
      <c r="A72" s="123" t="s">
        <v>138</v>
      </c>
      <c r="B72" s="125" t="s">
        <v>139</v>
      </c>
      <c r="C72" s="125" t="s">
        <v>133</v>
      </c>
      <c r="D72" s="135"/>
      <c r="E72" s="127" t="s">
        <v>132</v>
      </c>
      <c r="F72" s="130"/>
      <c r="G72" s="128" t="s">
        <v>134</v>
      </c>
      <c r="H72" s="132" t="s">
        <v>135</v>
      </c>
      <c r="I72" s="131"/>
      <c r="J72" s="129" t="s">
        <v>136</v>
      </c>
      <c r="K72" s="134"/>
      <c r="L72" s="133" t="s">
        <v>137</v>
      </c>
      <c r="M72" s="134"/>
      <c r="N72" s="126"/>
    </row>
    <row r="73" spans="1:14" ht="72" customHeight="1" x14ac:dyDescent="0.25">
      <c r="A73" s="123" t="s">
        <v>138</v>
      </c>
      <c r="B73" s="125" t="s">
        <v>139</v>
      </c>
      <c r="C73" s="125" t="s">
        <v>133</v>
      </c>
      <c r="D73" s="135"/>
      <c r="E73" s="127" t="s">
        <v>132</v>
      </c>
      <c r="F73" s="130"/>
      <c r="G73" s="128" t="s">
        <v>134</v>
      </c>
      <c r="H73" s="132" t="s">
        <v>135</v>
      </c>
      <c r="I73" s="131"/>
      <c r="J73" s="129" t="s">
        <v>136</v>
      </c>
      <c r="K73" s="134"/>
      <c r="L73" s="133" t="s">
        <v>137</v>
      </c>
      <c r="M73" s="134"/>
      <c r="N73" s="126"/>
    </row>
    <row r="74" spans="1:14" ht="72" customHeight="1" x14ac:dyDescent="0.25">
      <c r="A74" s="123" t="s">
        <v>138</v>
      </c>
      <c r="B74" s="125" t="s">
        <v>139</v>
      </c>
      <c r="C74" s="125" t="s">
        <v>133</v>
      </c>
      <c r="D74" s="135"/>
      <c r="E74" s="127" t="s">
        <v>132</v>
      </c>
      <c r="F74" s="130"/>
      <c r="G74" s="128" t="s">
        <v>134</v>
      </c>
      <c r="H74" s="132" t="s">
        <v>135</v>
      </c>
      <c r="I74" s="131"/>
      <c r="J74" s="129" t="s">
        <v>136</v>
      </c>
      <c r="K74" s="134"/>
      <c r="L74" s="133" t="s">
        <v>137</v>
      </c>
      <c r="M74" s="134"/>
      <c r="N74" s="126"/>
    </row>
    <row r="75" spans="1:14" ht="72" customHeight="1" x14ac:dyDescent="0.25">
      <c r="A75" s="123" t="s">
        <v>138</v>
      </c>
      <c r="B75" s="125" t="s">
        <v>139</v>
      </c>
      <c r="C75" s="125" t="s">
        <v>133</v>
      </c>
      <c r="D75" s="135"/>
      <c r="E75" s="127" t="s">
        <v>132</v>
      </c>
      <c r="F75" s="130"/>
      <c r="G75" s="128" t="s">
        <v>134</v>
      </c>
      <c r="H75" s="132" t="s">
        <v>135</v>
      </c>
      <c r="I75" s="131"/>
      <c r="J75" s="129" t="s">
        <v>136</v>
      </c>
      <c r="K75" s="134"/>
      <c r="L75" s="133" t="s">
        <v>137</v>
      </c>
      <c r="M75" s="134"/>
      <c r="N75" s="126"/>
    </row>
    <row r="76" spans="1:14" ht="72" customHeight="1" x14ac:dyDescent="0.25">
      <c r="A76" s="123" t="s">
        <v>138</v>
      </c>
      <c r="B76" s="125" t="s">
        <v>139</v>
      </c>
      <c r="C76" s="125" t="s">
        <v>133</v>
      </c>
      <c r="D76" s="135"/>
      <c r="E76" s="127" t="s">
        <v>132</v>
      </c>
      <c r="F76" s="130"/>
      <c r="G76" s="128" t="s">
        <v>134</v>
      </c>
      <c r="H76" s="132" t="s">
        <v>135</v>
      </c>
      <c r="I76" s="131"/>
      <c r="J76" s="129" t="s">
        <v>136</v>
      </c>
      <c r="K76" s="134"/>
      <c r="L76" s="133" t="s">
        <v>137</v>
      </c>
      <c r="M76" s="134"/>
      <c r="N76" s="126"/>
    </row>
    <row r="77" spans="1:14" ht="72" customHeight="1" x14ac:dyDescent="0.25">
      <c r="A77" s="123" t="s">
        <v>138</v>
      </c>
      <c r="B77" s="125" t="s">
        <v>139</v>
      </c>
      <c r="C77" s="125" t="s">
        <v>133</v>
      </c>
      <c r="D77" s="135"/>
      <c r="E77" s="127" t="s">
        <v>132</v>
      </c>
      <c r="F77" s="130"/>
      <c r="G77" s="128" t="s">
        <v>134</v>
      </c>
      <c r="H77" s="132" t="s">
        <v>135</v>
      </c>
      <c r="I77" s="131"/>
      <c r="J77" s="129" t="s">
        <v>136</v>
      </c>
      <c r="K77" s="134"/>
      <c r="L77" s="133" t="s">
        <v>137</v>
      </c>
      <c r="M77" s="134"/>
      <c r="N77" s="126"/>
    </row>
    <row r="78" spans="1:14" ht="72" customHeight="1" x14ac:dyDescent="0.25">
      <c r="A78" s="123" t="s">
        <v>138</v>
      </c>
      <c r="B78" s="125" t="s">
        <v>139</v>
      </c>
      <c r="C78" s="125" t="s">
        <v>133</v>
      </c>
      <c r="D78" s="135"/>
      <c r="E78" s="127" t="s">
        <v>132</v>
      </c>
      <c r="F78" s="130"/>
      <c r="G78" s="128" t="s">
        <v>134</v>
      </c>
      <c r="H78" s="132" t="s">
        <v>135</v>
      </c>
      <c r="I78" s="131"/>
      <c r="J78" s="129" t="s">
        <v>136</v>
      </c>
      <c r="K78" s="134"/>
      <c r="L78" s="133" t="s">
        <v>137</v>
      </c>
      <c r="M78" s="134"/>
      <c r="N78" s="126"/>
    </row>
    <row r="79" spans="1:14" ht="72" customHeight="1" x14ac:dyDescent="0.25">
      <c r="A79" s="123" t="s">
        <v>138</v>
      </c>
      <c r="B79" s="125" t="s">
        <v>139</v>
      </c>
      <c r="C79" s="125" t="s">
        <v>133</v>
      </c>
      <c r="D79" s="135"/>
      <c r="E79" s="127" t="s">
        <v>132</v>
      </c>
      <c r="F79" s="130"/>
      <c r="G79" s="128" t="s">
        <v>134</v>
      </c>
      <c r="H79" s="132" t="s">
        <v>135</v>
      </c>
      <c r="I79" s="131"/>
      <c r="J79" s="129" t="s">
        <v>136</v>
      </c>
      <c r="K79" s="134"/>
      <c r="L79" s="133" t="s">
        <v>137</v>
      </c>
      <c r="M79" s="134"/>
      <c r="N79" s="126"/>
    </row>
  </sheetData>
  <pageMargins left="0.25" right="0.25"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FB18A-42E6-40C9-B2CD-84CE4653C83D}">
  <sheetPr codeName="Sheet2">
    <tabColor theme="4"/>
  </sheetPr>
  <dimension ref="A1:E7"/>
  <sheetViews>
    <sheetView workbookViewId="0">
      <selection activeCell="B1" sqref="B1"/>
    </sheetView>
  </sheetViews>
  <sheetFormatPr defaultRowHeight="15" x14ac:dyDescent="0.25"/>
  <cols>
    <col min="1" max="1" width="16.7109375" bestFit="1" customWidth="1"/>
    <col min="2" max="3" width="7.7109375" customWidth="1"/>
    <col min="4" max="4" width="5.7109375" customWidth="1"/>
  </cols>
  <sheetData>
    <row r="1" spans="1:5" ht="20.100000000000001" customHeight="1" x14ac:dyDescent="0.25">
      <c r="A1" s="52" t="s">
        <v>14</v>
      </c>
      <c r="B1" s="6" t="s">
        <v>466</v>
      </c>
      <c r="E1" s="366" t="s">
        <v>468</v>
      </c>
    </row>
    <row r="2" spans="1:5" x14ac:dyDescent="0.25">
      <c r="A2" s="6" t="s">
        <v>45</v>
      </c>
      <c r="B2" s="58">
        <v>1</v>
      </c>
    </row>
    <row r="3" spans="1:5" x14ac:dyDescent="0.25">
      <c r="A3" s="6" t="s">
        <v>60</v>
      </c>
      <c r="B3" s="58">
        <v>1</v>
      </c>
    </row>
    <row r="4" spans="1:5" x14ac:dyDescent="0.25">
      <c r="A4" s="6" t="s">
        <v>83</v>
      </c>
      <c r="B4" s="58">
        <v>1</v>
      </c>
    </row>
    <row r="5" spans="1:5" x14ac:dyDescent="0.25">
      <c r="A5" s="6" t="s">
        <v>189</v>
      </c>
      <c r="B5" s="58"/>
    </row>
    <row r="6" spans="1:5" x14ac:dyDescent="0.25">
      <c r="A6" s="6" t="s">
        <v>130</v>
      </c>
      <c r="B6" s="58">
        <v>1</v>
      </c>
    </row>
    <row r="7" spans="1:5" x14ac:dyDescent="0.25">
      <c r="A7" s="5" t="s">
        <v>51</v>
      </c>
      <c r="B7" s="58">
        <v>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5DE16-3CA8-4A38-B9A5-5382878F0FAB}">
  <sheetPr codeName="Sheet5">
    <tabColor theme="4"/>
  </sheetPr>
  <dimension ref="A1:D7"/>
  <sheetViews>
    <sheetView workbookViewId="0">
      <selection activeCell="E27" sqref="E27"/>
    </sheetView>
  </sheetViews>
  <sheetFormatPr defaultRowHeight="15" x14ac:dyDescent="0.25"/>
  <cols>
    <col min="1" max="1" width="21" bestFit="1" customWidth="1"/>
    <col min="2" max="2" width="7.7109375" customWidth="1"/>
  </cols>
  <sheetData>
    <row r="1" spans="1:4" ht="20.100000000000001" customHeight="1" x14ac:dyDescent="0.25">
      <c r="A1" s="52" t="s">
        <v>82</v>
      </c>
      <c r="B1" s="6" t="s">
        <v>84</v>
      </c>
      <c r="C1" s="367"/>
      <c r="D1" s="367" t="s">
        <v>469</v>
      </c>
    </row>
    <row r="2" spans="1:4" x14ac:dyDescent="0.25">
      <c r="A2" s="56" t="s">
        <v>39</v>
      </c>
      <c r="B2" s="58">
        <v>655</v>
      </c>
    </row>
    <row r="3" spans="1:4" x14ac:dyDescent="0.25">
      <c r="A3" s="56" t="s">
        <v>43</v>
      </c>
      <c r="B3" s="58">
        <v>1</v>
      </c>
    </row>
    <row r="4" spans="1:4" x14ac:dyDescent="0.25">
      <c r="A4" s="56" t="s">
        <v>48</v>
      </c>
      <c r="B4" s="58">
        <v>1</v>
      </c>
    </row>
    <row r="5" spans="1:4" x14ac:dyDescent="0.25">
      <c r="A5" s="56" t="s">
        <v>58</v>
      </c>
      <c r="B5" s="58">
        <v>1</v>
      </c>
    </row>
    <row r="6" spans="1:4" x14ac:dyDescent="0.25">
      <c r="A6" s="56" t="s">
        <v>62</v>
      </c>
      <c r="B6" s="58">
        <v>1</v>
      </c>
    </row>
    <row r="7" spans="1:4" x14ac:dyDescent="0.25">
      <c r="A7" s="56" t="s">
        <v>51</v>
      </c>
      <c r="B7" s="58">
        <v>659</v>
      </c>
    </row>
  </sheetData>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ABFD2-4388-450C-BF0B-00EC6D2DC80A}">
  <sheetPr codeName="Sheet6">
    <tabColor theme="4"/>
  </sheetPr>
  <dimension ref="A1:O661"/>
  <sheetViews>
    <sheetView workbookViewId="0">
      <selection sqref="A1:A1048576"/>
    </sheetView>
  </sheetViews>
  <sheetFormatPr defaultRowHeight="15" x14ac:dyDescent="0.25"/>
  <cols>
    <col min="1" max="1" width="40.7109375" style="5" customWidth="1"/>
    <col min="2" max="3" width="9.140625" style="5"/>
    <col min="4" max="4" width="9.140625" style="368"/>
  </cols>
  <sheetData>
    <row r="1" spans="1:15" ht="20.100000000000001" customHeight="1" x14ac:dyDescent="0.25">
      <c r="A1" s="103" t="s">
        <v>472</v>
      </c>
      <c r="B1" s="103" t="s">
        <v>84</v>
      </c>
      <c r="C1" s="103"/>
      <c r="D1" s="376" t="s">
        <v>474</v>
      </c>
      <c r="E1" s="377" t="s">
        <v>470</v>
      </c>
      <c r="F1" s="378"/>
      <c r="G1" s="378"/>
      <c r="H1" s="378"/>
      <c r="I1" s="378"/>
      <c r="J1" s="378"/>
      <c r="K1" s="378"/>
      <c r="L1" s="378"/>
      <c r="M1" s="378"/>
      <c r="N1" s="378"/>
      <c r="O1" s="379"/>
    </row>
    <row r="2" spans="1:15" x14ac:dyDescent="0.25">
      <c r="A2" s="227"/>
      <c r="B2" s="58">
        <f>COUNTIF(Donation!U6:U664,SeriesTitleCount[[#This Row],[Series Title]])</f>
        <v>0</v>
      </c>
      <c r="D2" s="369">
        <v>1</v>
      </c>
      <c r="E2" s="164" t="s">
        <v>471</v>
      </c>
      <c r="F2" s="370"/>
      <c r="G2" s="370"/>
      <c r="H2" s="370"/>
      <c r="I2" s="370"/>
      <c r="J2" s="370"/>
      <c r="K2" s="370"/>
      <c r="L2" s="370"/>
      <c r="M2" s="370"/>
      <c r="N2" s="370"/>
      <c r="O2" s="371"/>
    </row>
    <row r="3" spans="1:15" x14ac:dyDescent="0.25">
      <c r="B3" s="5">
        <f>COUNTIF(Donation!U7:U665,SeriesTitleCount[[#This Row],[Series Title]])</f>
        <v>0</v>
      </c>
      <c r="D3" s="369">
        <v>2</v>
      </c>
      <c r="E3" s="164" t="s">
        <v>476</v>
      </c>
      <c r="F3" s="370"/>
      <c r="G3" s="370"/>
      <c r="H3" s="370"/>
      <c r="I3" s="370"/>
      <c r="J3" s="370"/>
      <c r="K3" s="370"/>
      <c r="L3" s="370"/>
      <c r="M3" s="370"/>
      <c r="N3" s="370"/>
      <c r="O3" s="371"/>
    </row>
    <row r="4" spans="1:15" x14ac:dyDescent="0.25">
      <c r="B4" s="58">
        <f>COUNTIF(Donation!U8:U666,SeriesTitleCount[[#This Row],[Series Title]])</f>
        <v>0</v>
      </c>
      <c r="D4" s="369">
        <v>3</v>
      </c>
      <c r="E4" s="164" t="s">
        <v>483</v>
      </c>
      <c r="F4" s="370"/>
      <c r="G4" s="370"/>
      <c r="H4" s="370"/>
      <c r="I4" s="370"/>
      <c r="J4" s="370"/>
      <c r="K4" s="370"/>
      <c r="L4" s="370"/>
      <c r="M4" s="370"/>
      <c r="N4" s="370"/>
      <c r="O4" s="371"/>
    </row>
    <row r="5" spans="1:15" x14ac:dyDescent="0.25">
      <c r="B5" s="58">
        <f>COUNTIF(Donation!U9:U667,SeriesTitleCount[[#This Row],[Series Title]])</f>
        <v>0</v>
      </c>
      <c r="D5" s="369">
        <v>4</v>
      </c>
      <c r="E5" s="164" t="s">
        <v>478</v>
      </c>
      <c r="F5" s="370"/>
      <c r="G5" s="370"/>
      <c r="H5" s="370"/>
      <c r="I5" s="370"/>
      <c r="J5" s="370"/>
      <c r="K5" s="370"/>
      <c r="L5" s="370"/>
      <c r="M5" s="370"/>
      <c r="N5" s="370"/>
      <c r="O5" s="371"/>
    </row>
    <row r="6" spans="1:15" x14ac:dyDescent="0.25">
      <c r="B6" s="58">
        <f>COUNTIF(Donation!U10:U668,SeriesTitleCount[[#This Row],[Series Title]])</f>
        <v>0</v>
      </c>
      <c r="D6" s="369">
        <v>5</v>
      </c>
      <c r="E6" s="164" t="s">
        <v>473</v>
      </c>
      <c r="F6" s="370"/>
      <c r="G6" s="370"/>
      <c r="H6" s="370"/>
      <c r="I6" s="370"/>
      <c r="J6" s="370"/>
      <c r="K6" s="370"/>
      <c r="L6" s="370"/>
      <c r="M6" s="370"/>
      <c r="N6" s="370"/>
      <c r="O6" s="371"/>
    </row>
    <row r="7" spans="1:15" x14ac:dyDescent="0.25">
      <c r="B7" s="58">
        <f>COUNTIF(Donation!U11:U669,SeriesTitleCount[[#This Row],[Series Title]])</f>
        <v>0</v>
      </c>
      <c r="D7" s="369">
        <v>6</v>
      </c>
      <c r="E7" s="164" t="s">
        <v>479</v>
      </c>
      <c r="F7" s="370"/>
      <c r="G7" s="370"/>
      <c r="H7" s="370"/>
      <c r="I7" s="370"/>
      <c r="J7" s="370"/>
      <c r="K7" s="370"/>
      <c r="L7" s="370"/>
      <c r="M7" s="370"/>
      <c r="N7" s="370"/>
      <c r="O7" s="371"/>
    </row>
    <row r="8" spans="1:15" x14ac:dyDescent="0.25">
      <c r="B8" s="5">
        <f>COUNTIF(Donation!U12:U670,SeriesTitleCount[[#This Row],[Series Title]])</f>
        <v>0</v>
      </c>
      <c r="D8" s="372">
        <v>7</v>
      </c>
      <c r="E8" s="373" t="s">
        <v>477</v>
      </c>
      <c r="F8" s="374"/>
      <c r="G8" s="374"/>
      <c r="H8" s="374"/>
      <c r="I8" s="374"/>
      <c r="J8" s="374"/>
      <c r="K8" s="374"/>
      <c r="L8" s="374"/>
      <c r="M8" s="374"/>
      <c r="N8" s="374"/>
      <c r="O8" s="375"/>
    </row>
    <row r="9" spans="1:15" x14ac:dyDescent="0.25">
      <c r="B9" s="5">
        <f>COUNTIF(Donation!U13:U671,SeriesTitleCount[[#This Row],[Series Title]])</f>
        <v>0</v>
      </c>
      <c r="D9" s="370"/>
    </row>
    <row r="10" spans="1:15" x14ac:dyDescent="0.25">
      <c r="B10" s="58">
        <f>COUNTIF(Donation!U14:U672,SeriesTitleCount[[#This Row],[Series Title]])</f>
        <v>0</v>
      </c>
      <c r="D10" s="370"/>
    </row>
    <row r="11" spans="1:15" x14ac:dyDescent="0.25">
      <c r="B11" s="58"/>
      <c r="D11" s="370"/>
    </row>
    <row r="12" spans="1:15" x14ac:dyDescent="0.25">
      <c r="B12" s="58"/>
      <c r="D12" s="370"/>
    </row>
    <row r="13" spans="1:15" x14ac:dyDescent="0.25">
      <c r="B13" s="58"/>
      <c r="D13" s="370"/>
    </row>
    <row r="14" spans="1:15" x14ac:dyDescent="0.25">
      <c r="D14" s="370"/>
    </row>
    <row r="15" spans="1:15" x14ac:dyDescent="0.25">
      <c r="B15" s="58"/>
      <c r="D15" s="370"/>
    </row>
    <row r="16" spans="1:15" x14ac:dyDescent="0.25">
      <c r="A16"/>
      <c r="B16"/>
      <c r="D16" s="370"/>
    </row>
    <row r="17" spans="1:5" x14ac:dyDescent="0.25">
      <c r="A17"/>
      <c r="B17"/>
      <c r="D17" s="370"/>
      <c r="E17" s="102"/>
    </row>
    <row r="18" spans="1:5" x14ac:dyDescent="0.25">
      <c r="A18"/>
      <c r="B18"/>
      <c r="D18" s="370"/>
      <c r="E18" s="102"/>
    </row>
    <row r="19" spans="1:5" x14ac:dyDescent="0.25">
      <c r="A19"/>
      <c r="B19"/>
      <c r="D19" s="370"/>
      <c r="E19" s="102"/>
    </row>
    <row r="20" spans="1:5" x14ac:dyDescent="0.25">
      <c r="A20"/>
      <c r="B20"/>
      <c r="D20" s="370"/>
      <c r="E20" s="102"/>
    </row>
    <row r="21" spans="1:5" x14ac:dyDescent="0.25">
      <c r="A21"/>
      <c r="B21"/>
      <c r="D21" s="370"/>
    </row>
    <row r="22" spans="1:5" x14ac:dyDescent="0.25">
      <c r="A22"/>
      <c r="B22"/>
      <c r="D22" s="370"/>
    </row>
    <row r="23" spans="1:5" x14ac:dyDescent="0.25">
      <c r="A23"/>
      <c r="B23"/>
      <c r="D23" s="370"/>
    </row>
    <row r="24" spans="1:5" x14ac:dyDescent="0.25">
      <c r="A24"/>
      <c r="B24"/>
      <c r="D24" s="370"/>
    </row>
    <row r="25" spans="1:5" x14ac:dyDescent="0.25">
      <c r="A25"/>
      <c r="B25"/>
      <c r="D25" s="370"/>
    </row>
    <row r="26" spans="1:5" x14ac:dyDescent="0.25">
      <c r="A26"/>
      <c r="B26"/>
      <c r="D26" s="370"/>
    </row>
    <row r="27" spans="1:5" x14ac:dyDescent="0.25">
      <c r="A27"/>
      <c r="B27"/>
      <c r="D27" s="370"/>
    </row>
    <row r="28" spans="1:5" x14ac:dyDescent="0.25">
      <c r="A28"/>
      <c r="B28"/>
      <c r="D28" s="370"/>
    </row>
    <row r="29" spans="1:5" x14ac:dyDescent="0.25">
      <c r="D29" s="370"/>
    </row>
    <row r="30" spans="1:5" x14ac:dyDescent="0.25">
      <c r="D30" s="370"/>
    </row>
    <row r="31" spans="1:5" x14ac:dyDescent="0.25">
      <c r="D31" s="370"/>
    </row>
    <row r="32" spans="1:5" x14ac:dyDescent="0.25">
      <c r="D32" s="370"/>
    </row>
    <row r="33" spans="4:4" x14ac:dyDescent="0.25">
      <c r="D33" s="370"/>
    </row>
    <row r="34" spans="4:4" x14ac:dyDescent="0.25">
      <c r="D34" s="370"/>
    </row>
    <row r="35" spans="4:4" x14ac:dyDescent="0.25">
      <c r="D35" s="370"/>
    </row>
    <row r="36" spans="4:4" x14ac:dyDescent="0.25">
      <c r="D36" s="370"/>
    </row>
    <row r="37" spans="4:4" x14ac:dyDescent="0.25">
      <c r="D37" s="370"/>
    </row>
    <row r="38" spans="4:4" x14ac:dyDescent="0.25">
      <c r="D38" s="370"/>
    </row>
    <row r="39" spans="4:4" x14ac:dyDescent="0.25">
      <c r="D39" s="370"/>
    </row>
    <row r="40" spans="4:4" x14ac:dyDescent="0.25">
      <c r="D40" s="370"/>
    </row>
    <row r="41" spans="4:4" x14ac:dyDescent="0.25">
      <c r="D41" s="370"/>
    </row>
    <row r="42" spans="4:4" x14ac:dyDescent="0.25">
      <c r="D42" s="370"/>
    </row>
    <row r="43" spans="4:4" x14ac:dyDescent="0.25">
      <c r="D43" s="370"/>
    </row>
    <row r="44" spans="4:4" x14ac:dyDescent="0.25">
      <c r="D44" s="370"/>
    </row>
    <row r="45" spans="4:4" x14ac:dyDescent="0.25">
      <c r="D45" s="370"/>
    </row>
    <row r="46" spans="4:4" x14ac:dyDescent="0.25">
      <c r="D46" s="370"/>
    </row>
    <row r="47" spans="4:4" x14ac:dyDescent="0.25">
      <c r="D47" s="370"/>
    </row>
    <row r="48" spans="4:4" x14ac:dyDescent="0.25">
      <c r="D48" s="370"/>
    </row>
    <row r="49" spans="4:4" x14ac:dyDescent="0.25">
      <c r="D49" s="370"/>
    </row>
    <row r="50" spans="4:4" x14ac:dyDescent="0.25">
      <c r="D50" s="370"/>
    </row>
    <row r="51" spans="4:4" x14ac:dyDescent="0.25">
      <c r="D51" s="370"/>
    </row>
    <row r="52" spans="4:4" x14ac:dyDescent="0.25">
      <c r="D52" s="370"/>
    </row>
    <row r="53" spans="4:4" x14ac:dyDescent="0.25">
      <c r="D53" s="370"/>
    </row>
    <row r="54" spans="4:4" x14ac:dyDescent="0.25">
      <c r="D54" s="370"/>
    </row>
    <row r="55" spans="4:4" x14ac:dyDescent="0.25">
      <c r="D55" s="370"/>
    </row>
    <row r="56" spans="4:4" x14ac:dyDescent="0.25">
      <c r="D56" s="370"/>
    </row>
    <row r="57" spans="4:4" x14ac:dyDescent="0.25">
      <c r="D57" s="370"/>
    </row>
    <row r="58" spans="4:4" x14ac:dyDescent="0.25">
      <c r="D58" s="370"/>
    </row>
    <row r="59" spans="4:4" x14ac:dyDescent="0.25">
      <c r="D59" s="370"/>
    </row>
    <row r="60" spans="4:4" x14ac:dyDescent="0.25">
      <c r="D60" s="370"/>
    </row>
    <row r="61" spans="4:4" x14ac:dyDescent="0.25">
      <c r="D61" s="370"/>
    </row>
    <row r="62" spans="4:4" x14ac:dyDescent="0.25">
      <c r="D62" s="370"/>
    </row>
    <row r="63" spans="4:4" x14ac:dyDescent="0.25">
      <c r="D63" s="370"/>
    </row>
    <row r="64" spans="4:4" x14ac:dyDescent="0.25">
      <c r="D64" s="370"/>
    </row>
    <row r="65" spans="4:4" x14ac:dyDescent="0.25">
      <c r="D65" s="370"/>
    </row>
    <row r="66" spans="4:4" x14ac:dyDescent="0.25">
      <c r="D66" s="370"/>
    </row>
    <row r="67" spans="4:4" x14ac:dyDescent="0.25">
      <c r="D67" s="370"/>
    </row>
    <row r="68" spans="4:4" x14ac:dyDescent="0.25">
      <c r="D68" s="370"/>
    </row>
    <row r="69" spans="4:4" x14ac:dyDescent="0.25">
      <c r="D69" s="370"/>
    </row>
    <row r="70" spans="4:4" x14ac:dyDescent="0.25">
      <c r="D70" s="370"/>
    </row>
    <row r="71" spans="4:4" x14ac:dyDescent="0.25">
      <c r="D71" s="370"/>
    </row>
    <row r="72" spans="4:4" x14ac:dyDescent="0.25">
      <c r="D72" s="370"/>
    </row>
    <row r="73" spans="4:4" x14ac:dyDescent="0.25">
      <c r="D73" s="370"/>
    </row>
    <row r="74" spans="4:4" x14ac:dyDescent="0.25">
      <c r="D74" s="370"/>
    </row>
    <row r="75" spans="4:4" x14ac:dyDescent="0.25">
      <c r="D75" s="370"/>
    </row>
    <row r="76" spans="4:4" x14ac:dyDescent="0.25">
      <c r="D76" s="370"/>
    </row>
    <row r="77" spans="4:4" x14ac:dyDescent="0.25">
      <c r="D77" s="370"/>
    </row>
    <row r="78" spans="4:4" x14ac:dyDescent="0.25">
      <c r="D78" s="370"/>
    </row>
    <row r="79" spans="4:4" x14ac:dyDescent="0.25">
      <c r="D79" s="370"/>
    </row>
    <row r="80" spans="4:4" x14ac:dyDescent="0.25">
      <c r="D80" s="370"/>
    </row>
    <row r="81" spans="4:4" x14ac:dyDescent="0.25">
      <c r="D81" s="370"/>
    </row>
    <row r="82" spans="4:4" x14ac:dyDescent="0.25">
      <c r="D82" s="370"/>
    </row>
    <row r="83" spans="4:4" x14ac:dyDescent="0.25">
      <c r="D83" s="370"/>
    </row>
    <row r="84" spans="4:4" x14ac:dyDescent="0.25">
      <c r="D84" s="370"/>
    </row>
    <row r="85" spans="4:4" x14ac:dyDescent="0.25">
      <c r="D85" s="370"/>
    </row>
    <row r="86" spans="4:4" x14ac:dyDescent="0.25">
      <c r="D86" s="370"/>
    </row>
    <row r="87" spans="4:4" x14ac:dyDescent="0.25">
      <c r="D87" s="370"/>
    </row>
    <row r="88" spans="4:4" x14ac:dyDescent="0.25">
      <c r="D88" s="370"/>
    </row>
    <row r="89" spans="4:4" x14ac:dyDescent="0.25">
      <c r="D89" s="370"/>
    </row>
    <row r="90" spans="4:4" x14ac:dyDescent="0.25">
      <c r="D90" s="370"/>
    </row>
    <row r="91" spans="4:4" x14ac:dyDescent="0.25">
      <c r="D91" s="370"/>
    </row>
    <row r="92" spans="4:4" x14ac:dyDescent="0.25">
      <c r="D92" s="370"/>
    </row>
    <row r="93" spans="4:4" x14ac:dyDescent="0.25">
      <c r="D93" s="370"/>
    </row>
    <row r="94" spans="4:4" x14ac:dyDescent="0.25">
      <c r="D94" s="370"/>
    </row>
    <row r="95" spans="4:4" x14ac:dyDescent="0.25">
      <c r="D95" s="370"/>
    </row>
    <row r="96" spans="4:4" x14ac:dyDescent="0.25">
      <c r="D96" s="370"/>
    </row>
    <row r="97" spans="4:4" x14ac:dyDescent="0.25">
      <c r="D97" s="370"/>
    </row>
    <row r="98" spans="4:4" x14ac:dyDescent="0.25">
      <c r="D98" s="370"/>
    </row>
    <row r="99" spans="4:4" x14ac:dyDescent="0.25">
      <c r="D99" s="370"/>
    </row>
    <row r="100" spans="4:4" x14ac:dyDescent="0.25">
      <c r="D100" s="370"/>
    </row>
    <row r="101" spans="4:4" x14ac:dyDescent="0.25">
      <c r="D101" s="370"/>
    </row>
    <row r="102" spans="4:4" x14ac:dyDescent="0.25">
      <c r="D102" s="370"/>
    </row>
    <row r="103" spans="4:4" x14ac:dyDescent="0.25">
      <c r="D103" s="370"/>
    </row>
    <row r="104" spans="4:4" x14ac:dyDescent="0.25">
      <c r="D104" s="370"/>
    </row>
    <row r="105" spans="4:4" x14ac:dyDescent="0.25">
      <c r="D105" s="370"/>
    </row>
    <row r="106" spans="4:4" x14ac:dyDescent="0.25">
      <c r="D106" s="370"/>
    </row>
    <row r="107" spans="4:4" x14ac:dyDescent="0.25">
      <c r="D107" s="370"/>
    </row>
    <row r="108" spans="4:4" x14ac:dyDescent="0.25">
      <c r="D108" s="370"/>
    </row>
    <row r="109" spans="4:4" x14ac:dyDescent="0.25">
      <c r="D109" s="370"/>
    </row>
    <row r="110" spans="4:4" x14ac:dyDescent="0.25">
      <c r="D110" s="370"/>
    </row>
    <row r="111" spans="4:4" x14ac:dyDescent="0.25">
      <c r="D111" s="370"/>
    </row>
    <row r="112" spans="4:4" x14ac:dyDescent="0.25">
      <c r="D112" s="370"/>
    </row>
    <row r="113" spans="4:4" x14ac:dyDescent="0.25">
      <c r="D113" s="370"/>
    </row>
    <row r="114" spans="4:4" x14ac:dyDescent="0.25">
      <c r="D114" s="370"/>
    </row>
    <row r="115" spans="4:4" x14ac:dyDescent="0.25">
      <c r="D115" s="370"/>
    </row>
    <row r="116" spans="4:4" x14ac:dyDescent="0.25">
      <c r="D116" s="370"/>
    </row>
    <row r="117" spans="4:4" x14ac:dyDescent="0.25">
      <c r="D117" s="370"/>
    </row>
    <row r="118" spans="4:4" x14ac:dyDescent="0.25">
      <c r="D118" s="370"/>
    </row>
    <row r="119" spans="4:4" x14ac:dyDescent="0.25">
      <c r="D119" s="370"/>
    </row>
    <row r="120" spans="4:4" x14ac:dyDescent="0.25">
      <c r="D120" s="370"/>
    </row>
    <row r="121" spans="4:4" x14ac:dyDescent="0.25">
      <c r="D121" s="370"/>
    </row>
    <row r="122" spans="4:4" x14ac:dyDescent="0.25">
      <c r="D122" s="370"/>
    </row>
    <row r="123" spans="4:4" x14ac:dyDescent="0.25">
      <c r="D123" s="370"/>
    </row>
    <row r="124" spans="4:4" x14ac:dyDescent="0.25">
      <c r="D124" s="370"/>
    </row>
    <row r="125" spans="4:4" x14ac:dyDescent="0.25">
      <c r="D125" s="370"/>
    </row>
    <row r="126" spans="4:4" x14ac:dyDescent="0.25">
      <c r="D126" s="370"/>
    </row>
    <row r="127" spans="4:4" x14ac:dyDescent="0.25">
      <c r="D127" s="370"/>
    </row>
    <row r="128" spans="4:4" x14ac:dyDescent="0.25">
      <c r="D128" s="370"/>
    </row>
    <row r="129" spans="4:4" x14ac:dyDescent="0.25">
      <c r="D129" s="370"/>
    </row>
    <row r="130" spans="4:4" x14ac:dyDescent="0.25">
      <c r="D130" s="370"/>
    </row>
    <row r="131" spans="4:4" x14ac:dyDescent="0.25">
      <c r="D131" s="370"/>
    </row>
    <row r="132" spans="4:4" x14ac:dyDescent="0.25">
      <c r="D132" s="370"/>
    </row>
    <row r="133" spans="4:4" x14ac:dyDescent="0.25">
      <c r="D133" s="370"/>
    </row>
    <row r="134" spans="4:4" x14ac:dyDescent="0.25">
      <c r="D134" s="370"/>
    </row>
    <row r="135" spans="4:4" x14ac:dyDescent="0.25">
      <c r="D135" s="370"/>
    </row>
    <row r="136" spans="4:4" x14ac:dyDescent="0.25">
      <c r="D136" s="370"/>
    </row>
    <row r="137" spans="4:4" x14ac:dyDescent="0.25">
      <c r="D137" s="370"/>
    </row>
    <row r="138" spans="4:4" x14ac:dyDescent="0.25">
      <c r="D138" s="370"/>
    </row>
    <row r="139" spans="4:4" x14ac:dyDescent="0.25">
      <c r="D139" s="370"/>
    </row>
    <row r="140" spans="4:4" x14ac:dyDescent="0.25">
      <c r="D140" s="370"/>
    </row>
    <row r="141" spans="4:4" x14ac:dyDescent="0.25">
      <c r="D141" s="370"/>
    </row>
    <row r="142" spans="4:4" x14ac:dyDescent="0.25">
      <c r="D142" s="370"/>
    </row>
    <row r="143" spans="4:4" x14ac:dyDescent="0.25">
      <c r="D143" s="370"/>
    </row>
    <row r="144" spans="4:4" x14ac:dyDescent="0.25">
      <c r="D144" s="370"/>
    </row>
    <row r="145" spans="4:4" x14ac:dyDescent="0.25">
      <c r="D145" s="370"/>
    </row>
    <row r="146" spans="4:4" x14ac:dyDescent="0.25">
      <c r="D146" s="370"/>
    </row>
    <row r="147" spans="4:4" x14ac:dyDescent="0.25">
      <c r="D147" s="370"/>
    </row>
    <row r="148" spans="4:4" x14ac:dyDescent="0.25">
      <c r="D148" s="370"/>
    </row>
    <row r="149" spans="4:4" x14ac:dyDescent="0.25">
      <c r="D149" s="370"/>
    </row>
    <row r="150" spans="4:4" x14ac:dyDescent="0.25">
      <c r="D150" s="370"/>
    </row>
    <row r="151" spans="4:4" x14ac:dyDescent="0.25">
      <c r="D151" s="370"/>
    </row>
    <row r="152" spans="4:4" x14ac:dyDescent="0.25">
      <c r="D152" s="370"/>
    </row>
    <row r="153" spans="4:4" x14ac:dyDescent="0.25">
      <c r="D153" s="370"/>
    </row>
    <row r="154" spans="4:4" x14ac:dyDescent="0.25">
      <c r="D154" s="370"/>
    </row>
    <row r="155" spans="4:4" x14ac:dyDescent="0.25">
      <c r="D155" s="370"/>
    </row>
    <row r="156" spans="4:4" x14ac:dyDescent="0.25">
      <c r="D156" s="370"/>
    </row>
    <row r="157" spans="4:4" x14ac:dyDescent="0.25">
      <c r="D157" s="370"/>
    </row>
    <row r="158" spans="4:4" x14ac:dyDescent="0.25">
      <c r="D158" s="370"/>
    </row>
    <row r="159" spans="4:4" x14ac:dyDescent="0.25">
      <c r="D159" s="370"/>
    </row>
    <row r="160" spans="4:4" x14ac:dyDescent="0.25">
      <c r="D160" s="370"/>
    </row>
    <row r="161" spans="4:4" x14ac:dyDescent="0.25">
      <c r="D161" s="370"/>
    </row>
    <row r="162" spans="4:4" x14ac:dyDescent="0.25">
      <c r="D162" s="370"/>
    </row>
    <row r="163" spans="4:4" x14ac:dyDescent="0.25">
      <c r="D163" s="370"/>
    </row>
    <row r="164" spans="4:4" x14ac:dyDescent="0.25">
      <c r="D164" s="370"/>
    </row>
    <row r="165" spans="4:4" x14ac:dyDescent="0.25">
      <c r="D165" s="370"/>
    </row>
    <row r="166" spans="4:4" x14ac:dyDescent="0.25">
      <c r="D166" s="370"/>
    </row>
    <row r="167" spans="4:4" x14ac:dyDescent="0.25">
      <c r="D167" s="370"/>
    </row>
    <row r="168" spans="4:4" x14ac:dyDescent="0.25">
      <c r="D168" s="370"/>
    </row>
    <row r="169" spans="4:4" x14ac:dyDescent="0.25">
      <c r="D169" s="370"/>
    </row>
    <row r="170" spans="4:4" x14ac:dyDescent="0.25">
      <c r="D170" s="370"/>
    </row>
    <row r="171" spans="4:4" x14ac:dyDescent="0.25">
      <c r="D171" s="370"/>
    </row>
    <row r="172" spans="4:4" x14ac:dyDescent="0.25">
      <c r="D172" s="370"/>
    </row>
    <row r="173" spans="4:4" x14ac:dyDescent="0.25">
      <c r="D173" s="370"/>
    </row>
    <row r="174" spans="4:4" x14ac:dyDescent="0.25">
      <c r="D174" s="370"/>
    </row>
    <row r="175" spans="4:4" x14ac:dyDescent="0.25">
      <c r="D175" s="370"/>
    </row>
    <row r="176" spans="4:4" x14ac:dyDescent="0.25">
      <c r="D176" s="370"/>
    </row>
    <row r="177" spans="4:4" x14ac:dyDescent="0.25">
      <c r="D177" s="370"/>
    </row>
    <row r="178" spans="4:4" x14ac:dyDescent="0.25">
      <c r="D178" s="370"/>
    </row>
    <row r="179" spans="4:4" x14ac:dyDescent="0.25">
      <c r="D179" s="370"/>
    </row>
    <row r="180" spans="4:4" x14ac:dyDescent="0.25">
      <c r="D180" s="370"/>
    </row>
    <row r="181" spans="4:4" x14ac:dyDescent="0.25">
      <c r="D181" s="370"/>
    </row>
    <row r="182" spans="4:4" x14ac:dyDescent="0.25">
      <c r="D182" s="370"/>
    </row>
    <row r="183" spans="4:4" x14ac:dyDescent="0.25">
      <c r="D183" s="370"/>
    </row>
    <row r="184" spans="4:4" x14ac:dyDescent="0.25">
      <c r="D184" s="370"/>
    </row>
    <row r="185" spans="4:4" x14ac:dyDescent="0.25">
      <c r="D185" s="370"/>
    </row>
    <row r="186" spans="4:4" x14ac:dyDescent="0.25">
      <c r="D186" s="370"/>
    </row>
    <row r="187" spans="4:4" x14ac:dyDescent="0.25">
      <c r="D187" s="370"/>
    </row>
    <row r="188" spans="4:4" x14ac:dyDescent="0.25">
      <c r="D188" s="370"/>
    </row>
    <row r="189" spans="4:4" x14ac:dyDescent="0.25">
      <c r="D189" s="370"/>
    </row>
    <row r="190" spans="4:4" x14ac:dyDescent="0.25">
      <c r="D190" s="370"/>
    </row>
    <row r="191" spans="4:4" x14ac:dyDescent="0.25">
      <c r="D191" s="370"/>
    </row>
    <row r="192" spans="4:4" x14ac:dyDescent="0.25">
      <c r="D192" s="370"/>
    </row>
    <row r="193" spans="4:4" x14ac:dyDescent="0.25">
      <c r="D193" s="370"/>
    </row>
    <row r="194" spans="4:4" x14ac:dyDescent="0.25">
      <c r="D194" s="370"/>
    </row>
    <row r="195" spans="4:4" x14ac:dyDescent="0.25">
      <c r="D195" s="370"/>
    </row>
    <row r="196" spans="4:4" x14ac:dyDescent="0.25">
      <c r="D196" s="370"/>
    </row>
    <row r="197" spans="4:4" x14ac:dyDescent="0.25">
      <c r="D197" s="370"/>
    </row>
    <row r="198" spans="4:4" x14ac:dyDescent="0.25">
      <c r="D198" s="370"/>
    </row>
    <row r="199" spans="4:4" x14ac:dyDescent="0.25">
      <c r="D199" s="370"/>
    </row>
    <row r="200" spans="4:4" x14ac:dyDescent="0.25">
      <c r="D200" s="370"/>
    </row>
    <row r="201" spans="4:4" x14ac:dyDescent="0.25">
      <c r="D201" s="370"/>
    </row>
    <row r="202" spans="4:4" x14ac:dyDescent="0.25">
      <c r="D202" s="370"/>
    </row>
    <row r="203" spans="4:4" x14ac:dyDescent="0.25">
      <c r="D203" s="370"/>
    </row>
    <row r="204" spans="4:4" x14ac:dyDescent="0.25">
      <c r="D204" s="370"/>
    </row>
    <row r="205" spans="4:4" x14ac:dyDescent="0.25">
      <c r="D205" s="370"/>
    </row>
    <row r="206" spans="4:4" x14ac:dyDescent="0.25">
      <c r="D206" s="370"/>
    </row>
    <row r="207" spans="4:4" x14ac:dyDescent="0.25">
      <c r="D207" s="370"/>
    </row>
    <row r="208" spans="4:4" x14ac:dyDescent="0.25">
      <c r="D208" s="370"/>
    </row>
    <row r="209" spans="4:4" x14ac:dyDescent="0.25">
      <c r="D209" s="370"/>
    </row>
    <row r="210" spans="4:4" x14ac:dyDescent="0.25">
      <c r="D210" s="370"/>
    </row>
    <row r="211" spans="4:4" x14ac:dyDescent="0.25">
      <c r="D211" s="370"/>
    </row>
    <row r="212" spans="4:4" x14ac:dyDescent="0.25">
      <c r="D212" s="370"/>
    </row>
    <row r="213" spans="4:4" x14ac:dyDescent="0.25">
      <c r="D213" s="370"/>
    </row>
    <row r="214" spans="4:4" x14ac:dyDescent="0.25">
      <c r="D214" s="370"/>
    </row>
    <row r="215" spans="4:4" x14ac:dyDescent="0.25">
      <c r="D215" s="370"/>
    </row>
    <row r="216" spans="4:4" x14ac:dyDescent="0.25">
      <c r="D216" s="370"/>
    </row>
    <row r="217" spans="4:4" x14ac:dyDescent="0.25">
      <c r="D217" s="370"/>
    </row>
    <row r="218" spans="4:4" x14ac:dyDescent="0.25">
      <c r="D218" s="370"/>
    </row>
    <row r="219" spans="4:4" x14ac:dyDescent="0.25">
      <c r="D219" s="370"/>
    </row>
    <row r="220" spans="4:4" x14ac:dyDescent="0.25">
      <c r="D220" s="370"/>
    </row>
    <row r="221" spans="4:4" x14ac:dyDescent="0.25">
      <c r="D221" s="370"/>
    </row>
    <row r="222" spans="4:4" x14ac:dyDescent="0.25">
      <c r="D222" s="370"/>
    </row>
    <row r="223" spans="4:4" x14ac:dyDescent="0.25">
      <c r="D223" s="370"/>
    </row>
    <row r="224" spans="4:4" x14ac:dyDescent="0.25">
      <c r="D224" s="370"/>
    </row>
    <row r="225" spans="4:4" x14ac:dyDescent="0.25">
      <c r="D225" s="370"/>
    </row>
    <row r="226" spans="4:4" x14ac:dyDescent="0.25">
      <c r="D226" s="370"/>
    </row>
    <row r="227" spans="4:4" x14ac:dyDescent="0.25">
      <c r="D227" s="370"/>
    </row>
    <row r="228" spans="4:4" x14ac:dyDescent="0.25">
      <c r="D228" s="370"/>
    </row>
    <row r="229" spans="4:4" x14ac:dyDescent="0.25">
      <c r="D229" s="370"/>
    </row>
    <row r="230" spans="4:4" x14ac:dyDescent="0.25">
      <c r="D230" s="370"/>
    </row>
    <row r="231" spans="4:4" x14ac:dyDescent="0.25">
      <c r="D231" s="370"/>
    </row>
    <row r="232" spans="4:4" x14ac:dyDescent="0.25">
      <c r="D232" s="370"/>
    </row>
    <row r="233" spans="4:4" x14ac:dyDescent="0.25">
      <c r="D233" s="370"/>
    </row>
    <row r="234" spans="4:4" x14ac:dyDescent="0.25">
      <c r="D234" s="370"/>
    </row>
    <row r="235" spans="4:4" x14ac:dyDescent="0.25">
      <c r="D235" s="370"/>
    </row>
    <row r="236" spans="4:4" x14ac:dyDescent="0.25">
      <c r="D236" s="370"/>
    </row>
    <row r="237" spans="4:4" x14ac:dyDescent="0.25">
      <c r="D237" s="370"/>
    </row>
    <row r="238" spans="4:4" x14ac:dyDescent="0.25">
      <c r="D238" s="370"/>
    </row>
    <row r="239" spans="4:4" x14ac:dyDescent="0.25">
      <c r="D239" s="370"/>
    </row>
    <row r="240" spans="4:4" x14ac:dyDescent="0.25">
      <c r="D240" s="370"/>
    </row>
    <row r="241" spans="4:4" x14ac:dyDescent="0.25">
      <c r="D241" s="370"/>
    </row>
    <row r="242" spans="4:4" x14ac:dyDescent="0.25">
      <c r="D242" s="370"/>
    </row>
    <row r="243" spans="4:4" x14ac:dyDescent="0.25">
      <c r="D243" s="370"/>
    </row>
    <row r="244" spans="4:4" x14ac:dyDescent="0.25">
      <c r="D244" s="370"/>
    </row>
    <row r="245" spans="4:4" x14ac:dyDescent="0.25">
      <c r="D245" s="370"/>
    </row>
    <row r="246" spans="4:4" x14ac:dyDescent="0.25">
      <c r="D246" s="370"/>
    </row>
    <row r="247" spans="4:4" x14ac:dyDescent="0.25">
      <c r="D247" s="370"/>
    </row>
    <row r="248" spans="4:4" x14ac:dyDescent="0.25">
      <c r="D248" s="370"/>
    </row>
    <row r="249" spans="4:4" x14ac:dyDescent="0.25">
      <c r="D249" s="370"/>
    </row>
    <row r="250" spans="4:4" x14ac:dyDescent="0.25">
      <c r="D250" s="370"/>
    </row>
    <row r="251" spans="4:4" x14ac:dyDescent="0.25">
      <c r="D251" s="370"/>
    </row>
    <row r="252" spans="4:4" x14ac:dyDescent="0.25">
      <c r="D252" s="370"/>
    </row>
    <row r="253" spans="4:4" x14ac:dyDescent="0.25">
      <c r="D253" s="370"/>
    </row>
    <row r="254" spans="4:4" x14ac:dyDescent="0.25">
      <c r="D254" s="370"/>
    </row>
    <row r="255" spans="4:4" x14ac:dyDescent="0.25">
      <c r="D255" s="370"/>
    </row>
    <row r="256" spans="4:4" x14ac:dyDescent="0.25">
      <c r="D256" s="370"/>
    </row>
    <row r="257" spans="4:4" x14ac:dyDescent="0.25">
      <c r="D257" s="370"/>
    </row>
    <row r="258" spans="4:4" x14ac:dyDescent="0.25">
      <c r="D258" s="370"/>
    </row>
    <row r="259" spans="4:4" x14ac:dyDescent="0.25">
      <c r="D259" s="370"/>
    </row>
    <row r="260" spans="4:4" x14ac:dyDescent="0.25">
      <c r="D260" s="370"/>
    </row>
    <row r="261" spans="4:4" x14ac:dyDescent="0.25">
      <c r="D261" s="370"/>
    </row>
    <row r="262" spans="4:4" x14ac:dyDescent="0.25">
      <c r="D262" s="370"/>
    </row>
    <row r="263" spans="4:4" x14ac:dyDescent="0.25">
      <c r="D263" s="370"/>
    </row>
    <row r="264" spans="4:4" x14ac:dyDescent="0.25">
      <c r="D264" s="370"/>
    </row>
    <row r="265" spans="4:4" x14ac:dyDescent="0.25">
      <c r="D265" s="370"/>
    </row>
    <row r="266" spans="4:4" x14ac:dyDescent="0.25">
      <c r="D266" s="370"/>
    </row>
    <row r="267" spans="4:4" x14ac:dyDescent="0.25">
      <c r="D267" s="370"/>
    </row>
    <row r="268" spans="4:4" x14ac:dyDescent="0.25">
      <c r="D268" s="370"/>
    </row>
    <row r="269" spans="4:4" x14ac:dyDescent="0.25">
      <c r="D269" s="370"/>
    </row>
    <row r="270" spans="4:4" x14ac:dyDescent="0.25">
      <c r="D270" s="370"/>
    </row>
    <row r="271" spans="4:4" x14ac:dyDescent="0.25">
      <c r="D271" s="370"/>
    </row>
    <row r="272" spans="4:4" x14ac:dyDescent="0.25">
      <c r="D272" s="370"/>
    </row>
    <row r="273" spans="4:4" x14ac:dyDescent="0.25">
      <c r="D273" s="370"/>
    </row>
    <row r="274" spans="4:4" x14ac:dyDescent="0.25">
      <c r="D274" s="370"/>
    </row>
    <row r="275" spans="4:4" x14ac:dyDescent="0.25">
      <c r="D275" s="370"/>
    </row>
    <row r="276" spans="4:4" x14ac:dyDescent="0.25">
      <c r="D276" s="370"/>
    </row>
    <row r="277" spans="4:4" x14ac:dyDescent="0.25">
      <c r="D277" s="370"/>
    </row>
    <row r="278" spans="4:4" x14ac:dyDescent="0.25">
      <c r="D278" s="370"/>
    </row>
    <row r="279" spans="4:4" x14ac:dyDescent="0.25">
      <c r="D279" s="370"/>
    </row>
    <row r="280" spans="4:4" x14ac:dyDescent="0.25">
      <c r="D280" s="370"/>
    </row>
    <row r="281" spans="4:4" x14ac:dyDescent="0.25">
      <c r="D281" s="370"/>
    </row>
    <row r="282" spans="4:4" x14ac:dyDescent="0.25">
      <c r="D282" s="370"/>
    </row>
    <row r="283" spans="4:4" x14ac:dyDescent="0.25">
      <c r="D283" s="370"/>
    </row>
    <row r="284" spans="4:4" x14ac:dyDescent="0.25">
      <c r="D284" s="370"/>
    </row>
    <row r="285" spans="4:4" x14ac:dyDescent="0.25">
      <c r="D285" s="370"/>
    </row>
    <row r="286" spans="4:4" x14ac:dyDescent="0.25">
      <c r="D286" s="370"/>
    </row>
    <row r="287" spans="4:4" x14ac:dyDescent="0.25">
      <c r="D287" s="370"/>
    </row>
    <row r="288" spans="4:4" x14ac:dyDescent="0.25">
      <c r="D288" s="370"/>
    </row>
    <row r="289" spans="4:4" x14ac:dyDescent="0.25">
      <c r="D289" s="370"/>
    </row>
    <row r="290" spans="4:4" x14ac:dyDescent="0.25">
      <c r="D290" s="370"/>
    </row>
    <row r="291" spans="4:4" x14ac:dyDescent="0.25">
      <c r="D291" s="370"/>
    </row>
    <row r="292" spans="4:4" x14ac:dyDescent="0.25">
      <c r="D292" s="370"/>
    </row>
    <row r="293" spans="4:4" x14ac:dyDescent="0.25">
      <c r="D293" s="370"/>
    </row>
    <row r="294" spans="4:4" x14ac:dyDescent="0.25">
      <c r="D294" s="370"/>
    </row>
    <row r="295" spans="4:4" x14ac:dyDescent="0.25">
      <c r="D295" s="370"/>
    </row>
    <row r="296" spans="4:4" x14ac:dyDescent="0.25">
      <c r="D296" s="370"/>
    </row>
    <row r="297" spans="4:4" x14ac:dyDescent="0.25">
      <c r="D297" s="370"/>
    </row>
    <row r="298" spans="4:4" x14ac:dyDescent="0.25">
      <c r="D298" s="370"/>
    </row>
    <row r="299" spans="4:4" x14ac:dyDescent="0.25">
      <c r="D299" s="370"/>
    </row>
    <row r="300" spans="4:4" x14ac:dyDescent="0.25">
      <c r="D300" s="370"/>
    </row>
    <row r="301" spans="4:4" x14ac:dyDescent="0.25">
      <c r="D301" s="370"/>
    </row>
    <row r="302" spans="4:4" x14ac:dyDescent="0.25">
      <c r="D302" s="370"/>
    </row>
    <row r="303" spans="4:4" x14ac:dyDescent="0.25">
      <c r="D303" s="370"/>
    </row>
    <row r="304" spans="4:4" x14ac:dyDescent="0.25">
      <c r="D304" s="370"/>
    </row>
    <row r="305" spans="4:4" x14ac:dyDescent="0.25">
      <c r="D305" s="370"/>
    </row>
    <row r="306" spans="4:4" x14ac:dyDescent="0.25">
      <c r="D306" s="370"/>
    </row>
    <row r="307" spans="4:4" x14ac:dyDescent="0.25">
      <c r="D307" s="370"/>
    </row>
    <row r="308" spans="4:4" x14ac:dyDescent="0.25">
      <c r="D308" s="370"/>
    </row>
    <row r="309" spans="4:4" x14ac:dyDescent="0.25">
      <c r="D309" s="370"/>
    </row>
    <row r="310" spans="4:4" x14ac:dyDescent="0.25">
      <c r="D310" s="370"/>
    </row>
    <row r="311" spans="4:4" x14ac:dyDescent="0.25">
      <c r="D311" s="370"/>
    </row>
    <row r="312" spans="4:4" x14ac:dyDescent="0.25">
      <c r="D312" s="370"/>
    </row>
    <row r="313" spans="4:4" x14ac:dyDescent="0.25">
      <c r="D313" s="370"/>
    </row>
    <row r="314" spans="4:4" x14ac:dyDescent="0.25">
      <c r="D314" s="370"/>
    </row>
    <row r="315" spans="4:4" x14ac:dyDescent="0.25">
      <c r="D315" s="370"/>
    </row>
    <row r="316" spans="4:4" x14ac:dyDescent="0.25">
      <c r="D316" s="370"/>
    </row>
    <row r="317" spans="4:4" x14ac:dyDescent="0.25">
      <c r="D317" s="370"/>
    </row>
    <row r="318" spans="4:4" x14ac:dyDescent="0.25">
      <c r="D318" s="370"/>
    </row>
    <row r="319" spans="4:4" x14ac:dyDescent="0.25">
      <c r="D319" s="370"/>
    </row>
    <row r="320" spans="4:4" x14ac:dyDescent="0.25">
      <c r="D320" s="370"/>
    </row>
    <row r="321" spans="4:4" x14ac:dyDescent="0.25">
      <c r="D321" s="370"/>
    </row>
    <row r="322" spans="4:4" x14ac:dyDescent="0.25">
      <c r="D322" s="370"/>
    </row>
    <row r="323" spans="4:4" x14ac:dyDescent="0.25">
      <c r="D323" s="370"/>
    </row>
    <row r="324" spans="4:4" x14ac:dyDescent="0.25">
      <c r="D324" s="370"/>
    </row>
    <row r="325" spans="4:4" x14ac:dyDescent="0.25">
      <c r="D325" s="370"/>
    </row>
    <row r="326" spans="4:4" x14ac:dyDescent="0.25">
      <c r="D326" s="370"/>
    </row>
    <row r="327" spans="4:4" x14ac:dyDescent="0.25">
      <c r="D327" s="370"/>
    </row>
    <row r="328" spans="4:4" x14ac:dyDescent="0.25">
      <c r="D328" s="370"/>
    </row>
    <row r="329" spans="4:4" x14ac:dyDescent="0.25">
      <c r="D329" s="370"/>
    </row>
    <row r="330" spans="4:4" x14ac:dyDescent="0.25">
      <c r="D330" s="370"/>
    </row>
    <row r="331" spans="4:4" x14ac:dyDescent="0.25">
      <c r="D331" s="370"/>
    </row>
    <row r="332" spans="4:4" x14ac:dyDescent="0.25">
      <c r="D332" s="370"/>
    </row>
    <row r="333" spans="4:4" x14ac:dyDescent="0.25">
      <c r="D333" s="370"/>
    </row>
    <row r="334" spans="4:4" x14ac:dyDescent="0.25">
      <c r="D334" s="370"/>
    </row>
    <row r="335" spans="4:4" x14ac:dyDescent="0.25">
      <c r="D335" s="370"/>
    </row>
    <row r="336" spans="4:4" x14ac:dyDescent="0.25">
      <c r="D336" s="370"/>
    </row>
    <row r="337" spans="4:4" x14ac:dyDescent="0.25">
      <c r="D337" s="370"/>
    </row>
    <row r="338" spans="4:4" x14ac:dyDescent="0.25">
      <c r="D338" s="370"/>
    </row>
    <row r="339" spans="4:4" x14ac:dyDescent="0.25">
      <c r="D339" s="370"/>
    </row>
    <row r="340" spans="4:4" x14ac:dyDescent="0.25">
      <c r="D340" s="370"/>
    </row>
    <row r="341" spans="4:4" x14ac:dyDescent="0.25">
      <c r="D341" s="370"/>
    </row>
    <row r="342" spans="4:4" x14ac:dyDescent="0.25">
      <c r="D342" s="370"/>
    </row>
    <row r="343" spans="4:4" x14ac:dyDescent="0.25">
      <c r="D343" s="370"/>
    </row>
    <row r="344" spans="4:4" x14ac:dyDescent="0.25">
      <c r="D344" s="370"/>
    </row>
    <row r="345" spans="4:4" x14ac:dyDescent="0.25">
      <c r="D345" s="370"/>
    </row>
    <row r="346" spans="4:4" x14ac:dyDescent="0.25">
      <c r="D346" s="370"/>
    </row>
    <row r="347" spans="4:4" x14ac:dyDescent="0.25">
      <c r="D347" s="370"/>
    </row>
    <row r="348" spans="4:4" x14ac:dyDescent="0.25">
      <c r="D348" s="370"/>
    </row>
    <row r="349" spans="4:4" x14ac:dyDescent="0.25">
      <c r="D349" s="370"/>
    </row>
    <row r="350" spans="4:4" x14ac:dyDescent="0.25">
      <c r="D350" s="370"/>
    </row>
    <row r="351" spans="4:4" x14ac:dyDescent="0.25">
      <c r="D351" s="370"/>
    </row>
    <row r="352" spans="4:4" x14ac:dyDescent="0.25">
      <c r="D352" s="370"/>
    </row>
    <row r="353" spans="4:4" x14ac:dyDescent="0.25">
      <c r="D353" s="370"/>
    </row>
    <row r="354" spans="4:4" x14ac:dyDescent="0.25">
      <c r="D354" s="370"/>
    </row>
    <row r="355" spans="4:4" x14ac:dyDescent="0.25">
      <c r="D355" s="370"/>
    </row>
    <row r="356" spans="4:4" x14ac:dyDescent="0.25">
      <c r="D356" s="370"/>
    </row>
    <row r="357" spans="4:4" x14ac:dyDescent="0.25">
      <c r="D357" s="370"/>
    </row>
    <row r="358" spans="4:4" x14ac:dyDescent="0.25">
      <c r="D358" s="370"/>
    </row>
    <row r="359" spans="4:4" x14ac:dyDescent="0.25">
      <c r="D359" s="370"/>
    </row>
    <row r="360" spans="4:4" x14ac:dyDescent="0.25">
      <c r="D360" s="370"/>
    </row>
    <row r="361" spans="4:4" x14ac:dyDescent="0.25">
      <c r="D361" s="370"/>
    </row>
    <row r="362" spans="4:4" x14ac:dyDescent="0.25">
      <c r="D362" s="370"/>
    </row>
    <row r="363" spans="4:4" x14ac:dyDescent="0.25">
      <c r="D363" s="370"/>
    </row>
    <row r="364" spans="4:4" x14ac:dyDescent="0.25">
      <c r="D364" s="370"/>
    </row>
    <row r="365" spans="4:4" x14ac:dyDescent="0.25">
      <c r="D365" s="370"/>
    </row>
    <row r="366" spans="4:4" x14ac:dyDescent="0.25">
      <c r="D366" s="370"/>
    </row>
    <row r="367" spans="4:4" x14ac:dyDescent="0.25">
      <c r="D367" s="370"/>
    </row>
    <row r="368" spans="4:4" x14ac:dyDescent="0.25">
      <c r="D368" s="370"/>
    </row>
    <row r="369" spans="4:4" x14ac:dyDescent="0.25">
      <c r="D369" s="370"/>
    </row>
    <row r="370" spans="4:4" x14ac:dyDescent="0.25">
      <c r="D370" s="370"/>
    </row>
    <row r="371" spans="4:4" x14ac:dyDescent="0.25">
      <c r="D371" s="370"/>
    </row>
    <row r="372" spans="4:4" x14ac:dyDescent="0.25">
      <c r="D372" s="370"/>
    </row>
    <row r="373" spans="4:4" x14ac:dyDescent="0.25">
      <c r="D373" s="370"/>
    </row>
    <row r="374" spans="4:4" x14ac:dyDescent="0.25">
      <c r="D374" s="370"/>
    </row>
    <row r="375" spans="4:4" x14ac:dyDescent="0.25">
      <c r="D375" s="370"/>
    </row>
    <row r="376" spans="4:4" x14ac:dyDescent="0.25">
      <c r="D376" s="370"/>
    </row>
    <row r="377" spans="4:4" x14ac:dyDescent="0.25">
      <c r="D377" s="370"/>
    </row>
    <row r="378" spans="4:4" x14ac:dyDescent="0.25">
      <c r="D378" s="370"/>
    </row>
    <row r="379" spans="4:4" x14ac:dyDescent="0.25">
      <c r="D379" s="370"/>
    </row>
    <row r="380" spans="4:4" x14ac:dyDescent="0.25">
      <c r="D380" s="370"/>
    </row>
    <row r="381" spans="4:4" x14ac:dyDescent="0.25">
      <c r="D381" s="370"/>
    </row>
    <row r="382" spans="4:4" x14ac:dyDescent="0.25">
      <c r="D382" s="370"/>
    </row>
    <row r="383" spans="4:4" x14ac:dyDescent="0.25">
      <c r="D383" s="370"/>
    </row>
    <row r="384" spans="4:4" x14ac:dyDescent="0.25">
      <c r="D384" s="370"/>
    </row>
    <row r="385" spans="4:4" x14ac:dyDescent="0.25">
      <c r="D385" s="370"/>
    </row>
    <row r="386" spans="4:4" x14ac:dyDescent="0.25">
      <c r="D386" s="370"/>
    </row>
    <row r="387" spans="4:4" x14ac:dyDescent="0.25">
      <c r="D387" s="370"/>
    </row>
    <row r="388" spans="4:4" x14ac:dyDescent="0.25">
      <c r="D388" s="370"/>
    </row>
    <row r="389" spans="4:4" x14ac:dyDescent="0.25">
      <c r="D389" s="370"/>
    </row>
    <row r="390" spans="4:4" x14ac:dyDescent="0.25">
      <c r="D390" s="370"/>
    </row>
    <row r="391" spans="4:4" x14ac:dyDescent="0.25">
      <c r="D391" s="370"/>
    </row>
    <row r="392" spans="4:4" x14ac:dyDescent="0.25">
      <c r="D392" s="370"/>
    </row>
    <row r="393" spans="4:4" x14ac:dyDescent="0.25">
      <c r="D393" s="370"/>
    </row>
    <row r="394" spans="4:4" x14ac:dyDescent="0.25">
      <c r="D394" s="370"/>
    </row>
    <row r="395" spans="4:4" x14ac:dyDescent="0.25">
      <c r="D395" s="370"/>
    </row>
    <row r="396" spans="4:4" x14ac:dyDescent="0.25">
      <c r="D396" s="370"/>
    </row>
    <row r="397" spans="4:4" x14ac:dyDescent="0.25">
      <c r="D397" s="370"/>
    </row>
    <row r="398" spans="4:4" x14ac:dyDescent="0.25">
      <c r="D398" s="370"/>
    </row>
    <row r="399" spans="4:4" x14ac:dyDescent="0.25">
      <c r="D399" s="370"/>
    </row>
    <row r="400" spans="4:4" x14ac:dyDescent="0.25">
      <c r="D400" s="370"/>
    </row>
    <row r="401" spans="4:4" x14ac:dyDescent="0.25">
      <c r="D401" s="370"/>
    </row>
    <row r="402" spans="4:4" x14ac:dyDescent="0.25">
      <c r="D402" s="370"/>
    </row>
    <row r="403" spans="4:4" x14ac:dyDescent="0.25">
      <c r="D403" s="370"/>
    </row>
    <row r="404" spans="4:4" x14ac:dyDescent="0.25">
      <c r="D404" s="370"/>
    </row>
    <row r="405" spans="4:4" x14ac:dyDescent="0.25">
      <c r="D405" s="370"/>
    </row>
    <row r="406" spans="4:4" x14ac:dyDescent="0.25">
      <c r="D406" s="370"/>
    </row>
    <row r="407" spans="4:4" x14ac:dyDescent="0.25">
      <c r="D407" s="370"/>
    </row>
    <row r="408" spans="4:4" x14ac:dyDescent="0.25">
      <c r="D408" s="370"/>
    </row>
    <row r="409" spans="4:4" x14ac:dyDescent="0.25">
      <c r="D409" s="370"/>
    </row>
    <row r="410" spans="4:4" x14ac:dyDescent="0.25">
      <c r="D410" s="370"/>
    </row>
    <row r="411" spans="4:4" x14ac:dyDescent="0.25">
      <c r="D411" s="370"/>
    </row>
    <row r="412" spans="4:4" x14ac:dyDescent="0.25">
      <c r="D412" s="370"/>
    </row>
    <row r="413" spans="4:4" x14ac:dyDescent="0.25">
      <c r="D413" s="370"/>
    </row>
    <row r="414" spans="4:4" x14ac:dyDescent="0.25">
      <c r="D414" s="370"/>
    </row>
    <row r="415" spans="4:4" x14ac:dyDescent="0.25">
      <c r="D415" s="370"/>
    </row>
    <row r="416" spans="4:4" x14ac:dyDescent="0.25">
      <c r="D416" s="370"/>
    </row>
    <row r="417" spans="4:4" x14ac:dyDescent="0.25">
      <c r="D417" s="370"/>
    </row>
    <row r="418" spans="4:4" x14ac:dyDescent="0.25">
      <c r="D418" s="370"/>
    </row>
    <row r="419" spans="4:4" x14ac:dyDescent="0.25">
      <c r="D419" s="370"/>
    </row>
    <row r="420" spans="4:4" x14ac:dyDescent="0.25">
      <c r="D420" s="370"/>
    </row>
    <row r="421" spans="4:4" x14ac:dyDescent="0.25">
      <c r="D421" s="370"/>
    </row>
    <row r="422" spans="4:4" x14ac:dyDescent="0.25">
      <c r="D422" s="370"/>
    </row>
    <row r="423" spans="4:4" x14ac:dyDescent="0.25">
      <c r="D423" s="370"/>
    </row>
    <row r="424" spans="4:4" x14ac:dyDescent="0.25">
      <c r="D424" s="370"/>
    </row>
    <row r="425" spans="4:4" x14ac:dyDescent="0.25">
      <c r="D425" s="370"/>
    </row>
    <row r="426" spans="4:4" x14ac:dyDescent="0.25">
      <c r="D426" s="370"/>
    </row>
    <row r="427" spans="4:4" x14ac:dyDescent="0.25">
      <c r="D427" s="370"/>
    </row>
    <row r="428" spans="4:4" x14ac:dyDescent="0.25">
      <c r="D428" s="370"/>
    </row>
    <row r="429" spans="4:4" x14ac:dyDescent="0.25">
      <c r="D429" s="370"/>
    </row>
    <row r="430" spans="4:4" x14ac:dyDescent="0.25">
      <c r="D430" s="370"/>
    </row>
    <row r="431" spans="4:4" x14ac:dyDescent="0.25">
      <c r="D431" s="370"/>
    </row>
    <row r="432" spans="4:4" x14ac:dyDescent="0.25">
      <c r="D432" s="370"/>
    </row>
    <row r="433" spans="4:4" x14ac:dyDescent="0.25">
      <c r="D433" s="370"/>
    </row>
    <row r="434" spans="4:4" x14ac:dyDescent="0.25">
      <c r="D434" s="370"/>
    </row>
    <row r="435" spans="4:4" x14ac:dyDescent="0.25">
      <c r="D435" s="370"/>
    </row>
    <row r="436" spans="4:4" x14ac:dyDescent="0.25">
      <c r="D436" s="370"/>
    </row>
    <row r="437" spans="4:4" x14ac:dyDescent="0.25">
      <c r="D437" s="370"/>
    </row>
    <row r="438" spans="4:4" x14ac:dyDescent="0.25">
      <c r="D438" s="370"/>
    </row>
    <row r="439" spans="4:4" x14ac:dyDescent="0.25">
      <c r="D439" s="370"/>
    </row>
    <row r="440" spans="4:4" x14ac:dyDescent="0.25">
      <c r="D440" s="370"/>
    </row>
    <row r="441" spans="4:4" x14ac:dyDescent="0.25">
      <c r="D441" s="370"/>
    </row>
    <row r="442" spans="4:4" x14ac:dyDescent="0.25">
      <c r="D442" s="370"/>
    </row>
    <row r="443" spans="4:4" x14ac:dyDescent="0.25">
      <c r="D443" s="370"/>
    </row>
    <row r="444" spans="4:4" x14ac:dyDescent="0.25">
      <c r="D444" s="370"/>
    </row>
    <row r="445" spans="4:4" x14ac:dyDescent="0.25">
      <c r="D445" s="370"/>
    </row>
    <row r="446" spans="4:4" x14ac:dyDescent="0.25">
      <c r="D446" s="370"/>
    </row>
    <row r="447" spans="4:4" x14ac:dyDescent="0.25">
      <c r="D447" s="370"/>
    </row>
    <row r="448" spans="4:4" x14ac:dyDescent="0.25">
      <c r="D448" s="370"/>
    </row>
    <row r="449" spans="4:4" x14ac:dyDescent="0.25">
      <c r="D449" s="370"/>
    </row>
    <row r="450" spans="4:4" x14ac:dyDescent="0.25">
      <c r="D450" s="370"/>
    </row>
    <row r="451" spans="4:4" x14ac:dyDescent="0.25">
      <c r="D451" s="370"/>
    </row>
    <row r="452" spans="4:4" x14ac:dyDescent="0.25">
      <c r="D452" s="370"/>
    </row>
    <row r="453" spans="4:4" x14ac:dyDescent="0.25">
      <c r="D453" s="370"/>
    </row>
    <row r="454" spans="4:4" x14ac:dyDescent="0.25">
      <c r="D454" s="370"/>
    </row>
    <row r="455" spans="4:4" x14ac:dyDescent="0.25">
      <c r="D455" s="370"/>
    </row>
    <row r="456" spans="4:4" x14ac:dyDescent="0.25">
      <c r="D456" s="370"/>
    </row>
    <row r="457" spans="4:4" x14ac:dyDescent="0.25">
      <c r="D457" s="370"/>
    </row>
    <row r="458" spans="4:4" x14ac:dyDescent="0.25">
      <c r="D458" s="370"/>
    </row>
    <row r="459" spans="4:4" x14ac:dyDescent="0.25">
      <c r="D459" s="370"/>
    </row>
    <row r="460" spans="4:4" x14ac:dyDescent="0.25">
      <c r="D460" s="370"/>
    </row>
    <row r="461" spans="4:4" x14ac:dyDescent="0.25">
      <c r="D461" s="370"/>
    </row>
    <row r="462" spans="4:4" x14ac:dyDescent="0.25">
      <c r="D462" s="370"/>
    </row>
    <row r="463" spans="4:4" x14ac:dyDescent="0.25">
      <c r="D463" s="370"/>
    </row>
    <row r="464" spans="4:4" x14ac:dyDescent="0.25">
      <c r="D464" s="370"/>
    </row>
    <row r="465" spans="4:4" x14ac:dyDescent="0.25">
      <c r="D465" s="370"/>
    </row>
    <row r="466" spans="4:4" x14ac:dyDescent="0.25">
      <c r="D466" s="370"/>
    </row>
    <row r="467" spans="4:4" x14ac:dyDescent="0.25">
      <c r="D467" s="370"/>
    </row>
    <row r="468" spans="4:4" x14ac:dyDescent="0.25">
      <c r="D468" s="370"/>
    </row>
    <row r="469" spans="4:4" x14ac:dyDescent="0.25">
      <c r="D469" s="370"/>
    </row>
    <row r="470" spans="4:4" x14ac:dyDescent="0.25">
      <c r="D470" s="370"/>
    </row>
    <row r="471" spans="4:4" x14ac:dyDescent="0.25">
      <c r="D471" s="370"/>
    </row>
    <row r="472" spans="4:4" x14ac:dyDescent="0.25">
      <c r="D472" s="370"/>
    </row>
    <row r="473" spans="4:4" x14ac:dyDescent="0.25">
      <c r="D473" s="370"/>
    </row>
    <row r="474" spans="4:4" x14ac:dyDescent="0.25">
      <c r="D474" s="370"/>
    </row>
    <row r="475" spans="4:4" x14ac:dyDescent="0.25">
      <c r="D475" s="370"/>
    </row>
    <row r="476" spans="4:4" x14ac:dyDescent="0.25">
      <c r="D476" s="370"/>
    </row>
    <row r="477" spans="4:4" x14ac:dyDescent="0.25">
      <c r="D477" s="370"/>
    </row>
    <row r="478" spans="4:4" x14ac:dyDescent="0.25">
      <c r="D478" s="370"/>
    </row>
    <row r="479" spans="4:4" x14ac:dyDescent="0.25">
      <c r="D479" s="370"/>
    </row>
    <row r="480" spans="4:4" x14ac:dyDescent="0.25">
      <c r="D480" s="370"/>
    </row>
    <row r="481" spans="4:4" x14ac:dyDescent="0.25">
      <c r="D481" s="370"/>
    </row>
    <row r="482" spans="4:4" x14ac:dyDescent="0.25">
      <c r="D482" s="370"/>
    </row>
    <row r="483" spans="4:4" x14ac:dyDescent="0.25">
      <c r="D483" s="370"/>
    </row>
    <row r="484" spans="4:4" x14ac:dyDescent="0.25">
      <c r="D484" s="370"/>
    </row>
    <row r="485" spans="4:4" x14ac:dyDescent="0.25">
      <c r="D485" s="370"/>
    </row>
    <row r="486" spans="4:4" x14ac:dyDescent="0.25">
      <c r="D486" s="370"/>
    </row>
    <row r="487" spans="4:4" x14ac:dyDescent="0.25">
      <c r="D487" s="370"/>
    </row>
    <row r="488" spans="4:4" x14ac:dyDescent="0.25">
      <c r="D488" s="370"/>
    </row>
    <row r="489" spans="4:4" x14ac:dyDescent="0.25">
      <c r="D489" s="370"/>
    </row>
    <row r="490" spans="4:4" x14ac:dyDescent="0.25">
      <c r="D490" s="370"/>
    </row>
    <row r="491" spans="4:4" x14ac:dyDescent="0.25">
      <c r="D491" s="370"/>
    </row>
    <row r="492" spans="4:4" x14ac:dyDescent="0.25">
      <c r="D492" s="370"/>
    </row>
    <row r="493" spans="4:4" x14ac:dyDescent="0.25">
      <c r="D493" s="370"/>
    </row>
    <row r="494" spans="4:4" x14ac:dyDescent="0.25">
      <c r="D494" s="370"/>
    </row>
    <row r="495" spans="4:4" x14ac:dyDescent="0.25">
      <c r="D495" s="370"/>
    </row>
    <row r="496" spans="4:4" x14ac:dyDescent="0.25">
      <c r="D496" s="370"/>
    </row>
    <row r="497" spans="4:4" x14ac:dyDescent="0.25">
      <c r="D497" s="370"/>
    </row>
    <row r="498" spans="4:4" x14ac:dyDescent="0.25">
      <c r="D498" s="370"/>
    </row>
    <row r="499" spans="4:4" x14ac:dyDescent="0.25">
      <c r="D499" s="370"/>
    </row>
    <row r="500" spans="4:4" x14ac:dyDescent="0.25">
      <c r="D500" s="370"/>
    </row>
    <row r="501" spans="4:4" x14ac:dyDescent="0.25">
      <c r="D501" s="370"/>
    </row>
    <row r="502" spans="4:4" x14ac:dyDescent="0.25">
      <c r="D502" s="370"/>
    </row>
    <row r="503" spans="4:4" x14ac:dyDescent="0.25">
      <c r="D503" s="370"/>
    </row>
    <row r="504" spans="4:4" x14ac:dyDescent="0.25">
      <c r="D504" s="370"/>
    </row>
    <row r="505" spans="4:4" x14ac:dyDescent="0.25">
      <c r="D505" s="370"/>
    </row>
    <row r="506" spans="4:4" x14ac:dyDescent="0.25">
      <c r="D506" s="370"/>
    </row>
    <row r="507" spans="4:4" x14ac:dyDescent="0.25">
      <c r="D507" s="370"/>
    </row>
    <row r="508" spans="4:4" x14ac:dyDescent="0.25">
      <c r="D508" s="370"/>
    </row>
    <row r="509" spans="4:4" x14ac:dyDescent="0.25">
      <c r="D509" s="370"/>
    </row>
    <row r="510" spans="4:4" x14ac:dyDescent="0.25">
      <c r="D510" s="370"/>
    </row>
    <row r="511" spans="4:4" x14ac:dyDescent="0.25">
      <c r="D511" s="370"/>
    </row>
    <row r="512" spans="4:4" x14ac:dyDescent="0.25">
      <c r="D512" s="370"/>
    </row>
    <row r="513" spans="4:4" x14ac:dyDescent="0.25">
      <c r="D513" s="370"/>
    </row>
    <row r="514" spans="4:4" x14ac:dyDescent="0.25">
      <c r="D514" s="370"/>
    </row>
    <row r="515" spans="4:4" x14ac:dyDescent="0.25">
      <c r="D515" s="370"/>
    </row>
    <row r="516" spans="4:4" x14ac:dyDescent="0.25">
      <c r="D516" s="370"/>
    </row>
    <row r="517" spans="4:4" x14ac:dyDescent="0.25">
      <c r="D517" s="370"/>
    </row>
    <row r="518" spans="4:4" x14ac:dyDescent="0.25">
      <c r="D518" s="370"/>
    </row>
    <row r="519" spans="4:4" x14ac:dyDescent="0.25">
      <c r="D519" s="370"/>
    </row>
    <row r="520" spans="4:4" x14ac:dyDescent="0.25">
      <c r="D520" s="370"/>
    </row>
    <row r="521" spans="4:4" x14ac:dyDescent="0.25">
      <c r="D521" s="370"/>
    </row>
    <row r="522" spans="4:4" x14ac:dyDescent="0.25">
      <c r="D522" s="370"/>
    </row>
    <row r="523" spans="4:4" x14ac:dyDescent="0.25">
      <c r="D523" s="370"/>
    </row>
    <row r="524" spans="4:4" x14ac:dyDescent="0.25">
      <c r="D524" s="370"/>
    </row>
    <row r="525" spans="4:4" x14ac:dyDescent="0.25">
      <c r="D525" s="370"/>
    </row>
    <row r="526" spans="4:4" x14ac:dyDescent="0.25">
      <c r="D526" s="370"/>
    </row>
    <row r="527" spans="4:4" x14ac:dyDescent="0.25">
      <c r="D527" s="370"/>
    </row>
    <row r="528" spans="4:4" x14ac:dyDescent="0.25">
      <c r="D528" s="370"/>
    </row>
    <row r="529" spans="4:4" x14ac:dyDescent="0.25">
      <c r="D529" s="370"/>
    </row>
    <row r="530" spans="4:4" x14ac:dyDescent="0.25">
      <c r="D530" s="370"/>
    </row>
    <row r="531" spans="4:4" x14ac:dyDescent="0.25">
      <c r="D531" s="370"/>
    </row>
    <row r="532" spans="4:4" x14ac:dyDescent="0.25">
      <c r="D532" s="370"/>
    </row>
    <row r="533" spans="4:4" x14ac:dyDescent="0.25">
      <c r="D533" s="370"/>
    </row>
    <row r="534" spans="4:4" x14ac:dyDescent="0.25">
      <c r="D534" s="370"/>
    </row>
    <row r="535" spans="4:4" x14ac:dyDescent="0.25">
      <c r="D535" s="370"/>
    </row>
    <row r="536" spans="4:4" x14ac:dyDescent="0.25">
      <c r="D536" s="370"/>
    </row>
    <row r="537" spans="4:4" x14ac:dyDescent="0.25">
      <c r="D537" s="370"/>
    </row>
    <row r="538" spans="4:4" x14ac:dyDescent="0.25">
      <c r="D538" s="370"/>
    </row>
    <row r="539" spans="4:4" x14ac:dyDescent="0.25">
      <c r="D539" s="370"/>
    </row>
    <row r="540" spans="4:4" x14ac:dyDescent="0.25">
      <c r="D540" s="370"/>
    </row>
    <row r="541" spans="4:4" x14ac:dyDescent="0.25">
      <c r="D541" s="370"/>
    </row>
    <row r="542" spans="4:4" x14ac:dyDescent="0.25">
      <c r="D542" s="370"/>
    </row>
    <row r="543" spans="4:4" x14ac:dyDescent="0.25">
      <c r="D543" s="370"/>
    </row>
    <row r="544" spans="4:4" x14ac:dyDescent="0.25">
      <c r="D544" s="370"/>
    </row>
    <row r="545" spans="4:4" x14ac:dyDescent="0.25">
      <c r="D545" s="370"/>
    </row>
    <row r="546" spans="4:4" x14ac:dyDescent="0.25">
      <c r="D546" s="370"/>
    </row>
    <row r="547" spans="4:4" x14ac:dyDescent="0.25">
      <c r="D547" s="370"/>
    </row>
    <row r="548" spans="4:4" x14ac:dyDescent="0.25">
      <c r="D548" s="370"/>
    </row>
    <row r="549" spans="4:4" x14ac:dyDescent="0.25">
      <c r="D549" s="370"/>
    </row>
    <row r="550" spans="4:4" x14ac:dyDescent="0.25">
      <c r="D550" s="370"/>
    </row>
    <row r="551" spans="4:4" x14ac:dyDescent="0.25">
      <c r="D551" s="370"/>
    </row>
    <row r="552" spans="4:4" x14ac:dyDescent="0.25">
      <c r="D552" s="370"/>
    </row>
    <row r="553" spans="4:4" x14ac:dyDescent="0.25">
      <c r="D553" s="370"/>
    </row>
    <row r="554" spans="4:4" x14ac:dyDescent="0.25">
      <c r="D554" s="370"/>
    </row>
    <row r="555" spans="4:4" x14ac:dyDescent="0.25">
      <c r="D555" s="370"/>
    </row>
    <row r="556" spans="4:4" x14ac:dyDescent="0.25">
      <c r="D556" s="370"/>
    </row>
    <row r="557" spans="4:4" x14ac:dyDescent="0.25">
      <c r="D557" s="370"/>
    </row>
    <row r="558" spans="4:4" x14ac:dyDescent="0.25">
      <c r="D558" s="370"/>
    </row>
    <row r="559" spans="4:4" x14ac:dyDescent="0.25">
      <c r="D559" s="370"/>
    </row>
    <row r="560" spans="4:4" x14ac:dyDescent="0.25">
      <c r="D560" s="370"/>
    </row>
    <row r="561" spans="4:4" x14ac:dyDescent="0.25">
      <c r="D561" s="370"/>
    </row>
    <row r="562" spans="4:4" x14ac:dyDescent="0.25">
      <c r="D562" s="370"/>
    </row>
    <row r="563" spans="4:4" x14ac:dyDescent="0.25">
      <c r="D563" s="370"/>
    </row>
    <row r="564" spans="4:4" x14ac:dyDescent="0.25">
      <c r="D564" s="370"/>
    </row>
    <row r="565" spans="4:4" x14ac:dyDescent="0.25">
      <c r="D565" s="370"/>
    </row>
    <row r="566" spans="4:4" x14ac:dyDescent="0.25">
      <c r="D566" s="370"/>
    </row>
    <row r="567" spans="4:4" x14ac:dyDescent="0.25">
      <c r="D567" s="370"/>
    </row>
    <row r="568" spans="4:4" x14ac:dyDescent="0.25">
      <c r="D568" s="370"/>
    </row>
    <row r="569" spans="4:4" x14ac:dyDescent="0.25">
      <c r="D569" s="370"/>
    </row>
    <row r="570" spans="4:4" x14ac:dyDescent="0.25">
      <c r="D570" s="370"/>
    </row>
    <row r="571" spans="4:4" x14ac:dyDescent="0.25">
      <c r="D571" s="370"/>
    </row>
    <row r="572" spans="4:4" x14ac:dyDescent="0.25">
      <c r="D572" s="370"/>
    </row>
    <row r="573" spans="4:4" x14ac:dyDescent="0.25">
      <c r="D573" s="370"/>
    </row>
    <row r="574" spans="4:4" x14ac:dyDescent="0.25">
      <c r="D574" s="370"/>
    </row>
    <row r="575" spans="4:4" x14ac:dyDescent="0.25">
      <c r="D575" s="370"/>
    </row>
    <row r="576" spans="4:4" x14ac:dyDescent="0.25">
      <c r="D576" s="370"/>
    </row>
    <row r="577" spans="4:4" x14ac:dyDescent="0.25">
      <c r="D577" s="370"/>
    </row>
    <row r="578" spans="4:4" x14ac:dyDescent="0.25">
      <c r="D578" s="370"/>
    </row>
    <row r="579" spans="4:4" x14ac:dyDescent="0.25">
      <c r="D579" s="370"/>
    </row>
    <row r="580" spans="4:4" x14ac:dyDescent="0.25">
      <c r="D580" s="370"/>
    </row>
    <row r="581" spans="4:4" x14ac:dyDescent="0.25">
      <c r="D581" s="370"/>
    </row>
    <row r="582" spans="4:4" x14ac:dyDescent="0.25">
      <c r="D582" s="370"/>
    </row>
    <row r="583" spans="4:4" x14ac:dyDescent="0.25">
      <c r="D583" s="370"/>
    </row>
    <row r="584" spans="4:4" x14ac:dyDescent="0.25">
      <c r="D584" s="370"/>
    </row>
    <row r="585" spans="4:4" x14ac:dyDescent="0.25">
      <c r="D585" s="370"/>
    </row>
    <row r="586" spans="4:4" x14ac:dyDescent="0.25">
      <c r="D586" s="370"/>
    </row>
    <row r="587" spans="4:4" x14ac:dyDescent="0.25">
      <c r="D587" s="370"/>
    </row>
    <row r="588" spans="4:4" x14ac:dyDescent="0.25">
      <c r="D588" s="370"/>
    </row>
    <row r="589" spans="4:4" x14ac:dyDescent="0.25">
      <c r="D589" s="370"/>
    </row>
    <row r="590" spans="4:4" x14ac:dyDescent="0.25">
      <c r="D590" s="370"/>
    </row>
    <row r="591" spans="4:4" x14ac:dyDescent="0.25">
      <c r="D591" s="370"/>
    </row>
    <row r="592" spans="4:4" x14ac:dyDescent="0.25">
      <c r="D592" s="370"/>
    </row>
    <row r="593" spans="4:4" x14ac:dyDescent="0.25">
      <c r="D593" s="370"/>
    </row>
    <row r="594" spans="4:4" x14ac:dyDescent="0.25">
      <c r="D594" s="370"/>
    </row>
    <row r="595" spans="4:4" x14ac:dyDescent="0.25">
      <c r="D595" s="370"/>
    </row>
    <row r="596" spans="4:4" x14ac:dyDescent="0.25">
      <c r="D596" s="370"/>
    </row>
    <row r="597" spans="4:4" x14ac:dyDescent="0.25">
      <c r="D597" s="370"/>
    </row>
    <row r="598" spans="4:4" x14ac:dyDescent="0.25">
      <c r="D598" s="370"/>
    </row>
    <row r="599" spans="4:4" x14ac:dyDescent="0.25">
      <c r="D599" s="370"/>
    </row>
    <row r="600" spans="4:4" x14ac:dyDescent="0.25">
      <c r="D600" s="370"/>
    </row>
    <row r="601" spans="4:4" x14ac:dyDescent="0.25">
      <c r="D601" s="370"/>
    </row>
    <row r="602" spans="4:4" x14ac:dyDescent="0.25">
      <c r="D602" s="370"/>
    </row>
    <row r="603" spans="4:4" x14ac:dyDescent="0.25">
      <c r="D603" s="370"/>
    </row>
    <row r="604" spans="4:4" x14ac:dyDescent="0.25">
      <c r="D604" s="370"/>
    </row>
    <row r="605" spans="4:4" x14ac:dyDescent="0.25">
      <c r="D605" s="370"/>
    </row>
    <row r="606" spans="4:4" x14ac:dyDescent="0.25">
      <c r="D606" s="370"/>
    </row>
    <row r="607" spans="4:4" x14ac:dyDescent="0.25">
      <c r="D607" s="370"/>
    </row>
    <row r="608" spans="4:4" x14ac:dyDescent="0.25">
      <c r="D608" s="370"/>
    </row>
    <row r="609" spans="4:4" x14ac:dyDescent="0.25">
      <c r="D609" s="370"/>
    </row>
    <row r="610" spans="4:4" x14ac:dyDescent="0.25">
      <c r="D610" s="370"/>
    </row>
    <row r="611" spans="4:4" x14ac:dyDescent="0.25">
      <c r="D611" s="370"/>
    </row>
    <row r="612" spans="4:4" x14ac:dyDescent="0.25">
      <c r="D612" s="370"/>
    </row>
    <row r="613" spans="4:4" x14ac:dyDescent="0.25">
      <c r="D613" s="370"/>
    </row>
    <row r="614" spans="4:4" x14ac:dyDescent="0.25">
      <c r="D614" s="370"/>
    </row>
    <row r="615" spans="4:4" x14ac:dyDescent="0.25">
      <c r="D615" s="370"/>
    </row>
    <row r="616" spans="4:4" x14ac:dyDescent="0.25">
      <c r="D616" s="370"/>
    </row>
    <row r="617" spans="4:4" x14ac:dyDescent="0.25">
      <c r="D617" s="370"/>
    </row>
    <row r="618" spans="4:4" x14ac:dyDescent="0.25">
      <c r="D618" s="370"/>
    </row>
    <row r="619" spans="4:4" x14ac:dyDescent="0.25">
      <c r="D619" s="370"/>
    </row>
    <row r="620" spans="4:4" x14ac:dyDescent="0.25">
      <c r="D620" s="370"/>
    </row>
    <row r="621" spans="4:4" x14ac:dyDescent="0.25">
      <c r="D621" s="370"/>
    </row>
    <row r="622" spans="4:4" x14ac:dyDescent="0.25">
      <c r="D622" s="370"/>
    </row>
    <row r="623" spans="4:4" x14ac:dyDescent="0.25">
      <c r="D623" s="370"/>
    </row>
    <row r="624" spans="4:4" x14ac:dyDescent="0.25">
      <c r="D624" s="370"/>
    </row>
    <row r="625" spans="4:4" x14ac:dyDescent="0.25">
      <c r="D625" s="370"/>
    </row>
    <row r="626" spans="4:4" x14ac:dyDescent="0.25">
      <c r="D626" s="370"/>
    </row>
    <row r="627" spans="4:4" x14ac:dyDescent="0.25">
      <c r="D627" s="370"/>
    </row>
    <row r="628" spans="4:4" x14ac:dyDescent="0.25">
      <c r="D628" s="370"/>
    </row>
    <row r="629" spans="4:4" x14ac:dyDescent="0.25">
      <c r="D629" s="370"/>
    </row>
    <row r="630" spans="4:4" x14ac:dyDescent="0.25">
      <c r="D630" s="370"/>
    </row>
    <row r="631" spans="4:4" x14ac:dyDescent="0.25">
      <c r="D631" s="370"/>
    </row>
    <row r="632" spans="4:4" x14ac:dyDescent="0.25">
      <c r="D632" s="370"/>
    </row>
    <row r="633" spans="4:4" x14ac:dyDescent="0.25">
      <c r="D633" s="370"/>
    </row>
    <row r="634" spans="4:4" x14ac:dyDescent="0.25">
      <c r="D634" s="370"/>
    </row>
    <row r="635" spans="4:4" x14ac:dyDescent="0.25">
      <c r="D635" s="370"/>
    </row>
    <row r="636" spans="4:4" x14ac:dyDescent="0.25">
      <c r="D636" s="370"/>
    </row>
    <row r="637" spans="4:4" x14ac:dyDescent="0.25">
      <c r="D637" s="370"/>
    </row>
    <row r="638" spans="4:4" x14ac:dyDescent="0.25">
      <c r="D638" s="370"/>
    </row>
    <row r="639" spans="4:4" x14ac:dyDescent="0.25">
      <c r="D639" s="370"/>
    </row>
    <row r="640" spans="4:4" x14ac:dyDescent="0.25">
      <c r="D640" s="370"/>
    </row>
    <row r="641" spans="4:4" x14ac:dyDescent="0.25">
      <c r="D641" s="370"/>
    </row>
    <row r="642" spans="4:4" x14ac:dyDescent="0.25">
      <c r="D642" s="370"/>
    </row>
    <row r="643" spans="4:4" x14ac:dyDescent="0.25">
      <c r="D643" s="370"/>
    </row>
    <row r="644" spans="4:4" x14ac:dyDescent="0.25">
      <c r="D644" s="370"/>
    </row>
    <row r="645" spans="4:4" x14ac:dyDescent="0.25">
      <c r="D645" s="370"/>
    </row>
    <row r="646" spans="4:4" x14ac:dyDescent="0.25">
      <c r="D646" s="370"/>
    </row>
    <row r="647" spans="4:4" x14ac:dyDescent="0.25">
      <c r="D647" s="370"/>
    </row>
    <row r="648" spans="4:4" x14ac:dyDescent="0.25">
      <c r="D648" s="370"/>
    </row>
    <row r="649" spans="4:4" x14ac:dyDescent="0.25">
      <c r="D649" s="370"/>
    </row>
    <row r="650" spans="4:4" x14ac:dyDescent="0.25">
      <c r="D650" s="370"/>
    </row>
    <row r="651" spans="4:4" x14ac:dyDescent="0.25">
      <c r="D651" s="370"/>
    </row>
    <row r="652" spans="4:4" x14ac:dyDescent="0.25">
      <c r="D652" s="370"/>
    </row>
    <row r="653" spans="4:4" x14ac:dyDescent="0.25">
      <c r="D653" s="370"/>
    </row>
    <row r="654" spans="4:4" x14ac:dyDescent="0.25">
      <c r="D654" s="370"/>
    </row>
    <row r="655" spans="4:4" x14ac:dyDescent="0.25">
      <c r="D655" s="370"/>
    </row>
    <row r="656" spans="4:4" x14ac:dyDescent="0.25">
      <c r="D656" s="370"/>
    </row>
    <row r="657" spans="4:4" x14ac:dyDescent="0.25">
      <c r="D657" s="370"/>
    </row>
    <row r="658" spans="4:4" x14ac:dyDescent="0.25">
      <c r="D658" s="370"/>
    </row>
    <row r="659" spans="4:4" x14ac:dyDescent="0.25">
      <c r="D659" s="370"/>
    </row>
    <row r="660" spans="4:4" x14ac:dyDescent="0.25">
      <c r="D660" s="370"/>
    </row>
    <row r="661" spans="4:4" x14ac:dyDescent="0.25">
      <c r="D661" s="370"/>
    </row>
  </sheetData>
  <conditionalFormatting sqref="A2">
    <cfRule type="cellIs" dxfId="13" priority="1" stopIfTrue="1" operator="equal">
      <formula>"n/a"</formula>
    </cfRule>
  </conditionalFormatting>
  <conditionalFormatting sqref="A2">
    <cfRule type="duplicateValues" dxfId="12" priority="2"/>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39987-0969-473B-98E9-F2AE95218D9E}">
  <sheetPr codeName="Sheet7">
    <tabColor theme="4"/>
  </sheetPr>
  <dimension ref="A1:D189"/>
  <sheetViews>
    <sheetView workbookViewId="0">
      <selection activeCell="C6" sqref="C6"/>
    </sheetView>
  </sheetViews>
  <sheetFormatPr defaultRowHeight="15" x14ac:dyDescent="0.25"/>
  <cols>
    <col min="1" max="1" width="41.140625" bestFit="1" customWidth="1"/>
    <col min="2" max="2" width="7.7109375" customWidth="1"/>
  </cols>
  <sheetData>
    <row r="1" spans="1:4" ht="20.100000000000001" customHeight="1" x14ac:dyDescent="0.25">
      <c r="A1" s="57" t="s">
        <v>50</v>
      </c>
      <c r="B1" s="160" t="s">
        <v>84</v>
      </c>
      <c r="D1" s="367" t="s">
        <v>475</v>
      </c>
    </row>
    <row r="2" spans="1:4" x14ac:dyDescent="0.25">
      <c r="A2" s="56" t="s">
        <v>39</v>
      </c>
      <c r="B2" s="58">
        <v>103</v>
      </c>
    </row>
    <row r="3" spans="1:4" x14ac:dyDescent="0.25">
      <c r="A3" s="56" t="s">
        <v>258</v>
      </c>
      <c r="B3" s="58">
        <v>55</v>
      </c>
    </row>
    <row r="4" spans="1:4" x14ac:dyDescent="0.25">
      <c r="A4" s="56" t="s">
        <v>340</v>
      </c>
      <c r="B4" s="58">
        <v>38</v>
      </c>
    </row>
    <row r="5" spans="1:4" x14ac:dyDescent="0.25">
      <c r="A5" s="56" t="s">
        <v>278</v>
      </c>
      <c r="B5" s="58">
        <v>36</v>
      </c>
    </row>
    <row r="6" spans="1:4" x14ac:dyDescent="0.25">
      <c r="A6" s="56" t="s">
        <v>261</v>
      </c>
      <c r="B6" s="58">
        <v>26</v>
      </c>
    </row>
    <row r="7" spans="1:4" x14ac:dyDescent="0.25">
      <c r="A7" s="56" t="s">
        <v>263</v>
      </c>
      <c r="B7" s="58">
        <v>17</v>
      </c>
    </row>
    <row r="8" spans="1:4" x14ac:dyDescent="0.25">
      <c r="A8" s="56" t="s">
        <v>293</v>
      </c>
      <c r="B8" s="58">
        <v>15</v>
      </c>
    </row>
    <row r="9" spans="1:4" x14ac:dyDescent="0.25">
      <c r="A9" s="56" t="s">
        <v>256</v>
      </c>
      <c r="B9" s="58">
        <v>14</v>
      </c>
    </row>
    <row r="10" spans="1:4" x14ac:dyDescent="0.25">
      <c r="A10" s="56" t="s">
        <v>449</v>
      </c>
      <c r="B10" s="58">
        <v>12</v>
      </c>
    </row>
    <row r="11" spans="1:4" x14ac:dyDescent="0.25">
      <c r="A11" s="56" t="s">
        <v>281</v>
      </c>
      <c r="B11" s="58">
        <v>11</v>
      </c>
    </row>
    <row r="12" spans="1:4" x14ac:dyDescent="0.25">
      <c r="A12" s="56" t="s">
        <v>289</v>
      </c>
      <c r="B12" s="58">
        <v>11</v>
      </c>
    </row>
    <row r="13" spans="1:4" x14ac:dyDescent="0.25">
      <c r="A13" s="56" t="s">
        <v>453</v>
      </c>
      <c r="B13" s="58">
        <v>11</v>
      </c>
    </row>
    <row r="14" spans="1:4" x14ac:dyDescent="0.25">
      <c r="A14" s="56" t="s">
        <v>285</v>
      </c>
      <c r="B14" s="58">
        <v>11</v>
      </c>
    </row>
    <row r="15" spans="1:4" x14ac:dyDescent="0.25">
      <c r="A15" s="56" t="s">
        <v>290</v>
      </c>
      <c r="B15" s="58">
        <v>10</v>
      </c>
    </row>
    <row r="16" spans="1:4" x14ac:dyDescent="0.25">
      <c r="A16" s="56" t="s">
        <v>331</v>
      </c>
      <c r="B16" s="58">
        <v>10</v>
      </c>
    </row>
    <row r="17" spans="1:2" x14ac:dyDescent="0.25">
      <c r="A17" s="56" t="s">
        <v>262</v>
      </c>
      <c r="B17" s="58">
        <v>10</v>
      </c>
    </row>
    <row r="18" spans="1:2" x14ac:dyDescent="0.25">
      <c r="A18" s="56" t="s">
        <v>336</v>
      </c>
      <c r="B18" s="58">
        <v>9</v>
      </c>
    </row>
    <row r="19" spans="1:2" x14ac:dyDescent="0.25">
      <c r="A19" s="56" t="s">
        <v>277</v>
      </c>
      <c r="B19" s="58">
        <v>8</v>
      </c>
    </row>
    <row r="20" spans="1:2" x14ac:dyDescent="0.25">
      <c r="A20" s="56" t="s">
        <v>322</v>
      </c>
      <c r="B20" s="58">
        <v>7</v>
      </c>
    </row>
    <row r="21" spans="1:2" x14ac:dyDescent="0.25">
      <c r="A21" s="56" t="s">
        <v>272</v>
      </c>
      <c r="B21" s="58">
        <v>6</v>
      </c>
    </row>
    <row r="22" spans="1:2" x14ac:dyDescent="0.25">
      <c r="A22" s="56" t="s">
        <v>269</v>
      </c>
      <c r="B22" s="58">
        <v>6</v>
      </c>
    </row>
    <row r="23" spans="1:2" x14ac:dyDescent="0.25">
      <c r="A23" s="56" t="s">
        <v>303</v>
      </c>
      <c r="B23" s="58">
        <v>6</v>
      </c>
    </row>
    <row r="24" spans="1:2" x14ac:dyDescent="0.25">
      <c r="A24" s="56" t="s">
        <v>338</v>
      </c>
      <c r="B24" s="58">
        <v>5</v>
      </c>
    </row>
    <row r="25" spans="1:2" x14ac:dyDescent="0.25">
      <c r="A25" s="56" t="s">
        <v>326</v>
      </c>
      <c r="B25" s="58">
        <v>5</v>
      </c>
    </row>
    <row r="26" spans="1:2" x14ac:dyDescent="0.25">
      <c r="A26" s="56" t="s">
        <v>286</v>
      </c>
      <c r="B26" s="58">
        <v>4</v>
      </c>
    </row>
    <row r="27" spans="1:2" x14ac:dyDescent="0.25">
      <c r="A27" s="56" t="s">
        <v>284</v>
      </c>
      <c r="B27" s="58">
        <v>4</v>
      </c>
    </row>
    <row r="28" spans="1:2" x14ac:dyDescent="0.25">
      <c r="A28" s="56" t="s">
        <v>349</v>
      </c>
      <c r="B28" s="58">
        <v>4</v>
      </c>
    </row>
    <row r="29" spans="1:2" x14ac:dyDescent="0.25">
      <c r="A29" s="56" t="s">
        <v>328</v>
      </c>
      <c r="B29" s="58">
        <v>3</v>
      </c>
    </row>
    <row r="30" spans="1:2" x14ac:dyDescent="0.25">
      <c r="A30" s="56" t="s">
        <v>374</v>
      </c>
      <c r="B30" s="58">
        <v>3</v>
      </c>
    </row>
    <row r="31" spans="1:2" x14ac:dyDescent="0.25">
      <c r="A31" s="56" t="s">
        <v>264</v>
      </c>
      <c r="B31" s="58">
        <v>3</v>
      </c>
    </row>
    <row r="32" spans="1:2" x14ac:dyDescent="0.25">
      <c r="A32" s="56" t="s">
        <v>297</v>
      </c>
      <c r="B32" s="58">
        <v>3</v>
      </c>
    </row>
    <row r="33" spans="1:2" x14ac:dyDescent="0.25">
      <c r="A33" s="56" t="s">
        <v>323</v>
      </c>
      <c r="B33" s="58">
        <v>3</v>
      </c>
    </row>
    <row r="34" spans="1:2" x14ac:dyDescent="0.25">
      <c r="A34" s="56" t="s">
        <v>268</v>
      </c>
      <c r="B34" s="58">
        <v>3</v>
      </c>
    </row>
    <row r="35" spans="1:2" x14ac:dyDescent="0.25">
      <c r="A35" s="56" t="s">
        <v>276</v>
      </c>
      <c r="B35" s="58">
        <v>3</v>
      </c>
    </row>
    <row r="36" spans="1:2" x14ac:dyDescent="0.25">
      <c r="A36" s="56" t="s">
        <v>305</v>
      </c>
      <c r="B36" s="58">
        <v>3</v>
      </c>
    </row>
    <row r="37" spans="1:2" x14ac:dyDescent="0.25">
      <c r="A37" s="56" t="s">
        <v>364</v>
      </c>
      <c r="B37" s="58">
        <v>3</v>
      </c>
    </row>
    <row r="38" spans="1:2" x14ac:dyDescent="0.25">
      <c r="A38" s="56" t="s">
        <v>313</v>
      </c>
      <c r="B38" s="58">
        <v>3</v>
      </c>
    </row>
    <row r="39" spans="1:2" x14ac:dyDescent="0.25">
      <c r="A39" s="56" t="s">
        <v>320</v>
      </c>
      <c r="B39" s="58">
        <v>3</v>
      </c>
    </row>
    <row r="40" spans="1:2" x14ac:dyDescent="0.25">
      <c r="A40" s="56" t="s">
        <v>362</v>
      </c>
      <c r="B40" s="58">
        <v>3</v>
      </c>
    </row>
    <row r="41" spans="1:2" x14ac:dyDescent="0.25">
      <c r="A41" s="56" t="s">
        <v>380</v>
      </c>
      <c r="B41" s="58">
        <v>2</v>
      </c>
    </row>
    <row r="42" spans="1:2" x14ac:dyDescent="0.25">
      <c r="A42" s="56" t="s">
        <v>347</v>
      </c>
      <c r="B42" s="58">
        <v>2</v>
      </c>
    </row>
    <row r="43" spans="1:2" x14ac:dyDescent="0.25">
      <c r="A43" s="56" t="s">
        <v>260</v>
      </c>
      <c r="B43" s="58">
        <v>2</v>
      </c>
    </row>
    <row r="44" spans="1:2" x14ac:dyDescent="0.25">
      <c r="A44" s="56" t="s">
        <v>275</v>
      </c>
      <c r="B44" s="58">
        <v>2</v>
      </c>
    </row>
    <row r="45" spans="1:2" x14ac:dyDescent="0.25">
      <c r="A45" s="56" t="s">
        <v>358</v>
      </c>
      <c r="B45" s="58">
        <v>2</v>
      </c>
    </row>
    <row r="46" spans="1:2" x14ac:dyDescent="0.25">
      <c r="A46" s="56" t="s">
        <v>306</v>
      </c>
      <c r="B46" s="58">
        <v>2</v>
      </c>
    </row>
    <row r="47" spans="1:2" x14ac:dyDescent="0.25">
      <c r="A47" s="56" t="s">
        <v>442</v>
      </c>
      <c r="B47" s="58">
        <v>2</v>
      </c>
    </row>
    <row r="48" spans="1:2" x14ac:dyDescent="0.25">
      <c r="A48" s="56" t="s">
        <v>307</v>
      </c>
      <c r="B48" s="58">
        <v>2</v>
      </c>
    </row>
    <row r="49" spans="1:2" x14ac:dyDescent="0.25">
      <c r="A49" s="56" t="s">
        <v>344</v>
      </c>
      <c r="B49" s="58">
        <v>2</v>
      </c>
    </row>
    <row r="50" spans="1:2" x14ac:dyDescent="0.25">
      <c r="A50" s="56" t="s">
        <v>312</v>
      </c>
      <c r="B50" s="58">
        <v>2</v>
      </c>
    </row>
    <row r="51" spans="1:2" x14ac:dyDescent="0.25">
      <c r="A51" s="56" t="s">
        <v>348</v>
      </c>
      <c r="B51" s="58">
        <v>2</v>
      </c>
    </row>
    <row r="52" spans="1:2" x14ac:dyDescent="0.25">
      <c r="A52" s="56" t="s">
        <v>314</v>
      </c>
      <c r="B52" s="58">
        <v>2</v>
      </c>
    </row>
    <row r="53" spans="1:2" x14ac:dyDescent="0.25">
      <c r="A53" s="56" t="s">
        <v>280</v>
      </c>
      <c r="B53" s="58">
        <v>2</v>
      </c>
    </row>
    <row r="54" spans="1:2" x14ac:dyDescent="0.25">
      <c r="A54" s="56" t="s">
        <v>283</v>
      </c>
      <c r="B54" s="58">
        <v>2</v>
      </c>
    </row>
    <row r="55" spans="1:2" x14ac:dyDescent="0.25">
      <c r="A55" s="56" t="s">
        <v>383</v>
      </c>
      <c r="B55" s="58">
        <v>2</v>
      </c>
    </row>
    <row r="56" spans="1:2" x14ac:dyDescent="0.25">
      <c r="A56" s="56" t="s">
        <v>333</v>
      </c>
      <c r="B56" s="58">
        <v>2</v>
      </c>
    </row>
    <row r="57" spans="1:2" x14ac:dyDescent="0.25">
      <c r="A57" s="56" t="s">
        <v>420</v>
      </c>
      <c r="B57" s="58">
        <v>2</v>
      </c>
    </row>
    <row r="58" spans="1:2" x14ac:dyDescent="0.25">
      <c r="A58" s="56" t="s">
        <v>342</v>
      </c>
      <c r="B58" s="58">
        <v>2</v>
      </c>
    </row>
    <row r="59" spans="1:2" x14ac:dyDescent="0.25">
      <c r="A59" s="56" t="s">
        <v>444</v>
      </c>
      <c r="B59" s="58">
        <v>2</v>
      </c>
    </row>
    <row r="60" spans="1:2" x14ac:dyDescent="0.25">
      <c r="A60" s="56" t="s">
        <v>343</v>
      </c>
      <c r="B60" s="58">
        <v>2</v>
      </c>
    </row>
    <row r="61" spans="1:2" x14ac:dyDescent="0.25">
      <c r="A61" s="56" t="s">
        <v>366</v>
      </c>
      <c r="B61" s="58">
        <v>2</v>
      </c>
    </row>
    <row r="62" spans="1:2" x14ac:dyDescent="0.25">
      <c r="A62" s="56" t="s">
        <v>378</v>
      </c>
      <c r="B62" s="58">
        <v>1</v>
      </c>
    </row>
    <row r="63" spans="1:2" x14ac:dyDescent="0.25">
      <c r="A63" s="56" t="s">
        <v>415</v>
      </c>
      <c r="B63" s="58">
        <v>1</v>
      </c>
    </row>
    <row r="64" spans="1:2" x14ac:dyDescent="0.25">
      <c r="A64" s="56" t="s">
        <v>395</v>
      </c>
      <c r="B64" s="58">
        <v>1</v>
      </c>
    </row>
    <row r="65" spans="1:2" x14ac:dyDescent="0.25">
      <c r="A65" s="56" t="s">
        <v>316</v>
      </c>
      <c r="B65" s="58">
        <v>1</v>
      </c>
    </row>
    <row r="66" spans="1:2" x14ac:dyDescent="0.25">
      <c r="A66" s="56" t="s">
        <v>454</v>
      </c>
      <c r="B66" s="58">
        <v>1</v>
      </c>
    </row>
    <row r="67" spans="1:2" x14ac:dyDescent="0.25">
      <c r="A67" s="56" t="s">
        <v>317</v>
      </c>
      <c r="B67" s="58">
        <v>1</v>
      </c>
    </row>
    <row r="68" spans="1:2" x14ac:dyDescent="0.25">
      <c r="A68" s="56" t="s">
        <v>387</v>
      </c>
      <c r="B68" s="58">
        <v>1</v>
      </c>
    </row>
    <row r="69" spans="1:2" x14ac:dyDescent="0.25">
      <c r="A69" s="56" t="s">
        <v>318</v>
      </c>
      <c r="B69" s="58">
        <v>1</v>
      </c>
    </row>
    <row r="70" spans="1:2" x14ac:dyDescent="0.25">
      <c r="A70" s="56" t="s">
        <v>403</v>
      </c>
      <c r="B70" s="58">
        <v>1</v>
      </c>
    </row>
    <row r="71" spans="1:2" x14ac:dyDescent="0.25">
      <c r="A71" s="56" t="s">
        <v>319</v>
      </c>
      <c r="B71" s="58">
        <v>1</v>
      </c>
    </row>
    <row r="72" spans="1:2" x14ac:dyDescent="0.25">
      <c r="A72" s="56" t="s">
        <v>422</v>
      </c>
      <c r="B72" s="58">
        <v>1</v>
      </c>
    </row>
    <row r="73" spans="1:2" x14ac:dyDescent="0.25">
      <c r="A73" s="56" t="s">
        <v>287</v>
      </c>
      <c r="B73" s="58">
        <v>1</v>
      </c>
    </row>
    <row r="74" spans="1:2" x14ac:dyDescent="0.25">
      <c r="A74" s="56" t="s">
        <v>457</v>
      </c>
      <c r="B74" s="58">
        <v>1</v>
      </c>
    </row>
    <row r="75" spans="1:2" x14ac:dyDescent="0.25">
      <c r="A75" s="56" t="s">
        <v>321</v>
      </c>
      <c r="B75" s="58">
        <v>1</v>
      </c>
    </row>
    <row r="76" spans="1:2" x14ac:dyDescent="0.25">
      <c r="A76" s="56" t="s">
        <v>310</v>
      </c>
      <c r="B76" s="58">
        <v>1</v>
      </c>
    </row>
    <row r="77" spans="1:2" x14ac:dyDescent="0.25">
      <c r="A77" s="56" t="s">
        <v>271</v>
      </c>
      <c r="B77" s="58">
        <v>1</v>
      </c>
    </row>
    <row r="78" spans="1:2" x14ac:dyDescent="0.25">
      <c r="A78" s="56" t="s">
        <v>391</v>
      </c>
      <c r="B78" s="58">
        <v>1</v>
      </c>
    </row>
    <row r="79" spans="1:2" x14ac:dyDescent="0.25">
      <c r="A79" s="56" t="s">
        <v>288</v>
      </c>
      <c r="B79" s="58">
        <v>1</v>
      </c>
    </row>
    <row r="80" spans="1:2" x14ac:dyDescent="0.25">
      <c r="A80" s="56" t="s">
        <v>399</v>
      </c>
      <c r="B80" s="58">
        <v>1</v>
      </c>
    </row>
    <row r="81" spans="1:2" x14ac:dyDescent="0.25">
      <c r="A81" s="56" t="s">
        <v>325</v>
      </c>
      <c r="B81" s="58">
        <v>1</v>
      </c>
    </row>
    <row r="82" spans="1:2" x14ac:dyDescent="0.25">
      <c r="A82" s="56" t="s">
        <v>407</v>
      </c>
      <c r="B82" s="58">
        <v>1</v>
      </c>
    </row>
    <row r="83" spans="1:2" x14ac:dyDescent="0.25">
      <c r="A83" s="56" t="s">
        <v>259</v>
      </c>
      <c r="B83" s="58">
        <v>1</v>
      </c>
    </row>
    <row r="84" spans="1:2" x14ac:dyDescent="0.25">
      <c r="A84" s="56" t="s">
        <v>418</v>
      </c>
      <c r="B84" s="58">
        <v>1</v>
      </c>
    </row>
    <row r="85" spans="1:2" x14ac:dyDescent="0.25">
      <c r="A85" s="56" t="s">
        <v>282</v>
      </c>
      <c r="B85" s="58">
        <v>1</v>
      </c>
    </row>
    <row r="86" spans="1:2" x14ac:dyDescent="0.25">
      <c r="A86" s="56" t="s">
        <v>450</v>
      </c>
      <c r="B86" s="58">
        <v>1</v>
      </c>
    </row>
    <row r="87" spans="1:2" x14ac:dyDescent="0.25">
      <c r="A87" s="56" t="s">
        <v>329</v>
      </c>
      <c r="B87" s="58">
        <v>1</v>
      </c>
    </row>
    <row r="88" spans="1:2" x14ac:dyDescent="0.25">
      <c r="A88" s="56" t="s">
        <v>375</v>
      </c>
      <c r="B88" s="58">
        <v>1</v>
      </c>
    </row>
    <row r="89" spans="1:2" x14ac:dyDescent="0.25">
      <c r="A89" s="56" t="s">
        <v>330</v>
      </c>
      <c r="B89" s="58">
        <v>1</v>
      </c>
    </row>
    <row r="90" spans="1:2" x14ac:dyDescent="0.25">
      <c r="A90" s="56" t="s">
        <v>440</v>
      </c>
      <c r="B90" s="58">
        <v>1</v>
      </c>
    </row>
    <row r="91" spans="1:2" x14ac:dyDescent="0.25">
      <c r="A91" s="56" t="s">
        <v>300</v>
      </c>
      <c r="B91" s="58">
        <v>1</v>
      </c>
    </row>
    <row r="92" spans="1:2" x14ac:dyDescent="0.25">
      <c r="A92" s="56" t="s">
        <v>381</v>
      </c>
      <c r="B92" s="58">
        <v>1</v>
      </c>
    </row>
    <row r="93" spans="1:2" x14ac:dyDescent="0.25">
      <c r="A93" s="56" t="s">
        <v>332</v>
      </c>
      <c r="B93" s="58">
        <v>1</v>
      </c>
    </row>
    <row r="94" spans="1:2" x14ac:dyDescent="0.25">
      <c r="A94" s="56" t="s">
        <v>385</v>
      </c>
      <c r="B94" s="58">
        <v>1</v>
      </c>
    </row>
    <row r="95" spans="1:2" x14ac:dyDescent="0.25">
      <c r="A95" s="56" t="s">
        <v>301</v>
      </c>
      <c r="B95" s="58">
        <v>1</v>
      </c>
    </row>
    <row r="96" spans="1:2" x14ac:dyDescent="0.25">
      <c r="A96" s="56" t="s">
        <v>389</v>
      </c>
      <c r="B96" s="58">
        <v>1</v>
      </c>
    </row>
    <row r="97" spans="1:2" x14ac:dyDescent="0.25">
      <c r="A97" s="56" t="s">
        <v>334</v>
      </c>
      <c r="B97" s="58">
        <v>1</v>
      </c>
    </row>
    <row r="98" spans="1:2" x14ac:dyDescent="0.25">
      <c r="A98" s="56" t="s">
        <v>393</v>
      </c>
      <c r="B98" s="58">
        <v>1</v>
      </c>
    </row>
    <row r="99" spans="1:2" x14ac:dyDescent="0.25">
      <c r="A99" s="56" t="s">
        <v>335</v>
      </c>
      <c r="B99" s="58">
        <v>1</v>
      </c>
    </row>
    <row r="100" spans="1:2" x14ac:dyDescent="0.25">
      <c r="A100" s="56" t="s">
        <v>397</v>
      </c>
      <c r="B100" s="58">
        <v>1</v>
      </c>
    </row>
    <row r="101" spans="1:2" x14ac:dyDescent="0.25">
      <c r="A101" s="56" t="s">
        <v>266</v>
      </c>
      <c r="B101" s="58">
        <v>1</v>
      </c>
    </row>
    <row r="102" spans="1:2" x14ac:dyDescent="0.25">
      <c r="A102" s="56" t="s">
        <v>401</v>
      </c>
      <c r="B102" s="58">
        <v>1</v>
      </c>
    </row>
    <row r="103" spans="1:2" x14ac:dyDescent="0.25">
      <c r="A103" s="56" t="s">
        <v>337</v>
      </c>
      <c r="B103" s="58">
        <v>1</v>
      </c>
    </row>
    <row r="104" spans="1:2" x14ac:dyDescent="0.25">
      <c r="A104" s="56" t="s">
        <v>405</v>
      </c>
      <c r="B104" s="58">
        <v>1</v>
      </c>
    </row>
    <row r="105" spans="1:2" x14ac:dyDescent="0.25">
      <c r="A105" s="56" t="s">
        <v>273</v>
      </c>
      <c r="B105" s="58">
        <v>1</v>
      </c>
    </row>
    <row r="106" spans="1:2" x14ac:dyDescent="0.25">
      <c r="A106" s="56" t="s">
        <v>409</v>
      </c>
      <c r="B106" s="58">
        <v>1</v>
      </c>
    </row>
    <row r="107" spans="1:2" x14ac:dyDescent="0.25">
      <c r="A107" s="56" t="s">
        <v>339</v>
      </c>
      <c r="B107" s="58">
        <v>1</v>
      </c>
    </row>
    <row r="108" spans="1:2" x14ac:dyDescent="0.25">
      <c r="A108" s="56" t="s">
        <v>416</v>
      </c>
      <c r="B108" s="58">
        <v>1</v>
      </c>
    </row>
    <row r="109" spans="1:2" x14ac:dyDescent="0.25">
      <c r="A109" s="56" t="s">
        <v>291</v>
      </c>
      <c r="B109" s="58">
        <v>1</v>
      </c>
    </row>
    <row r="110" spans="1:2" x14ac:dyDescent="0.25">
      <c r="A110" s="56" t="s">
        <v>298</v>
      </c>
      <c r="B110" s="58">
        <v>1</v>
      </c>
    </row>
    <row r="111" spans="1:2" x14ac:dyDescent="0.25">
      <c r="A111" s="56" t="s">
        <v>341</v>
      </c>
      <c r="B111" s="58">
        <v>1</v>
      </c>
    </row>
    <row r="112" spans="1:2" x14ac:dyDescent="0.25">
      <c r="A112" s="56" t="s">
        <v>451</v>
      </c>
      <c r="B112" s="58">
        <v>1</v>
      </c>
    </row>
    <row r="113" spans="1:2" x14ac:dyDescent="0.25">
      <c r="A113" s="56" t="s">
        <v>302</v>
      </c>
      <c r="B113" s="58">
        <v>1</v>
      </c>
    </row>
    <row r="114" spans="1:2" x14ac:dyDescent="0.25">
      <c r="A114" s="56" t="s">
        <v>455</v>
      </c>
      <c r="B114" s="58">
        <v>1</v>
      </c>
    </row>
    <row r="115" spans="1:2" x14ac:dyDescent="0.25">
      <c r="A115" s="56" t="s">
        <v>257</v>
      </c>
      <c r="B115" s="58">
        <v>1</v>
      </c>
    </row>
    <row r="116" spans="1:2" x14ac:dyDescent="0.25">
      <c r="A116" s="56" t="s">
        <v>299</v>
      </c>
      <c r="B116" s="58">
        <v>1</v>
      </c>
    </row>
    <row r="117" spans="1:2" x14ac:dyDescent="0.25">
      <c r="A117" s="56" t="s">
        <v>304</v>
      </c>
      <c r="B117" s="58">
        <v>1</v>
      </c>
    </row>
    <row r="118" spans="1:2" x14ac:dyDescent="0.25">
      <c r="A118" s="56" t="s">
        <v>459</v>
      </c>
      <c r="B118" s="58">
        <v>1</v>
      </c>
    </row>
    <row r="119" spans="1:2" x14ac:dyDescent="0.25">
      <c r="A119" s="56" t="s">
        <v>327</v>
      </c>
      <c r="B119" s="58">
        <v>1</v>
      </c>
    </row>
    <row r="120" spans="1:2" x14ac:dyDescent="0.25">
      <c r="A120" s="56" t="s">
        <v>448</v>
      </c>
      <c r="B120" s="58">
        <v>1</v>
      </c>
    </row>
    <row r="121" spans="1:2" x14ac:dyDescent="0.25">
      <c r="A121" s="56" t="s">
        <v>345</v>
      </c>
      <c r="B121" s="58">
        <v>1</v>
      </c>
    </row>
    <row r="122" spans="1:2" x14ac:dyDescent="0.25">
      <c r="A122" s="56" t="s">
        <v>315</v>
      </c>
      <c r="B122" s="58">
        <v>1</v>
      </c>
    </row>
    <row r="123" spans="1:2" x14ac:dyDescent="0.25">
      <c r="A123" s="56" t="s">
        <v>346</v>
      </c>
      <c r="B123" s="58">
        <v>1</v>
      </c>
    </row>
    <row r="124" spans="1:2" x14ac:dyDescent="0.25">
      <c r="A124" s="56" t="s">
        <v>309</v>
      </c>
      <c r="B124" s="58">
        <v>1</v>
      </c>
    </row>
    <row r="125" spans="1:2" x14ac:dyDescent="0.25">
      <c r="A125" s="56" t="s">
        <v>295</v>
      </c>
      <c r="B125" s="58">
        <v>1</v>
      </c>
    </row>
    <row r="126" spans="1:2" x14ac:dyDescent="0.25">
      <c r="A126" s="56" t="s">
        <v>382</v>
      </c>
      <c r="B126" s="58">
        <v>1</v>
      </c>
    </row>
    <row r="127" spans="1:2" x14ac:dyDescent="0.25">
      <c r="A127" s="56" t="s">
        <v>296</v>
      </c>
      <c r="B127" s="58">
        <v>1</v>
      </c>
    </row>
    <row r="128" spans="1:2" x14ac:dyDescent="0.25">
      <c r="A128" s="56" t="s">
        <v>384</v>
      </c>
      <c r="B128" s="58">
        <v>1</v>
      </c>
    </row>
    <row r="129" spans="1:2" x14ac:dyDescent="0.25">
      <c r="A129" s="56" t="s">
        <v>265</v>
      </c>
      <c r="B129" s="58">
        <v>1</v>
      </c>
    </row>
    <row r="130" spans="1:2" x14ac:dyDescent="0.25">
      <c r="A130" s="56" t="s">
        <v>386</v>
      </c>
      <c r="B130" s="58">
        <v>1</v>
      </c>
    </row>
    <row r="131" spans="1:2" x14ac:dyDescent="0.25">
      <c r="A131" s="56" t="s">
        <v>350</v>
      </c>
      <c r="B131" s="58">
        <v>1</v>
      </c>
    </row>
    <row r="132" spans="1:2" x14ac:dyDescent="0.25">
      <c r="A132" s="56" t="s">
        <v>388</v>
      </c>
      <c r="B132" s="58">
        <v>1</v>
      </c>
    </row>
    <row r="133" spans="1:2" x14ac:dyDescent="0.25">
      <c r="A133" s="56" t="s">
        <v>351</v>
      </c>
      <c r="B133" s="58">
        <v>1</v>
      </c>
    </row>
    <row r="134" spans="1:2" x14ac:dyDescent="0.25">
      <c r="A134" s="56" t="s">
        <v>390</v>
      </c>
      <c r="B134" s="58">
        <v>1</v>
      </c>
    </row>
    <row r="135" spans="1:2" x14ac:dyDescent="0.25">
      <c r="A135" s="56" t="s">
        <v>352</v>
      </c>
      <c r="B135" s="58">
        <v>1</v>
      </c>
    </row>
    <row r="136" spans="1:2" x14ac:dyDescent="0.25">
      <c r="A136" s="56" t="s">
        <v>392</v>
      </c>
      <c r="B136" s="58">
        <v>1</v>
      </c>
    </row>
    <row r="137" spans="1:2" x14ac:dyDescent="0.25">
      <c r="A137" s="56" t="s">
        <v>353</v>
      </c>
      <c r="B137" s="58">
        <v>1</v>
      </c>
    </row>
    <row r="138" spans="1:2" x14ac:dyDescent="0.25">
      <c r="A138" s="56" t="s">
        <v>394</v>
      </c>
      <c r="B138" s="58">
        <v>1</v>
      </c>
    </row>
    <row r="139" spans="1:2" x14ac:dyDescent="0.25">
      <c r="A139" s="56" t="s">
        <v>354</v>
      </c>
      <c r="B139" s="58">
        <v>1</v>
      </c>
    </row>
    <row r="140" spans="1:2" x14ac:dyDescent="0.25">
      <c r="A140" s="56" t="s">
        <v>396</v>
      </c>
      <c r="B140" s="58">
        <v>1</v>
      </c>
    </row>
    <row r="141" spans="1:2" x14ac:dyDescent="0.25">
      <c r="A141" s="56" t="s">
        <v>355</v>
      </c>
      <c r="B141" s="58">
        <v>1</v>
      </c>
    </row>
    <row r="142" spans="1:2" x14ac:dyDescent="0.25">
      <c r="A142" s="56" t="s">
        <v>398</v>
      </c>
      <c r="B142" s="58">
        <v>1</v>
      </c>
    </row>
    <row r="143" spans="1:2" x14ac:dyDescent="0.25">
      <c r="A143" s="56" t="s">
        <v>356</v>
      </c>
      <c r="B143" s="58">
        <v>1</v>
      </c>
    </row>
    <row r="144" spans="1:2" x14ac:dyDescent="0.25">
      <c r="A144" s="56" t="s">
        <v>400</v>
      </c>
      <c r="B144" s="58">
        <v>1</v>
      </c>
    </row>
    <row r="145" spans="1:2" x14ac:dyDescent="0.25">
      <c r="A145" s="56" t="s">
        <v>357</v>
      </c>
      <c r="B145" s="58">
        <v>1</v>
      </c>
    </row>
    <row r="146" spans="1:2" x14ac:dyDescent="0.25">
      <c r="A146" s="56" t="s">
        <v>402</v>
      </c>
      <c r="B146" s="58">
        <v>1</v>
      </c>
    </row>
    <row r="147" spans="1:2" x14ac:dyDescent="0.25">
      <c r="A147" s="56" t="s">
        <v>267</v>
      </c>
      <c r="B147" s="58">
        <v>1</v>
      </c>
    </row>
    <row r="148" spans="1:2" x14ac:dyDescent="0.25">
      <c r="A148" s="56" t="s">
        <v>404</v>
      </c>
      <c r="B148" s="58">
        <v>1</v>
      </c>
    </row>
    <row r="149" spans="1:2" x14ac:dyDescent="0.25">
      <c r="A149" s="56" t="s">
        <v>359</v>
      </c>
      <c r="B149" s="58">
        <v>1</v>
      </c>
    </row>
    <row r="150" spans="1:2" x14ac:dyDescent="0.25">
      <c r="A150" s="56" t="s">
        <v>406</v>
      </c>
      <c r="B150" s="58">
        <v>1</v>
      </c>
    </row>
    <row r="151" spans="1:2" x14ac:dyDescent="0.25">
      <c r="A151" s="56" t="s">
        <v>360</v>
      </c>
      <c r="B151" s="58">
        <v>1</v>
      </c>
    </row>
    <row r="152" spans="1:2" x14ac:dyDescent="0.25">
      <c r="A152" s="56" t="s">
        <v>408</v>
      </c>
      <c r="B152" s="58">
        <v>1</v>
      </c>
    </row>
    <row r="153" spans="1:2" x14ac:dyDescent="0.25">
      <c r="A153" s="56" t="s">
        <v>361</v>
      </c>
      <c r="B153" s="58">
        <v>1</v>
      </c>
    </row>
    <row r="154" spans="1:2" x14ac:dyDescent="0.25">
      <c r="A154" s="56" t="s">
        <v>414</v>
      </c>
      <c r="B154" s="58">
        <v>1</v>
      </c>
    </row>
    <row r="155" spans="1:2" x14ac:dyDescent="0.25">
      <c r="A155" s="56" t="s">
        <v>274</v>
      </c>
      <c r="B155" s="58">
        <v>1</v>
      </c>
    </row>
    <row r="156" spans="1:2" x14ac:dyDescent="0.25">
      <c r="A156" s="56" t="s">
        <v>311</v>
      </c>
      <c r="B156" s="58">
        <v>1</v>
      </c>
    </row>
    <row r="157" spans="1:2" x14ac:dyDescent="0.25">
      <c r="A157" s="56" t="s">
        <v>363</v>
      </c>
      <c r="B157" s="58">
        <v>1</v>
      </c>
    </row>
    <row r="158" spans="1:2" x14ac:dyDescent="0.25">
      <c r="A158" s="56" t="s">
        <v>417</v>
      </c>
      <c r="B158" s="58">
        <v>1</v>
      </c>
    </row>
    <row r="159" spans="1:2" x14ac:dyDescent="0.25">
      <c r="A159" s="56" t="s">
        <v>292</v>
      </c>
      <c r="B159" s="58">
        <v>1</v>
      </c>
    </row>
    <row r="160" spans="1:2" x14ac:dyDescent="0.25">
      <c r="A160" s="56" t="s">
        <v>419</v>
      </c>
      <c r="B160" s="58">
        <v>1</v>
      </c>
    </row>
    <row r="161" spans="1:2" x14ac:dyDescent="0.25">
      <c r="A161" s="56" t="s">
        <v>365</v>
      </c>
      <c r="B161" s="58">
        <v>1</v>
      </c>
    </row>
    <row r="162" spans="1:2" x14ac:dyDescent="0.25">
      <c r="A162" s="56" t="s">
        <v>421</v>
      </c>
      <c r="B162" s="58">
        <v>1</v>
      </c>
    </row>
    <row r="163" spans="1:2" x14ac:dyDescent="0.25">
      <c r="A163" s="56" t="s">
        <v>324</v>
      </c>
      <c r="B163" s="58">
        <v>1</v>
      </c>
    </row>
    <row r="164" spans="1:2" x14ac:dyDescent="0.25">
      <c r="A164" s="56" t="s">
        <v>270</v>
      </c>
      <c r="B164" s="58">
        <v>1</v>
      </c>
    </row>
    <row r="165" spans="1:2" x14ac:dyDescent="0.25">
      <c r="A165" s="56" t="s">
        <v>452</v>
      </c>
      <c r="B165" s="58">
        <v>1</v>
      </c>
    </row>
    <row r="166" spans="1:2" x14ac:dyDescent="0.25">
      <c r="A166" s="56" t="s">
        <v>443</v>
      </c>
      <c r="B166" s="58">
        <v>1</v>
      </c>
    </row>
    <row r="167" spans="1:2" x14ac:dyDescent="0.25">
      <c r="A167" s="56" t="s">
        <v>308</v>
      </c>
      <c r="B167" s="58">
        <v>1</v>
      </c>
    </row>
    <row r="168" spans="1:2" x14ac:dyDescent="0.25">
      <c r="A168" s="56" t="s">
        <v>447</v>
      </c>
      <c r="B168" s="58">
        <v>1</v>
      </c>
    </row>
    <row r="169" spans="1:2" x14ac:dyDescent="0.25">
      <c r="A169" s="56" t="s">
        <v>367</v>
      </c>
      <c r="B169" s="58">
        <v>1</v>
      </c>
    </row>
    <row r="170" spans="1:2" x14ac:dyDescent="0.25">
      <c r="A170" s="56" t="s">
        <v>439</v>
      </c>
      <c r="B170" s="58">
        <v>1</v>
      </c>
    </row>
    <row r="171" spans="1:2" x14ac:dyDescent="0.25">
      <c r="A171" s="56" t="s">
        <v>368</v>
      </c>
      <c r="B171" s="58">
        <v>1</v>
      </c>
    </row>
    <row r="172" spans="1:2" x14ac:dyDescent="0.25">
      <c r="A172" s="56" t="s">
        <v>438</v>
      </c>
      <c r="B172" s="58">
        <v>1</v>
      </c>
    </row>
    <row r="173" spans="1:2" x14ac:dyDescent="0.25">
      <c r="A173" s="56" t="s">
        <v>369</v>
      </c>
      <c r="B173" s="58">
        <v>1</v>
      </c>
    </row>
    <row r="174" spans="1:2" x14ac:dyDescent="0.25">
      <c r="A174" s="56" t="s">
        <v>441</v>
      </c>
      <c r="B174" s="58">
        <v>1</v>
      </c>
    </row>
    <row r="175" spans="1:2" x14ac:dyDescent="0.25">
      <c r="A175" s="56" t="s">
        <v>370</v>
      </c>
      <c r="B175" s="58">
        <v>1</v>
      </c>
    </row>
    <row r="176" spans="1:2" x14ac:dyDescent="0.25">
      <c r="A176" s="56" t="s">
        <v>458</v>
      </c>
      <c r="B176" s="58">
        <v>1</v>
      </c>
    </row>
    <row r="177" spans="1:2" x14ac:dyDescent="0.25">
      <c r="A177" s="56" t="s">
        <v>371</v>
      </c>
      <c r="B177" s="58">
        <v>1</v>
      </c>
    </row>
    <row r="178" spans="1:2" x14ac:dyDescent="0.25">
      <c r="A178" s="56" t="s">
        <v>379</v>
      </c>
      <c r="B178" s="58">
        <v>1</v>
      </c>
    </row>
    <row r="179" spans="1:2" x14ac:dyDescent="0.25">
      <c r="A179" s="56" t="s">
        <v>372</v>
      </c>
      <c r="B179" s="58">
        <v>1</v>
      </c>
    </row>
    <row r="180" spans="1:2" x14ac:dyDescent="0.25">
      <c r="A180" s="56" t="s">
        <v>445</v>
      </c>
      <c r="B180" s="58">
        <v>1</v>
      </c>
    </row>
    <row r="181" spans="1:2" x14ac:dyDescent="0.25">
      <c r="A181" s="56" t="s">
        <v>373</v>
      </c>
      <c r="B181" s="58">
        <v>1</v>
      </c>
    </row>
    <row r="182" spans="1:2" x14ac:dyDescent="0.25">
      <c r="A182" s="56" t="s">
        <v>456</v>
      </c>
      <c r="B182" s="58">
        <v>1</v>
      </c>
    </row>
    <row r="183" spans="1:2" x14ac:dyDescent="0.25">
      <c r="A183" s="56" t="s">
        <v>279</v>
      </c>
      <c r="B183" s="58">
        <v>1</v>
      </c>
    </row>
    <row r="184" spans="1:2" x14ac:dyDescent="0.25">
      <c r="A184" s="56" t="s">
        <v>446</v>
      </c>
      <c r="B184" s="58">
        <v>1</v>
      </c>
    </row>
    <row r="185" spans="1:2" x14ac:dyDescent="0.25">
      <c r="A185" s="56" t="s">
        <v>376</v>
      </c>
      <c r="B185" s="58">
        <v>1</v>
      </c>
    </row>
    <row r="186" spans="1:2" x14ac:dyDescent="0.25">
      <c r="A186" s="56" t="s">
        <v>377</v>
      </c>
      <c r="B186" s="58">
        <v>1</v>
      </c>
    </row>
    <row r="187" spans="1:2" x14ac:dyDescent="0.25">
      <c r="A187" s="56" t="s">
        <v>294</v>
      </c>
      <c r="B187" s="58">
        <v>1</v>
      </c>
    </row>
    <row r="188" spans="1:2" x14ac:dyDescent="0.25">
      <c r="A188" s="56" t="s">
        <v>437</v>
      </c>
      <c r="B188" s="58">
        <v>1</v>
      </c>
    </row>
    <row r="189" spans="1:2" x14ac:dyDescent="0.25">
      <c r="A189" s="56" t="s">
        <v>51</v>
      </c>
      <c r="B189" s="58">
        <v>659</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4472C4"/>
  </sheetPr>
  <dimension ref="A1:AN31"/>
  <sheetViews>
    <sheetView topLeftCell="G1" workbookViewId="0">
      <selection activeCell="AA21" sqref="AA21"/>
    </sheetView>
  </sheetViews>
  <sheetFormatPr defaultRowHeight="15" x14ac:dyDescent="0.25"/>
  <cols>
    <col min="1" max="1" width="8.7109375" style="6" customWidth="1"/>
    <col min="2" max="3" width="7.7109375" style="6" customWidth="1"/>
    <col min="4" max="4" width="9.140625" style="6" customWidth="1"/>
    <col min="5" max="16384" width="9.140625" style="6"/>
  </cols>
  <sheetData>
    <row r="1" spans="1:40" ht="30" customHeight="1" x14ac:dyDescent="0.25">
      <c r="A1" s="60" t="s">
        <v>81</v>
      </c>
      <c r="B1" s="60" t="s">
        <v>84</v>
      </c>
      <c r="C1" s="60" t="s">
        <v>86</v>
      </c>
      <c r="E1" s="391" t="s">
        <v>474</v>
      </c>
      <c r="F1" s="393" t="s">
        <v>480</v>
      </c>
      <c r="G1" s="388"/>
      <c r="H1" s="388"/>
      <c r="I1" s="388"/>
      <c r="J1" s="388"/>
      <c r="K1" s="388"/>
      <c r="L1" s="388"/>
      <c r="M1" s="388"/>
      <c r="N1" s="388"/>
      <c r="O1" s="389"/>
      <c r="X1" s="70" t="s">
        <v>91</v>
      </c>
      <c r="Y1" s="70" t="s">
        <v>92</v>
      </c>
      <c r="Z1" s="160" t="s">
        <v>93</v>
      </c>
      <c r="AA1" s="71" t="s">
        <v>84</v>
      </c>
      <c r="AB1" s="71" t="s">
        <v>86</v>
      </c>
      <c r="AD1" s="391" t="s">
        <v>474</v>
      </c>
      <c r="AE1" s="392" t="s">
        <v>490</v>
      </c>
      <c r="AF1" s="388"/>
      <c r="AG1" s="388"/>
      <c r="AH1" s="388"/>
      <c r="AI1" s="388"/>
      <c r="AJ1" s="388"/>
      <c r="AK1" s="388"/>
      <c r="AL1" s="388"/>
      <c r="AM1" s="388"/>
      <c r="AN1" s="389"/>
    </row>
    <row r="2" spans="1:40" ht="15" customHeight="1" x14ac:dyDescent="0.25">
      <c r="A2" s="380" t="s">
        <v>39</v>
      </c>
      <c r="B2" s="381">
        <f>COUNTIF(Donation[Pub Date],PubDateCount[[#This Row],[PubDate]])</f>
        <v>0</v>
      </c>
      <c r="C2" s="382" t="e">
        <f>PubDateCount[[#This Row],[Count]]/PubDateCount[[#Totals],[Count]]</f>
        <v>#DIV/0!</v>
      </c>
      <c r="E2" s="369">
        <v>1</v>
      </c>
      <c r="F2" s="164" t="s">
        <v>491</v>
      </c>
      <c r="G2" s="165"/>
      <c r="H2" s="165"/>
      <c r="I2" s="165"/>
      <c r="J2" s="165"/>
      <c r="K2" s="165"/>
      <c r="L2" s="165"/>
      <c r="M2" s="165"/>
      <c r="N2" s="165"/>
      <c r="O2" s="384"/>
      <c r="X2" s="97"/>
      <c r="Y2" s="97"/>
      <c r="Z2" s="98" t="s">
        <v>39</v>
      </c>
      <c r="AA2" s="99">
        <f>COUNTIF(Donation[Pub Date],PubDate_by_Decade[[#This Row],[Labels]])</f>
        <v>0</v>
      </c>
      <c r="AB2" s="100" t="e">
        <f>PubDate_by_Decade[[#This Row],[Count]]/PubDate_by_Decade[[#Totals],[Count]]</f>
        <v>#DIV/0!</v>
      </c>
      <c r="AD2" s="369">
        <v>1</v>
      </c>
      <c r="AE2" s="164" t="s">
        <v>491</v>
      </c>
      <c r="AF2" s="165"/>
      <c r="AG2" s="165"/>
      <c r="AH2" s="165"/>
      <c r="AI2" s="165"/>
      <c r="AJ2" s="165"/>
      <c r="AK2" s="165"/>
      <c r="AL2" s="165"/>
      <c r="AM2" s="165"/>
      <c r="AN2" s="384"/>
    </row>
    <row r="3" spans="1:40" ht="15" customHeight="1" x14ac:dyDescent="0.25">
      <c r="A3" s="383">
        <v>1998</v>
      </c>
      <c r="B3" s="381">
        <f>COUNTIF(Donation[Pub Date],PubDateCount[[#This Row],[PubDate]]) + COUNTIF(Donation[Pub Date],"*"&amp;PubDateCount[[#This Row],[PubDate]]&amp;"*")</f>
        <v>0</v>
      </c>
      <c r="C3" s="382" t="e">
        <f>PubDateCount[[#This Row],[Count]]/PubDateCount[[#Totals],[Count]]</f>
        <v>#DIV/0!</v>
      </c>
      <c r="E3" s="369">
        <v>2</v>
      </c>
      <c r="F3" s="164" t="s">
        <v>481</v>
      </c>
      <c r="G3" s="165"/>
      <c r="H3" s="165"/>
      <c r="I3" s="165"/>
      <c r="J3" s="165"/>
      <c r="K3" s="165"/>
      <c r="L3" s="165"/>
      <c r="M3" s="165"/>
      <c r="N3" s="165"/>
      <c r="O3" s="384"/>
      <c r="X3" s="68">
        <v>1990</v>
      </c>
      <c r="Y3" s="68">
        <v>1999</v>
      </c>
      <c r="Z3" s="75" t="str">
        <f>CONCATENATE(PubDate_by_Decade[[#This Row],[Start of Decade]],"-",PubDate_by_Decade[[#This Row],[End of Decade]])</f>
        <v>1990-1999</v>
      </c>
      <c r="AA3" s="73">
        <f>SUMIFS(PubDateCount[Count],PubDateCount[PubDate],"&gt;="&amp;PubDate_by_Decade[[#This Row],[Start of Decade]],PubDateCount[PubDate],"&lt;="&amp;PubDate_by_Decade[[#This Row],[End of Decade]])</f>
        <v>0</v>
      </c>
      <c r="AB3" s="96" t="e">
        <f>PubDate_by_Decade[[#This Row],[Count]]/PubDate_by_Decade[[#Totals],[Count]]</f>
        <v>#DIV/0!</v>
      </c>
      <c r="AD3" s="369">
        <v>2</v>
      </c>
      <c r="AE3" s="164" t="s">
        <v>492</v>
      </c>
      <c r="AF3" s="165"/>
      <c r="AG3" s="165"/>
      <c r="AH3" s="165"/>
      <c r="AI3" s="165"/>
      <c r="AJ3" s="165"/>
      <c r="AK3" s="165"/>
      <c r="AL3" s="165"/>
      <c r="AM3" s="165"/>
      <c r="AN3" s="384"/>
    </row>
    <row r="4" spans="1:40" ht="15" customHeight="1" x14ac:dyDescent="0.25">
      <c r="A4" s="53">
        <v>1999</v>
      </c>
      <c r="B4" s="54">
        <f>COUNTIF(Donation[Pub Date],PubDateCount[[#This Row],[PubDate]]) + COUNTIF(Donation[Pub Date],"*"&amp;PubDateCount[[#This Row],[PubDate]]&amp;"*")</f>
        <v>0</v>
      </c>
      <c r="C4" s="59" t="e">
        <f>PubDateCount[[#This Row],[Count]]/PubDateCount[[#Totals],[Count]]</f>
        <v>#DIV/0!</v>
      </c>
      <c r="E4" s="369">
        <v>3</v>
      </c>
      <c r="F4" s="164" t="s">
        <v>482</v>
      </c>
      <c r="G4" s="165"/>
      <c r="H4" s="165"/>
      <c r="I4" s="165"/>
      <c r="J4" s="165"/>
      <c r="K4" s="165"/>
      <c r="L4" s="165"/>
      <c r="M4" s="165"/>
      <c r="N4" s="165"/>
      <c r="O4" s="384"/>
      <c r="X4" s="68">
        <v>2010</v>
      </c>
      <c r="Y4" s="68">
        <v>2019</v>
      </c>
      <c r="Z4" s="121" t="str">
        <f>CONCATENATE(PubDate_by_Decade[[#This Row],[Start of Decade]],"-",PubDate_by_Decade[[#This Row],[End of Decade]])</f>
        <v>2010-2019</v>
      </c>
      <c r="AA4" s="73">
        <f>SUMIFS(PubDateCount[Count],PubDateCount[PubDate],"&gt;="&amp;PubDate_by_Decade[[#This Row],[Start of Decade]],PubDateCount[PubDate],"&lt;="&amp;PubDate_by_Decade[[#This Row],[End of Decade]])</f>
        <v>0</v>
      </c>
      <c r="AB4" s="96" t="e">
        <f>PubDate_by_Decade[[#This Row],[Count]]/PubDate_by_Decade[[#Totals],[Count]]</f>
        <v>#DIV/0!</v>
      </c>
      <c r="AD4" s="369">
        <v>3</v>
      </c>
      <c r="AE4" s="164" t="s">
        <v>482</v>
      </c>
      <c r="AF4" s="165"/>
      <c r="AG4" s="165"/>
      <c r="AH4" s="165"/>
      <c r="AI4" s="165"/>
      <c r="AJ4" s="165"/>
      <c r="AK4" s="165"/>
      <c r="AL4" s="165"/>
      <c r="AM4" s="165"/>
      <c r="AN4" s="384"/>
    </row>
    <row r="5" spans="1:40" ht="15" customHeight="1" x14ac:dyDescent="0.25">
      <c r="A5" s="53">
        <v>2000</v>
      </c>
      <c r="B5" s="54">
        <f>COUNTIF(Donation[Pub Date],PubDateCount[[#This Row],[PubDate]]) + COUNTIF(Donation[Pub Date],"*"&amp;PubDateCount[[#This Row],[PubDate]]&amp;"*")</f>
        <v>0</v>
      </c>
      <c r="C5" s="59" t="e">
        <f>PubDateCount[[#This Row],[Count]]/PubDateCount[[#Totals],[Count]]</f>
        <v>#DIV/0!</v>
      </c>
      <c r="E5" s="385">
        <v>4</v>
      </c>
      <c r="F5" s="373" t="s">
        <v>477</v>
      </c>
      <c r="G5" s="386"/>
      <c r="H5" s="386"/>
      <c r="I5" s="386"/>
      <c r="J5" s="386"/>
      <c r="K5" s="386"/>
      <c r="L5" s="386"/>
      <c r="M5" s="386"/>
      <c r="N5" s="386"/>
      <c r="O5" s="387"/>
      <c r="X5" s="68">
        <v>2000</v>
      </c>
      <c r="Y5" s="68">
        <v>2009</v>
      </c>
      <c r="Z5" s="121" t="str">
        <f>CONCATENATE(PubDate_by_Decade[[#This Row],[Start of Decade]],"-",PubDate_by_Decade[[#This Row],[End of Decade]])</f>
        <v>2000-2009</v>
      </c>
      <c r="AA5" s="73">
        <f>SUMIFS(PubDateCount[Count],PubDateCount[PubDate],"&gt;="&amp;PubDate_by_Decade[[#This Row],[Start of Decade]],PubDateCount[PubDate],"&lt;="&amp;PubDate_by_Decade[[#This Row],[End of Decade]])</f>
        <v>0</v>
      </c>
      <c r="AB5" s="96" t="e">
        <f>PubDate_by_Decade[[#This Row],[Count]]/PubDate_by_Decade[[#Totals],[Count]]</f>
        <v>#DIV/0!</v>
      </c>
      <c r="AD5" s="385">
        <v>4</v>
      </c>
      <c r="AE5" s="373" t="s">
        <v>477</v>
      </c>
      <c r="AF5" s="386"/>
      <c r="AG5" s="386"/>
      <c r="AH5" s="386"/>
      <c r="AI5" s="386"/>
      <c r="AJ5" s="386"/>
      <c r="AK5" s="386"/>
      <c r="AL5" s="386"/>
      <c r="AM5" s="386"/>
      <c r="AN5" s="387"/>
    </row>
    <row r="6" spans="1:40" ht="15" customHeight="1" x14ac:dyDescent="0.25">
      <c r="A6" s="53">
        <v>2001</v>
      </c>
      <c r="B6" s="54">
        <f>COUNTIF(Donation[Pub Date],PubDateCount[[#This Row],[PubDate]]) + COUNTIF(Donation[Pub Date],"*"&amp;PubDateCount[[#This Row],[PubDate]]&amp;"*")</f>
        <v>0</v>
      </c>
      <c r="C6" s="59" t="e">
        <f>PubDateCount[[#This Row],[Count]]/PubDateCount[[#Totals],[Count]]</f>
        <v>#DIV/0!</v>
      </c>
      <c r="E6" s="165"/>
      <c r="F6" s="164"/>
      <c r="X6" s="68"/>
      <c r="Y6" s="68"/>
      <c r="Z6" s="121" t="str">
        <f>CONCATENATE(PubDate_by_Decade[[#This Row],[Start of Decade]],"-",PubDate_by_Decade[[#This Row],[End of Decade]])</f>
        <v>-</v>
      </c>
      <c r="AA6" s="73">
        <f>SUMIFS(PubDateCount[Count],PubDateCount[PubDate],"&gt;="&amp;PubDate_by_Decade[[#This Row],[Start of Decade]],PubDateCount[PubDate],"&lt;="&amp;PubDate_by_Decade[[#This Row],[End of Decade]])</f>
        <v>0</v>
      </c>
      <c r="AB6" s="96" t="e">
        <f>PubDate_by_Decade[[#This Row],[Count]]/PubDate_by_Decade[[#Totals],[Count]]</f>
        <v>#DIV/0!</v>
      </c>
    </row>
    <row r="7" spans="1:40" ht="15" customHeight="1" x14ac:dyDescent="0.25">
      <c r="A7" s="53">
        <v>2002</v>
      </c>
      <c r="B7" s="54">
        <f>COUNTIF(Donation[Pub Date],PubDateCount[[#This Row],[PubDate]]) + COUNTIF(Donation[Pub Date],"*"&amp;PubDateCount[[#This Row],[PubDate]]&amp;"*")</f>
        <v>0</v>
      </c>
      <c r="C7" s="59" t="e">
        <f>PubDateCount[[#This Row],[Count]]/PubDateCount[[#Totals],[Count]]</f>
        <v>#DIV/0!</v>
      </c>
      <c r="E7" s="165"/>
      <c r="F7" s="164"/>
      <c r="X7" s="68"/>
      <c r="Y7" s="68"/>
      <c r="Z7" s="121" t="str">
        <f>CONCATENATE(PubDate_by_Decade[[#This Row],[Start of Decade]],"-",PubDate_by_Decade[[#This Row],[End of Decade]])</f>
        <v>-</v>
      </c>
      <c r="AA7" s="73">
        <f>SUMIFS(PubDateCount[Count],PubDateCount[PubDate],"&gt;="&amp;PubDate_by_Decade[[#This Row],[Start of Decade]],PubDateCount[PubDate],"&lt;="&amp;PubDate_by_Decade[[#This Row],[End of Decade]])</f>
        <v>0</v>
      </c>
      <c r="AB7" s="96" t="e">
        <f>PubDate_by_Decade[[#This Row],[Count]]/PubDate_by_Decade[[#Totals],[Count]]</f>
        <v>#DIV/0!</v>
      </c>
    </row>
    <row r="8" spans="1:40" ht="15" customHeight="1" x14ac:dyDescent="0.25">
      <c r="A8" s="53">
        <v>2003</v>
      </c>
      <c r="B8" s="54">
        <f>COUNTIF(Donation[Pub Date],PubDateCount[[#This Row],[PubDate]]) + COUNTIF(Donation[Pub Date],"*"&amp;PubDateCount[[#This Row],[PubDate]]&amp;"*")</f>
        <v>0</v>
      </c>
      <c r="C8" s="59" t="e">
        <f>PubDateCount[[#This Row],[Count]]/PubDateCount[[#Totals],[Count]]</f>
        <v>#DIV/0!</v>
      </c>
      <c r="E8" s="163"/>
      <c r="F8" s="164"/>
      <c r="X8" s="69" t="s">
        <v>87</v>
      </c>
      <c r="Y8" s="72"/>
      <c r="AA8" s="95">
        <f>SUBTOTAL(109,PubDate_by_Decade[Count])</f>
        <v>0</v>
      </c>
      <c r="AB8" s="74"/>
    </row>
    <row r="9" spans="1:40" ht="15" customHeight="1" x14ac:dyDescent="0.25">
      <c r="A9" s="53">
        <v>2004</v>
      </c>
      <c r="B9" s="54">
        <f>COUNTIF(Donation[Pub Date],PubDateCount[[#This Row],[PubDate]]) + COUNTIF(Donation[Pub Date],"*"&amp;PubDateCount[[#This Row],[PubDate]]&amp;"*")</f>
        <v>0</v>
      </c>
      <c r="C9" s="59" t="e">
        <f>PubDateCount[[#This Row],[Count]]/PubDateCount[[#Totals],[Count]]</f>
        <v>#DIV/0!</v>
      </c>
      <c r="X9"/>
      <c r="Y9"/>
      <c r="Z9"/>
      <c r="AA9"/>
      <c r="AB9"/>
    </row>
    <row r="10" spans="1:40" ht="15" customHeight="1" x14ac:dyDescent="0.25">
      <c r="A10" s="53">
        <v>2005</v>
      </c>
      <c r="B10" s="54">
        <f>COUNTIF(Donation[Pub Date],PubDateCount[[#This Row],[PubDate]]) + COUNTIF(Donation[Pub Date],"*"&amp;PubDateCount[[#This Row],[PubDate]]&amp;"*")</f>
        <v>0</v>
      </c>
      <c r="C10" s="59" t="e">
        <f>PubDateCount[[#This Row],[Count]]/PubDateCount[[#Totals],[Count]]</f>
        <v>#DIV/0!</v>
      </c>
      <c r="X10"/>
      <c r="Y10"/>
      <c r="Z10"/>
      <c r="AA10"/>
      <c r="AB10"/>
    </row>
    <row r="11" spans="1:40" ht="15" customHeight="1" x14ac:dyDescent="0.25">
      <c r="A11" s="5" t="s">
        <v>87</v>
      </c>
      <c r="B11" s="61">
        <f>SUBTOTAL(109,PubDateCount[Count])</f>
        <v>0</v>
      </c>
      <c r="C11" s="59"/>
      <c r="X11"/>
      <c r="Y11"/>
      <c r="Z11"/>
      <c r="AA11"/>
      <c r="AB11"/>
    </row>
    <row r="12" spans="1:40" ht="15" customHeight="1" x14ac:dyDescent="0.25">
      <c r="A12" s="53"/>
      <c r="B12" s="54"/>
      <c r="C12" s="59"/>
      <c r="X12"/>
      <c r="Y12"/>
      <c r="Z12"/>
      <c r="AA12"/>
      <c r="AB12"/>
    </row>
    <row r="13" spans="1:40" ht="15" customHeight="1" x14ac:dyDescent="0.25">
      <c r="A13" s="53"/>
      <c r="B13" s="54"/>
      <c r="C13" s="59"/>
      <c r="X13"/>
      <c r="Y13"/>
      <c r="Z13"/>
      <c r="AA13"/>
      <c r="AB13"/>
    </row>
    <row r="14" spans="1:40" ht="15" customHeight="1" x14ac:dyDescent="0.25">
      <c r="A14" s="53"/>
      <c r="B14" s="54"/>
      <c r="C14" s="59"/>
      <c r="X14"/>
      <c r="Y14"/>
      <c r="Z14"/>
      <c r="AA14"/>
      <c r="AB14"/>
    </row>
    <row r="15" spans="1:40" ht="15" customHeight="1" x14ac:dyDescent="0.25">
      <c r="A15" s="53"/>
      <c r="B15" s="54"/>
      <c r="C15" s="59"/>
      <c r="X15"/>
      <c r="Y15"/>
      <c r="Z15"/>
      <c r="AA15"/>
      <c r="AB15"/>
    </row>
    <row r="16" spans="1:40" ht="15" customHeight="1" x14ac:dyDescent="0.25">
      <c r="A16" s="53"/>
      <c r="B16" s="54"/>
      <c r="C16" s="59"/>
      <c r="X16"/>
      <c r="Y16"/>
      <c r="Z16"/>
      <c r="AA16"/>
      <c r="AB16"/>
    </row>
    <row r="17" spans="1:28" ht="15" customHeight="1" x14ac:dyDescent="0.25">
      <c r="A17" s="53"/>
      <c r="B17" s="54"/>
      <c r="C17" s="59"/>
      <c r="X17"/>
      <c r="Y17"/>
      <c r="Z17"/>
      <c r="AA17"/>
      <c r="AB17"/>
    </row>
    <row r="18" spans="1:28" ht="15" customHeight="1" x14ac:dyDescent="0.25">
      <c r="A18" s="53"/>
      <c r="B18" s="54"/>
      <c r="C18" s="59"/>
      <c r="X18"/>
      <c r="Y18"/>
      <c r="Z18"/>
      <c r="AA18"/>
      <c r="AB18"/>
    </row>
    <row r="19" spans="1:28" ht="15" customHeight="1" x14ac:dyDescent="0.25">
      <c r="A19" s="53"/>
      <c r="B19" s="54"/>
      <c r="C19" s="59"/>
      <c r="X19"/>
      <c r="Y19"/>
      <c r="Z19"/>
      <c r="AA19"/>
      <c r="AB19"/>
    </row>
    <row r="20" spans="1:28" ht="15" customHeight="1" x14ac:dyDescent="0.25">
      <c r="A20" s="53"/>
      <c r="B20" s="54"/>
      <c r="C20" s="59"/>
      <c r="X20"/>
      <c r="Y20"/>
      <c r="Z20"/>
      <c r="AA20"/>
      <c r="AB20"/>
    </row>
    <row r="21" spans="1:28" ht="15" customHeight="1" x14ac:dyDescent="0.25">
      <c r="A21" s="53"/>
      <c r="B21" s="54"/>
      <c r="C21" s="59"/>
      <c r="X21"/>
      <c r="Y21"/>
      <c r="Z21"/>
      <c r="AA21"/>
      <c r="AB21"/>
    </row>
    <row r="22" spans="1:28" ht="15" customHeight="1" x14ac:dyDescent="0.25">
      <c r="A22" s="53"/>
      <c r="B22" s="54"/>
      <c r="C22" s="59"/>
      <c r="X22"/>
      <c r="Y22"/>
      <c r="Z22"/>
      <c r="AA22"/>
      <c r="AB22"/>
    </row>
    <row r="23" spans="1:28" ht="15" customHeight="1" x14ac:dyDescent="0.25">
      <c r="A23" s="53"/>
      <c r="B23" s="54"/>
      <c r="C23" s="59"/>
      <c r="X23"/>
      <c r="Y23"/>
      <c r="Z23"/>
      <c r="AA23"/>
      <c r="AB23"/>
    </row>
    <row r="24" spans="1:28" ht="15" customHeight="1" x14ac:dyDescent="0.25">
      <c r="A24" s="53"/>
      <c r="B24" s="54"/>
      <c r="C24" s="59"/>
      <c r="X24"/>
      <c r="Y24"/>
      <c r="Z24"/>
      <c r="AA24"/>
      <c r="AB24"/>
    </row>
    <row r="25" spans="1:28" ht="15" customHeight="1" x14ac:dyDescent="0.25">
      <c r="A25" s="53"/>
      <c r="B25" s="54"/>
      <c r="C25" s="59"/>
      <c r="X25"/>
      <c r="Y25"/>
      <c r="Z25"/>
      <c r="AA25"/>
      <c r="AB25"/>
    </row>
    <row r="26" spans="1:28" ht="15" customHeight="1" x14ac:dyDescent="0.25">
      <c r="A26" s="53"/>
      <c r="B26" s="54"/>
      <c r="C26" s="59"/>
    </row>
    <row r="27" spans="1:28" ht="15" customHeight="1" x14ac:dyDescent="0.25">
      <c r="A27" s="53"/>
      <c r="B27" s="54"/>
      <c r="C27" s="59"/>
    </row>
    <row r="28" spans="1:28" ht="15" customHeight="1" x14ac:dyDescent="0.25">
      <c r="A28" s="53"/>
      <c r="B28" s="54"/>
      <c r="C28" s="59"/>
    </row>
    <row r="29" spans="1:28" ht="15" customHeight="1" x14ac:dyDescent="0.25">
      <c r="A29" s="53"/>
      <c r="B29" s="54"/>
      <c r="C29" s="59"/>
    </row>
    <row r="30" spans="1:28" x14ac:dyDescent="0.25">
      <c r="B30" s="55"/>
    </row>
    <row r="31" spans="1:28" ht="15" customHeight="1" x14ac:dyDescent="0.25"/>
  </sheetData>
  <pageMargins left="0.7" right="0.7" top="0.75" bottom="0.75" header="0.3" footer="0.3"/>
  <pageSetup orientation="portrait" r:id="rId1"/>
  <ignoredErrors>
    <ignoredError sqref="Z2:AA2" calculatedColumn="1"/>
  </ignoredErrors>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93B0D-03D1-42BF-9D91-94464D3841C0}">
  <sheetPr codeName="Sheet8">
    <tabColor theme="5" tint="-0.249977111117893"/>
  </sheetPr>
  <dimension ref="A1"/>
  <sheetViews>
    <sheetView workbookViewId="0">
      <selection activeCell="I17" sqref="I17"/>
    </sheetView>
  </sheetViews>
  <sheetFormatPr defaultRowHeight="15" customHeight="1" x14ac:dyDescent="0.25"/>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FFDCB-D062-4F0F-B5CC-C0BFE126645C}">
  <sheetPr codeName="Sheet10">
    <tabColor theme="5" tint="-0.249977111117893"/>
  </sheetPr>
  <dimension ref="A1:D32"/>
  <sheetViews>
    <sheetView workbookViewId="0">
      <selection activeCell="C23" sqref="C23"/>
    </sheetView>
  </sheetViews>
  <sheetFormatPr defaultRowHeight="15" x14ac:dyDescent="0.25"/>
  <cols>
    <col min="1" max="1" width="5" bestFit="1" customWidth="1"/>
    <col min="2" max="2" width="6" bestFit="1" customWidth="1"/>
    <col min="3" max="3" width="95.28515625" customWidth="1"/>
    <col min="4" max="4" width="58.28515625" customWidth="1"/>
  </cols>
  <sheetData>
    <row r="1" spans="1:4" x14ac:dyDescent="0.25">
      <c r="A1" s="191" t="s">
        <v>142</v>
      </c>
      <c r="B1" s="191"/>
      <c r="C1" s="191"/>
      <c r="D1" s="191"/>
    </row>
    <row r="2" spans="1:4" x14ac:dyDescent="0.25">
      <c r="A2" s="103" t="s">
        <v>97</v>
      </c>
      <c r="B2" s="104" t="s">
        <v>98</v>
      </c>
      <c r="C2" s="140" t="s">
        <v>96</v>
      </c>
      <c r="D2" s="103" t="s">
        <v>143</v>
      </c>
    </row>
    <row r="3" spans="1:4" x14ac:dyDescent="0.25">
      <c r="A3" s="50">
        <v>1</v>
      </c>
      <c r="B3" s="50"/>
      <c r="C3" s="141" t="s">
        <v>484</v>
      </c>
      <c r="D3" s="142"/>
    </row>
    <row r="4" spans="1:4" x14ac:dyDescent="0.25">
      <c r="A4" s="50">
        <v>2</v>
      </c>
      <c r="B4" s="50"/>
      <c r="C4" s="141" t="s">
        <v>485</v>
      </c>
      <c r="D4" s="142"/>
    </row>
    <row r="5" spans="1:4" x14ac:dyDescent="0.25">
      <c r="A5" s="50">
        <v>3</v>
      </c>
      <c r="B5" s="50"/>
      <c r="C5" s="141" t="s">
        <v>144</v>
      </c>
      <c r="D5" s="142"/>
    </row>
    <row r="6" spans="1:4" ht="25.5" x14ac:dyDescent="0.25">
      <c r="A6" s="50">
        <v>4</v>
      </c>
      <c r="B6" s="50" t="s">
        <v>145</v>
      </c>
      <c r="C6" s="141" t="s">
        <v>146</v>
      </c>
      <c r="D6" s="142" t="s">
        <v>147</v>
      </c>
    </row>
    <row r="7" spans="1:4" x14ac:dyDescent="0.25">
      <c r="A7" s="50">
        <v>4.0999999999999996</v>
      </c>
      <c r="B7" s="50"/>
      <c r="C7" s="141" t="s">
        <v>148</v>
      </c>
      <c r="D7" s="142"/>
    </row>
    <row r="8" spans="1:4" x14ac:dyDescent="0.25">
      <c r="A8" s="50">
        <v>5</v>
      </c>
      <c r="B8" s="50" t="s">
        <v>145</v>
      </c>
      <c r="C8" s="141" t="s">
        <v>149</v>
      </c>
      <c r="D8" s="142" t="s">
        <v>150</v>
      </c>
    </row>
    <row r="9" spans="1:4" ht="25.5" x14ac:dyDescent="0.25">
      <c r="A9" s="50">
        <v>5.0999999999999996</v>
      </c>
      <c r="B9" s="50"/>
      <c r="C9" s="141" t="s">
        <v>151</v>
      </c>
      <c r="D9" s="142"/>
    </row>
    <row r="10" spans="1:4" ht="25.5" x14ac:dyDescent="0.25">
      <c r="A10" s="50">
        <v>6</v>
      </c>
      <c r="B10" s="50" t="s">
        <v>145</v>
      </c>
      <c r="C10" s="141" t="s">
        <v>152</v>
      </c>
      <c r="D10" s="142" t="s">
        <v>153</v>
      </c>
    </row>
    <row r="11" spans="1:4" x14ac:dyDescent="0.25">
      <c r="A11" s="50">
        <v>7</v>
      </c>
      <c r="B11" s="50" t="s">
        <v>154</v>
      </c>
      <c r="C11" s="141" t="s">
        <v>155</v>
      </c>
      <c r="D11" s="142"/>
    </row>
    <row r="12" spans="1:4" ht="25.5" x14ac:dyDescent="0.25">
      <c r="A12" s="50">
        <v>8</v>
      </c>
      <c r="B12" s="50" t="s">
        <v>156</v>
      </c>
      <c r="C12" s="141" t="s">
        <v>157</v>
      </c>
      <c r="D12" s="142"/>
    </row>
    <row r="13" spans="1:4" ht="25.5" x14ac:dyDescent="0.25">
      <c r="A13" s="50">
        <v>8.1</v>
      </c>
      <c r="B13" s="50"/>
      <c r="C13" s="141" t="s">
        <v>151</v>
      </c>
      <c r="D13" s="142"/>
    </row>
    <row r="14" spans="1:4" x14ac:dyDescent="0.25">
      <c r="A14" s="50">
        <v>8.1999999999999993</v>
      </c>
      <c r="B14" s="50"/>
      <c r="C14" s="141" t="s">
        <v>158</v>
      </c>
      <c r="D14" s="142"/>
    </row>
    <row r="15" spans="1:4" x14ac:dyDescent="0.25">
      <c r="A15" s="50">
        <v>8.3000000000000007</v>
      </c>
      <c r="B15" s="50"/>
      <c r="C15" s="141" t="s">
        <v>159</v>
      </c>
      <c r="D15" s="142"/>
    </row>
    <row r="16" spans="1:4" ht="25.5" x14ac:dyDescent="0.25">
      <c r="A16" s="50">
        <v>8.4</v>
      </c>
      <c r="B16" s="50"/>
      <c r="C16" s="141" t="s">
        <v>160</v>
      </c>
      <c r="D16" s="142"/>
    </row>
    <row r="17" spans="1:4" x14ac:dyDescent="0.25">
      <c r="A17" s="50">
        <v>8.5</v>
      </c>
      <c r="B17" s="50"/>
      <c r="C17" s="141" t="s">
        <v>161</v>
      </c>
      <c r="D17" s="142" t="s">
        <v>162</v>
      </c>
    </row>
    <row r="18" spans="1:4" ht="38.25" x14ac:dyDescent="0.25">
      <c r="A18" s="50">
        <v>8.6</v>
      </c>
      <c r="B18" s="50"/>
      <c r="C18" s="141" t="s">
        <v>160</v>
      </c>
      <c r="D18" s="142" t="s">
        <v>163</v>
      </c>
    </row>
    <row r="19" spans="1:4" ht="25.5" x14ac:dyDescent="0.25">
      <c r="A19" s="50">
        <v>9</v>
      </c>
      <c r="B19" s="50" t="s">
        <v>145</v>
      </c>
      <c r="C19" s="141" t="s">
        <v>164</v>
      </c>
      <c r="D19" s="142" t="s">
        <v>165</v>
      </c>
    </row>
    <row r="20" spans="1:4" ht="25.5" x14ac:dyDescent="0.25">
      <c r="A20" s="50">
        <v>10</v>
      </c>
      <c r="B20" s="50" t="s">
        <v>145</v>
      </c>
      <c r="C20" s="141" t="s">
        <v>166</v>
      </c>
      <c r="D20" s="142" t="s">
        <v>167</v>
      </c>
    </row>
    <row r="21" spans="1:4" x14ac:dyDescent="0.25">
      <c r="A21" s="50">
        <v>10.1</v>
      </c>
      <c r="B21" s="50"/>
      <c r="C21" s="141" t="s">
        <v>148</v>
      </c>
      <c r="D21" s="142"/>
    </row>
    <row r="22" spans="1:4" x14ac:dyDescent="0.25">
      <c r="A22" s="50">
        <v>11</v>
      </c>
      <c r="B22" s="50" t="s">
        <v>145</v>
      </c>
      <c r="C22" s="141" t="s">
        <v>168</v>
      </c>
      <c r="D22" s="142" t="s">
        <v>169</v>
      </c>
    </row>
    <row r="23" spans="1:4" ht="25.5" x14ac:dyDescent="0.25">
      <c r="A23" s="50">
        <v>12</v>
      </c>
      <c r="B23" s="50" t="s">
        <v>145</v>
      </c>
      <c r="C23" s="141" t="s">
        <v>170</v>
      </c>
      <c r="D23" s="142" t="s">
        <v>153</v>
      </c>
    </row>
    <row r="24" spans="1:4" x14ac:dyDescent="0.25">
      <c r="A24" s="50">
        <v>13</v>
      </c>
      <c r="B24" s="50" t="s">
        <v>154</v>
      </c>
      <c r="C24" s="141" t="s">
        <v>155</v>
      </c>
      <c r="D24" s="142"/>
    </row>
    <row r="25" spans="1:4" ht="25.5" x14ac:dyDescent="0.25">
      <c r="A25" s="50">
        <v>14</v>
      </c>
      <c r="B25" s="50" t="s">
        <v>156</v>
      </c>
      <c r="C25" s="141" t="s">
        <v>157</v>
      </c>
      <c r="D25" s="142"/>
    </row>
    <row r="26" spans="1:4" ht="25.5" x14ac:dyDescent="0.25">
      <c r="A26" s="50">
        <v>14.1</v>
      </c>
      <c r="B26" s="50"/>
      <c r="C26" s="141" t="s">
        <v>151</v>
      </c>
      <c r="D26" s="142"/>
    </row>
    <row r="27" spans="1:4" x14ac:dyDescent="0.25">
      <c r="A27" s="50">
        <v>14.2</v>
      </c>
      <c r="B27" s="50"/>
      <c r="C27" s="141" t="s">
        <v>158</v>
      </c>
      <c r="D27" s="142"/>
    </row>
    <row r="28" spans="1:4" x14ac:dyDescent="0.25">
      <c r="A28" s="50">
        <v>14.3</v>
      </c>
      <c r="B28" s="50"/>
      <c r="C28" s="141" t="s">
        <v>159</v>
      </c>
      <c r="D28" s="142"/>
    </row>
    <row r="29" spans="1:4" ht="25.5" x14ac:dyDescent="0.25">
      <c r="A29" s="50">
        <v>14.4</v>
      </c>
      <c r="B29" s="50"/>
      <c r="C29" s="141" t="s">
        <v>160</v>
      </c>
      <c r="D29" s="142"/>
    </row>
    <row r="30" spans="1:4" x14ac:dyDescent="0.25">
      <c r="A30" s="50">
        <v>14.5</v>
      </c>
      <c r="B30" s="50"/>
      <c r="C30" s="141" t="s">
        <v>161</v>
      </c>
      <c r="D30" s="142" t="s">
        <v>162</v>
      </c>
    </row>
    <row r="31" spans="1:4" ht="38.25" x14ac:dyDescent="0.25">
      <c r="A31" s="50">
        <v>14.6</v>
      </c>
      <c r="B31" s="50"/>
      <c r="C31" s="141" t="s">
        <v>160</v>
      </c>
      <c r="D31" s="142" t="s">
        <v>163</v>
      </c>
    </row>
    <row r="32" spans="1:4" x14ac:dyDescent="0.25">
      <c r="A32" s="50">
        <v>15</v>
      </c>
      <c r="B32" s="50" t="s">
        <v>145</v>
      </c>
      <c r="C32" s="141" t="s">
        <v>171</v>
      </c>
      <c r="D32" s="142" t="s">
        <v>172</v>
      </c>
    </row>
  </sheetData>
  <sheetProtection sheet="1" objects="1" scenarios="1"/>
  <mergeCells count="1">
    <mergeCell ref="A1:D1"/>
  </mergeCells>
  <phoneticPr fontId="39" type="noConversion"/>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5C258-0B47-4F48-AC27-713D8B26905F}">
  <sheetPr codeName="Sheet4">
    <tabColor rgb="FFBFBFBF"/>
  </sheetPr>
  <dimension ref="A1:E20"/>
  <sheetViews>
    <sheetView workbookViewId="0">
      <selection activeCell="K21" sqref="K21"/>
    </sheetView>
  </sheetViews>
  <sheetFormatPr defaultRowHeight="15" x14ac:dyDescent="0.25"/>
  <cols>
    <col min="1" max="1" width="16.7109375" customWidth="1"/>
    <col min="2" max="2" width="5.7109375" customWidth="1"/>
    <col min="3" max="3" width="19.42578125" bestFit="1" customWidth="1"/>
    <col min="4" max="4" width="5.7109375" customWidth="1"/>
    <col min="5" max="5" width="16.7109375" customWidth="1"/>
  </cols>
  <sheetData>
    <row r="1" spans="1:5" ht="32.1" customHeight="1" x14ac:dyDescent="0.25">
      <c r="A1" s="76" t="s">
        <v>52</v>
      </c>
      <c r="B1" s="13"/>
      <c r="C1" s="76" t="s">
        <v>53</v>
      </c>
      <c r="E1" s="77" t="s">
        <v>54</v>
      </c>
    </row>
    <row r="2" spans="1:5" ht="15.75" x14ac:dyDescent="0.25">
      <c r="A2" s="1" t="s">
        <v>55</v>
      </c>
      <c r="B2" s="13"/>
      <c r="C2" s="1" t="s">
        <v>41</v>
      </c>
      <c r="E2" s="50" t="s">
        <v>44</v>
      </c>
    </row>
    <row r="3" spans="1:5" x14ac:dyDescent="0.25">
      <c r="A3" s="1" t="s">
        <v>56</v>
      </c>
      <c r="C3" s="1" t="s">
        <v>45</v>
      </c>
      <c r="E3" s="50" t="s">
        <v>57</v>
      </c>
    </row>
    <row r="4" spans="1:5" x14ac:dyDescent="0.25">
      <c r="A4" s="1" t="s">
        <v>58</v>
      </c>
      <c r="C4" s="1" t="s">
        <v>59</v>
      </c>
      <c r="E4" s="50" t="s">
        <v>46</v>
      </c>
    </row>
    <row r="5" spans="1:5" x14ac:dyDescent="0.25">
      <c r="A5" s="1" t="s">
        <v>42</v>
      </c>
      <c r="C5" s="1" t="s">
        <v>60</v>
      </c>
    </row>
    <row r="6" spans="1:5" x14ac:dyDescent="0.25">
      <c r="A6" s="1" t="s">
        <v>43</v>
      </c>
      <c r="C6" s="1" t="s">
        <v>61</v>
      </c>
    </row>
    <row r="7" spans="1:5" x14ac:dyDescent="0.25">
      <c r="A7" s="1" t="s">
        <v>62</v>
      </c>
      <c r="C7" s="1" t="s">
        <v>83</v>
      </c>
    </row>
    <row r="8" spans="1:5" x14ac:dyDescent="0.25">
      <c r="A8" s="1" t="s">
        <v>40</v>
      </c>
      <c r="C8" s="1" t="s">
        <v>63</v>
      </c>
    </row>
    <row r="9" spans="1:5" x14ac:dyDescent="0.25">
      <c r="A9" s="1" t="s">
        <v>48</v>
      </c>
      <c r="C9" s="1" t="s">
        <v>130</v>
      </c>
    </row>
    <row r="10" spans="1:5" x14ac:dyDescent="0.25">
      <c r="A10" s="1" t="s">
        <v>65</v>
      </c>
      <c r="C10" s="1" t="s">
        <v>131</v>
      </c>
    </row>
    <row r="11" spans="1:5" x14ac:dyDescent="0.25">
      <c r="A11" s="1" t="s">
        <v>39</v>
      </c>
      <c r="C11" s="1" t="s">
        <v>64</v>
      </c>
    </row>
    <row r="12" spans="1:5" x14ac:dyDescent="0.25">
      <c r="C12" s="1" t="s">
        <v>66</v>
      </c>
    </row>
    <row r="13" spans="1:5" x14ac:dyDescent="0.25">
      <c r="C13" s="1" t="s">
        <v>67</v>
      </c>
    </row>
    <row r="14" spans="1:5" x14ac:dyDescent="0.25">
      <c r="C14" s="1" t="s">
        <v>49</v>
      </c>
    </row>
    <row r="15" spans="1:5" x14ac:dyDescent="0.25">
      <c r="C15" s="1" t="s">
        <v>68</v>
      </c>
    </row>
    <row r="16" spans="1:5" x14ac:dyDescent="0.25">
      <c r="C16" s="1" t="s">
        <v>47</v>
      </c>
    </row>
    <row r="17" spans="3:3" x14ac:dyDescent="0.25">
      <c r="C17" s="1" t="s">
        <v>69</v>
      </c>
    </row>
    <row r="18" spans="3:3" x14ac:dyDescent="0.25">
      <c r="C18" s="1" t="s">
        <v>70</v>
      </c>
    </row>
    <row r="19" spans="3:3" x14ac:dyDescent="0.25">
      <c r="C19" s="1" t="s">
        <v>38</v>
      </c>
    </row>
    <row r="20" spans="3:3" x14ac:dyDescent="0.25">
      <c r="C20" s="1" t="s">
        <v>71</v>
      </c>
    </row>
  </sheetData>
  <pageMargins left="0.7" right="0.7" top="0.75" bottom="0.75" header="0.3" footer="0.3"/>
  <tableParts count="3">
    <tablePart r:id="rId1"/>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E9FB6-FE85-4242-A6EE-EA234F20C0C1}">
  <sheetPr codeName="Sheet9">
    <tabColor theme="7"/>
  </sheetPr>
  <dimension ref="A1:G16"/>
  <sheetViews>
    <sheetView showGridLines="0" workbookViewId="0">
      <selection activeCell="E29" sqref="E29"/>
    </sheetView>
  </sheetViews>
  <sheetFormatPr defaultRowHeight="15" x14ac:dyDescent="0.25"/>
  <cols>
    <col min="1" max="1" width="32.42578125" bestFit="1" customWidth="1"/>
    <col min="2" max="7" width="20.7109375" customWidth="1"/>
  </cols>
  <sheetData>
    <row r="1" spans="1:7" ht="20.100000000000001" customHeight="1" x14ac:dyDescent="0.25">
      <c r="A1" s="78"/>
      <c r="B1" s="66" t="s">
        <v>72</v>
      </c>
      <c r="C1" s="66" t="s">
        <v>73</v>
      </c>
      <c r="D1" s="66" t="s">
        <v>74</v>
      </c>
      <c r="E1" s="66" t="s">
        <v>75</v>
      </c>
      <c r="F1" s="66" t="s">
        <v>76</v>
      </c>
      <c r="G1" s="66" t="s">
        <v>88</v>
      </c>
    </row>
    <row r="2" spans="1:7" x14ac:dyDescent="0.25">
      <c r="A2" s="67" t="s">
        <v>89</v>
      </c>
      <c r="B2" s="88"/>
      <c r="C2" s="90"/>
      <c r="D2" s="122"/>
      <c r="E2" s="93"/>
      <c r="F2" s="93"/>
      <c r="G2" s="64"/>
    </row>
    <row r="3" spans="1:7" x14ac:dyDescent="0.25">
      <c r="A3" s="67" t="s">
        <v>90</v>
      </c>
      <c r="B3" s="89"/>
      <c r="C3" s="91"/>
      <c r="D3" s="92"/>
      <c r="E3" s="94"/>
      <c r="F3" s="94"/>
      <c r="G3" s="65"/>
    </row>
    <row r="5" spans="1:7" x14ac:dyDescent="0.25">
      <c r="A5" s="79" t="s">
        <v>141</v>
      </c>
      <c r="B5" s="62"/>
    </row>
    <row r="6" spans="1:7" x14ac:dyDescent="0.25">
      <c r="A6" s="82" t="s">
        <v>77</v>
      </c>
      <c r="B6" s="85"/>
    </row>
    <row r="7" spans="1:7" x14ac:dyDescent="0.25">
      <c r="A7" s="86" t="s">
        <v>95</v>
      </c>
      <c r="B7" s="81"/>
      <c r="C7" s="84"/>
    </row>
    <row r="8" spans="1:7" x14ac:dyDescent="0.25">
      <c r="A8" s="87" t="s">
        <v>94</v>
      </c>
      <c r="B8" s="83"/>
      <c r="C8" s="84"/>
    </row>
    <row r="10" spans="1:7" x14ac:dyDescent="0.25">
      <c r="A10" s="80" t="s">
        <v>78</v>
      </c>
      <c r="B10" s="63" t="s">
        <v>39</v>
      </c>
    </row>
    <row r="11" spans="1:7" x14ac:dyDescent="0.25">
      <c r="B11" s="5"/>
    </row>
    <row r="12" spans="1:7" x14ac:dyDescent="0.25">
      <c r="A12" s="80" t="s">
        <v>79</v>
      </c>
      <c r="B12" s="63" t="s">
        <v>39</v>
      </c>
    </row>
    <row r="14" spans="1:7" x14ac:dyDescent="0.25">
      <c r="A14" s="80" t="s">
        <v>80</v>
      </c>
      <c r="B14" s="192"/>
      <c r="C14" s="193"/>
      <c r="D14" s="193"/>
      <c r="E14" s="193"/>
      <c r="F14" s="193"/>
      <c r="G14" s="194"/>
    </row>
    <row r="15" spans="1:7" x14ac:dyDescent="0.25">
      <c r="B15" s="195"/>
      <c r="C15" s="196"/>
      <c r="D15" s="196"/>
      <c r="E15" s="196"/>
      <c r="F15" s="196"/>
      <c r="G15" s="197"/>
    </row>
    <row r="16" spans="1:7" x14ac:dyDescent="0.25">
      <c r="B16" s="198"/>
      <c r="C16" s="199"/>
      <c r="D16" s="199"/>
      <c r="E16" s="199"/>
      <c r="F16" s="199"/>
      <c r="G16" s="200"/>
    </row>
  </sheetData>
  <mergeCells count="1">
    <mergeCell ref="B14:G16"/>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3AFB4-E5B4-478F-89C1-5DC00BDBAF60}">
  <sheetPr codeName="Sheet13">
    <tabColor theme="9" tint="-0.249977111117893"/>
  </sheetPr>
  <dimension ref="B2:D16"/>
  <sheetViews>
    <sheetView showGridLines="0" workbookViewId="0"/>
  </sheetViews>
  <sheetFormatPr defaultRowHeight="15" x14ac:dyDescent="0.25"/>
  <cols>
    <col min="1" max="1" width="3.7109375" style="6" customWidth="1"/>
    <col min="2" max="16384" width="9.140625" style="6"/>
  </cols>
  <sheetData>
    <row r="2" spans="2:4" ht="24.95" customHeight="1" x14ac:dyDescent="0.25">
      <c r="D2" s="101" t="s">
        <v>239</v>
      </c>
    </row>
    <row r="3" spans="2:4" x14ac:dyDescent="0.25">
      <c r="D3" s="159" t="s">
        <v>240</v>
      </c>
    </row>
    <row r="5" spans="2:4" x14ac:dyDescent="0.25">
      <c r="B5" s="6" t="s">
        <v>241</v>
      </c>
      <c r="D5" s="6" t="s">
        <v>242</v>
      </c>
    </row>
    <row r="6" spans="2:4" x14ac:dyDescent="0.25">
      <c r="D6" s="6" t="s">
        <v>243</v>
      </c>
    </row>
    <row r="7" spans="2:4" x14ac:dyDescent="0.25">
      <c r="D7" s="6" t="s">
        <v>244</v>
      </c>
    </row>
    <row r="8" spans="2:4" x14ac:dyDescent="0.25">
      <c r="D8" s="6" t="s">
        <v>245</v>
      </c>
    </row>
    <row r="9" spans="2:4" x14ac:dyDescent="0.25">
      <c r="D9" s="6" t="s">
        <v>246</v>
      </c>
    </row>
    <row r="11" spans="2:4" x14ac:dyDescent="0.25">
      <c r="B11" s="6" t="s">
        <v>74</v>
      </c>
      <c r="D11" s="158" t="s">
        <v>247</v>
      </c>
    </row>
    <row r="13" spans="2:4" x14ac:dyDescent="0.25">
      <c r="B13" s="6" t="s">
        <v>248</v>
      </c>
      <c r="D13" s="157" t="s">
        <v>250</v>
      </c>
    </row>
    <row r="14" spans="2:4" x14ac:dyDescent="0.25">
      <c r="B14" s="6" t="s">
        <v>249</v>
      </c>
      <c r="D14" s="157" t="s">
        <v>251</v>
      </c>
    </row>
    <row r="16" spans="2:4" x14ac:dyDescent="0.25">
      <c r="B16" s="6" t="s">
        <v>488</v>
      </c>
      <c r="D16" s="157" t="s">
        <v>489</v>
      </c>
    </row>
  </sheetData>
  <hyperlinks>
    <hyperlink ref="D3" r:id="rId1" xr:uid="{4FFCA569-40B9-469F-815F-CC3AC3FE0817}"/>
    <hyperlink ref="D11" r:id="rId2" xr:uid="{527BC514-698F-49B1-A2C3-FE7B3C06A976}"/>
    <hyperlink ref="D13" r:id="rId3" xr:uid="{C7509E19-F321-478C-87D9-87EE3FB1E16B}"/>
    <hyperlink ref="D14" r:id="rId4" display="https://www.linkedin.com/in/adam-lisbon-90a7b3106/" xr:uid="{125B2868-E407-4602-90A3-C70BDB84B3CB}"/>
    <hyperlink ref="D16" r:id="rId5" xr:uid="{DCE713EF-ED54-43B8-87DF-162FFBE9E158}"/>
  </hyperlinks>
  <pageMargins left="0.7" right="0.7" top="0.75" bottom="0.75" header="0.3" footer="0.3"/>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Donation</vt:lpstr>
      <vt:lpstr>Guide</vt:lpstr>
      <vt:lpstr>Slips</vt:lpstr>
      <vt:lpstr>s-Format</vt:lpstr>
      <vt:lpstr>s-Assign</vt:lpstr>
      <vt:lpstr>s-Series</vt:lpstr>
      <vt:lpstr>s-Pub</vt:lpstr>
      <vt:lpstr>s-Date</vt:lpstr>
      <vt:lpstr>Subject Analysis</vt:lpstr>
      <vt:lpstr>Subj. Process</vt:lpstr>
      <vt:lpstr>Data Validation</vt:lpstr>
      <vt:lpstr>About Donation</vt:lpstr>
      <vt:lpstr>License</vt:lpstr>
      <vt:lpstr>Guide!Orders</vt:lpstr>
      <vt:lpstr>Orders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Adam H. Lisbon</dc:creator>
  <cp:keywords/>
  <dc:description/>
  <cp:lastModifiedBy>Adam H. Lisbon</cp:lastModifiedBy>
  <cp:revision/>
  <cp:lastPrinted>2022-03-23T18:31:10Z</cp:lastPrinted>
  <dcterms:created xsi:type="dcterms:W3CDTF">2021-07-26T18:34:48Z</dcterms:created>
  <dcterms:modified xsi:type="dcterms:W3CDTF">2022-12-14T04:03:34Z</dcterms:modified>
  <cp:category/>
  <cp:contentStatus/>
</cp:coreProperties>
</file>